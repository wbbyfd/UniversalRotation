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5" yWindow="-105" windowWidth="12810" windowHeight="5460" tabRatio="733" firstSheet="1" activeTab="1"/>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股票实时数据" sheetId="20" r:id="rId8"/>
    <sheet name="低估优质小盘" sheetId="16" r:id="rId9"/>
    <sheet name="高股息红利" sheetId="17" r:id="rId10"/>
    <sheet name="低估白马" sheetId="18" r:id="rId11"/>
    <sheet name="_xlwings.conf" sheetId="2" r:id="rId12"/>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10" hidden="1">低估白马!$G$1:$Y$101</definedName>
    <definedName name="_xlnm._FilterDatabase" localSheetId="8" hidden="1">低估优质小盘!$G$1:$AC$101</definedName>
    <definedName name="_xlnm._FilterDatabase" localSheetId="3" hidden="1">低溢价可转债轮动!$A$2:$W$43</definedName>
    <definedName name="_xlnm._FilterDatabase" localSheetId="9"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<sst xmlns="http://schemas.openxmlformats.org/spreadsheetml/2006/main" count="2294" uniqueCount="1080">
  <si>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</si>
  <si>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</si>
  <si>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</si>
  <si>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</si>
  <si>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</si>
  <si>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</si>
  <si>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</si>
  <si>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</si>
  <si>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</si>
  <si>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</si>
  <si>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</si>
  <si>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</si>
  <si>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</si>
  <si>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</si>
  <si>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</si>
  <si>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</si>
  <si>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</si>
  <si>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</si>
  <si>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</si>
  <si>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</si>
  <si>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</si>
  <si>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</si>
  <si>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</si>
  <si>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</si>
  <si>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</si>
  <si>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</si>
  <si>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</si>
  <si>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</si>
  <si>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</si>
  <si>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</si>
  <si>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</si>
  <si>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</si>
  <si>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</si>
  <si>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</si>
  <si>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</si>
  <si>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华钰转债</t>
  </si>
  <si>
    <t>海波转债</t>
  </si>
  <si>
    <t>证券名称</t>
  </si>
  <si>
    <t>证券代码</t>
  </si>
  <si>
    <t>英特转债</t>
  </si>
  <si>
    <t>迪贝转债</t>
  </si>
  <si>
    <t>法兰转债</t>
  </si>
  <si>
    <t>孚日转债</t>
  </si>
  <si>
    <t>金轮转债</t>
  </si>
  <si>
    <t>联泰转债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</si>
  <si>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</si>
  <si>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</si>
  <si>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</si>
  <si>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</si>
  <si>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</si>
  <si>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</si>
  <si>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</si>
  <si>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</si>
  <si>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</si>
  <si>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</si>
  <si>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</si>
  <si>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</si>
  <si>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</si>
  <si>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</si>
  <si>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</si>
  <si>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</si>
  <si>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</si>
  <si>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</si>
  <si>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</si>
  <si>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</si>
  <si>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</si>
  <si>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</si>
  <si>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</si>
  <si>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</si>
  <si>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</si>
  <si>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</si>
  <si>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</si>
  <si>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</si>
  <si>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</si>
  <si>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</si>
  <si>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</si>
  <si>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</si>
  <si>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</si>
  <si>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</si>
  <si>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</si>
  <si>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</si>
  <si>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</si>
  <si>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</si>
  <si>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</si>
  <si>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</si>
  <si>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</si>
  <si>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</si>
  <si>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</si>
  <si>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</si>
  <si>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</si>
  <si>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</si>
  <si>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</si>
  <si>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</si>
  <si>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</si>
  <si>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</si>
  <si>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</si>
  <si>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</si>
  <si>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</si>
  <si>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</si>
  <si>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</si>
  <si>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</si>
  <si>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</si>
  <si>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</si>
  <si>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</si>
  <si>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</si>
  <si>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</si>
  <si>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</si>
  <si>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</si>
  <si>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</si>
  <si>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</si>
  <si>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</si>
  <si>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</si>
  <si>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</si>
  <si>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</si>
  <si>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</si>
  <si>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</si>
  <si>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</si>
  <si>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</si>
  <si>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</si>
  <si>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</si>
  <si>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</si>
  <si>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</si>
  <si>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</si>
  <si>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</si>
  <si>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</si>
  <si>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</si>
  <si>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</si>
  <si>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</si>
  <si>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</si>
  <si>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</si>
  <si>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</si>
  <si>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</si>
  <si>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</si>
  <si>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</si>
  <si>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</si>
  <si>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</si>
  <si>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</si>
  <si>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</si>
  <si>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</si>
  <si>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</si>
  <si>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</si>
  <si>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</si>
  <si>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</si>
  <si>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</si>
  <si>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</si>
  <si>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</si>
  <si>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</si>
  <si>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</si>
  <si>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</si>
  <si>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</si>
  <si>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</si>
  <si>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</si>
  <si>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</si>
  <si>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</si>
  <si>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</si>
  <si>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</si>
  <si>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</si>
  <si>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</si>
  <si>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</si>
  <si>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</si>
  <si>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</si>
  <si>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</si>
  <si>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</si>
  <si>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</si>
  <si>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</si>
  <si>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</si>
  <si>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</si>
  <si>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</si>
  <si>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</si>
  <si>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</si>
  <si>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</si>
  <si>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</si>
  <si>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</si>
  <si>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</si>
  <si>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</si>
  <si>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</si>
  <si>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</si>
  <si>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</si>
  <si>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</si>
  <si>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宏丰转债</t>
  </si>
  <si>
    <t>最新VIP排名</t>
    <phoneticPr fontId="2" type="noConversion"/>
  </si>
  <si>
    <t>日经ETF</t>
  </si>
  <si>
    <t>有色ETF</t>
  </si>
  <si>
    <t>能源化工</t>
  </si>
  <si>
    <t>恒生科技</t>
  </si>
  <si>
    <t>指数ETF</t>
  </si>
  <si>
    <t>金融ETF</t>
  </si>
  <si>
    <t>央企改革ETF</t>
  </si>
  <si>
    <t>有色金属</t>
  </si>
  <si>
    <t>质量ETF</t>
  </si>
  <si>
    <t>化工ETF</t>
  </si>
  <si>
    <t>电子ETF</t>
  </si>
  <si>
    <t>养殖ETF</t>
  </si>
  <si>
    <t>资源ETF</t>
  </si>
  <si>
    <t>金科ETF</t>
  </si>
  <si>
    <t>农业ETF</t>
  </si>
  <si>
    <t>软件ETF</t>
  </si>
  <si>
    <t>计算机</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</si>
  <si>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</si>
  <si>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</si>
  <si>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</si>
  <si>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</si>
  <si>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</si>
  <si>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</si>
  <si>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</si>
  <si>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</si>
  <si>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</si>
  <si>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</si>
  <si>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</si>
  <si>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</si>
  <si>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</si>
  <si>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</si>
  <si>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</si>
  <si>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</si>
  <si>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</si>
  <si>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</si>
  <si>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</si>
  <si>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</si>
  <si>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</si>
  <si>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</si>
  <si>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</si>
  <si>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</si>
  <si>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</si>
  <si>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</si>
  <si>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</si>
  <si>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</si>
  <si>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</si>
  <si>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</si>
  <si>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</si>
  <si>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</si>
  <si>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</si>
  <si>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</si>
  <si>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</si>
  <si>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</si>
  <si>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</si>
  <si>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</si>
  <si>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</si>
  <si>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</si>
  <si>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</si>
  <si>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</si>
  <si>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</si>
  <si>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</si>
  <si>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</si>
  <si>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</si>
  <si>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</si>
  <si>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</si>
  <si>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</si>
  <si>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</si>
  <si>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</si>
  <si>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</si>
  <si>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</si>
  <si>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</si>
  <si>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</si>
  <si>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</si>
  <si>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</si>
  <si>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</si>
  <si>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</si>
  <si>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</si>
  <si>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</si>
  <si>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</si>
  <si>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</si>
  <si>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</si>
  <si>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</si>
  <si>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</si>
  <si>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</si>
  <si>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</si>
  <si>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</si>
  <si>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</si>
  <si>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</si>
  <si>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</si>
  <si>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</si>
  <si>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</si>
  <si>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</si>
  <si>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</si>
  <si>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</si>
  <si>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</si>
  <si>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</si>
  <si>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</si>
  <si>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</si>
  <si>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</si>
  <si>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</si>
  <si>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</si>
  <si>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</si>
  <si>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</si>
  <si>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</si>
  <si>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</si>
  <si>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</si>
  <si>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</si>
  <si>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</si>
  <si>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</si>
  <si>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</si>
  <si>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</si>
  <si>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</si>
  <si>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</si>
  <si>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</si>
  <si>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</si>
  <si>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</si>
  <si>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</si>
  <si>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</si>
  <si>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</si>
  <si>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</si>
  <si>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</si>
  <si>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</si>
  <si>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</si>
  <si>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</si>
  <si>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</si>
  <si>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</si>
  <si>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</si>
  <si>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</si>
  <si>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</si>
  <si>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</si>
  <si>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</si>
  <si>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</si>
  <si>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</si>
  <si>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</si>
  <si>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</si>
  <si>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</si>
  <si>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</si>
  <si>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</si>
  <si>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</si>
  <si>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</si>
  <si>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</si>
  <si>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</si>
  <si>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</si>
  <si>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</si>
  <si>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</si>
  <si>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</si>
  <si>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</si>
  <si>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</si>
  <si>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</si>
  <si>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</si>
  <si>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</si>
  <si>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</si>
  <si>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</si>
  <si>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</si>
  <si>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</si>
  <si>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</si>
  <si>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</si>
  <si>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</si>
  <si>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</si>
  <si>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</si>
  <si>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</si>
  <si>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</si>
  <si>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</si>
  <si>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</si>
  <si>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</si>
  <si>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</si>
  <si>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</si>
  <si>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</si>
  <si>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</si>
  <si>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</si>
  <si>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</si>
  <si>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</si>
  <si>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</si>
  <si>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</si>
  <si>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</si>
  <si>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</si>
  <si>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</si>
  <si>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</si>
  <si>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</si>
  <si>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</si>
  <si>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</si>
  <si>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</si>
  <si>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</si>
  <si>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</si>
  <si>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</si>
  <si>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</si>
  <si>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</si>
  <si>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</si>
  <si>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</si>
  <si>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</si>
  <si>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</si>
  <si>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</si>
  <si>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</si>
  <si>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</si>
  <si>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</si>
  <si>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</si>
  <si>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</si>
  <si>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</si>
  <si>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</si>
  <si>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</si>
  <si>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</si>
  <si>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</si>
  <si>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</si>
  <si>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</si>
  <si>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</si>
  <si>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</si>
  <si>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</si>
  <si>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</si>
  <si>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</si>
  <si>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</si>
  <si>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</si>
  <si>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</si>
  <si>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</si>
  <si>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wbb低溢价可转债ZH3128720</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</si>
  <si>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</si>
  <si>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</si>
  <si>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</si>
  <si>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</si>
  <si>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</si>
  <si>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</si>
  <si>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</si>
  <si>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</si>
  <si>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</si>
  <si>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</si>
  <si>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</si>
  <si>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</si>
  <si>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</si>
  <si>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</si>
  <si>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</si>
  <si>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</si>
  <si>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</si>
  <si>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</si>
  <si>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</si>
  <si>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</si>
  <si>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</si>
  <si>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</si>
  <si>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750天净值增长率</t>
  </si>
  <si>
    <t>原贴地址：https://www.jisilu.cn/question/457389</t>
    <phoneticPr fontId="2" type="noConversion"/>
  </si>
  <si>
    <t>项目地址：https://github.com/wbbyfd/UniversalRotation</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</si>
  <si>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</si>
  <si>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</si>
  <si>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</si>
  <si>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</si>
  <si>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</si>
  <si>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</si>
  <si>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</si>
  <si>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</si>
  <si>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</si>
  <si>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</si>
  <si>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</si>
  <si>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</si>
  <si>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</si>
  <si>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</si>
  <si>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</si>
  <si>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</si>
  <si>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</si>
  <si>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</si>
  <si>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</si>
  <si>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</si>
  <si>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</si>
  <si>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</si>
  <si>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</si>
  <si>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</si>
  <si>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</si>
  <si>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</si>
  <si>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</si>
  <si>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</si>
  <si>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</si>
  <si>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</si>
  <si>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</si>
  <si>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</si>
  <si>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</si>
  <si>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</si>
  <si>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</si>
  <si>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</si>
  <si>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</si>
  <si>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</si>
  <si>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</si>
  <si>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</si>
  <si>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</si>
  <si>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</si>
  <si>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</si>
  <si>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</si>
  <si>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</si>
  <si>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</si>
  <si>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</si>
  <si>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</si>
  <si>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</si>
  <si>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</si>
  <si>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</si>
  <si>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</si>
  <si>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</si>
  <si>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</si>
  <si>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</si>
  <si>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</si>
  <si>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</si>
  <si>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</si>
  <si>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</si>
  <si>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</si>
  <si>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</si>
  <si>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</si>
  <si>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</si>
  <si>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</si>
  <si>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</si>
  <si>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</si>
  <si>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</si>
  <si>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</si>
  <si>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</si>
  <si>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</si>
  <si>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</si>
  <si>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</si>
  <si>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</si>
  <si>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</si>
  <si>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</si>
  <si>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</si>
  <si>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</si>
  <si>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</si>
  <si>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</si>
  <si>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</si>
  <si>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</si>
  <si>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</si>
  <si>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</si>
  <si>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</si>
  <si>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</si>
  <si>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</si>
  <si>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</si>
  <si>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</si>
  <si>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</si>
  <si>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</si>
  <si>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</si>
  <si>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</si>
  <si>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</si>
  <si>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</si>
  <si>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</si>
  <si>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</si>
  <si>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</si>
  <si>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</si>
  <si>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</si>
  <si>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</si>
  <si>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</si>
  <si>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</si>
  <si>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</si>
  <si>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</si>
  <si>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</si>
  <si>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</si>
  <si>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</si>
  <si>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</si>
  <si>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</si>
  <si>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</si>
  <si>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</si>
  <si>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</si>
  <si>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</si>
  <si>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</si>
  <si>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</si>
  <si>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</si>
  <si>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</si>
  <si>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</si>
  <si>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</si>
  <si>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</si>
  <si>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</si>
  <si>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</si>
  <si>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</si>
  <si>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</si>
  <si>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</si>
  <si>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</si>
  <si>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</si>
  <si>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</si>
  <si>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</si>
  <si>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</si>
  <si>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</si>
  <si>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</si>
  <si>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</si>
  <si>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</si>
  <si>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</si>
  <si>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</si>
  <si>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</si>
  <si>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</si>
  <si>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</si>
  <si>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</si>
  <si>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</si>
  <si>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</si>
  <si>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</si>
  <si>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</si>
  <si>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</si>
  <si>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</si>
  <si>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</si>
  <si>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</si>
  <si>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</si>
  <si>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</si>
  <si>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</si>
  <si>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</si>
  <si>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</si>
  <si>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</si>
  <si>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</si>
  <si>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</si>
  <si>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</si>
  <si>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</si>
  <si>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</si>
  <si>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</si>
  <si>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</si>
  <si>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</si>
  <si>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</si>
  <si>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</si>
  <si>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</si>
  <si>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</si>
  <si>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</si>
  <si>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</si>
  <si>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</si>
  <si>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</si>
  <si>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</si>
  <si>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</si>
  <si>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</si>
  <si>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</si>
  <si>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</si>
  <si>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</si>
  <si>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</si>
  <si>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</si>
  <si>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</si>
  <si>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</si>
  <si>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</si>
  <si>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</si>
  <si>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</si>
  <si>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</si>
  <si>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</si>
  <si>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贵广转债</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</si>
  <si>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</si>
  <si>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</si>
  <si>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</si>
  <si>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</si>
  <si>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</si>
  <si>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</si>
  <si>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</si>
  <si>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</si>
  <si>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</si>
  <si>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</si>
  <si>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</si>
  <si>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华翔转债</t>
  </si>
  <si>
    <t>沿浦转债</t>
  </si>
  <si>
    <t>松霖转债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</si>
  <si>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</si>
  <si>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</si>
  <si>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</si>
  <si>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</si>
  <si>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</si>
  <si>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</si>
  <si>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</si>
  <si>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</si>
  <si>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</si>
  <si>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</si>
  <si>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</si>
  <si>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</si>
  <si>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</si>
  <si>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</si>
  <si>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丝路转债!</t>
  </si>
  <si>
    <t>奥飞转债!</t>
  </si>
  <si>
    <t>金沃转债!</t>
  </si>
  <si>
    <t>银轮转债!!</t>
  </si>
  <si>
    <t>Mark</t>
  </si>
  <si>
    <t>Favorite</t>
  </si>
  <si>
    <t>大成有色金属期货ETF</t>
  </si>
  <si>
    <t>大元转债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</si>
  <si>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</si>
  <si>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</si>
  <si>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</si>
  <si>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福新转债</t>
  </si>
  <si>
    <t>招商沪深300增强策略ETF</t>
  </si>
  <si>
    <t>中国国企开放共赢ETF</t>
  </si>
  <si>
    <t>港股通红利ETF</t>
  </si>
  <si>
    <t>声迅转债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</si>
  <si>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</si>
  <si>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</si>
  <si>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</si>
  <si>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</si>
  <si>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</si>
  <si>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</si>
  <si>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</si>
  <si>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</si>
  <si>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</si>
  <si>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</si>
  <si>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</si>
  <si>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</si>
  <si>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</si>
  <si>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</si>
  <si>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</si>
  <si>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</si>
  <si>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</si>
  <si>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</si>
  <si>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</si>
  <si>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</si>
  <si>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</si>
  <si>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</si>
  <si>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</si>
  <si>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</si>
  <si>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</si>
  <si>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</si>
  <si>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</si>
  <si>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</si>
  <si>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</si>
  <si>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</si>
  <si>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</si>
  <si>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</si>
  <si>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</si>
  <si>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</si>
  <si>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</si>
  <si>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</si>
  <si>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</si>
  <si>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</si>
  <si>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</si>
  <si>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</si>
  <si>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</si>
  <si>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</si>
  <si>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</si>
  <si>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</si>
  <si>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</si>
  <si>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</si>
  <si>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</si>
  <si>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</si>
  <si>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</si>
  <si>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</si>
  <si>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</si>
  <si>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</si>
  <si>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</si>
  <si>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</si>
  <si>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</si>
  <si>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</si>
  <si>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</si>
  <si>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</si>
  <si>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</si>
  <si>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</si>
  <si>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</si>
  <si>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</si>
  <si>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</si>
  <si>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</si>
  <si>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</si>
  <si>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</si>
  <si>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</si>
  <si>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</si>
  <si>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</si>
  <si>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</si>
  <si>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</si>
  <si>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</si>
  <si>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</si>
  <si>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</si>
  <si>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</si>
  <si>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</si>
  <si>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</si>
  <si>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</si>
  <si>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</si>
  <si>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</si>
  <si>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</si>
  <si>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</si>
  <si>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</si>
  <si>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</si>
  <si>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</si>
  <si>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</si>
  <si>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</si>
  <si>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</si>
  <si>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</si>
  <si>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</si>
  <si>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</si>
  <si>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</si>
  <si>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</si>
  <si>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</si>
  <si>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</si>
  <si>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</si>
  <si>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</si>
  <si>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</si>
  <si>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</si>
  <si>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</si>
  <si>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</si>
  <si>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</si>
  <si>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</si>
  <si>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</si>
  <si>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</si>
  <si>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</si>
  <si>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</si>
  <si>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</si>
  <si>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</si>
  <si>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</si>
  <si>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</si>
  <si>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</si>
  <si>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</si>
  <si>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</si>
  <si>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</si>
  <si>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</si>
  <si>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</si>
  <si>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</si>
  <si>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</si>
  <si>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</si>
  <si>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</si>
  <si>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</si>
  <si>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</si>
  <si>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</si>
  <si>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</si>
  <si>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</si>
  <si>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</si>
  <si>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</si>
  <si>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</si>
  <si>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</si>
  <si>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</si>
  <si>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</si>
  <si>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</si>
  <si>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</si>
  <si>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</si>
  <si>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</si>
  <si>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</si>
  <si>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</si>
  <si>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</si>
  <si>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</si>
  <si>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</si>
  <si>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</si>
  <si>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</si>
  <si>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</si>
  <si>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</si>
  <si>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</si>
  <si>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</si>
  <si>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</si>
  <si>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</si>
  <si>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</si>
  <si>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</si>
  <si>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</si>
  <si>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</si>
  <si>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</si>
  <si>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</si>
  <si>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</si>
  <si>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</si>
  <si>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</si>
  <si>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</si>
  <si>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</si>
  <si>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</si>
  <si>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</si>
  <si>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</si>
  <si>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</si>
  <si>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</si>
  <si>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</si>
  <si>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</si>
  <si>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</si>
  <si>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</si>
  <si>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</si>
  <si>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</si>
  <si>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</si>
  <si>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</si>
  <si>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</si>
  <si>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</si>
  <si>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</si>
  <si>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</si>
  <si>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</si>
  <si>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</si>
  <si>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</si>
  <si>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</si>
  <si>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</si>
  <si>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</si>
  <si>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</si>
  <si>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</si>
  <si>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</si>
  <si>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</si>
  <si>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</si>
  <si>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</si>
  <si>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</si>
  <si>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</si>
  <si>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</si>
  <si>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</si>
  <si>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</si>
  <si>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</si>
  <si>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</si>
  <si>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</si>
  <si>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</si>
  <si>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</si>
  <si>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</si>
  <si>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</si>
  <si>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</si>
  <si>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</si>
  <si>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</si>
  <si>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</si>
  <si>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</si>
  <si>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</si>
  <si>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</si>
  <si>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</si>
  <si>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</si>
  <si>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</si>
  <si>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</si>
  <si>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</si>
  <si>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</si>
  <si>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</si>
  <si>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</si>
  <si>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</si>
  <si>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</si>
  <si>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</si>
  <si>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</si>
  <si>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</si>
  <si>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</si>
  <si>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</si>
  <si>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</si>
  <si>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</si>
  <si>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</si>
  <si>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</si>
  <si>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</si>
  <si>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</si>
  <si>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</si>
  <si>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</si>
  <si>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</si>
  <si>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</si>
  <si>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</si>
  <si>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</si>
  <si>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</si>
  <si>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晨丰转债</t>
  </si>
  <si>
    <t>漱玉转债</t>
  </si>
  <si>
    <t>SZ159513</t>
  </si>
  <si>
    <t>纳斯达克100指数ETF</t>
  </si>
  <si>
    <t>北方转债!!</t>
  </si>
  <si>
    <t>天壕转债!</t>
  </si>
  <si>
    <t>纽泰转债</t>
  </si>
  <si>
    <t>祥源转债</t>
  </si>
  <si>
    <t>东亚转债</t>
  </si>
  <si>
    <t>金丹转债</t>
  </si>
  <si>
    <t>赫达转债</t>
  </si>
  <si>
    <t>双箭转债</t>
  </si>
  <si>
    <t>星球转债</t>
  </si>
  <si>
    <t>冠中转债</t>
  </si>
  <si>
    <t>开能转债</t>
  </si>
  <si>
    <t>广联转债!</t>
  </si>
  <si>
    <t>锋龙转债</t>
  </si>
  <si>
    <t>聚飞转债</t>
  </si>
  <si>
    <t>红利低波100ETF</t>
  </si>
  <si>
    <t>医疗器械指数ETF</t>
  </si>
  <si>
    <t>海富通上证10年期地方债ETF</t>
  </si>
  <si>
    <t>海富通上证5年期地方债ETF</t>
  </si>
  <si>
    <t>易方达中证人工智能主题ETF</t>
  </si>
  <si>
    <t>永和转债</t>
  </si>
  <si>
    <t>力诺转债</t>
  </si>
  <si>
    <t>宇瞳转债</t>
  </si>
  <si>
    <t>精装转债!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</si>
  <si>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</si>
  <si>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</si>
  <si>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</si>
  <si>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</si>
  <si>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</si>
  <si>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</si>
  <si>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</si>
  <si>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</si>
  <si>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</si>
  <si>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</si>
  <si>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</si>
  <si>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</si>
  <si>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</si>
  <si>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</si>
  <si>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</si>
  <si>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</si>
  <si>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</si>
  <si>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</si>
  <si>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</si>
  <si>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</si>
  <si>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</si>
  <si>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</si>
  <si>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</si>
  <si>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</si>
  <si>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</si>
  <si>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会通转债</t>
  </si>
  <si>
    <t>中贝转债</t>
  </si>
  <si>
    <t>红墙转债</t>
  </si>
  <si>
    <t>翔丰转债</t>
  </si>
  <si>
    <t>运机转债</t>
  </si>
  <si>
    <t>博俊转债</t>
  </si>
  <si>
    <t>煜邦转债!</t>
  </si>
  <si>
    <t>岱美转债</t>
  </si>
  <si>
    <t>百洋转债!</t>
  </si>
  <si>
    <t>天阳转债</t>
  </si>
  <si>
    <t>泰林转债</t>
  </si>
  <si>
    <t>金盘转债</t>
  </si>
  <si>
    <t>思创转债</t>
  </si>
  <si>
    <t>皖天转债</t>
  </si>
  <si>
    <t>锦鸡转债!</t>
  </si>
  <si>
    <t>联得转债!</t>
  </si>
  <si>
    <t>润达转债!</t>
  </si>
  <si>
    <t>思特转债!</t>
  </si>
  <si>
    <t>东南亚科技ETF</t>
  </si>
  <si>
    <t>SH513730</t>
  </si>
  <si>
    <t>巨星转债!!</t>
  </si>
  <si>
    <t>欧晶转债</t>
  </si>
  <si>
    <t>蓝晓转02!</t>
  </si>
  <si>
    <t>超达转债</t>
  </si>
  <si>
    <t>新致转债!</t>
  </si>
  <si>
    <t>小熊转债</t>
  </si>
  <si>
    <t>耐普转债!</t>
  </si>
  <si>
    <t>翔港转债</t>
  </si>
  <si>
    <t>国光转债!</t>
  </si>
  <si>
    <t>华统转债!</t>
  </si>
  <si>
    <t>正裕转债</t>
  </si>
  <si>
    <t>文灿转债!!</t>
  </si>
  <si>
    <t>中旗转债</t>
  </si>
  <si>
    <t>家联转债</t>
  </si>
  <si>
    <t>亿田转债</t>
  </si>
  <si>
    <t>诺泰转债</t>
  </si>
  <si>
    <t>智尚转债</t>
  </si>
  <si>
    <t>新天转债!</t>
  </si>
  <si>
    <t>海环转债</t>
  </si>
  <si>
    <t>SZ159607</t>
  </si>
  <si>
    <t>中概互联网ETF</t>
  </si>
  <si>
    <t>SH511090</t>
  </si>
  <si>
    <t>30年国债ETF</t>
  </si>
  <si>
    <t>联得转债</t>
  </si>
  <si>
    <t>思特转债</t>
  </si>
  <si>
    <t>温氏转债</t>
  </si>
  <si>
    <t>百洋转债</t>
  </si>
  <si>
    <t>招路转债</t>
  </si>
  <si>
    <t>宏川转债</t>
  </si>
  <si>
    <t>国光转债</t>
  </si>
  <si>
    <t>拓普转债</t>
  </si>
  <si>
    <t>润达转债</t>
  </si>
  <si>
    <t>央企结构调整ETF</t>
  </si>
  <si>
    <t>央企创新驱动ETF</t>
  </si>
  <si>
    <t>洪城转债!</t>
  </si>
  <si>
    <t>正丹转债!</t>
  </si>
  <si>
    <t>九典转02!</t>
  </si>
  <si>
    <t>科思转债!</t>
  </si>
  <si>
    <t>蓝天转债!</t>
  </si>
  <si>
    <t>水羊转债!</t>
  </si>
  <si>
    <t>华钰转债!</t>
  </si>
  <si>
    <t>广泰转债!</t>
  </si>
  <si>
    <t>姚记转债</t>
  </si>
  <si>
    <t>卡倍转02</t>
  </si>
  <si>
    <t>冠盛转债!</t>
  </si>
  <si>
    <t>艾录转债!</t>
  </si>
  <si>
    <t>大叶转债</t>
  </si>
  <si>
    <t>宏昌转债!</t>
  </si>
  <si>
    <t>福蓉转债!</t>
  </si>
  <si>
    <t>海泰转债!</t>
  </si>
  <si>
    <t>精达转债!!</t>
  </si>
  <si>
    <t>红相转债</t>
  </si>
  <si>
    <t>锋工转债!</t>
  </si>
  <si>
    <t>赛特转债!</t>
  </si>
  <si>
    <t>章鼓转债!</t>
  </si>
  <si>
    <t>聚隆转债!</t>
  </si>
  <si>
    <t>武进转债!</t>
  </si>
  <si>
    <t>泰福转债!</t>
  </si>
  <si>
    <t>永吉转债!</t>
  </si>
  <si>
    <t>华设转债</t>
  </si>
  <si>
    <t>测绘转债</t>
  </si>
  <si>
    <t>优彩转债!</t>
  </si>
  <si>
    <t>奇正转债</t>
  </si>
  <si>
    <t>金钟转债!</t>
  </si>
  <si>
    <t>阳谷转债!</t>
  </si>
  <si>
    <t>信测转债!</t>
  </si>
  <si>
    <t>荣23转债!</t>
  </si>
  <si>
    <t>天源转债!</t>
  </si>
  <si>
    <t>盛航转债!</t>
  </si>
  <si>
    <t>豪美转债</t>
  </si>
  <si>
    <t>嘉泽转债!</t>
  </si>
  <si>
    <t>神通转债!</t>
  </si>
  <si>
    <t>中宠转2!</t>
  </si>
  <si>
    <t>镇洋转债!</t>
  </si>
  <si>
    <t>泰坦转债!</t>
  </si>
  <si>
    <t>东宝转债!</t>
  </si>
  <si>
    <t>宏微转债!</t>
  </si>
  <si>
    <t>特纸转债!</t>
  </si>
  <si>
    <t>珀莱转债</t>
  </si>
  <si>
    <t>中能转债!</t>
  </si>
  <si>
    <t>兴瑞转债</t>
  </si>
  <si>
    <t>博汇转债!</t>
  </si>
  <si>
    <t>微芯转债</t>
  </si>
  <si>
    <t>联诚转债</t>
  </si>
  <si>
    <t>凯盛转债!</t>
  </si>
  <si>
    <t>丽岛转债!</t>
  </si>
  <si>
    <t>立中转债</t>
  </si>
  <si>
    <t>恒锋转债!</t>
  </si>
  <si>
    <t>博实转债!</t>
  </si>
  <si>
    <t>星帅转2!</t>
  </si>
  <si>
    <t>光力转债!</t>
  </si>
  <si>
    <t>龙星转债!</t>
  </si>
  <si>
    <t>春23转债!</t>
  </si>
  <si>
    <t>三羊转债!</t>
  </si>
  <si>
    <t>宇邦转债</t>
  </si>
  <si>
    <t>润禾转债!</t>
  </si>
  <si>
    <t>胜蓝转债!</t>
  </si>
  <si>
    <t>山河转债</t>
  </si>
  <si>
    <t>楚天转债</t>
  </si>
  <si>
    <t>雅创转债!</t>
  </si>
  <si>
    <t>新化转债!</t>
  </si>
  <si>
    <t>明电转02!</t>
  </si>
  <si>
    <t>齐翔转2!</t>
  </si>
  <si>
    <t>新港转债!</t>
  </si>
  <si>
    <t>百川转2</t>
  </si>
  <si>
    <t>富仕转债!</t>
  </si>
  <si>
    <t>聚合转债!</t>
  </si>
  <si>
    <t>SH513170</t>
  </si>
  <si>
    <t>恒生央企ETF</t>
  </si>
  <si>
    <t>停牌</t>
  </si>
  <si>
    <t>SH560280</t>
  </si>
  <si>
    <t>工程机械ETF</t>
  </si>
  <si>
    <t>SH600436</t>
  </si>
  <si>
    <t>片仔癀</t>
  </si>
  <si>
    <t>SZ301387</t>
  </si>
  <si>
    <t>股票名称</t>
  </si>
  <si>
    <t>机械设备ETF</t>
  </si>
  <si>
    <t>更新时间:2024-06-14__07.22.01</t>
    <phoneticPr fontId="2" type="noConversion"/>
  </si>
  <si>
    <t>更新时间:2024-06-14__07.25.07</t>
    <phoneticPr fontId="2" type="noConversion"/>
  </si>
  <si>
    <t>更新时间:2024-06-14__07.26.48</t>
    <phoneticPr fontId="2" type="noConversion"/>
  </si>
  <si>
    <t>更新时间:2024-06-14__07.28.06</t>
    <phoneticPr fontId="2" type="noConversion"/>
  </si>
  <si>
    <t>目前持仓（截止到2024.6.15）</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</si>
</sst>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101">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15" fillId="2" borderId="0" xfId="4" applyNumberFormat="1" applyFont="1" applyFill="1" applyBorder="1" applyAlignment="1">
      <alignment horizontal="left" vertical="top" wrapText="1"/>
    </xf>
    <xf numFmtId="0" fontId="8" fillId="6" borderId="0" xfId="0" applyNumberFormat="1" applyFont="1" applyFill="1" applyBorder="1" applyAlignment="1">
      <alignment horizontal="left"/>
    </xf>
    <xf numFmtId="0" fontId="0" fillId="0" borderId="0" xfId="0" applyNumberFormat="1" applyBorder="1" applyAlignment="1">
      <alignment horizontal="left"/>
    </xf>
    <xf numFmtId="0" fontId="0" fillId="0" borderId="0" xfId="0" applyNumberFormat="1" applyAlignment="1">
      <alignment horizontal="left"/>
    </xf>
    <xf numFmtId="0" fontId="0" fillId="5" borderId="0" xfId="0" applyFill="1"/>
    <xf numFmtId="0" fontId="4" fillId="0" borderId="1" xfId="0" applyFont="1" applyBorder="1" applyAlignment="1">
      <alignment vertical="top" wrapText="1"/>
    </xf>
    <xf numFmtId="0" fontId="4" fillId="5" borderId="0" xfId="0" applyFont="1" applyFill="1" applyAlignment="1">
      <alignment vertical="top" wrapText="1"/>
    </xf>
    <xf numFmtId="0" fontId="0" fillId="0" borderId="0" xfId="0"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66675</xdr:colOff>
      <xdr:row>0</xdr:row>
      <xdr:rowOff>257175</xdr:rowOff>
    </xdr:from>
    <xdr:to>
      <xdr:col>19</xdr:col>
      <xdr:colOff>0</xdr:colOff>
      <xdr:row>37</xdr:row>
      <xdr:rowOff>42497</xdr:rowOff>
    </xdr:to>
    <xdr:pic>
      <xdr:nvPicPr>
        <xdr:cNvPr id="6" name="图片 5"/>
        <xdr:cNvPicPr>
          <a:picLocks noChangeAspect="1"/>
        </xdr:cNvPicPr>
      </xdr:nvPicPr>
      <xdr:blipFill>
        <a:blip xmlns:r="http://schemas.openxmlformats.org/officeDocument/2006/relationships" r:embed="rId1"/>
        <a:stretch>
          <a:fillRect/>
        </a:stretch>
      </xdr:blipFill>
      <xdr:spPr>
        <a:xfrm>
          <a:off x="7639050" y="257175"/>
          <a:ext cx="8943975" cy="6709997"/>
        </a:xfrm>
        <a:prstGeom prst="rect">
          <a:avLst/>
        </a:prstGeom>
      </xdr:spPr>
    </xdr:pic>
    <xdr:clientData/>
  </xdr:twoCellAnchor>
  <xdr:twoCellAnchor editAs="oneCell">
    <xdr:from>
      <xdr:col>0</xdr:col>
      <xdr:colOff>0</xdr:colOff>
      <xdr:row>4</xdr:row>
      <xdr:rowOff>0</xdr:rowOff>
    </xdr:from>
    <xdr:to>
      <xdr:col>1</xdr:col>
      <xdr:colOff>1047487</xdr:colOff>
      <xdr:row>21</xdr:row>
      <xdr:rowOff>37711</xdr:rowOff>
    </xdr:to>
    <xdr:pic>
      <xdr:nvPicPr>
        <xdr:cNvPr id="3" name="图片 2"/>
        <xdr:cNvPicPr>
          <a:picLocks noChangeAspect="1"/>
        </xdr:cNvPicPr>
      </xdr:nvPicPr>
      <xdr:blipFill>
        <a:blip xmlns:r="http://schemas.openxmlformats.org/officeDocument/2006/relationships" r:embed="rId2"/>
        <a:stretch>
          <a:fillRect/>
        </a:stretch>
      </xdr:blipFill>
      <xdr:spPr>
        <a:xfrm>
          <a:off x="0" y="952500"/>
          <a:ext cx="2104762" cy="3114286"/>
        </a:xfrm>
        <a:prstGeom prst="rect">
          <a:avLst/>
        </a:prstGeom>
      </xdr:spPr>
    </xdr:pic>
    <xdr:clientData/>
  </xdr:twoCellAnchor>
  <xdr:twoCellAnchor editAs="oneCell">
    <xdr:from>
      <xdr:col>0</xdr:col>
      <xdr:colOff>0</xdr:colOff>
      <xdr:row>23</xdr:row>
      <xdr:rowOff>9525</xdr:rowOff>
    </xdr:from>
    <xdr:to>
      <xdr:col>1</xdr:col>
      <xdr:colOff>552249</xdr:colOff>
      <xdr:row>28</xdr:row>
      <xdr:rowOff>180840</xdr:rowOff>
    </xdr:to>
    <xdr:pic>
      <xdr:nvPicPr>
        <xdr:cNvPr id="4" name="图片 3"/>
        <xdr:cNvPicPr>
          <a:picLocks noChangeAspect="1"/>
        </xdr:cNvPicPr>
      </xdr:nvPicPr>
      <xdr:blipFill>
        <a:blip xmlns:r="http://schemas.openxmlformats.org/officeDocument/2006/relationships" r:embed="rId3"/>
        <a:stretch>
          <a:fillRect/>
        </a:stretch>
      </xdr:blipFill>
      <xdr:spPr>
        <a:xfrm>
          <a:off x="0" y="4400550"/>
          <a:ext cx="1609524" cy="1076190"/>
        </a:xfrm>
        <a:prstGeom prst="rect">
          <a:avLst/>
        </a:prstGeom>
      </xdr:spPr>
    </xdr:pic>
    <xdr:clientData/>
  </xdr:twoCellAnchor>
  <xdr:twoCellAnchor editAs="oneCell">
    <xdr:from>
      <xdr:col>0</xdr:col>
      <xdr:colOff>0</xdr:colOff>
      <xdr:row>31</xdr:row>
      <xdr:rowOff>0</xdr:rowOff>
    </xdr:from>
    <xdr:to>
      <xdr:col>1</xdr:col>
      <xdr:colOff>514154</xdr:colOff>
      <xdr:row>38</xdr:row>
      <xdr:rowOff>18889</xdr:rowOff>
    </xdr:to>
    <xdr:pic>
      <xdr:nvPicPr>
        <xdr:cNvPr id="7" name="图片 6"/>
        <xdr:cNvPicPr>
          <a:picLocks noChangeAspect="1"/>
        </xdr:cNvPicPr>
      </xdr:nvPicPr>
      <xdr:blipFill>
        <a:blip xmlns:r="http://schemas.openxmlformats.org/officeDocument/2006/relationships" r:embed="rId4"/>
        <a:stretch>
          <a:fillRect/>
        </a:stretch>
      </xdr:blipFill>
      <xdr:spPr>
        <a:xfrm>
          <a:off x="0" y="5838825"/>
          <a:ext cx="1571429" cy="1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topLeftCell="A43" workbookViewId="0">
      <selection activeCell="E43" sqref="E43"/>
    </sheetView>
  </sheetViews>
  <sheetFormatPr defaultRowHeight="14.25" x14ac:dyDescent="0.15"/>
  <cols>
    <col min="1" max="16384" width="9" style="76"/>
  </cols>
  <sheetData>
    <row r="1" spans="1:10" x14ac:dyDescent="0.15">
      <c r="A1" s="99" t="s">
        <v>418</v>
      </c>
      <c r="B1" s="99"/>
      <c r="C1" s="99"/>
      <c r="D1" s="99"/>
      <c r="E1" s="99"/>
      <c r="F1" s="99"/>
    </row>
    <row r="2" spans="1:10" x14ac:dyDescent="0.15">
      <c r="A2" s="100" t="s">
        <v>419</v>
      </c>
      <c r="B2" s="100"/>
      <c r="C2" s="100"/>
      <c r="D2" s="100"/>
      <c r="E2" s="100"/>
      <c r="F2" s="100"/>
    </row>
    <row r="4" spans="1:10" x14ac:dyDescent="0.15">
      <c r="A4" s="77" t="s">
        <v>379</v>
      </c>
    </row>
    <row r="5" spans="1:10" s="79" customFormat="1" x14ac:dyDescent="0.15">
      <c r="A5" s="78" t="s">
        <v>885</v>
      </c>
      <c r="B5" s="78"/>
      <c r="C5" s="78"/>
      <c r="D5" s="78"/>
      <c r="E5" s="78"/>
      <c r="F5" s="78"/>
      <c r="G5" s="78"/>
      <c r="H5" s="78"/>
      <c r="I5" s="78"/>
      <c r="J5" s="78"/>
    </row>
    <row r="26" spans="1:1" s="77" customFormat="1" x14ac:dyDescent="0.15">
      <c r="A26" s="77" t="s">
        <v>384</v>
      </c>
    </row>
    <row r="27" spans="1:1" x14ac:dyDescent="0.15">
      <c r="A27" s="78" t="s">
        <v>915</v>
      </c>
    </row>
    <row r="28" spans="1:1" x14ac:dyDescent="0.15">
      <c r="A28" s="76" t="s">
        <v>916</v>
      </c>
    </row>
    <row r="29" spans="1:1" x14ac:dyDescent="0.15">
      <c r="A29" s="76" t="s">
        <v>917</v>
      </c>
    </row>
    <row r="30" spans="1:1" x14ac:dyDescent="0.15">
      <c r="A30" s="76" t="s">
        <v>918</v>
      </c>
    </row>
    <row r="31" spans="1:1" x14ac:dyDescent="0.15">
      <c r="A31" s="76" t="s">
        <v>919</v>
      </c>
    </row>
    <row r="32" spans="1:1" x14ac:dyDescent="0.15">
      <c r="A32" s="76" t="s">
        <v>920</v>
      </c>
    </row>
    <row r="34" spans="1:1" x14ac:dyDescent="0.15">
      <c r="A34" s="76" t="s">
        <v>385</v>
      </c>
    </row>
    <row r="35" spans="1:1" x14ac:dyDescent="0.15">
      <c r="A35" s="76" t="s">
        <v>386</v>
      </c>
    </row>
    <row r="36" spans="1:1" x14ac:dyDescent="0.15">
      <c r="A36" s="76" t="s">
        <v>921</v>
      </c>
    </row>
    <row r="37" spans="1:1" x14ac:dyDescent="0.15">
      <c r="A37" s="76" t="s">
        <v>922</v>
      </c>
    </row>
    <row r="38" spans="1:1" x14ac:dyDescent="0.15">
      <c r="A38" s="76" t="s">
        <v>923</v>
      </c>
    </row>
    <row r="40" spans="1:1" x14ac:dyDescent="0.15">
      <c r="A40" s="76" t="s">
        <v>642</v>
      </c>
    </row>
    <row r="41" spans="1:1" x14ac:dyDescent="0.15">
      <c r="A41" s="76" t="s">
        <v>644</v>
      </c>
    </row>
    <row r="43" spans="1:1" x14ac:dyDescent="0.15">
      <c r="A43" s="76" t="s">
        <v>643</v>
      </c>
    </row>
    <row r="44" spans="1:1" s="77" customFormat="1" x14ac:dyDescent="0.15"/>
    <row r="46" spans="1:1" s="77" customFormat="1" x14ac:dyDescent="0.15">
      <c r="A46" s="77" t="s">
        <v>387</v>
      </c>
    </row>
    <row r="47" spans="1:1" x14ac:dyDescent="0.15">
      <c r="A47" s="76" t="s">
        <v>633</v>
      </c>
    </row>
    <row r="48" spans="1:1" x14ac:dyDescent="0.15">
      <c r="A48" s="76" t="s">
        <v>380</v>
      </c>
    </row>
    <row r="49" spans="1:1" x14ac:dyDescent="0.15">
      <c r="A49" s="76" t="s">
        <v>620</v>
      </c>
    </row>
    <row r="50" spans="1:1" x14ac:dyDescent="0.15">
      <c r="A50" s="76" t="s">
        <v>388</v>
      </c>
    </row>
    <row r="52" spans="1:1" x14ac:dyDescent="0.15">
      <c r="A52" s="76" t="s">
        <v>389</v>
      </c>
    </row>
    <row r="54" spans="1:1" x14ac:dyDescent="0.15">
      <c r="A54" s="76" t="s">
        <v>621</v>
      </c>
    </row>
    <row r="56" spans="1:1" x14ac:dyDescent="0.15">
      <c r="A56" s="76" t="s">
        <v>390</v>
      </c>
    </row>
    <row r="57" spans="1:1" x14ac:dyDescent="0.15">
      <c r="A57" s="76" t="s">
        <v>381</v>
      </c>
    </row>
    <row r="60" spans="1:1" s="77" customFormat="1" x14ac:dyDescent="0.15">
      <c r="A60" s="77" t="s">
        <v>393</v>
      </c>
    </row>
    <row r="61" spans="1:1" x14ac:dyDescent="0.15">
      <c r="A61" s="76" t="s">
        <v>391</v>
      </c>
    </row>
    <row r="62" spans="1:1" x14ac:dyDescent="0.15">
      <c r="A62" s="76" t="s">
        <v>392</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1"/>
  <sheetViews>
    <sheetView tabSelected="1" workbookViewId="0">
      <selection activeCell="F6" sqref="F6"/>
    </sheetView>
  </sheetViews>
  <sheetFormatPr defaultRowHeight="14.25" x14ac:dyDescent="0.15"/>
  <cols>
    <col min="1" max="1" width="13.875" bestFit="1" customWidth="1"/>
    <col min="2" max="2" width="13.75" customWidth="1"/>
    <col min="3" max="3" width="11.25" customWidth="1"/>
    <col min="4" max="4" width="15" bestFit="1" customWidth="1"/>
    <col min="5" max="5" width="10.375" customWidth="1"/>
    <col min="6" max="6" width="17.125" customWidth="1"/>
    <col min="8" max="8" width="9" style="95" customWidth="1"/>
    <col min="9" max="9" width="28.25" customWidth="1"/>
  </cols>
  <sheetData>
    <row r="1" spans="1:9" s="18" customFormat="1" ht="32.25" customHeight="1" x14ac:dyDescent="0.15">
      <c r="A1" s="96" t="s">
        <v>928</v>
      </c>
      <c r="B1" s="96" t="s">
        <v>937</v>
      </c>
      <c r="C1" s="96" t="s">
        <v>929</v>
      </c>
      <c r="D1" s="96" t="s">
        <v>932</v>
      </c>
      <c r="E1" s="96" t="s">
        <v>933</v>
      </c>
      <c r="F1" s="96" t="s">
        <v>930</v>
      </c>
      <c r="H1" s="97"/>
      <c r="I1" s="98" t="s">
        <v>1079</v>
      </c>
    </row>
    <row r="2" spans="1:9" x14ac:dyDescent="0.15">
      <c r="A2" s="88" t="s">
        <v>931</v>
      </c>
      <c r="B2" s="89">
        <v>0.1</v>
      </c>
      <c r="C2" s="89">
        <v>0.2</v>
      </c>
      <c r="D2" s="89">
        <v>0.3</v>
      </c>
      <c r="E2" s="89">
        <v>0.3</v>
      </c>
      <c r="F2" s="89">
        <v>0.1</v>
      </c>
    </row>
    <row r="4" spans="1:9" x14ac:dyDescent="0.15">
      <c r="A4" s="90" t="s">
        <v>932</v>
      </c>
    </row>
    <row r="23" spans="1:1" x14ac:dyDescent="0.15">
      <c r="A23" s="90" t="s">
        <v>934</v>
      </c>
    </row>
    <row r="31" spans="1:1" x14ac:dyDescent="0.15">
      <c r="A31" s="90" t="s">
        <v>935</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149"/>
  <sheetViews>
    <sheetView workbookViewId="0">
      <pane ySplit="7" topLeftCell="A8" activePane="bottomLeft" state="frozen"/>
      <selection pane="bottomLeft" activeCell="J27" sqref="J27"/>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629</v>
      </c>
      <c r="D1" s="56" t="s">
        <v>630</v>
      </c>
      <c r="H1" s="56" t="s">
        <v>631</v>
      </c>
      <c r="I1" s="25"/>
      <c r="J1" s="25"/>
      <c r="L1" s="56" t="s">
        <v>632</v>
      </c>
      <c r="U1" s="25"/>
    </row>
    <row r="2" spans="1:24" x14ac:dyDescent="0.15">
      <c r="A2" s="26" t="s">
        <v>608</v>
      </c>
      <c r="B2" s="58"/>
      <c r="C2" s="58"/>
      <c r="D2" s="58">
        <v>200</v>
      </c>
      <c r="E2" s="59"/>
      <c r="F2" s="58"/>
      <c r="G2" s="58"/>
      <c r="H2" s="72">
        <v>0.5</v>
      </c>
      <c r="I2" s="58"/>
      <c r="J2" s="58"/>
      <c r="K2" s="60"/>
      <c r="L2" s="60">
        <v>11</v>
      </c>
      <c r="M2" s="60"/>
      <c r="N2" s="59"/>
      <c r="O2" s="59"/>
      <c r="P2" s="58"/>
      <c r="Q2" s="58"/>
      <c r="R2" s="58"/>
      <c r="S2" s="58"/>
      <c r="T2" s="58"/>
    </row>
    <row r="3" spans="1:24" x14ac:dyDescent="0.15">
      <c r="A3" s="26" t="s">
        <v>609</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610</v>
      </c>
      <c r="D4" s="56" t="s">
        <v>622</v>
      </c>
      <c r="H4" s="56" t="s">
        <v>622</v>
      </c>
      <c r="I4" s="25"/>
      <c r="J4" s="25"/>
      <c r="L4" s="56" t="s">
        <v>622</v>
      </c>
      <c r="U4" s="25"/>
    </row>
    <row r="5" spans="1:24" x14ac:dyDescent="0.15">
      <c r="A5" s="26" t="s">
        <v>612</v>
      </c>
      <c r="B5" s="64"/>
      <c r="C5" s="64"/>
      <c r="D5" s="58" t="s">
        <v>625</v>
      </c>
      <c r="E5" s="68"/>
      <c r="F5" s="64"/>
      <c r="G5" s="64"/>
      <c r="H5" s="74" t="s">
        <v>624</v>
      </c>
      <c r="I5" s="64"/>
      <c r="J5" s="64"/>
      <c r="K5" s="69"/>
      <c r="L5" s="69" t="s">
        <v>623</v>
      </c>
      <c r="M5" s="69"/>
      <c r="N5" s="68"/>
      <c r="O5" s="68"/>
      <c r="P5" s="64"/>
      <c r="Q5" s="64"/>
      <c r="R5" s="64"/>
      <c r="S5" s="64"/>
      <c r="T5" s="64"/>
    </row>
    <row r="6" spans="1:24" x14ac:dyDescent="0.15">
      <c r="A6" s="26" t="s">
        <v>611</v>
      </c>
      <c r="B6" s="66"/>
      <c r="C6" s="66"/>
      <c r="D6" s="66" t="s">
        <v>626</v>
      </c>
      <c r="E6" s="70"/>
      <c r="F6" s="66"/>
      <c r="G6" s="66"/>
      <c r="H6" s="75" t="s">
        <v>627</v>
      </c>
      <c r="I6" s="66"/>
      <c r="J6" s="66"/>
      <c r="K6" s="71"/>
      <c r="L6" s="71" t="s">
        <v>628</v>
      </c>
      <c r="M6" s="71"/>
      <c r="N6" s="70"/>
      <c r="O6" s="70"/>
      <c r="P6" s="66"/>
      <c r="Q6" s="66"/>
      <c r="R6" s="66"/>
      <c r="S6" s="66"/>
      <c r="T6" s="66"/>
    </row>
    <row r="7" spans="1:24" s="52" customFormat="1" ht="36" customHeight="1" x14ac:dyDescent="0.15">
      <c r="A7" s="50"/>
      <c r="B7" s="47" t="s">
        <v>357</v>
      </c>
      <c r="C7" s="47" t="s">
        <v>358</v>
      </c>
      <c r="D7" s="48" t="s">
        <v>356</v>
      </c>
      <c r="E7" s="51" t="s">
        <v>365</v>
      </c>
      <c r="F7" s="52" t="s">
        <v>366</v>
      </c>
      <c r="G7" s="52" t="s">
        <v>367</v>
      </c>
      <c r="H7" s="52" t="s">
        <v>29</v>
      </c>
      <c r="I7" s="52" t="s">
        <v>359</v>
      </c>
      <c r="J7" s="52" t="s">
        <v>368</v>
      </c>
      <c r="K7" s="53" t="s">
        <v>369</v>
      </c>
      <c r="L7" s="54" t="s">
        <v>360</v>
      </c>
      <c r="M7" s="48" t="s">
        <v>370</v>
      </c>
      <c r="N7" s="49" t="s">
        <v>371</v>
      </c>
      <c r="O7" s="55" t="s">
        <v>372</v>
      </c>
      <c r="P7" s="48" t="s">
        <v>373</v>
      </c>
      <c r="Q7" s="48" t="s">
        <v>374</v>
      </c>
      <c r="R7" s="51" t="s">
        <v>375</v>
      </c>
      <c r="S7" s="51" t="s">
        <v>615</v>
      </c>
      <c r="T7" s="51" t="s">
        <v>616</v>
      </c>
    </row>
    <row r="8" spans="1:24" x14ac:dyDescent="0.15">
      <c r="A8" s="26">
        <v>1</v>
      </c>
      <c r="B8" s="25">
        <v>123106</v>
      </c>
      <c r="C8" s="25" t="s">
        <v>993</v>
      </c>
      <c r="D8" s="25">
        <v>300.00099999999998</v>
      </c>
      <c r="E8" s="34">
        <v>0</v>
      </c>
      <c r="F8" s="25">
        <v>7.4</v>
      </c>
      <c r="G8" s="25">
        <v>368.38</v>
      </c>
      <c r="H8" s="43">
        <v>-0.18559999999999999</v>
      </c>
      <c r="I8" s="57">
        <v>281.44099999999997</v>
      </c>
      <c r="J8" s="32">
        <v>46470</v>
      </c>
      <c r="K8" s="33">
        <v>2.7730000000000001</v>
      </c>
      <c r="L8" s="33">
        <v>1.1771E-2</v>
      </c>
      <c r="M8" s="33">
        <v>0</v>
      </c>
      <c r="N8" s="34">
        <v>0</v>
      </c>
      <c r="O8" s="34">
        <v>-0.27639800000000003</v>
      </c>
      <c r="R8" s="34" t="s">
        <v>1067</v>
      </c>
    </row>
    <row r="9" spans="1:24" x14ac:dyDescent="0.15">
      <c r="A9" s="26">
        <v>2</v>
      </c>
      <c r="B9" s="25">
        <v>118019</v>
      </c>
      <c r="C9" s="25" t="s">
        <v>949</v>
      </c>
      <c r="D9" s="25">
        <v>161.59899999999999</v>
      </c>
      <c r="E9" s="34" t="s">
        <v>1067</v>
      </c>
      <c r="F9" s="25">
        <v>34.369999999999997</v>
      </c>
      <c r="G9" s="25">
        <v>180.39</v>
      </c>
      <c r="H9" s="43">
        <v>-0.1042</v>
      </c>
      <c r="I9" s="57">
        <v>151.179</v>
      </c>
      <c r="J9" s="32">
        <v>47012</v>
      </c>
      <c r="K9" s="33">
        <v>4.3040000000000003</v>
      </c>
      <c r="L9" s="33">
        <v>6.0350000000000001E-2</v>
      </c>
      <c r="M9" s="33">
        <v>0</v>
      </c>
      <c r="N9" s="34">
        <v>0</v>
      </c>
      <c r="O9" s="34">
        <v>-7.7667E-2</v>
      </c>
      <c r="R9" s="34" t="s">
        <v>1067</v>
      </c>
      <c r="W9" s="27"/>
      <c r="X9" s="27"/>
    </row>
    <row r="10" spans="1:24" x14ac:dyDescent="0.15">
      <c r="A10" s="26">
        <v>3</v>
      </c>
      <c r="B10" s="25">
        <v>123044</v>
      </c>
      <c r="C10" s="25" t="s">
        <v>1009</v>
      </c>
      <c r="D10" s="25">
        <v>130.65</v>
      </c>
      <c r="E10" s="34">
        <v>-2.3E-2</v>
      </c>
      <c r="F10" s="25">
        <v>3.7</v>
      </c>
      <c r="G10" s="25">
        <v>131.35</v>
      </c>
      <c r="H10" s="43">
        <v>-5.3E-3</v>
      </c>
      <c r="I10" s="57">
        <v>130.12</v>
      </c>
      <c r="J10" s="32">
        <v>46093</v>
      </c>
      <c r="K10" s="33">
        <v>1.74</v>
      </c>
      <c r="L10" s="33">
        <v>4.011279</v>
      </c>
      <c r="M10" s="33">
        <v>5315.2513693999999</v>
      </c>
      <c r="N10" s="34">
        <v>0.101421849062957</v>
      </c>
      <c r="O10" s="34">
        <v>-4.3674999999999999E-2</v>
      </c>
      <c r="P10" s="25">
        <v>134.13200000000001</v>
      </c>
      <c r="Q10" s="25">
        <v>130.11000000000001</v>
      </c>
      <c r="R10" s="34">
        <v>3.0912304972715327E-2</v>
      </c>
      <c r="W10" s="27"/>
      <c r="X10" s="27"/>
    </row>
    <row r="11" spans="1:24" x14ac:dyDescent="0.15">
      <c r="A11" s="26">
        <v>4</v>
      </c>
      <c r="B11" s="25">
        <v>128123</v>
      </c>
      <c r="C11" s="25" t="s">
        <v>966</v>
      </c>
      <c r="D11" s="25">
        <v>143</v>
      </c>
      <c r="E11" s="34">
        <v>-1.37E-2</v>
      </c>
      <c r="F11" s="25">
        <v>12.31</v>
      </c>
      <c r="G11" s="25">
        <v>143.69999999999999</v>
      </c>
      <c r="H11" s="43">
        <v>-4.8999999999999998E-3</v>
      </c>
      <c r="I11" s="57">
        <v>142.51</v>
      </c>
      <c r="J11" s="32">
        <v>46230</v>
      </c>
      <c r="K11" s="33">
        <v>2.1150000000000002</v>
      </c>
      <c r="L11" s="33">
        <v>2.8745590000000001</v>
      </c>
      <c r="M11" s="33">
        <v>11045.322630000001</v>
      </c>
      <c r="N11" s="34">
        <v>0.26870215010931553</v>
      </c>
      <c r="O11" s="34">
        <v>-0.10355399999999999</v>
      </c>
      <c r="P11" s="25">
        <v>146.70500000000001</v>
      </c>
      <c r="Q11" s="25">
        <v>142.21299999999999</v>
      </c>
      <c r="R11" s="34">
        <v>3.1586423182128349E-2</v>
      </c>
      <c r="W11" s="27"/>
      <c r="X11" s="27"/>
    </row>
    <row r="12" spans="1:24" x14ac:dyDescent="0.15">
      <c r="A12" s="26">
        <v>5</v>
      </c>
      <c r="B12" s="25">
        <v>110077</v>
      </c>
      <c r="C12" s="25" t="s">
        <v>992</v>
      </c>
      <c r="D12" s="25">
        <v>211.93100000000001</v>
      </c>
      <c r="E12" s="34">
        <v>-1.61E-2</v>
      </c>
      <c r="F12" s="25">
        <v>5.78</v>
      </c>
      <c r="G12" s="25">
        <v>210.21</v>
      </c>
      <c r="H12" s="43">
        <v>8.199999999999999E-3</v>
      </c>
      <c r="I12" s="57">
        <v>212.751</v>
      </c>
      <c r="J12" s="32">
        <v>46346</v>
      </c>
      <c r="K12" s="33">
        <v>2.4329999999999998</v>
      </c>
      <c r="L12" s="33">
        <v>9.6290200000000006</v>
      </c>
      <c r="M12" s="33">
        <v>9471.8192999999992</v>
      </c>
      <c r="N12" s="34">
        <v>4.6414836827991926E-2</v>
      </c>
      <c r="O12" s="34">
        <v>-0.23143</v>
      </c>
      <c r="P12" s="25">
        <v>216.767</v>
      </c>
      <c r="Q12" s="25">
        <v>210.3</v>
      </c>
      <c r="R12" s="34">
        <v>3.0751307655729834E-2</v>
      </c>
      <c r="W12" s="25" t="s">
        <v>1076</v>
      </c>
    </row>
    <row r="13" spans="1:24" x14ac:dyDescent="0.15">
      <c r="A13" s="26">
        <v>6</v>
      </c>
      <c r="B13" s="25">
        <v>113027</v>
      </c>
      <c r="C13" s="25" t="s">
        <v>998</v>
      </c>
      <c r="D13" s="25">
        <v>203.399</v>
      </c>
      <c r="E13" s="34">
        <v>0</v>
      </c>
      <c r="F13" s="25">
        <v>7.26</v>
      </c>
      <c r="G13" s="25">
        <v>200.96</v>
      </c>
      <c r="H13" s="43">
        <v>1.21E-2</v>
      </c>
      <c r="I13" s="57">
        <v>204.60900000000001</v>
      </c>
      <c r="J13" s="32">
        <v>45822</v>
      </c>
      <c r="K13" s="33">
        <v>1</v>
      </c>
      <c r="L13" s="33">
        <v>1.162E-2</v>
      </c>
      <c r="M13" s="33">
        <v>0</v>
      </c>
      <c r="N13" s="34">
        <v>0</v>
      </c>
      <c r="O13" s="34">
        <v>-0.45344999999999996</v>
      </c>
      <c r="R13" s="34" t="s">
        <v>1067</v>
      </c>
    </row>
    <row r="14" spans="1:24" x14ac:dyDescent="0.15">
      <c r="A14" s="26">
        <v>7</v>
      </c>
      <c r="B14" s="25">
        <v>123127</v>
      </c>
      <c r="C14" s="25" t="s">
        <v>964</v>
      </c>
      <c r="D14" s="25">
        <v>156.30000000000001</v>
      </c>
      <c r="E14" s="34">
        <v>-1.26E-2</v>
      </c>
      <c r="F14" s="25">
        <v>17.34</v>
      </c>
      <c r="G14" s="25">
        <v>153.11000000000001</v>
      </c>
      <c r="H14" s="43">
        <v>2.0799999999999999E-2</v>
      </c>
      <c r="I14" s="57">
        <v>158.38000000000002</v>
      </c>
      <c r="J14" s="32">
        <v>46689</v>
      </c>
      <c r="K14" s="33">
        <v>3.3730000000000002</v>
      </c>
      <c r="L14" s="33">
        <v>2.8521670000000001</v>
      </c>
      <c r="M14" s="33">
        <v>6648.1913079999995</v>
      </c>
      <c r="N14" s="34">
        <v>0.14913156638782399</v>
      </c>
      <c r="O14" s="34">
        <v>-8.8247999999999993E-2</v>
      </c>
      <c r="P14" s="25">
        <v>159.30000000000001</v>
      </c>
      <c r="Q14" s="25">
        <v>155.80000000000001</v>
      </c>
      <c r="R14" s="34">
        <v>2.2464698331193838E-2</v>
      </c>
    </row>
    <row r="15" spans="1:24" x14ac:dyDescent="0.15">
      <c r="A15" s="26">
        <v>8</v>
      </c>
      <c r="B15" s="25">
        <v>123223</v>
      </c>
      <c r="C15" s="25" t="s">
        <v>994</v>
      </c>
      <c r="D15" s="25">
        <v>175.81299999999999</v>
      </c>
      <c r="E15" s="34">
        <v>-1.5100000000000001E-2</v>
      </c>
      <c r="F15" s="25">
        <v>15.33</v>
      </c>
      <c r="G15" s="25">
        <v>170.84</v>
      </c>
      <c r="H15" s="43">
        <v>2.9100000000000001E-2</v>
      </c>
      <c r="I15" s="57">
        <v>178.72299999999998</v>
      </c>
      <c r="J15" s="32">
        <v>47376</v>
      </c>
      <c r="K15" s="33">
        <v>5.2549999999999999</v>
      </c>
      <c r="L15" s="33">
        <v>3.5360019999999994</v>
      </c>
      <c r="M15" s="33">
        <v>5958.9444685999997</v>
      </c>
      <c r="N15" s="34">
        <v>9.585303127757315E-2</v>
      </c>
      <c r="O15" s="34">
        <v>-7.3071999999999998E-2</v>
      </c>
      <c r="P15" s="25">
        <v>179.25</v>
      </c>
      <c r="Q15" s="25">
        <v>174.54400000000001</v>
      </c>
      <c r="R15" s="34">
        <v>2.6961683014025052E-2</v>
      </c>
    </row>
    <row r="16" spans="1:24" x14ac:dyDescent="0.15">
      <c r="A16" s="26">
        <v>9</v>
      </c>
      <c r="B16" s="25">
        <v>118046</v>
      </c>
      <c r="C16" s="25" t="s">
        <v>973</v>
      </c>
      <c r="D16" s="25">
        <v>152.14500000000001</v>
      </c>
      <c r="E16" s="34">
        <v>6.8000000000000005E-3</v>
      </c>
      <c r="F16" s="25">
        <v>42.73</v>
      </c>
      <c r="G16" s="25">
        <v>147.41</v>
      </c>
      <c r="H16" s="43">
        <v>3.2099999999999997E-2</v>
      </c>
      <c r="I16" s="57">
        <v>155.35500000000002</v>
      </c>
      <c r="J16" s="32">
        <v>47467</v>
      </c>
      <c r="K16" s="33">
        <v>5.5039999999999996</v>
      </c>
      <c r="L16" s="33">
        <v>4.34</v>
      </c>
      <c r="M16" s="33">
        <v>9449.8299000000006</v>
      </c>
      <c r="N16" s="34">
        <v>0.14311217334058449</v>
      </c>
      <c r="O16" s="34">
        <v>-4.2930999999999997E-2</v>
      </c>
      <c r="P16" s="25">
        <v>154.99</v>
      </c>
      <c r="Q16" s="25">
        <v>150.315</v>
      </c>
      <c r="R16" s="34">
        <v>3.1101353823637105E-2</v>
      </c>
    </row>
    <row r="17" spans="1:18" x14ac:dyDescent="0.15">
      <c r="A17" s="26">
        <v>10</v>
      </c>
      <c r="B17" s="25">
        <v>123201</v>
      </c>
      <c r="C17" s="25" t="s">
        <v>892</v>
      </c>
      <c r="D17" s="25">
        <v>134</v>
      </c>
      <c r="E17" s="34">
        <v>-8.5299999999999987E-2</v>
      </c>
      <c r="F17" s="25">
        <v>21.25</v>
      </c>
      <c r="G17" s="25">
        <v>128.94</v>
      </c>
      <c r="H17" s="43">
        <v>3.9199999999999999E-2</v>
      </c>
      <c r="I17" s="57">
        <v>137.91999999999999</v>
      </c>
      <c r="J17" s="32">
        <v>47296</v>
      </c>
      <c r="K17" s="33">
        <v>5.0359999999999996</v>
      </c>
      <c r="L17" s="33">
        <v>3.4951050000000001</v>
      </c>
      <c r="M17" s="33">
        <v>399851.57184990001</v>
      </c>
      <c r="N17" s="34">
        <v>8.537560256712549</v>
      </c>
      <c r="O17" s="34">
        <v>-1.9695000000000001E-2</v>
      </c>
      <c r="P17" s="25">
        <v>165.27699999999999</v>
      </c>
      <c r="Q17" s="25">
        <v>133.80000000000001</v>
      </c>
      <c r="R17" s="34">
        <v>0.23525411061285481</v>
      </c>
    </row>
    <row r="18" spans="1:18" x14ac:dyDescent="0.15">
      <c r="A18" s="26">
        <v>11</v>
      </c>
      <c r="B18" s="25">
        <v>127092</v>
      </c>
      <c r="C18" s="25" t="s">
        <v>942</v>
      </c>
      <c r="D18" s="25">
        <v>164.3</v>
      </c>
      <c r="E18" s="34">
        <v>-1.6000000000000001E-3</v>
      </c>
      <c r="F18" s="25">
        <v>17.420000000000002</v>
      </c>
      <c r="G18" s="25">
        <v>157.29</v>
      </c>
      <c r="H18" s="43">
        <v>4.4600000000000001E-2</v>
      </c>
      <c r="I18" s="57">
        <v>168.76000000000002</v>
      </c>
      <c r="J18" s="32">
        <v>47382</v>
      </c>
      <c r="K18" s="33">
        <v>5.2709999999999999</v>
      </c>
      <c r="L18" s="33">
        <v>7.299112</v>
      </c>
      <c r="M18" s="33">
        <v>12088.6654913</v>
      </c>
      <c r="N18" s="34">
        <v>0.10080237605648106</v>
      </c>
      <c r="O18" s="34">
        <v>-5.7058999999999999E-2</v>
      </c>
      <c r="P18" s="25">
        <v>165.499</v>
      </c>
      <c r="Q18" s="25">
        <v>160.13300000000001</v>
      </c>
      <c r="R18" s="34">
        <v>3.3509645107504295E-2</v>
      </c>
    </row>
    <row r="19" spans="1:18" x14ac:dyDescent="0.15">
      <c r="A19" s="26">
        <v>12</v>
      </c>
      <c r="B19" s="25">
        <v>127014</v>
      </c>
      <c r="C19" s="25" t="s">
        <v>890</v>
      </c>
      <c r="D19" s="25">
        <v>153</v>
      </c>
      <c r="E19" s="34">
        <v>-1.29E-2</v>
      </c>
      <c r="F19" s="25">
        <v>7.74</v>
      </c>
      <c r="G19" s="25">
        <v>145.87</v>
      </c>
      <c r="H19" s="43">
        <v>4.8899999999999999E-2</v>
      </c>
      <c r="I19" s="57">
        <v>157.88999999999999</v>
      </c>
      <c r="J19" s="32">
        <v>45954</v>
      </c>
      <c r="K19" s="33">
        <v>1.359</v>
      </c>
      <c r="L19" s="33">
        <v>5.3004920000000002</v>
      </c>
      <c r="M19" s="33">
        <v>4434.7248360000003</v>
      </c>
      <c r="N19" s="34">
        <v>5.4683847550489321E-2</v>
      </c>
      <c r="O19" s="34">
        <v>-0.20773800000000001</v>
      </c>
      <c r="P19" s="25">
        <v>155.399</v>
      </c>
      <c r="Q19" s="25">
        <v>152.958</v>
      </c>
      <c r="R19" s="34">
        <v>1.5958629166176352E-2</v>
      </c>
    </row>
    <row r="20" spans="1:18" x14ac:dyDescent="0.15">
      <c r="A20" s="26">
        <v>13</v>
      </c>
      <c r="B20" s="25">
        <v>123191</v>
      </c>
      <c r="C20" s="25" t="s">
        <v>974</v>
      </c>
      <c r="D20" s="25">
        <v>126.9</v>
      </c>
      <c r="E20" s="34">
        <v>1.9E-3</v>
      </c>
      <c r="F20" s="25">
        <v>9.35</v>
      </c>
      <c r="G20" s="25">
        <v>120.75</v>
      </c>
      <c r="H20" s="43">
        <v>5.0900000000000001E-2</v>
      </c>
      <c r="I20" s="57">
        <v>131.99</v>
      </c>
      <c r="J20" s="32">
        <v>47218</v>
      </c>
      <c r="K20" s="33">
        <v>4.8220000000000001</v>
      </c>
      <c r="L20" s="33">
        <v>6.9919589999999996</v>
      </c>
      <c r="M20" s="33">
        <v>26502.987708000001</v>
      </c>
      <c r="N20" s="34">
        <v>0.29869939300557374</v>
      </c>
      <c r="O20" s="34">
        <v>-1.8175E-2</v>
      </c>
      <c r="P20" s="25">
        <v>127.212</v>
      </c>
      <c r="Q20" s="25">
        <v>124.4</v>
      </c>
      <c r="R20" s="34">
        <v>2.2604501607717022E-2</v>
      </c>
    </row>
    <row r="21" spans="1:18" x14ac:dyDescent="0.15">
      <c r="A21" s="26">
        <v>14</v>
      </c>
      <c r="B21" s="25">
        <v>127037</v>
      </c>
      <c r="C21" s="25" t="s">
        <v>637</v>
      </c>
      <c r="D21" s="25">
        <v>186.19399999999999</v>
      </c>
      <c r="E21" s="34">
        <v>2.8000000000000004E-3</v>
      </c>
      <c r="F21" s="25">
        <v>10.51</v>
      </c>
      <c r="G21" s="25">
        <v>176.4</v>
      </c>
      <c r="H21" s="43">
        <v>5.5500000000000001E-2</v>
      </c>
      <c r="I21" s="57">
        <v>191.744</v>
      </c>
      <c r="J21" s="32">
        <v>46545</v>
      </c>
      <c r="K21" s="33">
        <v>2.9780000000000002</v>
      </c>
      <c r="L21" s="33">
        <v>5.071593</v>
      </c>
      <c r="M21" s="33">
        <v>11196.997887000001</v>
      </c>
      <c r="N21" s="34">
        <v>0.1185745596649129</v>
      </c>
      <c r="O21" s="34">
        <v>-0.15528400000000001</v>
      </c>
      <c r="P21" s="25">
        <v>188.18700000000001</v>
      </c>
      <c r="Q21" s="25">
        <v>183</v>
      </c>
      <c r="R21" s="34">
        <v>2.834426229508203E-2</v>
      </c>
    </row>
    <row r="22" spans="1:18" x14ac:dyDescent="0.15">
      <c r="A22" s="26">
        <v>15</v>
      </c>
      <c r="B22" s="25">
        <v>113546</v>
      </c>
      <c r="C22" s="25" t="s">
        <v>40</v>
      </c>
      <c r="D22" s="25">
        <v>137.72200000000001</v>
      </c>
      <c r="E22" s="34">
        <v>4.2000000000000003E-2</v>
      </c>
      <c r="F22" s="25">
        <v>11.93</v>
      </c>
      <c r="G22" s="25">
        <v>129.25</v>
      </c>
      <c r="H22" s="43">
        <v>6.5500000000000003E-2</v>
      </c>
      <c r="I22" s="57">
        <v>144.27200000000002</v>
      </c>
      <c r="J22" s="32">
        <v>45953</v>
      </c>
      <c r="K22" s="33">
        <v>1.3560000000000001</v>
      </c>
      <c r="L22" s="33">
        <v>2.29501</v>
      </c>
      <c r="M22" s="33">
        <v>130183.90609999999</v>
      </c>
      <c r="N22" s="34">
        <v>4.1187875854591267</v>
      </c>
      <c r="O22" s="34">
        <v>-0.114352</v>
      </c>
      <c r="P22" s="25">
        <v>140.1</v>
      </c>
      <c r="Q22" s="25">
        <v>131.55000000000001</v>
      </c>
      <c r="R22" s="34">
        <v>6.4994298745723919E-2</v>
      </c>
    </row>
    <row r="23" spans="1:18" x14ac:dyDescent="0.15">
      <c r="A23" s="26">
        <v>16</v>
      </c>
      <c r="B23" s="25">
        <v>113648</v>
      </c>
      <c r="C23" s="25" t="s">
        <v>958</v>
      </c>
      <c r="D23" s="25">
        <v>139.33600000000001</v>
      </c>
      <c r="E23" s="34">
        <v>-2.2400000000000003E-2</v>
      </c>
      <c r="F23" s="25">
        <v>25.21</v>
      </c>
      <c r="G23" s="25">
        <v>129.83000000000001</v>
      </c>
      <c r="H23" s="43">
        <v>7.3200000000000001E-2</v>
      </c>
      <c r="I23" s="57">
        <v>146.65600000000001</v>
      </c>
      <c r="J23" s="32">
        <v>46868</v>
      </c>
      <c r="K23" s="33">
        <v>3.863</v>
      </c>
      <c r="L23" s="33">
        <v>8.9978300000000004</v>
      </c>
      <c r="M23" s="33">
        <v>11485.361999999999</v>
      </c>
      <c r="N23" s="34">
        <v>9.1610143954588705E-2</v>
      </c>
      <c r="O23" s="34">
        <v>-4.4142000000000001E-2</v>
      </c>
      <c r="P23" s="25">
        <v>142.614</v>
      </c>
      <c r="Q23" s="25">
        <v>137.90600000000001</v>
      </c>
      <c r="R23" s="34">
        <v>3.4139196264121922E-2</v>
      </c>
    </row>
    <row r="24" spans="1:18" x14ac:dyDescent="0.15">
      <c r="A24" s="26">
        <v>17</v>
      </c>
      <c r="B24" s="25">
        <v>111017</v>
      </c>
      <c r="C24" s="25" t="s">
        <v>996</v>
      </c>
      <c r="D24" s="25">
        <v>151.84200000000001</v>
      </c>
      <c r="E24" s="34">
        <v>-2.3300000000000001E-2</v>
      </c>
      <c r="F24" s="25">
        <v>9.2799999999999994</v>
      </c>
      <c r="G24" s="25">
        <v>140.52000000000001</v>
      </c>
      <c r="H24" s="43">
        <v>8.0600000000000005E-2</v>
      </c>
      <c r="I24" s="57">
        <v>159.90200000000002</v>
      </c>
      <c r="J24" s="32">
        <v>47345</v>
      </c>
      <c r="K24" s="33">
        <v>5.17</v>
      </c>
      <c r="L24" s="33">
        <v>8.6962399999999995</v>
      </c>
      <c r="M24" s="33">
        <v>5854.9440000000004</v>
      </c>
      <c r="N24" s="34">
        <v>4.4340370038727116E-2</v>
      </c>
      <c r="O24" s="34">
        <v>-5.3060999999999997E-2</v>
      </c>
      <c r="P24" s="25">
        <v>156.24199999999999</v>
      </c>
      <c r="Q24" s="25">
        <v>150.10499999999999</v>
      </c>
      <c r="R24" s="34">
        <v>4.0884714033509885E-2</v>
      </c>
    </row>
    <row r="25" spans="1:18" x14ac:dyDescent="0.15">
      <c r="A25" s="26">
        <v>18</v>
      </c>
      <c r="B25" s="25">
        <v>123203</v>
      </c>
      <c r="C25" s="25" t="s">
        <v>1059</v>
      </c>
      <c r="D25" s="25">
        <v>128.02799999999999</v>
      </c>
      <c r="E25" s="34">
        <v>-2.2700000000000001E-2</v>
      </c>
      <c r="F25" s="25">
        <v>11.89</v>
      </c>
      <c r="G25" s="25">
        <v>116.9</v>
      </c>
      <c r="H25" s="43">
        <v>9.5199999999999993E-2</v>
      </c>
      <c r="I25" s="57">
        <v>137.548</v>
      </c>
      <c r="J25" s="32">
        <v>47302</v>
      </c>
      <c r="K25" s="33">
        <v>5.0519999999999996</v>
      </c>
      <c r="L25" s="33">
        <v>4.4834230000000002</v>
      </c>
      <c r="M25" s="33">
        <v>16758.795242699998</v>
      </c>
      <c r="N25" s="34">
        <v>0.29196320217415023</v>
      </c>
      <c r="O25" s="34">
        <v>-7.554E-3</v>
      </c>
      <c r="P25" s="25">
        <v>131.80000000000001</v>
      </c>
      <c r="Q25" s="25">
        <v>127.5</v>
      </c>
      <c r="R25" s="34">
        <v>3.3725490196078518E-2</v>
      </c>
    </row>
    <row r="26" spans="1:18" x14ac:dyDescent="0.15">
      <c r="A26" s="26">
        <v>19</v>
      </c>
      <c r="B26" s="25">
        <v>128106</v>
      </c>
      <c r="C26" s="25" t="s">
        <v>967</v>
      </c>
      <c r="D26" s="25">
        <v>237.90799999999999</v>
      </c>
      <c r="E26" s="34">
        <v>-6.2E-2</v>
      </c>
      <c r="F26" s="25">
        <v>8.82</v>
      </c>
      <c r="G26" s="25">
        <v>216.67</v>
      </c>
      <c r="H26" s="43">
        <v>9.8000000000000004E-2</v>
      </c>
      <c r="I26" s="57">
        <v>247.708</v>
      </c>
      <c r="J26" s="32">
        <v>46122</v>
      </c>
      <c r="K26" s="33">
        <v>1.819</v>
      </c>
      <c r="L26" s="33">
        <v>2.4223150000000002</v>
      </c>
      <c r="M26" s="33">
        <v>18645.457430999999</v>
      </c>
      <c r="N26" s="34">
        <v>0.32354402043575209</v>
      </c>
      <c r="O26" s="34">
        <v>-0.347889</v>
      </c>
      <c r="P26" s="25">
        <v>253.8</v>
      </c>
      <c r="Q26" s="25">
        <v>236.58</v>
      </c>
      <c r="R26" s="34">
        <v>7.2787217854425559E-2</v>
      </c>
    </row>
    <row r="27" spans="1:18" x14ac:dyDescent="0.15">
      <c r="A27" s="26">
        <v>20</v>
      </c>
      <c r="B27" s="25">
        <v>111015</v>
      </c>
      <c r="C27" s="25" t="s">
        <v>894</v>
      </c>
      <c r="D27" s="25">
        <v>117.786</v>
      </c>
      <c r="E27" s="34">
        <v>1.4000000000000002E-3</v>
      </c>
      <c r="F27" s="25">
        <v>20.6</v>
      </c>
      <c r="G27" s="25">
        <v>107.04</v>
      </c>
      <c r="H27" s="43">
        <v>0.10039999999999999</v>
      </c>
      <c r="I27" s="57">
        <v>127.82599999999999</v>
      </c>
      <c r="J27" s="32">
        <v>47305</v>
      </c>
      <c r="K27" s="33">
        <v>5.0599999999999996</v>
      </c>
      <c r="L27" s="33">
        <v>6.6623999999999999</v>
      </c>
      <c r="M27" s="33">
        <v>6633.4966000000004</v>
      </c>
      <c r="N27" s="34">
        <v>8.4531414047224446E-2</v>
      </c>
      <c r="O27" s="34">
        <v>3.5790000000000001E-3</v>
      </c>
      <c r="P27" s="25">
        <v>118.027</v>
      </c>
      <c r="Q27" s="25">
        <v>116.52</v>
      </c>
      <c r="R27" s="34">
        <v>1.2933401991074537E-2</v>
      </c>
    </row>
    <row r="28" spans="1:18" x14ac:dyDescent="0.15">
      <c r="A28" s="26">
        <v>21</v>
      </c>
      <c r="B28" s="25">
        <v>128087</v>
      </c>
      <c r="C28" s="25" t="s">
        <v>42</v>
      </c>
      <c r="D28" s="25">
        <v>116.452</v>
      </c>
      <c r="E28" s="34">
        <v>-1.24E-2</v>
      </c>
      <c r="F28" s="25">
        <v>4.03</v>
      </c>
      <c r="G28" s="25">
        <v>105.71</v>
      </c>
      <c r="H28" s="43">
        <v>0.1016</v>
      </c>
      <c r="I28" s="57">
        <v>126.61199999999999</v>
      </c>
      <c r="J28" s="32">
        <v>46008</v>
      </c>
      <c r="K28" s="33">
        <v>1.5069999999999999</v>
      </c>
      <c r="L28" s="33">
        <v>6.4426889999999997</v>
      </c>
      <c r="M28" s="33">
        <v>1595.99496</v>
      </c>
      <c r="N28" s="34">
        <v>2.1272444348547914E-2</v>
      </c>
      <c r="O28" s="34">
        <v>-3.8616999999999999E-2</v>
      </c>
      <c r="P28" s="25">
        <v>118.098</v>
      </c>
      <c r="Q28" s="25">
        <v>116.28</v>
      </c>
      <c r="R28" s="34">
        <v>1.5634674922600601E-2</v>
      </c>
    </row>
    <row r="29" spans="1:18" x14ac:dyDescent="0.15">
      <c r="A29" s="26">
        <v>22</v>
      </c>
      <c r="B29" s="25">
        <v>113631</v>
      </c>
      <c r="C29" s="25" t="s">
        <v>951</v>
      </c>
      <c r="D29" s="25">
        <v>128.24199999999999</v>
      </c>
      <c r="E29" s="34">
        <v>-5.1999999999999998E-3</v>
      </c>
      <c r="F29" s="25">
        <v>7.56</v>
      </c>
      <c r="G29" s="25">
        <v>116.4</v>
      </c>
      <c r="H29" s="43">
        <v>0.1017</v>
      </c>
      <c r="I29" s="57">
        <v>138.41199999999998</v>
      </c>
      <c r="J29" s="32">
        <v>46699</v>
      </c>
      <c r="K29" s="33">
        <v>3.4</v>
      </c>
      <c r="L29" s="33">
        <v>9.2962299999999995</v>
      </c>
      <c r="M29" s="33">
        <v>2438.8755000000001</v>
      </c>
      <c r="N29" s="34">
        <v>2.04574966329348E-2</v>
      </c>
      <c r="O29" s="34">
        <v>-3.4816E-2</v>
      </c>
      <c r="P29" s="25">
        <v>129.29499999999999</v>
      </c>
      <c r="Q29" s="25">
        <v>127.75</v>
      </c>
      <c r="R29" s="34">
        <v>1.2093933463796379E-2</v>
      </c>
    </row>
    <row r="30" spans="1:18" x14ac:dyDescent="0.15">
      <c r="A30" s="26">
        <v>23</v>
      </c>
      <c r="B30" s="25">
        <v>123213</v>
      </c>
      <c r="C30" s="25" t="s">
        <v>1025</v>
      </c>
      <c r="D30" s="25">
        <v>125.523</v>
      </c>
      <c r="E30" s="34">
        <v>-1.03E-2</v>
      </c>
      <c r="F30" s="25">
        <v>10.3</v>
      </c>
      <c r="G30" s="25">
        <v>113.4</v>
      </c>
      <c r="H30" s="43">
        <v>0.1069</v>
      </c>
      <c r="I30" s="57">
        <v>136.21299999999999</v>
      </c>
      <c r="J30" s="32">
        <v>47327</v>
      </c>
      <c r="K30" s="33">
        <v>5.1210000000000004</v>
      </c>
      <c r="L30" s="33">
        <v>9.9997799999999994</v>
      </c>
      <c r="M30" s="33">
        <v>3362.6524724000001</v>
      </c>
      <c r="N30" s="34">
        <v>2.6789723416281896E-2</v>
      </c>
      <c r="O30" s="34">
        <v>-1.3388000000000001E-2</v>
      </c>
      <c r="P30" s="25">
        <v>127.35</v>
      </c>
      <c r="Q30" s="25">
        <v>125.214</v>
      </c>
      <c r="R30" s="34">
        <v>1.7058795342373822E-2</v>
      </c>
    </row>
    <row r="31" spans="1:18" x14ac:dyDescent="0.15">
      <c r="A31" s="26">
        <v>24</v>
      </c>
      <c r="B31" s="25">
        <v>111011</v>
      </c>
      <c r="C31" s="25" t="s">
        <v>1002</v>
      </c>
      <c r="D31" s="25">
        <v>139.001</v>
      </c>
      <c r="E31" s="34">
        <v>-8.8000000000000005E-3</v>
      </c>
      <c r="F31" s="25">
        <v>17.61</v>
      </c>
      <c r="G31" s="25">
        <v>124.93</v>
      </c>
      <c r="H31" s="43">
        <v>0.11259999999999999</v>
      </c>
      <c r="I31" s="57">
        <v>150.261</v>
      </c>
      <c r="J31" s="32">
        <v>47121</v>
      </c>
      <c r="K31" s="33">
        <v>4.556</v>
      </c>
      <c r="L31" s="33">
        <v>4.0325800000000003</v>
      </c>
      <c r="M31" s="33">
        <v>1869.9096</v>
      </c>
      <c r="N31" s="34">
        <v>3.3359512445764676E-2</v>
      </c>
      <c r="O31" s="34">
        <v>-3.2772000000000003E-2</v>
      </c>
      <c r="P31" s="25">
        <v>140.80000000000001</v>
      </c>
      <c r="Q31" s="25">
        <v>138.06100000000001</v>
      </c>
      <c r="R31" s="34">
        <v>1.983905664887263E-2</v>
      </c>
    </row>
    <row r="32" spans="1:18" x14ac:dyDescent="0.15">
      <c r="A32" s="26">
        <v>25</v>
      </c>
      <c r="B32" s="25">
        <v>123205</v>
      </c>
      <c r="C32" s="25" t="s">
        <v>1004</v>
      </c>
      <c r="D32" s="25">
        <v>131.292</v>
      </c>
      <c r="E32" s="34">
        <v>1.3000000000000001E-2</v>
      </c>
      <c r="F32" s="25">
        <v>11.19</v>
      </c>
      <c r="G32" s="25">
        <v>116.26</v>
      </c>
      <c r="H32" s="43">
        <v>0.1293</v>
      </c>
      <c r="I32" s="57">
        <v>144.22200000000001</v>
      </c>
      <c r="J32" s="32">
        <v>47316</v>
      </c>
      <c r="K32" s="33">
        <v>5.09</v>
      </c>
      <c r="L32" s="33">
        <v>4.0439749999999997</v>
      </c>
      <c r="M32" s="33">
        <v>23201.840868300002</v>
      </c>
      <c r="N32" s="34">
        <v>0.43699424507686468</v>
      </c>
      <c r="O32" s="34">
        <v>-1.9939999999999999E-2</v>
      </c>
      <c r="P32" s="25">
        <v>134.29499999999999</v>
      </c>
      <c r="Q32" s="25">
        <v>128.46</v>
      </c>
      <c r="R32" s="34">
        <v>4.5422699673049814E-2</v>
      </c>
    </row>
    <row r="33" spans="1:18" x14ac:dyDescent="0.15">
      <c r="A33" s="26">
        <v>26</v>
      </c>
      <c r="B33" s="25">
        <v>110074</v>
      </c>
      <c r="C33" s="25" t="s">
        <v>1008</v>
      </c>
      <c r="D33" s="25">
        <v>135.38800000000001</v>
      </c>
      <c r="E33" s="34">
        <v>1.1999999999999999E-3</v>
      </c>
      <c r="F33" s="25">
        <v>3.44</v>
      </c>
      <c r="G33" s="25">
        <v>119.77</v>
      </c>
      <c r="H33" s="43">
        <v>0.13039999999999999</v>
      </c>
      <c r="I33" s="57">
        <v>148.428</v>
      </c>
      <c r="J33" s="32">
        <v>46253</v>
      </c>
      <c r="K33" s="33">
        <v>2.1779999999999999</v>
      </c>
      <c r="L33" s="33">
        <v>5.0761500000000002</v>
      </c>
      <c r="M33" s="33">
        <v>2583.2903000000001</v>
      </c>
      <c r="N33" s="34">
        <v>3.758881143775885E-2</v>
      </c>
      <c r="O33" s="34">
        <v>-7.2251999999999997E-2</v>
      </c>
      <c r="P33" s="25">
        <v>135.83000000000001</v>
      </c>
      <c r="Q33" s="25">
        <v>134.21</v>
      </c>
      <c r="R33" s="34">
        <v>1.207063557111992E-2</v>
      </c>
    </row>
    <row r="34" spans="1:18" x14ac:dyDescent="0.15">
      <c r="A34" s="26">
        <v>27</v>
      </c>
      <c r="B34" s="25">
        <v>123143</v>
      </c>
      <c r="C34" s="25" t="s">
        <v>1054</v>
      </c>
      <c r="D34" s="25">
        <v>137.83799999999999</v>
      </c>
      <c r="E34" s="34">
        <v>-1.9599999999999999E-2</v>
      </c>
      <c r="F34" s="25">
        <v>23.27</v>
      </c>
      <c r="G34" s="25">
        <v>121.49</v>
      </c>
      <c r="H34" s="43">
        <v>0.1346</v>
      </c>
      <c r="I34" s="57">
        <v>151.298</v>
      </c>
      <c r="J34" s="32">
        <v>46843</v>
      </c>
      <c r="K34" s="33">
        <v>3.7949999999999999</v>
      </c>
      <c r="L34" s="33">
        <v>2.6896019999999998</v>
      </c>
      <c r="M34" s="33">
        <v>97314.661196500005</v>
      </c>
      <c r="N34" s="34">
        <v>2.6249515568864661</v>
      </c>
      <c r="O34" s="34">
        <v>-4.4070999999999999E-2</v>
      </c>
      <c r="P34" s="25">
        <v>142.852</v>
      </c>
      <c r="Q34" s="25">
        <v>136.5</v>
      </c>
      <c r="R34" s="34">
        <v>4.6534798534798562E-2</v>
      </c>
    </row>
    <row r="35" spans="1:18" x14ac:dyDescent="0.15">
      <c r="A35" s="26">
        <v>28</v>
      </c>
      <c r="B35" s="25">
        <v>127075</v>
      </c>
      <c r="C35" s="25" t="s">
        <v>1062</v>
      </c>
      <c r="D35" s="25">
        <v>115.69199999999999</v>
      </c>
      <c r="E35" s="34">
        <v>-2.3700000000000002E-2</v>
      </c>
      <c r="F35" s="25">
        <v>10.31</v>
      </c>
      <c r="G35" s="25">
        <v>101.75</v>
      </c>
      <c r="H35" s="43">
        <v>0.13699999999999998</v>
      </c>
      <c r="I35" s="57">
        <v>129.392</v>
      </c>
      <c r="J35" s="32">
        <v>47045</v>
      </c>
      <c r="K35" s="33">
        <v>4.3479999999999999</v>
      </c>
      <c r="L35" s="33">
        <v>9.6692460000000011</v>
      </c>
      <c r="M35" s="33">
        <v>45219.998791699996</v>
      </c>
      <c r="N35" s="34">
        <v>0.40423564649576504</v>
      </c>
      <c r="O35" s="34">
        <v>1.0199E-2</v>
      </c>
      <c r="P35" s="25">
        <v>119.3</v>
      </c>
      <c r="Q35" s="25">
        <v>115.4</v>
      </c>
      <c r="R35" s="34">
        <v>3.3795493934142037E-2</v>
      </c>
    </row>
    <row r="36" spans="1:18" x14ac:dyDescent="0.15">
      <c r="A36" s="26">
        <v>29</v>
      </c>
      <c r="B36" s="25">
        <v>118021</v>
      </c>
      <c r="C36" s="25" t="s">
        <v>962</v>
      </c>
      <c r="D36" s="25">
        <v>154.255</v>
      </c>
      <c r="E36" s="34">
        <v>-6.0999999999999995E-3</v>
      </c>
      <c r="F36" s="25">
        <v>10.68</v>
      </c>
      <c r="G36" s="25">
        <v>135.66999999999999</v>
      </c>
      <c r="H36" s="43">
        <v>0.13699999999999998</v>
      </c>
      <c r="I36" s="57">
        <v>167.95499999999998</v>
      </c>
      <c r="J36" s="32">
        <v>47023</v>
      </c>
      <c r="K36" s="33">
        <v>4.2880000000000003</v>
      </c>
      <c r="L36" s="33">
        <v>2.5010400000000002</v>
      </c>
      <c r="M36" s="33">
        <v>17284.7713</v>
      </c>
      <c r="N36" s="34">
        <v>0.44802654889964666</v>
      </c>
      <c r="O36" s="34">
        <v>-6.2380999999999999E-2</v>
      </c>
      <c r="P36" s="25">
        <v>156.20500000000001</v>
      </c>
      <c r="Q36" s="25">
        <v>153</v>
      </c>
      <c r="R36" s="34">
        <v>2.0947712418300735E-2</v>
      </c>
    </row>
    <row r="37" spans="1:18" x14ac:dyDescent="0.15">
      <c r="A37" s="26">
        <v>30</v>
      </c>
      <c r="B37" s="25">
        <v>123192</v>
      </c>
      <c r="C37" s="25" t="s">
        <v>995</v>
      </c>
      <c r="D37" s="25">
        <v>165.27500000000001</v>
      </c>
      <c r="E37" s="34">
        <v>-2.53E-2</v>
      </c>
      <c r="F37" s="25">
        <v>25.27</v>
      </c>
      <c r="G37" s="25">
        <v>145.15</v>
      </c>
      <c r="H37" s="43">
        <v>0.1386</v>
      </c>
      <c r="I37" s="57">
        <v>179.13499999999999</v>
      </c>
      <c r="J37" s="32">
        <v>47221</v>
      </c>
      <c r="K37" s="33">
        <v>4.83</v>
      </c>
      <c r="L37" s="33">
        <v>7.2385849999999996</v>
      </c>
      <c r="M37" s="33">
        <v>6577.3343568</v>
      </c>
      <c r="N37" s="34">
        <v>5.4978017513051598E-2</v>
      </c>
      <c r="O37" s="34">
        <v>-6.5095E-2</v>
      </c>
      <c r="P37" s="25">
        <v>169.96899999999999</v>
      </c>
      <c r="Q37" s="25">
        <v>163.80000000000001</v>
      </c>
      <c r="R37" s="34">
        <v>3.7661782661782557E-2</v>
      </c>
    </row>
    <row r="38" spans="1:18" x14ac:dyDescent="0.15">
      <c r="A38" s="26">
        <v>31</v>
      </c>
      <c r="B38" s="25">
        <v>113672</v>
      </c>
      <c r="C38" s="25" t="s">
        <v>1006</v>
      </c>
      <c r="D38" s="25">
        <v>137.12899999999999</v>
      </c>
      <c r="E38" s="34">
        <v>2E-3</v>
      </c>
      <c r="F38" s="25">
        <v>12.25</v>
      </c>
      <c r="G38" s="25">
        <v>120.33</v>
      </c>
      <c r="H38" s="43">
        <v>0.1396</v>
      </c>
      <c r="I38" s="57">
        <v>151.089</v>
      </c>
      <c r="J38" s="32">
        <v>47317</v>
      </c>
      <c r="K38" s="33">
        <v>5.093</v>
      </c>
      <c r="L38" s="33">
        <v>6.3849299999999998</v>
      </c>
      <c r="M38" s="33">
        <v>42845.060799999999</v>
      </c>
      <c r="N38" s="34">
        <v>0.48934517915742803</v>
      </c>
      <c r="O38" s="34">
        <v>-3.7789999999999997E-2</v>
      </c>
      <c r="P38" s="25">
        <v>139.6</v>
      </c>
      <c r="Q38" s="25">
        <v>136.85</v>
      </c>
      <c r="R38" s="34">
        <v>2.0094994519546949E-2</v>
      </c>
    </row>
    <row r="39" spans="1:18" x14ac:dyDescent="0.15">
      <c r="A39" s="26">
        <v>32</v>
      </c>
      <c r="B39" s="25">
        <v>127095</v>
      </c>
      <c r="C39" s="25" t="s">
        <v>999</v>
      </c>
      <c r="D39" s="25">
        <v>132.84899999999999</v>
      </c>
      <c r="E39" s="34">
        <v>-3.5999999999999999E-3</v>
      </c>
      <c r="F39" s="25">
        <v>9.4</v>
      </c>
      <c r="G39" s="25">
        <v>115.64</v>
      </c>
      <c r="H39" s="43">
        <v>0.14880000000000002</v>
      </c>
      <c r="I39" s="57">
        <v>147.72899999999998</v>
      </c>
      <c r="J39" s="32">
        <v>47409</v>
      </c>
      <c r="K39" s="33">
        <v>5.3449999999999998</v>
      </c>
      <c r="L39" s="33">
        <v>6.9927970000000004</v>
      </c>
      <c r="M39" s="33">
        <v>2300.4996209999999</v>
      </c>
      <c r="N39" s="34">
        <v>2.4763552964885086E-2</v>
      </c>
      <c r="O39" s="34">
        <v>-1.9285E-2</v>
      </c>
      <c r="P39" s="25">
        <v>133.779</v>
      </c>
      <c r="Q39" s="25">
        <v>131.429</v>
      </c>
      <c r="R39" s="34">
        <v>1.7880376477033184E-2</v>
      </c>
    </row>
    <row r="40" spans="1:18" x14ac:dyDescent="0.15">
      <c r="A40" s="26">
        <v>33</v>
      </c>
      <c r="B40" s="25">
        <v>123184</v>
      </c>
      <c r="C40" s="25" t="s">
        <v>947</v>
      </c>
      <c r="D40" s="25">
        <v>123.2</v>
      </c>
      <c r="E40" s="34">
        <v>-3.2000000000000002E-3</v>
      </c>
      <c r="F40" s="25">
        <v>11.83</v>
      </c>
      <c r="G40" s="25">
        <v>107.02</v>
      </c>
      <c r="H40" s="43">
        <v>0.1512</v>
      </c>
      <c r="I40" s="57">
        <v>138.32</v>
      </c>
      <c r="J40" s="32">
        <v>47200</v>
      </c>
      <c r="K40" s="33">
        <v>4.7729999999999997</v>
      </c>
      <c r="L40" s="33">
        <v>9.7494750000000003</v>
      </c>
      <c r="M40" s="33">
        <v>1961.0332114</v>
      </c>
      <c r="N40" s="34">
        <v>1.6326496929588249E-2</v>
      </c>
      <c r="O40" s="34">
        <v>-5.5859999999999998E-3</v>
      </c>
      <c r="P40" s="25">
        <v>123.88500000000001</v>
      </c>
      <c r="Q40" s="25">
        <v>122.63</v>
      </c>
      <c r="R40" s="34">
        <v>1.0234037348120442E-2</v>
      </c>
    </row>
    <row r="41" spans="1:18" x14ac:dyDescent="0.15">
      <c r="A41" s="26">
        <v>34</v>
      </c>
      <c r="B41" s="25">
        <v>123222</v>
      </c>
      <c r="C41" s="25" t="s">
        <v>943</v>
      </c>
      <c r="D41" s="25">
        <v>131.30000000000001</v>
      </c>
      <c r="E41" s="34">
        <v>-4.7999999999999996E-3</v>
      </c>
      <c r="F41" s="25">
        <v>16.7</v>
      </c>
      <c r="G41" s="25">
        <v>113.35</v>
      </c>
      <c r="H41" s="43">
        <v>0.15839999999999999</v>
      </c>
      <c r="I41" s="57">
        <v>147.14000000000001</v>
      </c>
      <c r="J41" s="32">
        <v>47369</v>
      </c>
      <c r="K41" s="33">
        <v>5.2359999999999998</v>
      </c>
      <c r="L41" s="33">
        <v>4.9987690000000002</v>
      </c>
      <c r="M41" s="33">
        <v>2443.8883704999998</v>
      </c>
      <c r="N41" s="34">
        <v>3.7235189702790883E-2</v>
      </c>
      <c r="O41" s="34">
        <v>-1.7469999999999999E-2</v>
      </c>
      <c r="P41" s="25">
        <v>132.482</v>
      </c>
      <c r="Q41" s="25">
        <v>131.01</v>
      </c>
      <c r="R41" s="34">
        <v>1.1235783527975029E-2</v>
      </c>
    </row>
    <row r="42" spans="1:18" x14ac:dyDescent="0.15">
      <c r="A42" s="26">
        <v>35</v>
      </c>
      <c r="B42" s="25">
        <v>123209</v>
      </c>
      <c r="C42" s="25" t="s">
        <v>1013</v>
      </c>
      <c r="D42" s="25">
        <v>133.5</v>
      </c>
      <c r="E42" s="34">
        <v>-1.32E-2</v>
      </c>
      <c r="F42" s="25">
        <v>18.27</v>
      </c>
      <c r="G42" s="25">
        <v>115.22</v>
      </c>
      <c r="H42" s="43">
        <v>0.15869999999999998</v>
      </c>
      <c r="I42" s="57">
        <v>149.37</v>
      </c>
      <c r="J42" s="32">
        <v>47325</v>
      </c>
      <c r="K42" s="33">
        <v>5.1150000000000002</v>
      </c>
      <c r="L42" s="33">
        <v>2.1513990000000005</v>
      </c>
      <c r="M42" s="33">
        <v>18087.541002399998</v>
      </c>
      <c r="N42" s="34">
        <v>0.62976323090161401</v>
      </c>
      <c r="O42" s="34">
        <v>-2.2972000000000003E-2</v>
      </c>
      <c r="P42" s="25">
        <v>136.1</v>
      </c>
      <c r="Q42" s="25">
        <v>133.01</v>
      </c>
      <c r="R42" s="34">
        <v>2.3231335989775233E-2</v>
      </c>
    </row>
    <row r="43" spans="1:18" x14ac:dyDescent="0.15">
      <c r="A43" s="26">
        <v>36</v>
      </c>
      <c r="B43" s="25">
        <v>123188</v>
      </c>
      <c r="C43" s="25" t="s">
        <v>997</v>
      </c>
      <c r="D43" s="25">
        <v>140.01499999999999</v>
      </c>
      <c r="E43" s="34">
        <v>-6.6E-3</v>
      </c>
      <c r="F43" s="25">
        <v>13.63</v>
      </c>
      <c r="G43" s="25">
        <v>120.25</v>
      </c>
      <c r="H43" s="43">
        <v>0.16440000000000002</v>
      </c>
      <c r="I43" s="57">
        <v>156.45499999999998</v>
      </c>
      <c r="J43" s="32">
        <v>47212</v>
      </c>
      <c r="K43" s="33">
        <v>4.8049999999999997</v>
      </c>
      <c r="L43" s="33">
        <v>6.948963</v>
      </c>
      <c r="M43" s="33">
        <v>2245.6764556000003</v>
      </c>
      <c r="N43" s="34">
        <v>2.3080893747178192E-2</v>
      </c>
      <c r="O43" s="34">
        <v>-3.0331999999999998E-2</v>
      </c>
      <c r="P43" s="25">
        <v>141.495</v>
      </c>
      <c r="Q43" s="25">
        <v>139.30000000000001</v>
      </c>
      <c r="R43" s="34">
        <v>1.5757358219669726E-2</v>
      </c>
    </row>
    <row r="44" spans="1:18" x14ac:dyDescent="0.15">
      <c r="A44" s="26">
        <v>37</v>
      </c>
      <c r="B44" s="25">
        <v>123204</v>
      </c>
      <c r="C44" s="25" t="s">
        <v>895</v>
      </c>
      <c r="D44" s="25">
        <v>122.577</v>
      </c>
      <c r="E44" s="34">
        <v>-1.06E-2</v>
      </c>
      <c r="F44" s="25">
        <v>14.98</v>
      </c>
      <c r="G44" s="25">
        <v>104.61</v>
      </c>
      <c r="H44" s="43">
        <v>0.17180000000000001</v>
      </c>
      <c r="I44" s="57">
        <v>139.75700000000001</v>
      </c>
      <c r="J44" s="32">
        <v>47312</v>
      </c>
      <c r="K44" s="33">
        <v>5.0789999999999997</v>
      </c>
      <c r="L44" s="33">
        <v>6.1658109999999997</v>
      </c>
      <c r="M44" s="33">
        <v>3802.4382105999998</v>
      </c>
      <c r="N44" s="34">
        <v>5.0311002277628969E-2</v>
      </c>
      <c r="O44" s="34">
        <v>-4.4069999999999995E-3</v>
      </c>
      <c r="P44" s="25">
        <v>124.2</v>
      </c>
      <c r="Q44" s="25">
        <v>122.02</v>
      </c>
      <c r="R44" s="34">
        <v>1.7865923619078895E-2</v>
      </c>
    </row>
    <row r="45" spans="1:18" x14ac:dyDescent="0.15">
      <c r="A45" s="26">
        <v>38</v>
      </c>
      <c r="B45" s="25">
        <v>123092</v>
      </c>
      <c r="C45" s="25" t="s">
        <v>891</v>
      </c>
      <c r="D45" s="25">
        <v>127.15</v>
      </c>
      <c r="E45" s="34">
        <v>6.0999999999999995E-3</v>
      </c>
      <c r="F45" s="25">
        <v>5.04</v>
      </c>
      <c r="G45" s="25">
        <v>108.33</v>
      </c>
      <c r="H45" s="43">
        <v>0.17370000000000002</v>
      </c>
      <c r="I45" s="57">
        <v>144.52000000000001</v>
      </c>
      <c r="J45" s="32">
        <v>46380</v>
      </c>
      <c r="K45" s="33">
        <v>2.5259999999999998</v>
      </c>
      <c r="L45" s="33">
        <v>3.9874019999999994</v>
      </c>
      <c r="M45" s="33">
        <v>3290.004602</v>
      </c>
      <c r="N45" s="34">
        <v>6.4891844461457349E-2</v>
      </c>
      <c r="O45" s="34">
        <v>-2.5703999999999998E-2</v>
      </c>
      <c r="P45" s="25">
        <v>127.233</v>
      </c>
      <c r="Q45" s="25">
        <v>125.114</v>
      </c>
      <c r="R45" s="34">
        <v>1.6936553862877055E-2</v>
      </c>
    </row>
    <row r="46" spans="1:18" x14ac:dyDescent="0.15">
      <c r="A46" s="26">
        <v>39</v>
      </c>
      <c r="B46" s="25">
        <v>128128</v>
      </c>
      <c r="C46" s="25" t="s">
        <v>1060</v>
      </c>
      <c r="D46" s="25">
        <v>125.902</v>
      </c>
      <c r="E46" s="34">
        <v>-4.6999999999999993E-3</v>
      </c>
      <c r="F46" s="25">
        <v>5.46</v>
      </c>
      <c r="G46" s="25">
        <v>106.41</v>
      </c>
      <c r="H46" s="43">
        <v>0.1832</v>
      </c>
      <c r="I46" s="57">
        <v>144.22200000000001</v>
      </c>
      <c r="J46" s="32">
        <v>46254</v>
      </c>
      <c r="K46" s="33">
        <v>2.181</v>
      </c>
      <c r="L46" s="33">
        <v>6.7943759999999997</v>
      </c>
      <c r="M46" s="33">
        <v>33989.252143699996</v>
      </c>
      <c r="N46" s="34">
        <v>0.39733736093733002</v>
      </c>
      <c r="O46" s="34">
        <v>-4.7653000000000001E-2</v>
      </c>
      <c r="P46" s="25">
        <v>127.9</v>
      </c>
      <c r="Q46" s="25">
        <v>125.526</v>
      </c>
      <c r="R46" s="34">
        <v>1.8912416551152826E-2</v>
      </c>
    </row>
    <row r="47" spans="1:18" x14ac:dyDescent="0.15">
      <c r="A47" s="26">
        <v>40</v>
      </c>
      <c r="B47" s="25">
        <v>113651</v>
      </c>
      <c r="C47" s="25" t="s">
        <v>619</v>
      </c>
      <c r="D47" s="25">
        <v>129.32499999999999</v>
      </c>
      <c r="E47" s="34">
        <v>3.9000000000000003E-3</v>
      </c>
      <c r="F47" s="25">
        <v>15.94</v>
      </c>
      <c r="G47" s="25">
        <v>109.16</v>
      </c>
      <c r="H47" s="43">
        <v>0.18469999999999998</v>
      </c>
      <c r="I47" s="57">
        <v>147.79499999999999</v>
      </c>
      <c r="J47" s="32">
        <v>46954</v>
      </c>
      <c r="K47" s="33">
        <v>4.0990000000000002</v>
      </c>
      <c r="L47" s="33">
        <v>6.0994000000000002</v>
      </c>
      <c r="M47" s="33">
        <v>3413.9537999999998</v>
      </c>
      <c r="N47" s="34">
        <v>4.328007823430053E-2</v>
      </c>
      <c r="O47" s="34">
        <v>-2.5022000000000003E-2</v>
      </c>
      <c r="P47" s="25">
        <v>129.53700000000001</v>
      </c>
      <c r="Q47" s="25">
        <v>127.508</v>
      </c>
      <c r="R47" s="34">
        <v>1.591272704457768E-2</v>
      </c>
    </row>
    <row r="48" spans="1:18" x14ac:dyDescent="0.15">
      <c r="A48" s="26">
        <v>41</v>
      </c>
      <c r="B48" s="25">
        <v>123221</v>
      </c>
      <c r="C48" s="25" t="s">
        <v>910</v>
      </c>
      <c r="D48" s="25">
        <v>131.94900000000001</v>
      </c>
      <c r="E48" s="34">
        <v>1.9E-3</v>
      </c>
      <c r="F48" s="25">
        <v>14.3</v>
      </c>
      <c r="G48" s="25">
        <v>111.33</v>
      </c>
      <c r="H48" s="43">
        <v>0.1852</v>
      </c>
      <c r="I48" s="57">
        <v>150.46900000000002</v>
      </c>
      <c r="J48" s="32">
        <v>47353</v>
      </c>
      <c r="K48" s="33">
        <v>5.1920000000000002</v>
      </c>
      <c r="L48" s="33">
        <v>4.9941829999999996</v>
      </c>
      <c r="M48" s="33">
        <v>2341.9002780000001</v>
      </c>
      <c r="N48" s="34">
        <v>3.5538397687537096E-2</v>
      </c>
      <c r="O48" s="34">
        <v>-2.9780000000000001E-2</v>
      </c>
      <c r="P48" s="25">
        <v>132.23099999999999</v>
      </c>
      <c r="Q48" s="25">
        <v>130.1</v>
      </c>
      <c r="R48" s="34">
        <v>1.6379707916986935E-2</v>
      </c>
    </row>
    <row r="49" spans="1:18" x14ac:dyDescent="0.15">
      <c r="A49" s="26">
        <v>42</v>
      </c>
      <c r="B49" s="25">
        <v>123194</v>
      </c>
      <c r="C49" s="25" t="s">
        <v>946</v>
      </c>
      <c r="D49" s="25">
        <v>133.05199999999999</v>
      </c>
      <c r="E49" s="34">
        <v>-6.7000000000000002E-3</v>
      </c>
      <c r="F49" s="25">
        <v>26.12</v>
      </c>
      <c r="G49" s="25">
        <v>112.14</v>
      </c>
      <c r="H49" s="43">
        <v>0.1865</v>
      </c>
      <c r="I49" s="57">
        <v>151.702</v>
      </c>
      <c r="J49" s="32">
        <v>47222</v>
      </c>
      <c r="K49" s="33">
        <v>4.8330000000000002</v>
      </c>
      <c r="L49" s="33">
        <v>8.4619619999999998</v>
      </c>
      <c r="M49" s="33">
        <v>3338.4354069999999</v>
      </c>
      <c r="N49" s="34">
        <v>2.9651761614366647E-2</v>
      </c>
      <c r="O49" s="34">
        <v>-2.4941000000000001E-2</v>
      </c>
      <c r="P49" s="25">
        <v>134.24799999999999</v>
      </c>
      <c r="Q49" s="25">
        <v>132.251</v>
      </c>
      <c r="R49" s="34">
        <v>1.5100074857656923E-2</v>
      </c>
    </row>
    <row r="50" spans="1:18" x14ac:dyDescent="0.15">
      <c r="A50" s="26">
        <v>43</v>
      </c>
      <c r="B50" s="25">
        <v>123219</v>
      </c>
      <c r="C50" s="25" t="s">
        <v>911</v>
      </c>
      <c r="D50" s="25">
        <v>126.462</v>
      </c>
      <c r="E50" s="34">
        <v>-7.1999999999999998E-3</v>
      </c>
      <c r="F50" s="25">
        <v>12.5</v>
      </c>
      <c r="G50" s="25">
        <v>106.48</v>
      </c>
      <c r="H50" s="43">
        <v>0.18770000000000001</v>
      </c>
      <c r="I50" s="57">
        <v>145.232</v>
      </c>
      <c r="J50" s="32">
        <v>47341</v>
      </c>
      <c r="K50" s="33">
        <v>5.1589999999999998</v>
      </c>
      <c r="L50" s="33">
        <v>5.9998149999999999</v>
      </c>
      <c r="M50" s="33">
        <v>2793.0302914999997</v>
      </c>
      <c r="N50" s="34">
        <v>3.6811010588021012E-2</v>
      </c>
      <c r="O50" s="34">
        <v>-1.2271000000000001E-2</v>
      </c>
      <c r="P50" s="25">
        <v>127.99299999999999</v>
      </c>
      <c r="Q50" s="25">
        <v>125.8</v>
      </c>
      <c r="R50" s="34">
        <v>1.7432432432432414E-2</v>
      </c>
    </row>
    <row r="51" spans="1:18" x14ac:dyDescent="0.15">
      <c r="A51" s="26">
        <v>44</v>
      </c>
      <c r="B51" s="25">
        <v>123229</v>
      </c>
      <c r="C51" s="25" t="s">
        <v>1003</v>
      </c>
      <c r="D51" s="25">
        <v>122.22199999999999</v>
      </c>
      <c r="E51" s="34">
        <v>2E-3</v>
      </c>
      <c r="F51" s="25">
        <v>10.1</v>
      </c>
      <c r="G51" s="25">
        <v>102.28</v>
      </c>
      <c r="H51" s="43">
        <v>0.19500000000000001</v>
      </c>
      <c r="I51" s="57">
        <v>141.72199999999998</v>
      </c>
      <c r="J51" s="32">
        <v>47414</v>
      </c>
      <c r="K51" s="33">
        <v>5.359</v>
      </c>
      <c r="L51" s="33">
        <v>4.9996200000000002</v>
      </c>
      <c r="M51" s="33">
        <v>1050.1549439999999</v>
      </c>
      <c r="N51" s="34">
        <v>1.7185690985941974E-2</v>
      </c>
      <c r="O51" s="34">
        <v>-1.7530000000000002E-3</v>
      </c>
      <c r="P51" s="25">
        <v>122.74299999999999</v>
      </c>
      <c r="Q51" s="25">
        <v>121.26</v>
      </c>
      <c r="R51" s="34">
        <v>1.2229919181923057E-2</v>
      </c>
    </row>
    <row r="52" spans="1:18" x14ac:dyDescent="0.15">
      <c r="A52" s="26">
        <v>45</v>
      </c>
      <c r="B52" s="25">
        <v>113634</v>
      </c>
      <c r="C52" s="25" t="s">
        <v>1036</v>
      </c>
      <c r="D52" s="25">
        <v>132.62</v>
      </c>
      <c r="E52" s="34">
        <v>-5.6999999999999993E-3</v>
      </c>
      <c r="F52" s="25">
        <v>98.25</v>
      </c>
      <c r="G52" s="25">
        <v>110.41</v>
      </c>
      <c r="H52" s="43">
        <v>0.20120000000000002</v>
      </c>
      <c r="I52" s="57">
        <v>152.74</v>
      </c>
      <c r="J52" s="32">
        <v>46729</v>
      </c>
      <c r="K52" s="33">
        <v>3.4820000000000002</v>
      </c>
      <c r="L52" s="33">
        <v>7.5076700000000001</v>
      </c>
      <c r="M52" s="33">
        <v>1809.0684000000001</v>
      </c>
      <c r="N52" s="34">
        <v>1.8169408496713842E-2</v>
      </c>
      <c r="O52" s="34">
        <v>-3.0461000000000002E-2</v>
      </c>
      <c r="P52" s="25">
        <v>133.65199999999999</v>
      </c>
      <c r="Q52" s="25">
        <v>131.80000000000001</v>
      </c>
      <c r="R52" s="34">
        <v>1.4051593323216809E-2</v>
      </c>
    </row>
    <row r="53" spans="1:18" x14ac:dyDescent="0.15">
      <c r="A53" s="26">
        <v>46</v>
      </c>
      <c r="B53" s="25">
        <v>128133</v>
      </c>
      <c r="C53" s="25" t="s">
        <v>1020</v>
      </c>
      <c r="D53" s="25">
        <v>122.821</v>
      </c>
      <c r="E53" s="34">
        <v>-6.0999999999999995E-3</v>
      </c>
      <c r="F53" s="25">
        <v>20.09</v>
      </c>
      <c r="G53" s="25">
        <v>101.44</v>
      </c>
      <c r="H53" s="43">
        <v>0.21079999999999999</v>
      </c>
      <c r="I53" s="57">
        <v>143.90100000000001</v>
      </c>
      <c r="J53" s="32">
        <v>46287</v>
      </c>
      <c r="K53" s="33">
        <v>2.2709999999999999</v>
      </c>
      <c r="L53" s="33">
        <v>7.9925259999999998</v>
      </c>
      <c r="M53" s="33">
        <v>934.34755899999993</v>
      </c>
      <c r="N53" s="34">
        <v>9.5181329891641676E-3</v>
      </c>
      <c r="O53" s="34">
        <v>-2.7898999999999997E-2</v>
      </c>
      <c r="P53" s="25">
        <v>123.64</v>
      </c>
      <c r="Q53" s="25">
        <v>122.18</v>
      </c>
      <c r="R53" s="34">
        <v>1.1949582583074101E-2</v>
      </c>
    </row>
    <row r="54" spans="1:18" x14ac:dyDescent="0.15">
      <c r="A54" s="26">
        <v>47</v>
      </c>
      <c r="B54" s="25">
        <v>123135</v>
      </c>
      <c r="C54" s="25" t="s">
        <v>948</v>
      </c>
      <c r="D54" s="25">
        <v>134.6</v>
      </c>
      <c r="E54" s="34">
        <v>-8.1000000000000013E-3</v>
      </c>
      <c r="F54" s="25">
        <v>16.399999999999999</v>
      </c>
      <c r="G54" s="25">
        <v>110.55</v>
      </c>
      <c r="H54" s="43">
        <v>0.2175</v>
      </c>
      <c r="I54" s="57">
        <v>156.35</v>
      </c>
      <c r="J54" s="32">
        <v>46749</v>
      </c>
      <c r="K54" s="33">
        <v>3.5369999999999999</v>
      </c>
      <c r="L54" s="33">
        <v>2.0100609999999999</v>
      </c>
      <c r="M54" s="33">
        <v>11436.842656000001</v>
      </c>
      <c r="N54" s="34">
        <v>0.42271907839234357</v>
      </c>
      <c r="O54" s="34">
        <v>-3.2135999999999998E-2</v>
      </c>
      <c r="P54" s="25">
        <v>136.29</v>
      </c>
      <c r="Q54" s="25">
        <v>134.05000000000001</v>
      </c>
      <c r="R54" s="34">
        <v>1.6710182767623875E-2</v>
      </c>
    </row>
    <row r="55" spans="1:18" x14ac:dyDescent="0.15">
      <c r="A55" s="26">
        <v>48</v>
      </c>
      <c r="B55" s="25">
        <v>127028</v>
      </c>
      <c r="C55" s="25" t="s">
        <v>39</v>
      </c>
      <c r="D55" s="25">
        <v>123.705</v>
      </c>
      <c r="E55" s="34">
        <v>-1.2800000000000001E-2</v>
      </c>
      <c r="F55" s="25">
        <v>9.68</v>
      </c>
      <c r="G55" s="25">
        <v>101.34</v>
      </c>
      <c r="H55" s="43">
        <v>0.22070000000000001</v>
      </c>
      <c r="I55" s="57">
        <v>145.77500000000001</v>
      </c>
      <c r="J55" s="32">
        <v>46392</v>
      </c>
      <c r="K55" s="33">
        <v>2.5590000000000002</v>
      </c>
      <c r="L55" s="33">
        <v>4.0626449999999998</v>
      </c>
      <c r="M55" s="33">
        <v>1415.1446347999999</v>
      </c>
      <c r="N55" s="34">
        <v>2.8158187784462649E-2</v>
      </c>
      <c r="O55" s="34">
        <v>-4.1066999999999999E-2</v>
      </c>
      <c r="P55" s="25">
        <v>125.53</v>
      </c>
      <c r="Q55" s="25">
        <v>123.53700000000001</v>
      </c>
      <c r="R55" s="34">
        <v>1.6132818507815432E-2</v>
      </c>
    </row>
    <row r="56" spans="1:18" x14ac:dyDescent="0.15">
      <c r="A56" s="26">
        <v>49</v>
      </c>
      <c r="B56" s="25">
        <v>123187</v>
      </c>
      <c r="C56" s="25" t="s">
        <v>961</v>
      </c>
      <c r="D56" s="25">
        <v>120.447</v>
      </c>
      <c r="E56" s="34">
        <v>1.2999999999999999E-3</v>
      </c>
      <c r="F56" s="25">
        <v>32.6</v>
      </c>
      <c r="G56" s="25">
        <v>98.37</v>
      </c>
      <c r="H56" s="43">
        <v>0.22440000000000002</v>
      </c>
      <c r="I56" s="57">
        <v>142.887</v>
      </c>
      <c r="J56" s="32">
        <v>47212</v>
      </c>
      <c r="K56" s="33">
        <v>4.8049999999999997</v>
      </c>
      <c r="L56" s="33">
        <v>4.5274780000000003</v>
      </c>
      <c r="M56" s="33">
        <v>2312.2538879999997</v>
      </c>
      <c r="N56" s="34">
        <v>4.2401691537131837E-2</v>
      </c>
      <c r="O56" s="34">
        <v>4.4499999999999997E-4</v>
      </c>
      <c r="P56" s="25">
        <v>120.75</v>
      </c>
      <c r="Q56" s="25">
        <v>119.617</v>
      </c>
      <c r="R56" s="34">
        <v>9.4718978071678395E-3</v>
      </c>
    </row>
    <row r="57" spans="1:18" x14ac:dyDescent="0.15">
      <c r="A57" s="26">
        <v>50</v>
      </c>
      <c r="B57" s="25">
        <v>113588</v>
      </c>
      <c r="C57" s="25" t="s">
        <v>954</v>
      </c>
      <c r="D57" s="25">
        <v>150.52799999999999</v>
      </c>
      <c r="E57" s="34">
        <v>1.1699999999999999E-2</v>
      </c>
      <c r="F57" s="25">
        <v>13.1</v>
      </c>
      <c r="G57" s="25">
        <v>122.9</v>
      </c>
      <c r="H57" s="43">
        <v>0.2248</v>
      </c>
      <c r="I57" s="57">
        <v>173.00799999999998</v>
      </c>
      <c r="J57" s="32">
        <v>46190</v>
      </c>
      <c r="K57" s="33">
        <v>2.0049999999999999</v>
      </c>
      <c r="L57" s="33">
        <v>2.96862</v>
      </c>
      <c r="M57" s="33">
        <v>11613.0818</v>
      </c>
      <c r="N57" s="34">
        <v>0.25988163160152933</v>
      </c>
      <c r="O57" s="34">
        <v>-0.138181</v>
      </c>
      <c r="P57" s="25">
        <v>150.69999999999999</v>
      </c>
      <c r="Q57" s="25">
        <v>147.80000000000001</v>
      </c>
      <c r="R57" s="34">
        <v>1.9621109607577653E-2</v>
      </c>
    </row>
    <row r="58" spans="1:18" x14ac:dyDescent="0.15">
      <c r="A58" s="26">
        <v>51</v>
      </c>
      <c r="B58" s="25">
        <v>123225</v>
      </c>
      <c r="C58" s="25" t="s">
        <v>941</v>
      </c>
      <c r="D58" s="25">
        <v>121.2</v>
      </c>
      <c r="E58" s="34">
        <v>-1.0200000000000001E-2</v>
      </c>
      <c r="F58" s="25">
        <v>27.48</v>
      </c>
      <c r="G58" s="25">
        <v>98.84</v>
      </c>
      <c r="H58" s="43">
        <v>0.22620000000000001</v>
      </c>
      <c r="I58" s="57">
        <v>143.82</v>
      </c>
      <c r="J58" s="32">
        <v>47401</v>
      </c>
      <c r="K58" s="33">
        <v>5.3230000000000004</v>
      </c>
      <c r="L58" s="33">
        <v>7.9925480000000002</v>
      </c>
      <c r="M58" s="33">
        <v>3423.5813459999999</v>
      </c>
      <c r="N58" s="34">
        <v>3.5342134750500277E-2</v>
      </c>
      <c r="O58" s="34">
        <v>3.2890000000000003E-3</v>
      </c>
      <c r="P58" s="25">
        <v>122.8</v>
      </c>
      <c r="Q58" s="25">
        <v>120.98</v>
      </c>
      <c r="R58" s="34">
        <v>1.5043808894032014E-2</v>
      </c>
    </row>
    <row r="59" spans="1:18" x14ac:dyDescent="0.15">
      <c r="A59" s="26">
        <v>52</v>
      </c>
      <c r="B59" s="25">
        <v>113039</v>
      </c>
      <c r="C59" s="25" t="s">
        <v>1028</v>
      </c>
      <c r="D59" s="25">
        <v>124.551</v>
      </c>
      <c r="E59" s="34">
        <v>-1.1899999999999999E-2</v>
      </c>
      <c r="F59" s="25">
        <v>3.17</v>
      </c>
      <c r="G59" s="25">
        <v>101.26</v>
      </c>
      <c r="H59" s="43">
        <v>0.23</v>
      </c>
      <c r="I59" s="57">
        <v>147.55099999999999</v>
      </c>
      <c r="J59" s="32">
        <v>46258</v>
      </c>
      <c r="K59" s="33">
        <v>2.1920000000000002</v>
      </c>
      <c r="L59" s="33">
        <v>2.8768799999999999</v>
      </c>
      <c r="M59" s="33">
        <v>1082.9536000000001</v>
      </c>
      <c r="N59" s="34">
        <v>3.02232305128378E-2</v>
      </c>
      <c r="O59" s="34">
        <v>-5.0902000000000003E-2</v>
      </c>
      <c r="P59" s="25">
        <v>126.08</v>
      </c>
      <c r="Q59" s="25">
        <v>124.214</v>
      </c>
      <c r="R59" s="34">
        <v>1.5022461236253559E-2</v>
      </c>
    </row>
    <row r="60" spans="1:18" x14ac:dyDescent="0.15">
      <c r="A60" s="26">
        <v>53</v>
      </c>
      <c r="B60" s="25">
        <v>127069</v>
      </c>
      <c r="C60" s="25" t="s">
        <v>963</v>
      </c>
      <c r="D60" s="25">
        <v>127.694</v>
      </c>
      <c r="E60" s="34">
        <v>-1.38E-2</v>
      </c>
      <c r="F60" s="25">
        <v>53.22</v>
      </c>
      <c r="G60" s="25">
        <v>102.86</v>
      </c>
      <c r="H60" s="43">
        <v>0.2414</v>
      </c>
      <c r="I60" s="57">
        <v>151.834</v>
      </c>
      <c r="J60" s="32">
        <v>46977</v>
      </c>
      <c r="K60" s="33">
        <v>4.1619999999999999</v>
      </c>
      <c r="L60" s="33">
        <v>5.0410730000000008</v>
      </c>
      <c r="M60" s="33">
        <v>1360.7777604</v>
      </c>
      <c r="N60" s="34">
        <v>2.1139452003421363E-2</v>
      </c>
      <c r="O60" s="34">
        <v>-1.3731999999999999E-2</v>
      </c>
      <c r="P60" s="25">
        <v>129.999</v>
      </c>
      <c r="Q60" s="25">
        <v>127.36199999999999</v>
      </c>
      <c r="R60" s="34">
        <v>2.0704762802091679E-2</v>
      </c>
    </row>
    <row r="61" spans="1:18" x14ac:dyDescent="0.15">
      <c r="A61" s="26">
        <v>54</v>
      </c>
      <c r="B61" s="25">
        <v>123131</v>
      </c>
      <c r="C61" s="25" t="s">
        <v>635</v>
      </c>
      <c r="D61" s="25">
        <v>130.53100000000001</v>
      </c>
      <c r="E61" s="34">
        <v>-7.4000000000000003E-3</v>
      </c>
      <c r="F61" s="25">
        <v>10.09</v>
      </c>
      <c r="G61" s="25">
        <v>105.15</v>
      </c>
      <c r="H61" s="43">
        <v>0.2414</v>
      </c>
      <c r="I61" s="57">
        <v>154.67099999999999</v>
      </c>
      <c r="J61" s="32">
        <v>46724</v>
      </c>
      <c r="K61" s="33">
        <v>3.468</v>
      </c>
      <c r="L61" s="33">
        <v>5.2101699999999997</v>
      </c>
      <c r="M61" s="33">
        <v>3454.1561479999996</v>
      </c>
      <c r="N61" s="34">
        <v>5.0789788841200785E-2</v>
      </c>
      <c r="O61" s="34">
        <v>-2.3292999999999998E-2</v>
      </c>
      <c r="P61" s="25">
        <v>132.56299999999999</v>
      </c>
      <c r="Q61" s="25">
        <v>130.30699999999999</v>
      </c>
      <c r="R61" s="34">
        <v>1.7312960930725138E-2</v>
      </c>
    </row>
    <row r="62" spans="1:18" x14ac:dyDescent="0.15">
      <c r="A62" s="26">
        <v>55</v>
      </c>
      <c r="B62" s="25">
        <v>113673</v>
      </c>
      <c r="C62" s="25" t="s">
        <v>945</v>
      </c>
      <c r="D62" s="25">
        <v>121.39700000000001</v>
      </c>
      <c r="E62" s="34">
        <v>-5.1000000000000004E-3</v>
      </c>
      <c r="F62" s="25">
        <v>9.93</v>
      </c>
      <c r="G62" s="25">
        <v>97.28</v>
      </c>
      <c r="H62" s="43">
        <v>0.24789999999999998</v>
      </c>
      <c r="I62" s="57">
        <v>146.18700000000001</v>
      </c>
      <c r="J62" s="32">
        <v>47317</v>
      </c>
      <c r="K62" s="33">
        <v>5.093</v>
      </c>
      <c r="L62" s="33">
        <v>9.0792300000000008</v>
      </c>
      <c r="M62" s="33">
        <v>5513.1743999999999</v>
      </c>
      <c r="N62" s="34">
        <v>5.0020123353192614E-2</v>
      </c>
      <c r="O62" s="34">
        <v>-7.1809999999999999E-3</v>
      </c>
      <c r="P62" s="25">
        <v>121.998</v>
      </c>
      <c r="Q62" s="25">
        <v>120.759</v>
      </c>
      <c r="R62" s="34">
        <v>1.0260104836906602E-2</v>
      </c>
    </row>
    <row r="63" spans="1:18" x14ac:dyDescent="0.15">
      <c r="A63" s="26">
        <v>56</v>
      </c>
      <c r="B63" s="25">
        <v>110084</v>
      </c>
      <c r="C63" s="25" t="s">
        <v>49</v>
      </c>
      <c r="D63" s="25">
        <v>119.9</v>
      </c>
      <c r="E63" s="34">
        <v>-7.000000000000001E-4</v>
      </c>
      <c r="F63" s="25">
        <v>7.15</v>
      </c>
      <c r="G63" s="25">
        <v>96.08</v>
      </c>
      <c r="H63" s="43">
        <v>0.24789999999999998</v>
      </c>
      <c r="I63" s="57">
        <v>144.69</v>
      </c>
      <c r="J63" s="32">
        <v>46748</v>
      </c>
      <c r="K63" s="33">
        <v>3.5339999999999998</v>
      </c>
      <c r="L63" s="33">
        <v>9.1513200000000001</v>
      </c>
      <c r="M63" s="33">
        <v>2145.748</v>
      </c>
      <c r="N63" s="34">
        <v>1.9555809204563741E-2</v>
      </c>
      <c r="O63" s="34">
        <v>-1.3691E-2</v>
      </c>
      <c r="P63" s="25">
        <v>120.29900000000001</v>
      </c>
      <c r="Q63" s="25">
        <v>119.18</v>
      </c>
      <c r="R63" s="34">
        <v>9.3891592549085398E-3</v>
      </c>
    </row>
    <row r="64" spans="1:18" x14ac:dyDescent="0.15">
      <c r="A64" s="26">
        <v>57</v>
      </c>
      <c r="B64" s="25">
        <v>127055</v>
      </c>
      <c r="C64" s="25" t="s">
        <v>912</v>
      </c>
      <c r="D64" s="25">
        <v>112</v>
      </c>
      <c r="E64" s="34">
        <v>-8.6E-3</v>
      </c>
      <c r="F64" s="25">
        <v>18.5</v>
      </c>
      <c r="G64" s="25">
        <v>89.19</v>
      </c>
      <c r="H64" s="43">
        <v>0.25569999999999998</v>
      </c>
      <c r="I64" s="57">
        <v>137.57</v>
      </c>
      <c r="J64" s="32">
        <v>46805</v>
      </c>
      <c r="K64" s="33">
        <v>3.69</v>
      </c>
      <c r="L64" s="33">
        <v>5.7660080000000002</v>
      </c>
      <c r="M64" s="33">
        <v>3966.7303799999995</v>
      </c>
      <c r="N64" s="34">
        <v>6.1424187298585578E-2</v>
      </c>
      <c r="O64" s="34">
        <v>1.8041999999999999E-2</v>
      </c>
      <c r="P64" s="25">
        <v>113.602</v>
      </c>
      <c r="Q64" s="25">
        <v>111.119</v>
      </c>
      <c r="R64" s="34">
        <v>2.2345413475643266E-2</v>
      </c>
    </row>
    <row r="65" spans="1:18" x14ac:dyDescent="0.15">
      <c r="A65" s="26">
        <v>58</v>
      </c>
      <c r="B65" s="25">
        <v>113676</v>
      </c>
      <c r="C65" s="25" t="s">
        <v>1024</v>
      </c>
      <c r="D65" s="25">
        <v>118.8</v>
      </c>
      <c r="E65" s="34">
        <v>8.9999999999999998E-4</v>
      </c>
      <c r="F65" s="25">
        <v>11.58</v>
      </c>
      <c r="G65" s="25">
        <v>94.56</v>
      </c>
      <c r="H65" s="43">
        <v>0.25629999999999997</v>
      </c>
      <c r="I65" s="57">
        <v>144.43</v>
      </c>
      <c r="J65" s="32">
        <v>47348</v>
      </c>
      <c r="K65" s="33">
        <v>5.1779999999999999</v>
      </c>
      <c r="L65" s="33">
        <v>5.7595900000000002</v>
      </c>
      <c r="M65" s="33">
        <v>2510.9737</v>
      </c>
      <c r="N65" s="34">
        <v>3.6697303550933751E-2</v>
      </c>
      <c r="O65" s="34">
        <v>1.4810000000000001E-3</v>
      </c>
      <c r="P65" s="25">
        <v>119.012</v>
      </c>
      <c r="Q65" s="25">
        <v>118.26</v>
      </c>
      <c r="R65" s="34">
        <v>6.3588702858108853E-3</v>
      </c>
    </row>
    <row r="66" spans="1:18" x14ac:dyDescent="0.15">
      <c r="A66" s="26">
        <v>59</v>
      </c>
      <c r="B66" s="25">
        <v>123224</v>
      </c>
      <c r="C66" s="25" t="s">
        <v>1052</v>
      </c>
      <c r="D66" s="25">
        <v>118.8</v>
      </c>
      <c r="E66" s="34">
        <v>-9.1999999999999998E-3</v>
      </c>
      <c r="F66" s="25">
        <v>36.94</v>
      </c>
      <c r="G66" s="25">
        <v>93.37</v>
      </c>
      <c r="H66" s="43">
        <v>0.27239999999999998</v>
      </c>
      <c r="I66" s="57">
        <v>146.04</v>
      </c>
      <c r="J66" s="32">
        <v>47380</v>
      </c>
      <c r="K66" s="33">
        <v>5.266</v>
      </c>
      <c r="L66" s="33">
        <v>4.9996600000000004</v>
      </c>
      <c r="M66" s="33">
        <v>2986.9354534000004</v>
      </c>
      <c r="N66" s="34">
        <v>5.0288528263019536E-2</v>
      </c>
      <c r="O66" s="34">
        <v>2.4239999999999999E-3</v>
      </c>
      <c r="P66" s="25">
        <v>120.748</v>
      </c>
      <c r="Q66" s="25">
        <v>118.70099999999999</v>
      </c>
      <c r="R66" s="34">
        <v>1.7245010572783812E-2</v>
      </c>
    </row>
    <row r="67" spans="1:18" x14ac:dyDescent="0.15">
      <c r="A67" s="26">
        <v>60</v>
      </c>
      <c r="B67" s="25">
        <v>113628</v>
      </c>
      <c r="C67" s="25" t="s">
        <v>886</v>
      </c>
      <c r="D67" s="25">
        <v>117.13200000000001</v>
      </c>
      <c r="E67" s="34">
        <v>4.8000000000000001E-2</v>
      </c>
      <c r="F67" s="25">
        <v>12.79</v>
      </c>
      <c r="G67" s="25">
        <v>91.79</v>
      </c>
      <c r="H67" s="43">
        <v>0.27610000000000001</v>
      </c>
      <c r="I67" s="57">
        <v>144.74200000000002</v>
      </c>
      <c r="J67" s="32">
        <v>46622</v>
      </c>
      <c r="K67" s="33">
        <v>3.1890000000000001</v>
      </c>
      <c r="L67" s="33">
        <v>4.1492100000000001</v>
      </c>
      <c r="M67" s="33">
        <v>145856.53760000001</v>
      </c>
      <c r="N67" s="34">
        <v>3.0011308084063364</v>
      </c>
      <c r="O67" s="34">
        <v>9.1500000000000001E-3</v>
      </c>
      <c r="P67" s="25">
        <v>120.967</v>
      </c>
      <c r="Q67" s="25">
        <v>111.9</v>
      </c>
      <c r="R67" s="34">
        <v>8.1027703306523619E-2</v>
      </c>
    </row>
    <row r="68" spans="1:18" x14ac:dyDescent="0.15">
      <c r="A68" s="26">
        <v>61</v>
      </c>
      <c r="B68" s="25">
        <v>113674</v>
      </c>
      <c r="C68" s="25" t="s">
        <v>1017</v>
      </c>
      <c r="D68" s="25">
        <v>128.435</v>
      </c>
      <c r="E68" s="34">
        <v>-1.78E-2</v>
      </c>
      <c r="F68" s="25">
        <v>8.86</v>
      </c>
      <c r="G68" s="25">
        <v>100.56</v>
      </c>
      <c r="H68" s="43">
        <v>0.2772</v>
      </c>
      <c r="I68" s="57">
        <v>156.155</v>
      </c>
      <c r="J68" s="32">
        <v>47320</v>
      </c>
      <c r="K68" s="33">
        <v>5.101</v>
      </c>
      <c r="L68" s="33">
        <v>3.9991400000000001</v>
      </c>
      <c r="M68" s="33">
        <v>3716.5337</v>
      </c>
      <c r="N68" s="34">
        <v>7.2358253719375834E-2</v>
      </c>
      <c r="O68" s="34">
        <v>-1.8272999999999998E-2</v>
      </c>
      <c r="P68" s="25">
        <v>131.18600000000001</v>
      </c>
      <c r="Q68" s="25">
        <v>128</v>
      </c>
      <c r="R68" s="34">
        <v>2.4890625000000055E-2</v>
      </c>
    </row>
    <row r="69" spans="1:18" x14ac:dyDescent="0.15">
      <c r="A69" s="26">
        <v>62</v>
      </c>
      <c r="B69" s="25">
        <v>128091</v>
      </c>
      <c r="C69" s="25" t="s">
        <v>975</v>
      </c>
      <c r="D69" s="25">
        <v>142.75</v>
      </c>
      <c r="E69" s="34">
        <v>-1.6200000000000003E-2</v>
      </c>
      <c r="F69" s="25">
        <v>8.15</v>
      </c>
      <c r="G69" s="25">
        <v>111.41</v>
      </c>
      <c r="H69" s="43">
        <v>0.28129999999999999</v>
      </c>
      <c r="I69" s="57">
        <v>170.88</v>
      </c>
      <c r="J69" s="32">
        <v>46021</v>
      </c>
      <c r="K69" s="33">
        <v>1.542</v>
      </c>
      <c r="L69" s="33">
        <v>1.5190729999999999</v>
      </c>
      <c r="M69" s="33">
        <v>2570.8619248</v>
      </c>
      <c r="N69" s="34">
        <v>0.11855612356398805</v>
      </c>
      <c r="O69" s="34">
        <v>-0.13055</v>
      </c>
      <c r="P69" s="25">
        <v>146</v>
      </c>
      <c r="Q69" s="25">
        <v>142.75</v>
      </c>
      <c r="R69" s="34">
        <v>2.276707530647986E-2</v>
      </c>
    </row>
    <row r="70" spans="1:18" x14ac:dyDescent="0.15">
      <c r="A70" s="26">
        <v>63</v>
      </c>
      <c r="B70" s="25">
        <v>113664</v>
      </c>
      <c r="C70" s="25" t="s">
        <v>641</v>
      </c>
      <c r="D70" s="25">
        <v>119.99</v>
      </c>
      <c r="E70" s="34">
        <v>6.7000000000000002E-3</v>
      </c>
      <c r="F70" s="25">
        <v>22.28</v>
      </c>
      <c r="G70" s="25">
        <v>93.31</v>
      </c>
      <c r="H70" s="43">
        <v>0.28589999999999999</v>
      </c>
      <c r="I70" s="57">
        <v>148.57999999999998</v>
      </c>
      <c r="J70" s="32">
        <v>47092</v>
      </c>
      <c r="K70" s="33">
        <v>4.4770000000000003</v>
      </c>
      <c r="L70" s="33">
        <v>4.4993100000000004</v>
      </c>
      <c r="M70" s="33">
        <v>1926.6527000000001</v>
      </c>
      <c r="N70" s="34">
        <v>3.5687199218182239E-2</v>
      </c>
      <c r="O70" s="34">
        <v>1.1559999999999999E-3</v>
      </c>
      <c r="P70" s="25">
        <v>120.34099999999999</v>
      </c>
      <c r="Q70" s="25">
        <v>118.76900000000001</v>
      </c>
      <c r="R70" s="34">
        <v>1.3235777012520005E-2</v>
      </c>
    </row>
    <row r="71" spans="1:18" x14ac:dyDescent="0.15">
      <c r="A71" s="26">
        <v>64</v>
      </c>
      <c r="B71" s="25">
        <v>111012</v>
      </c>
      <c r="C71" s="25" t="s">
        <v>645</v>
      </c>
      <c r="D71" s="25">
        <v>126.265</v>
      </c>
      <c r="E71" s="34">
        <v>3.5999999999999999E-3</v>
      </c>
      <c r="F71" s="25">
        <v>13.73</v>
      </c>
      <c r="G71" s="25">
        <v>98.18</v>
      </c>
      <c r="H71" s="43">
        <v>0.28610000000000002</v>
      </c>
      <c r="I71" s="57">
        <v>154.875</v>
      </c>
      <c r="J71" s="32">
        <v>47122</v>
      </c>
      <c r="K71" s="33">
        <v>4.5590000000000002</v>
      </c>
      <c r="L71" s="33">
        <v>2.68513</v>
      </c>
      <c r="M71" s="33">
        <v>9189.3055999999997</v>
      </c>
      <c r="N71" s="34">
        <v>0.27104062792816741</v>
      </c>
      <c r="O71" s="34">
        <v>-9.3150000000000004E-3</v>
      </c>
      <c r="P71" s="25">
        <v>128.988</v>
      </c>
      <c r="Q71" s="25">
        <v>125.694</v>
      </c>
      <c r="R71" s="34">
        <v>2.62065015036517E-2</v>
      </c>
    </row>
    <row r="72" spans="1:18" x14ac:dyDescent="0.15">
      <c r="A72" s="26">
        <v>65</v>
      </c>
      <c r="B72" s="25">
        <v>123218</v>
      </c>
      <c r="C72" s="25" t="s">
        <v>1005</v>
      </c>
      <c r="D72" s="25">
        <v>121.48</v>
      </c>
      <c r="E72" s="34">
        <v>1.66E-2</v>
      </c>
      <c r="F72" s="25">
        <v>28</v>
      </c>
      <c r="G72" s="25">
        <v>94.32</v>
      </c>
      <c r="H72" s="43">
        <v>0.28800000000000003</v>
      </c>
      <c r="I72" s="57">
        <v>150.28</v>
      </c>
      <c r="J72" s="32">
        <v>47340</v>
      </c>
      <c r="K72" s="33">
        <v>5.1559999999999997</v>
      </c>
      <c r="L72" s="33">
        <v>3.7975249999999998</v>
      </c>
      <c r="M72" s="33">
        <v>14510.5838625</v>
      </c>
      <c r="N72" s="34">
        <v>0.3145425929861424</v>
      </c>
      <c r="O72" s="34">
        <v>-6.2E-4</v>
      </c>
      <c r="P72" s="25">
        <v>122.40900000000001</v>
      </c>
      <c r="Q72" s="25">
        <v>119.17700000000001</v>
      </c>
      <c r="R72" s="34">
        <v>2.7119326715725343E-2</v>
      </c>
    </row>
    <row r="73" spans="1:18" x14ac:dyDescent="0.15">
      <c r="A73" s="26">
        <v>66</v>
      </c>
      <c r="B73" s="25">
        <v>123096</v>
      </c>
      <c r="C73" s="25" t="s">
        <v>950</v>
      </c>
      <c r="D73" s="25">
        <v>84.757000000000005</v>
      </c>
      <c r="E73" s="34">
        <v>-8.5000000000000006E-3</v>
      </c>
      <c r="F73" s="25">
        <v>3.57</v>
      </c>
      <c r="G73" s="25">
        <v>65.55</v>
      </c>
      <c r="H73" s="43">
        <v>0.29299999999999998</v>
      </c>
      <c r="I73" s="57">
        <v>114.057</v>
      </c>
      <c r="J73" s="32">
        <v>46413</v>
      </c>
      <c r="K73" s="33">
        <v>2.6160000000000001</v>
      </c>
      <c r="L73" s="33">
        <v>5.2376120000000004</v>
      </c>
      <c r="M73" s="33">
        <v>1968.6155289999999</v>
      </c>
      <c r="N73" s="34">
        <v>4.4345750309953316E-2</v>
      </c>
      <c r="O73" s="34">
        <v>0.15232900000000002</v>
      </c>
      <c r="P73" s="25">
        <v>85.96</v>
      </c>
      <c r="Q73" s="25">
        <v>84.436000000000007</v>
      </c>
      <c r="R73" s="34">
        <v>1.804917333838631E-2</v>
      </c>
    </row>
    <row r="74" spans="1:18" x14ac:dyDescent="0.15">
      <c r="A74" s="26">
        <v>67</v>
      </c>
      <c r="B74" s="25">
        <v>123236</v>
      </c>
      <c r="C74" s="25" t="s">
        <v>971</v>
      </c>
      <c r="D74" s="25">
        <v>124.74</v>
      </c>
      <c r="E74" s="34">
        <v>-2.2000000000000001E-3</v>
      </c>
      <c r="F74" s="25">
        <v>18.489999999999998</v>
      </c>
      <c r="G74" s="25">
        <v>96</v>
      </c>
      <c r="H74" s="43">
        <v>0.2994</v>
      </c>
      <c r="I74" s="57">
        <v>154.68</v>
      </c>
      <c r="J74" s="32">
        <v>47474</v>
      </c>
      <c r="K74" s="33">
        <v>5.5229999999999997</v>
      </c>
      <c r="L74" s="33">
        <v>7.5</v>
      </c>
      <c r="M74" s="33">
        <v>1571.0606029999999</v>
      </c>
      <c r="N74" s="34">
        <v>1.6792909016086797E-2</v>
      </c>
      <c r="O74" s="34">
        <v>-7.3980000000000001E-3</v>
      </c>
      <c r="P74" s="25">
        <v>128.19999999999999</v>
      </c>
      <c r="Q74" s="25">
        <v>123.53400000000001</v>
      </c>
      <c r="R74" s="34">
        <v>3.7770978030339686E-2</v>
      </c>
    </row>
    <row r="75" spans="1:18" x14ac:dyDescent="0.15">
      <c r="A75" s="26">
        <v>68</v>
      </c>
      <c r="B75" s="25">
        <v>118028</v>
      </c>
      <c r="C75" s="25" t="s">
        <v>938</v>
      </c>
      <c r="D75" s="25">
        <v>118.622</v>
      </c>
      <c r="E75" s="34">
        <v>6.0000000000000001E-3</v>
      </c>
      <c r="F75" s="25">
        <v>9.31</v>
      </c>
      <c r="G75" s="25">
        <v>91.08</v>
      </c>
      <c r="H75" s="43">
        <v>0.3024</v>
      </c>
      <c r="I75" s="57">
        <v>148.86199999999999</v>
      </c>
      <c r="J75" s="32">
        <v>47093</v>
      </c>
      <c r="K75" s="33">
        <v>4.4790000000000001</v>
      </c>
      <c r="L75" s="33">
        <v>8.2998999999999992</v>
      </c>
      <c r="M75" s="33">
        <v>1645.4955</v>
      </c>
      <c r="N75" s="34">
        <v>1.6713161006581493E-2</v>
      </c>
      <c r="O75" s="34">
        <v>2.6290000000000003E-3</v>
      </c>
      <c r="P75" s="25">
        <v>119.2</v>
      </c>
      <c r="Q75" s="25">
        <v>117</v>
      </c>
      <c r="R75" s="34">
        <v>1.8803418803418827E-2</v>
      </c>
    </row>
    <row r="76" spans="1:18" x14ac:dyDescent="0.15">
      <c r="A76" s="26">
        <v>69</v>
      </c>
      <c r="B76" s="25">
        <v>127104</v>
      </c>
      <c r="C76" s="25" t="s">
        <v>1000</v>
      </c>
      <c r="D76" s="25">
        <v>138.14500000000001</v>
      </c>
      <c r="E76" s="34">
        <v>-7.6E-3</v>
      </c>
      <c r="F76" s="25">
        <v>21.53</v>
      </c>
      <c r="G76" s="25">
        <v>105.67</v>
      </c>
      <c r="H76" s="43">
        <v>0.30730000000000002</v>
      </c>
      <c r="I76" s="57">
        <v>168.875</v>
      </c>
      <c r="J76" s="32">
        <v>47508</v>
      </c>
      <c r="K76" s="33">
        <v>5.6159999999999997</v>
      </c>
      <c r="L76" s="33">
        <v>5.8312730000000004</v>
      </c>
      <c r="M76" s="33">
        <v>972.52835700000003</v>
      </c>
      <c r="N76" s="34">
        <v>1.2072681090345502E-2</v>
      </c>
      <c r="O76" s="34">
        <v>-2.3721000000000003E-2</v>
      </c>
      <c r="P76" s="25">
        <v>139.40100000000001</v>
      </c>
      <c r="Q76" s="25">
        <v>137.9</v>
      </c>
      <c r="R76" s="34">
        <v>1.0884699057287924E-2</v>
      </c>
    </row>
    <row r="77" spans="1:18" x14ac:dyDescent="0.15">
      <c r="A77" s="26">
        <v>70</v>
      </c>
      <c r="B77" s="25">
        <v>127053</v>
      </c>
      <c r="C77" s="25" t="s">
        <v>1027</v>
      </c>
      <c r="D77" s="25">
        <v>121.1</v>
      </c>
      <c r="E77" s="34">
        <v>-1.06E-2</v>
      </c>
      <c r="F77" s="25">
        <v>17.97</v>
      </c>
      <c r="G77" s="25">
        <v>92.15</v>
      </c>
      <c r="H77" s="43">
        <v>0.31420000000000003</v>
      </c>
      <c r="I77" s="57">
        <v>152.51999999999998</v>
      </c>
      <c r="J77" s="32">
        <v>46776</v>
      </c>
      <c r="K77" s="33">
        <v>3.6110000000000002</v>
      </c>
      <c r="L77" s="33">
        <v>4.8162739999999999</v>
      </c>
      <c r="M77" s="33">
        <v>973.59823259999996</v>
      </c>
      <c r="N77" s="34">
        <v>1.669261771519677E-2</v>
      </c>
      <c r="O77" s="34">
        <v>4.6340000000000001E-3</v>
      </c>
      <c r="P77" s="25">
        <v>122.399</v>
      </c>
      <c r="Q77" s="25">
        <v>121.081</v>
      </c>
      <c r="R77" s="34">
        <v>1.0885275146389589E-2</v>
      </c>
    </row>
    <row r="78" spans="1:18" x14ac:dyDescent="0.15">
      <c r="A78" s="26">
        <v>71</v>
      </c>
      <c r="B78" s="25">
        <v>123163</v>
      </c>
      <c r="C78" s="25" t="s">
        <v>636</v>
      </c>
      <c r="D78" s="25">
        <v>114.5</v>
      </c>
      <c r="E78" s="34">
        <v>2.2400000000000003E-2</v>
      </c>
      <c r="F78" s="25">
        <v>26.93</v>
      </c>
      <c r="G78" s="25">
        <v>87.04</v>
      </c>
      <c r="H78" s="43">
        <v>0.3155</v>
      </c>
      <c r="I78" s="57">
        <v>146.05000000000001</v>
      </c>
      <c r="J78" s="32">
        <v>47040</v>
      </c>
      <c r="K78" s="33">
        <v>4.3339999999999996</v>
      </c>
      <c r="L78" s="33">
        <v>3.0994899999999999</v>
      </c>
      <c r="M78" s="33">
        <v>4761.7973347000006</v>
      </c>
      <c r="N78" s="34">
        <v>0.13417610525613874</v>
      </c>
      <c r="O78" s="34">
        <v>1.3523E-2</v>
      </c>
      <c r="P78" s="25">
        <v>114.5</v>
      </c>
      <c r="Q78" s="25">
        <v>111.429</v>
      </c>
      <c r="R78" s="34">
        <v>2.7560150409677894E-2</v>
      </c>
    </row>
    <row r="79" spans="1:18" x14ac:dyDescent="0.15">
      <c r="A79" s="26">
        <v>72</v>
      </c>
      <c r="B79" s="25">
        <v>113637</v>
      </c>
      <c r="C79" s="25" t="s">
        <v>617</v>
      </c>
      <c r="D79" s="25">
        <v>120.76900000000001</v>
      </c>
      <c r="E79" s="34">
        <v>-1.4000000000000002E-3</v>
      </c>
      <c r="F79" s="25">
        <v>12.26</v>
      </c>
      <c r="G79" s="25">
        <v>91.68</v>
      </c>
      <c r="H79" s="43">
        <v>0.31730000000000003</v>
      </c>
      <c r="I79" s="57">
        <v>152.499</v>
      </c>
      <c r="J79" s="32">
        <v>46743</v>
      </c>
      <c r="K79" s="33">
        <v>3.5209999999999999</v>
      </c>
      <c r="L79" s="33">
        <v>7.9974999999999996</v>
      </c>
      <c r="M79" s="33">
        <v>616.53139999999996</v>
      </c>
      <c r="N79" s="34">
        <v>6.3833033134482516E-3</v>
      </c>
      <c r="O79" s="34">
        <v>-1.8479999999999998E-3</v>
      </c>
      <c r="P79" s="25">
        <v>121.26300000000001</v>
      </c>
      <c r="Q79" s="25">
        <v>120.301</v>
      </c>
      <c r="R79" s="34">
        <v>7.9966085069949813E-3</v>
      </c>
    </row>
    <row r="80" spans="1:18" x14ac:dyDescent="0.15">
      <c r="A80" s="26">
        <v>73</v>
      </c>
      <c r="B80" s="25">
        <v>111002</v>
      </c>
      <c r="C80" s="25" t="s">
        <v>1035</v>
      </c>
      <c r="D80" s="25">
        <v>121.107</v>
      </c>
      <c r="E80" s="34">
        <v>-5.0000000000000001E-4</v>
      </c>
      <c r="F80" s="25">
        <v>14.32</v>
      </c>
      <c r="G80" s="25">
        <v>91.83</v>
      </c>
      <c r="H80" s="43">
        <v>0.31879999999999997</v>
      </c>
      <c r="I80" s="57">
        <v>152.98699999999999</v>
      </c>
      <c r="J80" s="32">
        <v>46729</v>
      </c>
      <c r="K80" s="33">
        <v>3.4820000000000002</v>
      </c>
      <c r="L80" s="33">
        <v>6.6192900000000003</v>
      </c>
      <c r="M80" s="33">
        <v>2669.7141999999999</v>
      </c>
      <c r="N80" s="34">
        <v>3.3303058235120288E-2</v>
      </c>
      <c r="O80" s="34">
        <v>-1.1776999999999999E-2</v>
      </c>
      <c r="P80" s="25">
        <v>121.6</v>
      </c>
      <c r="Q80" s="25">
        <v>120.36499999999999</v>
      </c>
      <c r="R80" s="34">
        <v>1.0260457774269925E-2</v>
      </c>
    </row>
    <row r="81" spans="1:18" x14ac:dyDescent="0.15">
      <c r="A81" s="26">
        <v>74</v>
      </c>
      <c r="B81" s="25">
        <v>123202</v>
      </c>
      <c r="C81" s="25" t="s">
        <v>893</v>
      </c>
      <c r="D81" s="25">
        <v>110.51</v>
      </c>
      <c r="E81" s="34">
        <v>-1.01E-2</v>
      </c>
      <c r="F81" s="25">
        <v>19.510000000000002</v>
      </c>
      <c r="G81" s="25">
        <v>83.75</v>
      </c>
      <c r="H81" s="43">
        <v>0.31950000000000001</v>
      </c>
      <c r="I81" s="57">
        <v>142.46</v>
      </c>
      <c r="J81" s="32">
        <v>47302</v>
      </c>
      <c r="K81" s="33">
        <v>5.0519999999999996</v>
      </c>
      <c r="L81" s="33">
        <v>4.5990730000000006</v>
      </c>
      <c r="M81" s="33">
        <v>1856.7872565999999</v>
      </c>
      <c r="N81" s="34">
        <v>3.6533414544785488E-2</v>
      </c>
      <c r="O81" s="34">
        <v>1.6903999999999999E-2</v>
      </c>
      <c r="P81" s="25">
        <v>112.1</v>
      </c>
      <c r="Q81" s="25">
        <v>110.25700000000001</v>
      </c>
      <c r="R81" s="34">
        <v>1.6715491986903228E-2</v>
      </c>
    </row>
    <row r="82" spans="1:18" x14ac:dyDescent="0.15">
      <c r="A82" s="26">
        <v>75</v>
      </c>
      <c r="B82" s="25">
        <v>123141</v>
      </c>
      <c r="C82" s="25" t="s">
        <v>179</v>
      </c>
      <c r="D82" s="25">
        <v>115.587</v>
      </c>
      <c r="E82" s="34">
        <v>8.8999999999999999E-3</v>
      </c>
      <c r="F82" s="25">
        <v>5.37</v>
      </c>
      <c r="G82" s="25">
        <v>87.52</v>
      </c>
      <c r="H82" s="43">
        <v>0.32069999999999999</v>
      </c>
      <c r="I82" s="57">
        <v>147.65700000000001</v>
      </c>
      <c r="J82" s="32">
        <v>46827</v>
      </c>
      <c r="K82" s="33">
        <v>3.7509999999999999</v>
      </c>
      <c r="L82" s="33">
        <v>3.2096100000000001</v>
      </c>
      <c r="M82" s="33">
        <v>17833.8161392</v>
      </c>
      <c r="N82" s="34">
        <v>0.48070985808950512</v>
      </c>
      <c r="O82" s="34">
        <v>1.1396E-2</v>
      </c>
      <c r="P82" s="25">
        <v>122.215</v>
      </c>
      <c r="Q82" s="25">
        <v>114.145</v>
      </c>
      <c r="R82" s="34">
        <v>7.0699548819484051E-2</v>
      </c>
    </row>
    <row r="83" spans="1:18" x14ac:dyDescent="0.15">
      <c r="A83" s="26">
        <v>76</v>
      </c>
      <c r="B83" s="25">
        <v>123206</v>
      </c>
      <c r="C83" s="25" t="s">
        <v>900</v>
      </c>
      <c r="D83" s="25">
        <v>124.20099999999999</v>
      </c>
      <c r="E83" s="34">
        <v>-1.5800000000000002E-2</v>
      </c>
      <c r="F83" s="25">
        <v>5.52</v>
      </c>
      <c r="G83" s="25">
        <v>93.66</v>
      </c>
      <c r="H83" s="43">
        <v>0.3261</v>
      </c>
      <c r="I83" s="57">
        <v>156.81099999999998</v>
      </c>
      <c r="J83" s="32">
        <v>47319</v>
      </c>
      <c r="K83" s="33">
        <v>5.0990000000000002</v>
      </c>
      <c r="L83" s="33">
        <v>2.4974310000000002</v>
      </c>
      <c r="M83" s="33">
        <v>3806.5786534999997</v>
      </c>
      <c r="N83" s="34">
        <v>0.12272024597098644</v>
      </c>
      <c r="O83" s="34">
        <v>-5.0460000000000001E-3</v>
      </c>
      <c r="P83" s="25">
        <v>126.199</v>
      </c>
      <c r="Q83" s="25">
        <v>124.16</v>
      </c>
      <c r="R83" s="34">
        <v>1.6422358247422691E-2</v>
      </c>
    </row>
    <row r="84" spans="1:18" x14ac:dyDescent="0.15">
      <c r="A84" s="26">
        <v>77</v>
      </c>
      <c r="B84" s="25">
        <v>111008</v>
      </c>
      <c r="C84" s="25" t="s">
        <v>618</v>
      </c>
      <c r="D84" s="25">
        <v>122.505</v>
      </c>
      <c r="E84" s="34">
        <v>-1.4000000000000002E-3</v>
      </c>
      <c r="F84" s="25">
        <v>31.5</v>
      </c>
      <c r="G84" s="25">
        <v>92.22</v>
      </c>
      <c r="H84" s="43">
        <v>0.32840000000000003</v>
      </c>
      <c r="I84" s="57">
        <v>155.345</v>
      </c>
      <c r="J84" s="32">
        <v>47059</v>
      </c>
      <c r="K84" s="33">
        <v>4.3860000000000001</v>
      </c>
      <c r="L84" s="33">
        <v>3.8386</v>
      </c>
      <c r="M84" s="33">
        <v>865.798</v>
      </c>
      <c r="N84" s="34">
        <v>1.8411531048170393E-2</v>
      </c>
      <c r="O84" s="34">
        <v>-6.7450000000000001E-3</v>
      </c>
      <c r="P84" s="25">
        <v>122.98</v>
      </c>
      <c r="Q84" s="25">
        <v>121.54300000000001</v>
      </c>
      <c r="R84" s="34">
        <v>1.1822976230634405E-2</v>
      </c>
    </row>
    <row r="85" spans="1:18" x14ac:dyDescent="0.15">
      <c r="A85" s="26">
        <v>78</v>
      </c>
      <c r="B85" s="25">
        <v>111007</v>
      </c>
      <c r="C85" s="25" t="s">
        <v>909</v>
      </c>
      <c r="D85" s="25">
        <v>123.379</v>
      </c>
      <c r="E85" s="34">
        <v>-2.2000000000000001E-3</v>
      </c>
      <c r="F85" s="25">
        <v>23.83</v>
      </c>
      <c r="G85" s="25">
        <v>92.45</v>
      </c>
      <c r="H85" s="43">
        <v>0.33450000000000002</v>
      </c>
      <c r="I85" s="57">
        <v>156.82900000000001</v>
      </c>
      <c r="J85" s="32">
        <v>47037</v>
      </c>
      <c r="K85" s="33">
        <v>4.3259999999999996</v>
      </c>
      <c r="L85" s="33">
        <v>7.8568699999999998</v>
      </c>
      <c r="M85" s="33">
        <v>2486.0371</v>
      </c>
      <c r="N85" s="34">
        <v>2.5645831954614701E-2</v>
      </c>
      <c r="O85" s="34">
        <v>-6.5190000000000005E-3</v>
      </c>
      <c r="P85" s="25">
        <v>124.101</v>
      </c>
      <c r="Q85" s="25">
        <v>122.8</v>
      </c>
      <c r="R85" s="34">
        <v>1.0594462540716628E-2</v>
      </c>
    </row>
    <row r="86" spans="1:18" x14ac:dyDescent="0.15">
      <c r="A86" s="26">
        <v>79</v>
      </c>
      <c r="B86" s="25">
        <v>127054</v>
      </c>
      <c r="C86" s="25" t="s">
        <v>897</v>
      </c>
      <c r="D86" s="25">
        <v>123.32599999999999</v>
      </c>
      <c r="E86" s="34">
        <v>-1.4000000000000002E-3</v>
      </c>
      <c r="F86" s="25">
        <v>7.26</v>
      </c>
      <c r="G86" s="25">
        <v>92.29</v>
      </c>
      <c r="H86" s="43">
        <v>0.33630000000000004</v>
      </c>
      <c r="I86" s="57">
        <v>156.95599999999999</v>
      </c>
      <c r="J86" s="32">
        <v>46794</v>
      </c>
      <c r="K86" s="33">
        <v>3.66</v>
      </c>
      <c r="L86" s="33">
        <v>5.1360530000000004</v>
      </c>
      <c r="M86" s="33">
        <v>2315.1323870000001</v>
      </c>
      <c r="N86" s="34">
        <v>3.6550362464514076E-2</v>
      </c>
      <c r="O86" s="34">
        <v>-1.6174999999999998E-2</v>
      </c>
      <c r="P86" s="25">
        <v>124.059</v>
      </c>
      <c r="Q86" s="25">
        <v>121.5</v>
      </c>
      <c r="R86" s="34">
        <v>2.1061728395061707E-2</v>
      </c>
    </row>
    <row r="87" spans="1:18" x14ac:dyDescent="0.15">
      <c r="A87" s="26">
        <v>80</v>
      </c>
      <c r="B87" s="25">
        <v>128120</v>
      </c>
      <c r="C87" s="25" t="s">
        <v>1041</v>
      </c>
      <c r="D87" s="25">
        <v>118.39700000000001</v>
      </c>
      <c r="E87" s="34">
        <v>-3.0999999999999999E-3</v>
      </c>
      <c r="F87" s="25">
        <v>11.59</v>
      </c>
      <c r="G87" s="25">
        <v>88.44</v>
      </c>
      <c r="H87" s="43">
        <v>0.3387</v>
      </c>
      <c r="I87" s="57">
        <v>152.267</v>
      </c>
      <c r="J87" s="32">
        <v>46220</v>
      </c>
      <c r="K87" s="33">
        <v>2.0880000000000001</v>
      </c>
      <c r="L87" s="33">
        <v>2.5942419999999995</v>
      </c>
      <c r="M87" s="33">
        <v>1546.821375</v>
      </c>
      <c r="N87" s="34">
        <v>5.0360377915988006E-2</v>
      </c>
      <c r="O87" s="34">
        <v>-9.972E-3</v>
      </c>
      <c r="P87" s="25">
        <v>119.099</v>
      </c>
      <c r="Q87" s="25">
        <v>117.53400000000001</v>
      </c>
      <c r="R87" s="34">
        <v>1.3315295999455457E-2</v>
      </c>
    </row>
    <row r="88" spans="1:18" x14ac:dyDescent="0.15">
      <c r="A88" s="26">
        <v>81</v>
      </c>
      <c r="B88" s="25">
        <v>123207</v>
      </c>
      <c r="C88" s="25" t="s">
        <v>899</v>
      </c>
      <c r="D88" s="25">
        <v>113.529</v>
      </c>
      <c r="E88" s="34">
        <v>4.6999999999999993E-3</v>
      </c>
      <c r="F88" s="25">
        <v>10.44</v>
      </c>
      <c r="G88" s="25">
        <v>84.58</v>
      </c>
      <c r="H88" s="43">
        <v>0.34229999999999999</v>
      </c>
      <c r="I88" s="57">
        <v>147.75899999999999</v>
      </c>
      <c r="J88" s="32">
        <v>47320</v>
      </c>
      <c r="K88" s="33">
        <v>5.101</v>
      </c>
      <c r="L88" s="33">
        <v>3.9988869999999999</v>
      </c>
      <c r="M88" s="33">
        <v>2418.7408984000003</v>
      </c>
      <c r="N88" s="34">
        <v>5.3277446739895304E-2</v>
      </c>
      <c r="O88" s="34">
        <v>1.3014E-2</v>
      </c>
      <c r="P88" s="25">
        <v>113.529</v>
      </c>
      <c r="Q88" s="25">
        <v>112.4</v>
      </c>
      <c r="R88" s="34">
        <v>1.0044483985765041E-2</v>
      </c>
    </row>
    <row r="89" spans="1:18" x14ac:dyDescent="0.15">
      <c r="A89" s="26">
        <v>82</v>
      </c>
      <c r="B89" s="25">
        <v>127099</v>
      </c>
      <c r="C89" s="25" t="s">
        <v>1026</v>
      </c>
      <c r="D89" s="25">
        <v>117.376</v>
      </c>
      <c r="E89" s="34">
        <v>-1.8200000000000001E-2</v>
      </c>
      <c r="F89" s="25">
        <v>19.03</v>
      </c>
      <c r="G89" s="25">
        <v>87.34</v>
      </c>
      <c r="H89" s="43">
        <v>0.34389999999999998</v>
      </c>
      <c r="I89" s="57">
        <v>151.76600000000002</v>
      </c>
      <c r="J89" s="32">
        <v>47458</v>
      </c>
      <c r="K89" s="33">
        <v>5.4790000000000001</v>
      </c>
      <c r="L89" s="33">
        <v>7.3999670000000002</v>
      </c>
      <c r="M89" s="33">
        <v>1393.6077391000001</v>
      </c>
      <c r="N89" s="34">
        <v>1.6044694825326066E-2</v>
      </c>
      <c r="O89" s="34">
        <v>4.8900000000000002E-3</v>
      </c>
      <c r="P89" s="25">
        <v>119.93300000000001</v>
      </c>
      <c r="Q89" s="25">
        <v>117.17100000000001</v>
      </c>
      <c r="R89" s="34">
        <v>2.3572385658567396E-2</v>
      </c>
    </row>
    <row r="90" spans="1:18" x14ac:dyDescent="0.15">
      <c r="A90" s="26">
        <v>83</v>
      </c>
      <c r="B90" s="25">
        <v>123235</v>
      </c>
      <c r="C90" s="25" t="s">
        <v>972</v>
      </c>
      <c r="D90" s="25">
        <v>120.37</v>
      </c>
      <c r="E90" s="34">
        <v>-6.5000000000000006E-3</v>
      </c>
      <c r="F90" s="25">
        <v>28.61</v>
      </c>
      <c r="G90" s="25">
        <v>89.37</v>
      </c>
      <c r="H90" s="43">
        <v>0.34689999999999999</v>
      </c>
      <c r="I90" s="57">
        <v>155.06</v>
      </c>
      <c r="J90" s="32">
        <v>47473</v>
      </c>
      <c r="K90" s="33">
        <v>5.5209999999999999</v>
      </c>
      <c r="L90" s="33">
        <v>5.2020999999999997</v>
      </c>
      <c r="M90" s="33">
        <v>1083.5739742000001</v>
      </c>
      <c r="N90" s="34">
        <v>1.7304601735493617E-2</v>
      </c>
      <c r="O90" s="34">
        <v>-1.07E-4</v>
      </c>
      <c r="P90" s="25">
        <v>121.3</v>
      </c>
      <c r="Q90" s="25">
        <v>119.3</v>
      </c>
      <c r="R90" s="34">
        <v>1.6764459346186086E-2</v>
      </c>
    </row>
    <row r="91" spans="1:18" x14ac:dyDescent="0.15">
      <c r="A91" s="26">
        <v>84</v>
      </c>
      <c r="B91" s="25">
        <v>123217</v>
      </c>
      <c r="C91" s="25" t="s">
        <v>1063</v>
      </c>
      <c r="D91" s="25">
        <v>113.633</v>
      </c>
      <c r="E91" s="34">
        <v>-2.0299999999999999E-2</v>
      </c>
      <c r="F91" s="25">
        <v>29.68</v>
      </c>
      <c r="G91" s="25">
        <v>84.23</v>
      </c>
      <c r="H91" s="43">
        <v>0.34909999999999997</v>
      </c>
      <c r="I91" s="57">
        <v>148.54300000000001</v>
      </c>
      <c r="J91" s="32">
        <v>47338</v>
      </c>
      <c r="K91" s="33">
        <v>5.1509999999999998</v>
      </c>
      <c r="L91" s="33">
        <v>5.6998829999999998</v>
      </c>
      <c r="M91" s="33">
        <v>4547.9869563000002</v>
      </c>
      <c r="N91" s="34">
        <v>7.0218055195430062E-2</v>
      </c>
      <c r="O91" s="34">
        <v>2.0200000000000001E-3</v>
      </c>
      <c r="P91" s="25">
        <v>115.994</v>
      </c>
      <c r="Q91" s="25">
        <v>113.59</v>
      </c>
      <c r="R91" s="34">
        <v>2.1163834844616571E-2</v>
      </c>
    </row>
    <row r="92" spans="1:18" x14ac:dyDescent="0.15">
      <c r="A92" s="26">
        <v>85</v>
      </c>
      <c r="B92" s="25">
        <v>113537</v>
      </c>
      <c r="C92" s="25" t="s">
        <v>969</v>
      </c>
      <c r="D92" s="25">
        <v>214.18700000000001</v>
      </c>
      <c r="E92" s="34">
        <v>5.57E-2</v>
      </c>
      <c r="F92" s="25">
        <v>18.98</v>
      </c>
      <c r="G92" s="25">
        <v>157.96</v>
      </c>
      <c r="H92" s="43">
        <v>0.35600000000000004</v>
      </c>
      <c r="I92" s="57">
        <v>249.78700000000001</v>
      </c>
      <c r="J92" s="32">
        <v>45818</v>
      </c>
      <c r="K92" s="33">
        <v>0.98599999999999999</v>
      </c>
      <c r="L92" s="33">
        <v>1.22939</v>
      </c>
      <c r="M92" s="33">
        <v>134852.3475</v>
      </c>
      <c r="N92" s="34">
        <v>5.1212470508946835</v>
      </c>
      <c r="O92" s="34">
        <v>-0.46677300000000005</v>
      </c>
      <c r="P92" s="25">
        <v>216.88</v>
      </c>
      <c r="Q92" s="25">
        <v>201.16800000000001</v>
      </c>
      <c r="R92" s="34">
        <v>7.8103873379463867E-2</v>
      </c>
    </row>
    <row r="93" spans="1:18" x14ac:dyDescent="0.15">
      <c r="A93" s="26">
        <v>86</v>
      </c>
      <c r="B93" s="25">
        <v>123038</v>
      </c>
      <c r="C93" s="25" t="s">
        <v>953</v>
      </c>
      <c r="D93" s="25">
        <v>141.5</v>
      </c>
      <c r="E93" s="34">
        <v>-6.9999999999999993E-3</v>
      </c>
      <c r="F93" s="25">
        <v>23.81</v>
      </c>
      <c r="G93" s="25">
        <v>104.33</v>
      </c>
      <c r="H93" s="43">
        <v>0.35630000000000001</v>
      </c>
      <c r="I93" s="57">
        <v>177.13</v>
      </c>
      <c r="J93" s="32">
        <v>46016</v>
      </c>
      <c r="K93" s="33">
        <v>1.5289999999999999</v>
      </c>
      <c r="L93" s="33">
        <v>1.471317</v>
      </c>
      <c r="M93" s="33">
        <v>4404.7408560000003</v>
      </c>
      <c r="N93" s="34">
        <v>0.21157174587875721</v>
      </c>
      <c r="O93" s="34">
        <v>-0.127466</v>
      </c>
      <c r="P93" s="25">
        <v>143.19999999999999</v>
      </c>
      <c r="Q93" s="25">
        <v>139.999</v>
      </c>
      <c r="R93" s="34">
        <v>2.2864449031778752E-2</v>
      </c>
    </row>
    <row r="94" spans="1:18" x14ac:dyDescent="0.15">
      <c r="A94" s="26">
        <v>87</v>
      </c>
      <c r="B94" s="25">
        <v>123211</v>
      </c>
      <c r="C94" s="25" t="s">
        <v>1022</v>
      </c>
      <c r="D94" s="25">
        <v>113.611</v>
      </c>
      <c r="E94" s="34">
        <v>-3.9000000000000003E-3</v>
      </c>
      <c r="F94" s="25">
        <v>9.6199999999999992</v>
      </c>
      <c r="G94" s="25">
        <v>83.68</v>
      </c>
      <c r="H94" s="43">
        <v>0.35770000000000002</v>
      </c>
      <c r="I94" s="57">
        <v>149.381</v>
      </c>
      <c r="J94" s="32">
        <v>47326</v>
      </c>
      <c r="K94" s="33">
        <v>5.1180000000000003</v>
      </c>
      <c r="L94" s="33">
        <v>6.4998560000000003</v>
      </c>
      <c r="M94" s="33">
        <v>1654.830447</v>
      </c>
      <c r="N94" s="34">
        <v>2.2409356470376049E-2</v>
      </c>
      <c r="O94" s="34">
        <v>1.1453999999999999E-2</v>
      </c>
      <c r="P94" s="25">
        <v>114.221</v>
      </c>
      <c r="Q94" s="25">
        <v>112.5</v>
      </c>
      <c r="R94" s="34">
        <v>1.5297777777777809E-2</v>
      </c>
    </row>
    <row r="95" spans="1:18" x14ac:dyDescent="0.15">
      <c r="A95" s="26">
        <v>88</v>
      </c>
      <c r="B95" s="25">
        <v>113671</v>
      </c>
      <c r="C95" s="25" t="s">
        <v>1014</v>
      </c>
      <c r="D95" s="25">
        <v>126.607</v>
      </c>
      <c r="E95" s="34">
        <v>-6.4000000000000003E-3</v>
      </c>
      <c r="F95" s="25">
        <v>8.5500000000000007</v>
      </c>
      <c r="G95" s="25">
        <v>93.1</v>
      </c>
      <c r="H95" s="43">
        <v>0.3599</v>
      </c>
      <c r="I95" s="57">
        <v>162.59700000000001</v>
      </c>
      <c r="J95" s="32">
        <v>47309</v>
      </c>
      <c r="K95" s="33">
        <v>5.0709999999999997</v>
      </c>
      <c r="L95" s="33">
        <v>3.0996000000000001</v>
      </c>
      <c r="M95" s="33">
        <v>1384.7019</v>
      </c>
      <c r="N95" s="34">
        <v>3.5285227165246895E-2</v>
      </c>
      <c r="O95" s="34">
        <v>-1.8957999999999999E-2</v>
      </c>
      <c r="P95" s="25">
        <v>128.13300000000001</v>
      </c>
      <c r="Q95" s="25">
        <v>126.11</v>
      </c>
      <c r="R95" s="34">
        <v>1.6041551026881377E-2</v>
      </c>
    </row>
    <row r="96" spans="1:18" x14ac:dyDescent="0.15">
      <c r="A96" s="26">
        <v>89</v>
      </c>
      <c r="B96" s="25">
        <v>113598</v>
      </c>
      <c r="C96" s="25" t="s">
        <v>41</v>
      </c>
      <c r="D96" s="25">
        <v>132.79599999999999</v>
      </c>
      <c r="E96" s="34">
        <v>-6.7000000000000002E-3</v>
      </c>
      <c r="F96" s="25">
        <v>7.45</v>
      </c>
      <c r="G96" s="25">
        <v>97.58</v>
      </c>
      <c r="H96" s="43">
        <v>0.36090000000000005</v>
      </c>
      <c r="I96" s="57">
        <v>168.886</v>
      </c>
      <c r="J96" s="32">
        <v>46234</v>
      </c>
      <c r="K96" s="33">
        <v>2.1259999999999999</v>
      </c>
      <c r="L96" s="33">
        <v>2.7522899999999999</v>
      </c>
      <c r="M96" s="33">
        <v>2233.2993000000001</v>
      </c>
      <c r="N96" s="34">
        <v>6.1103733084059322E-2</v>
      </c>
      <c r="O96" s="34">
        <v>-5.1265999999999999E-2</v>
      </c>
      <c r="P96" s="25">
        <v>134.11099999999999</v>
      </c>
      <c r="Q96" s="25">
        <v>131.80099999999999</v>
      </c>
      <c r="R96" s="34">
        <v>1.7526422409541675E-2</v>
      </c>
    </row>
    <row r="97" spans="1:18" x14ac:dyDescent="0.15">
      <c r="A97" s="26">
        <v>90</v>
      </c>
      <c r="B97" s="25">
        <v>113667</v>
      </c>
      <c r="C97" s="25" t="s">
        <v>1050</v>
      </c>
      <c r="D97" s="25">
        <v>127.01300000000001</v>
      </c>
      <c r="E97" s="34">
        <v>-3.4000000000000002E-3</v>
      </c>
      <c r="F97" s="25">
        <v>10.3</v>
      </c>
      <c r="G97" s="25">
        <v>93.2</v>
      </c>
      <c r="H97" s="43">
        <v>0.36280000000000001</v>
      </c>
      <c r="I97" s="57">
        <v>163.29300000000001</v>
      </c>
      <c r="J97" s="32">
        <v>47194</v>
      </c>
      <c r="K97" s="33">
        <v>4.7560000000000002</v>
      </c>
      <c r="L97" s="33">
        <v>5.6997900000000001</v>
      </c>
      <c r="M97" s="33">
        <v>4096.9669999999996</v>
      </c>
      <c r="N97" s="34">
        <v>5.6592051379333291E-2</v>
      </c>
      <c r="O97" s="34">
        <v>-1.2071E-2</v>
      </c>
      <c r="P97" s="25">
        <v>128.19900000000001</v>
      </c>
      <c r="Q97" s="25">
        <v>126.408</v>
      </c>
      <c r="R97" s="34">
        <v>1.4168407062844212E-2</v>
      </c>
    </row>
    <row r="98" spans="1:18" x14ac:dyDescent="0.15">
      <c r="A98" s="26">
        <v>91</v>
      </c>
      <c r="B98" s="25">
        <v>123160</v>
      </c>
      <c r="C98" s="25" t="s">
        <v>1015</v>
      </c>
      <c r="D98" s="25">
        <v>108.99</v>
      </c>
      <c r="E98" s="34">
        <v>1.8E-3</v>
      </c>
      <c r="F98" s="25">
        <v>19.82</v>
      </c>
      <c r="G98" s="25">
        <v>79.97</v>
      </c>
      <c r="H98" s="43">
        <v>0.3629</v>
      </c>
      <c r="I98" s="57">
        <v>145.28</v>
      </c>
      <c r="J98" s="32">
        <v>47024</v>
      </c>
      <c r="K98" s="33">
        <v>4.29</v>
      </c>
      <c r="L98" s="33">
        <v>3.3488639999999998</v>
      </c>
      <c r="M98" s="33">
        <v>1486.7071732000002</v>
      </c>
      <c r="N98" s="34">
        <v>4.0732519436303918E-2</v>
      </c>
      <c r="O98" s="34">
        <v>2.5252E-2</v>
      </c>
      <c r="P98" s="25">
        <v>109.65300000000001</v>
      </c>
      <c r="Q98" s="25">
        <v>108.16</v>
      </c>
      <c r="R98" s="34">
        <v>1.3803624260355115E-2</v>
      </c>
    </row>
    <row r="99" spans="1:18" x14ac:dyDescent="0.15">
      <c r="A99" s="26">
        <v>92</v>
      </c>
      <c r="B99" s="25">
        <v>111016</v>
      </c>
      <c r="C99" s="25" t="s">
        <v>1029</v>
      </c>
      <c r="D99" s="25">
        <v>111.88500000000001</v>
      </c>
      <c r="E99" s="34">
        <v>-2.1000000000000001E-2</v>
      </c>
      <c r="F99" s="25">
        <v>11.56</v>
      </c>
      <c r="G99" s="25">
        <v>81.569999999999993</v>
      </c>
      <c r="H99" s="43">
        <v>0.37159999999999999</v>
      </c>
      <c r="I99" s="57">
        <v>149.04500000000002</v>
      </c>
      <c r="J99" s="32">
        <v>47324</v>
      </c>
      <c r="K99" s="33">
        <v>5.1120000000000001</v>
      </c>
      <c r="L99" s="33">
        <v>5.7690200000000003</v>
      </c>
      <c r="M99" s="33">
        <v>5292.6890000000003</v>
      </c>
      <c r="N99" s="34">
        <v>8.1997849894999725E-2</v>
      </c>
      <c r="O99" s="34">
        <v>1.3849999999999999E-2</v>
      </c>
      <c r="P99" s="25">
        <v>114.52200000000001</v>
      </c>
      <c r="Q99" s="25">
        <v>111.399</v>
      </c>
      <c r="R99" s="34">
        <v>2.8034362965556284E-2</v>
      </c>
    </row>
    <row r="100" spans="1:18" x14ac:dyDescent="0.15">
      <c r="A100" s="26">
        <v>93</v>
      </c>
      <c r="B100" s="25">
        <v>123054</v>
      </c>
      <c r="C100" s="25" t="s">
        <v>955</v>
      </c>
      <c r="D100" s="25">
        <v>133.602</v>
      </c>
      <c r="E100" s="34">
        <v>-7.6E-3</v>
      </c>
      <c r="F100" s="25">
        <v>9.8800000000000008</v>
      </c>
      <c r="G100" s="25">
        <v>96.96</v>
      </c>
      <c r="H100" s="43">
        <v>0.37790000000000001</v>
      </c>
      <c r="I100" s="57">
        <v>171.392</v>
      </c>
      <c r="J100" s="32">
        <v>46183</v>
      </c>
      <c r="K100" s="33">
        <v>1.986</v>
      </c>
      <c r="L100" s="33">
        <v>1.672515</v>
      </c>
      <c r="M100" s="33">
        <v>5415.3756130000002</v>
      </c>
      <c r="N100" s="34">
        <v>0.24235143965378095</v>
      </c>
      <c r="O100" s="34">
        <v>-6.3160999999999995E-2</v>
      </c>
      <c r="P100" s="25">
        <v>137.18</v>
      </c>
      <c r="Q100" s="25">
        <v>133.602</v>
      </c>
      <c r="R100" s="34">
        <v>2.6781036212032774E-2</v>
      </c>
    </row>
    <row r="101" spans="1:18" x14ac:dyDescent="0.15">
      <c r="A101" s="26">
        <v>94</v>
      </c>
      <c r="B101" s="25">
        <v>123199</v>
      </c>
      <c r="C101" s="25" t="s">
        <v>1055</v>
      </c>
      <c r="D101" s="25">
        <v>125.2</v>
      </c>
      <c r="E101" s="34">
        <v>1.6000000000000001E-3</v>
      </c>
      <c r="F101" s="25">
        <v>13.6</v>
      </c>
      <c r="G101" s="25">
        <v>89.19</v>
      </c>
      <c r="H101" s="43">
        <v>0.40369999999999995</v>
      </c>
      <c r="I101" s="57">
        <v>165.57</v>
      </c>
      <c r="J101" s="32">
        <v>47281</v>
      </c>
      <c r="K101" s="33">
        <v>4.9950000000000001</v>
      </c>
      <c r="L101" s="33">
        <v>3.198588</v>
      </c>
      <c r="M101" s="33">
        <v>17488.3682869</v>
      </c>
      <c r="N101" s="34">
        <v>0.43670348532154429</v>
      </c>
      <c r="O101" s="34">
        <v>-2.0660999999999999E-2</v>
      </c>
      <c r="P101" s="25">
        <v>127.04</v>
      </c>
      <c r="Q101" s="25">
        <v>124.295</v>
      </c>
      <c r="R101" s="34">
        <v>2.2084556900921232E-2</v>
      </c>
    </row>
    <row r="102" spans="1:18" x14ac:dyDescent="0.15">
      <c r="A102" s="26">
        <v>95</v>
      </c>
      <c r="B102" s="25">
        <v>123212</v>
      </c>
      <c r="C102" s="25" t="s">
        <v>1044</v>
      </c>
      <c r="D102" s="25">
        <v>117.18899999999999</v>
      </c>
      <c r="E102" s="34">
        <v>-1E-3</v>
      </c>
      <c r="F102" s="25">
        <v>23.3</v>
      </c>
      <c r="G102" s="25">
        <v>82.92</v>
      </c>
      <c r="H102" s="43">
        <v>0.4133</v>
      </c>
      <c r="I102" s="57">
        <v>158.51900000000001</v>
      </c>
      <c r="J102" s="32">
        <v>47326</v>
      </c>
      <c r="K102" s="33">
        <v>5.1180000000000003</v>
      </c>
      <c r="L102" s="33">
        <v>8.9979230000000001</v>
      </c>
      <c r="M102" s="33">
        <v>1617.3843710000001</v>
      </c>
      <c r="N102" s="34">
        <v>1.5338543469003173E-2</v>
      </c>
      <c r="O102" s="34">
        <v>1.8799999999999999E-3</v>
      </c>
      <c r="P102" s="25">
        <v>117.999</v>
      </c>
      <c r="Q102" s="25">
        <v>117.018</v>
      </c>
      <c r="R102" s="34">
        <v>8.3833256422088439E-3</v>
      </c>
    </row>
    <row r="103" spans="1:18" x14ac:dyDescent="0.15">
      <c r="A103" s="26">
        <v>96</v>
      </c>
      <c r="B103" s="25">
        <v>123182</v>
      </c>
      <c r="C103" s="25" t="s">
        <v>901</v>
      </c>
      <c r="D103" s="25">
        <v>117.66800000000001</v>
      </c>
      <c r="E103" s="34">
        <v>-2.9999999999999997E-4</v>
      </c>
      <c r="F103" s="25">
        <v>32.08</v>
      </c>
      <c r="G103" s="25">
        <v>83.26</v>
      </c>
      <c r="H103" s="43">
        <v>0.4133</v>
      </c>
      <c r="I103" s="57">
        <v>158.99799999999999</v>
      </c>
      <c r="J103" s="32">
        <v>47199</v>
      </c>
      <c r="K103" s="33">
        <v>4.7699999999999996</v>
      </c>
      <c r="L103" s="33">
        <v>6.9985280000000003</v>
      </c>
      <c r="M103" s="33">
        <v>2397.1594163</v>
      </c>
      <c r="N103" s="34">
        <v>2.9109305245084156E-2</v>
      </c>
      <c r="O103" s="34">
        <v>5.6289999999999995E-3</v>
      </c>
      <c r="P103" s="25">
        <v>118</v>
      </c>
      <c r="Q103" s="25">
        <v>116.30500000000001</v>
      </c>
      <c r="R103" s="34">
        <v>1.4573750053737957E-2</v>
      </c>
    </row>
    <row r="104" spans="1:18" x14ac:dyDescent="0.15">
      <c r="A104" s="26">
        <v>97</v>
      </c>
      <c r="B104" s="25">
        <v>127105</v>
      </c>
      <c r="C104" s="25" t="s">
        <v>1049</v>
      </c>
      <c r="D104" s="25">
        <v>104.759</v>
      </c>
      <c r="E104" s="34">
        <v>-9.7999999999999997E-3</v>
      </c>
      <c r="F104" s="25">
        <v>6.13</v>
      </c>
      <c r="G104" s="25">
        <v>73.900000000000006</v>
      </c>
      <c r="H104" s="43">
        <v>0.41759999999999997</v>
      </c>
      <c r="I104" s="57">
        <v>146.51900000000001</v>
      </c>
      <c r="J104" s="32">
        <v>47515</v>
      </c>
      <c r="K104" s="33">
        <v>5.6360000000000001</v>
      </c>
      <c r="L104" s="33">
        <v>7.5475390000000004</v>
      </c>
      <c r="M104" s="33">
        <v>1167.842392</v>
      </c>
      <c r="N104" s="34">
        <v>1.4770239106855505E-2</v>
      </c>
      <c r="O104" s="34">
        <v>2.4611999999999998E-2</v>
      </c>
      <c r="P104" s="25">
        <v>105.922</v>
      </c>
      <c r="Q104" s="25">
        <v>104.75</v>
      </c>
      <c r="R104" s="34">
        <v>1.1188544152744602E-2</v>
      </c>
    </row>
    <row r="105" spans="1:18" x14ac:dyDescent="0.15">
      <c r="A105" s="26">
        <v>98</v>
      </c>
      <c r="B105" s="25">
        <v>127078</v>
      </c>
      <c r="C105" s="25" t="s">
        <v>1019</v>
      </c>
      <c r="D105" s="25">
        <v>113.265</v>
      </c>
      <c r="E105" s="34">
        <v>-8.199999999999999E-3</v>
      </c>
      <c r="F105" s="25">
        <v>7.15</v>
      </c>
      <c r="G105" s="25">
        <v>79.86</v>
      </c>
      <c r="H105" s="43">
        <v>0.41830000000000001</v>
      </c>
      <c r="I105" s="57">
        <v>155.095</v>
      </c>
      <c r="J105" s="32">
        <v>47101</v>
      </c>
      <c r="K105" s="33">
        <v>4.5010000000000003</v>
      </c>
      <c r="L105" s="33">
        <v>5.9996729999999996</v>
      </c>
      <c r="M105" s="33">
        <v>1278.7061931000001</v>
      </c>
      <c r="N105" s="34">
        <v>1.8816873208637681E-2</v>
      </c>
      <c r="O105" s="34">
        <v>1.5309999999999999E-2</v>
      </c>
      <c r="P105" s="25">
        <v>114.458</v>
      </c>
      <c r="Q105" s="25">
        <v>113.265</v>
      </c>
      <c r="R105" s="34">
        <v>1.053282125987726E-2</v>
      </c>
    </row>
    <row r="106" spans="1:18" x14ac:dyDescent="0.15">
      <c r="A106" s="26">
        <v>99</v>
      </c>
      <c r="B106" s="25">
        <v>111013</v>
      </c>
      <c r="C106" s="25" t="s">
        <v>1061</v>
      </c>
      <c r="D106" s="25">
        <v>124.843</v>
      </c>
      <c r="E106" s="34">
        <v>7.000000000000001E-4</v>
      </c>
      <c r="F106" s="25">
        <v>8.85</v>
      </c>
      <c r="G106" s="25">
        <v>87.8</v>
      </c>
      <c r="H106" s="43">
        <v>0.4219</v>
      </c>
      <c r="I106" s="57">
        <v>167.03300000000002</v>
      </c>
      <c r="J106" s="32">
        <v>47185</v>
      </c>
      <c r="K106" s="33">
        <v>4.7320000000000002</v>
      </c>
      <c r="L106" s="33">
        <v>3.6865899999999998</v>
      </c>
      <c r="M106" s="33">
        <v>13840.258400000001</v>
      </c>
      <c r="N106" s="34">
        <v>0.30071504833493595</v>
      </c>
      <c r="O106" s="34">
        <v>-8.1169999999999992E-3</v>
      </c>
      <c r="P106" s="25">
        <v>126.58499999999999</v>
      </c>
      <c r="Q106" s="25">
        <v>124.012</v>
      </c>
      <c r="R106" s="34">
        <v>2.0747992129793835E-2</v>
      </c>
    </row>
    <row r="107" spans="1:18" x14ac:dyDescent="0.15">
      <c r="A107" s="26">
        <v>100</v>
      </c>
      <c r="B107" s="25">
        <v>127072</v>
      </c>
      <c r="C107" s="25" t="s">
        <v>1046</v>
      </c>
      <c r="D107" s="25">
        <v>127.363</v>
      </c>
      <c r="E107" s="34">
        <v>-4.7999999999999996E-3</v>
      </c>
      <c r="F107" s="25">
        <v>15.56</v>
      </c>
      <c r="G107" s="25">
        <v>89.4</v>
      </c>
      <c r="H107" s="43">
        <v>0.42460000000000003</v>
      </c>
      <c r="I107" s="57">
        <v>169.82300000000001</v>
      </c>
      <c r="J107" s="32">
        <v>47018</v>
      </c>
      <c r="K107" s="33">
        <v>4.274</v>
      </c>
      <c r="L107" s="33">
        <v>4.4986470000000001</v>
      </c>
      <c r="M107" s="33">
        <v>806.36459600000001</v>
      </c>
      <c r="N107" s="34">
        <v>1.4073634081288899E-2</v>
      </c>
      <c r="O107" s="34">
        <v>-2.0428000000000002E-2</v>
      </c>
      <c r="P107" s="25">
        <v>128</v>
      </c>
      <c r="Q107" s="25">
        <v>126.581</v>
      </c>
      <c r="R107" s="34">
        <v>1.1210213223153529E-2</v>
      </c>
    </row>
    <row r="108" spans="1:18" x14ac:dyDescent="0.15">
      <c r="A108" s="26">
        <v>101</v>
      </c>
      <c r="B108" s="25">
        <v>123239</v>
      </c>
      <c r="C108" s="25" t="s">
        <v>1010</v>
      </c>
      <c r="D108" s="25">
        <v>123.166</v>
      </c>
      <c r="E108" s="34">
        <v>-8.3000000000000001E-3</v>
      </c>
      <c r="F108" s="25">
        <v>24.75</v>
      </c>
      <c r="G108" s="25">
        <v>85.94</v>
      </c>
      <c r="H108" s="43">
        <v>0.43320000000000003</v>
      </c>
      <c r="I108" s="57">
        <v>166.48599999999999</v>
      </c>
      <c r="J108" s="32">
        <v>47502</v>
      </c>
      <c r="K108" s="33">
        <v>5.6</v>
      </c>
      <c r="L108" s="33">
        <v>6.2</v>
      </c>
      <c r="M108" s="33">
        <v>2501.318143</v>
      </c>
      <c r="N108" s="34">
        <v>3.275566391384719E-2</v>
      </c>
      <c r="O108" s="34">
        <v>-4.8570000000000002E-3</v>
      </c>
      <c r="P108" s="25">
        <v>124.303</v>
      </c>
      <c r="Q108" s="25">
        <v>122.90600000000001</v>
      </c>
      <c r="R108" s="34">
        <v>1.1366410102029122E-2</v>
      </c>
    </row>
    <row r="109" spans="1:18" x14ac:dyDescent="0.15">
      <c r="A109" s="26">
        <v>102</v>
      </c>
      <c r="B109" s="25">
        <v>123129</v>
      </c>
      <c r="C109" s="25" t="s">
        <v>952</v>
      </c>
      <c r="D109" s="25">
        <v>119.9</v>
      </c>
      <c r="E109" s="34">
        <v>-8.199999999999999E-3</v>
      </c>
      <c r="F109" s="25">
        <v>7.95</v>
      </c>
      <c r="G109" s="25">
        <v>83.4</v>
      </c>
      <c r="H109" s="43">
        <v>0.43759999999999999</v>
      </c>
      <c r="I109" s="57">
        <v>163.66</v>
      </c>
      <c r="J109" s="32">
        <v>46695</v>
      </c>
      <c r="K109" s="33">
        <v>3.3889999999999998</v>
      </c>
      <c r="L109" s="33">
        <v>1.9411050000000001</v>
      </c>
      <c r="M109" s="33">
        <v>1511.2744026</v>
      </c>
      <c r="N109" s="34">
        <v>6.4934442336835735E-2</v>
      </c>
      <c r="O109" s="34">
        <v>-7.8560000000000001E-3</v>
      </c>
      <c r="P109" s="25">
        <v>121.3</v>
      </c>
      <c r="Q109" s="25">
        <v>119.6</v>
      </c>
      <c r="R109" s="34">
        <v>1.42140468227425E-2</v>
      </c>
    </row>
    <row r="110" spans="1:18" x14ac:dyDescent="0.15">
      <c r="A110" s="26">
        <v>103</v>
      </c>
      <c r="B110" s="25">
        <v>118041</v>
      </c>
      <c r="C110" s="25" t="s">
        <v>898</v>
      </c>
      <c r="D110" s="25">
        <v>114.386</v>
      </c>
      <c r="E110" s="34">
        <v>8.0000000000000004E-4</v>
      </c>
      <c r="F110" s="25">
        <v>23.31</v>
      </c>
      <c r="G110" s="25">
        <v>79.489999999999995</v>
      </c>
      <c r="H110" s="43">
        <v>0.439</v>
      </c>
      <c r="I110" s="57">
        <v>158.286</v>
      </c>
      <c r="J110" s="32">
        <v>47330</v>
      </c>
      <c r="K110" s="33">
        <v>5.1289999999999996</v>
      </c>
      <c r="L110" s="33">
        <v>6.1998800000000003</v>
      </c>
      <c r="M110" s="33">
        <v>3705.2002000000002</v>
      </c>
      <c r="N110" s="34">
        <v>5.2246297834501083E-2</v>
      </c>
      <c r="O110" s="34">
        <v>9.3989999999999994E-3</v>
      </c>
      <c r="P110" s="25">
        <v>115.999</v>
      </c>
      <c r="Q110" s="25">
        <v>112.74</v>
      </c>
      <c r="R110" s="34">
        <v>2.8907220152563425E-2</v>
      </c>
    </row>
    <row r="111" spans="1:18" x14ac:dyDescent="0.15">
      <c r="A111" s="26">
        <v>104</v>
      </c>
      <c r="B111" s="25">
        <v>113678</v>
      </c>
      <c r="C111" s="25" t="s">
        <v>939</v>
      </c>
      <c r="D111" s="25">
        <v>120.026</v>
      </c>
      <c r="E111" s="34">
        <v>-3.3E-3</v>
      </c>
      <c r="F111" s="25">
        <v>32.880000000000003</v>
      </c>
      <c r="G111" s="25">
        <v>83.21</v>
      </c>
      <c r="H111" s="43">
        <v>0.44240000000000002</v>
      </c>
      <c r="I111" s="57">
        <v>164.26599999999999</v>
      </c>
      <c r="J111" s="32">
        <v>47410</v>
      </c>
      <c r="K111" s="33">
        <v>5.3479999999999999</v>
      </c>
      <c r="L111" s="33">
        <v>5.1690300000000002</v>
      </c>
      <c r="M111" s="33">
        <v>1946.9677999999999</v>
      </c>
      <c r="N111" s="34">
        <v>3.1381549477629098E-2</v>
      </c>
      <c r="O111" s="34">
        <v>1.699E-3</v>
      </c>
      <c r="P111" s="25">
        <v>120.917</v>
      </c>
      <c r="Q111" s="25">
        <v>119.998</v>
      </c>
      <c r="R111" s="34">
        <v>7.658460974349547E-3</v>
      </c>
    </row>
    <row r="112" spans="1:18" x14ac:dyDescent="0.15">
      <c r="A112" s="26">
        <v>105</v>
      </c>
      <c r="B112" s="25">
        <v>123200</v>
      </c>
      <c r="C112" s="25" t="s">
        <v>1007</v>
      </c>
      <c r="D112" s="25">
        <v>113.102</v>
      </c>
      <c r="E112" s="34">
        <v>-3.0999999999999999E-3</v>
      </c>
      <c r="F112" s="25">
        <v>26.43</v>
      </c>
      <c r="G112" s="25">
        <v>78.36</v>
      </c>
      <c r="H112" s="43">
        <v>0.44340000000000002</v>
      </c>
      <c r="I112" s="57">
        <v>157.44200000000001</v>
      </c>
      <c r="J112" s="32">
        <v>47296</v>
      </c>
      <c r="K112" s="33">
        <v>5.0359999999999996</v>
      </c>
      <c r="L112" s="33">
        <v>3.7018559999999998</v>
      </c>
      <c r="M112" s="33">
        <v>6329.0534244</v>
      </c>
      <c r="N112" s="34">
        <v>0.15116420208362022</v>
      </c>
      <c r="O112" s="34">
        <v>1.9710000000000002E-2</v>
      </c>
      <c r="P112" s="25">
        <v>115.319</v>
      </c>
      <c r="Q112" s="25">
        <v>112.36499999999999</v>
      </c>
      <c r="R112" s="34">
        <v>2.6289324967739135E-2</v>
      </c>
    </row>
    <row r="113" spans="1:18" x14ac:dyDescent="0.15">
      <c r="A113" s="26">
        <v>106</v>
      </c>
      <c r="B113" s="25">
        <v>128143</v>
      </c>
      <c r="C113" s="25" t="s">
        <v>902</v>
      </c>
      <c r="D113" s="25">
        <v>126.624</v>
      </c>
      <c r="E113" s="34">
        <v>-8.8999999999999999E-3</v>
      </c>
      <c r="F113" s="25">
        <v>12.63</v>
      </c>
      <c r="G113" s="25">
        <v>87.49</v>
      </c>
      <c r="H113" s="43">
        <v>0.44729999999999998</v>
      </c>
      <c r="I113" s="57">
        <v>171.35399999999998</v>
      </c>
      <c r="J113" s="32">
        <v>46395</v>
      </c>
      <c r="K113" s="33">
        <v>2.5670000000000002</v>
      </c>
      <c r="L113" s="33">
        <v>1.7305539999999999</v>
      </c>
      <c r="M113" s="33">
        <v>1044.427643</v>
      </c>
      <c r="N113" s="34">
        <v>4.7662539009388431E-2</v>
      </c>
      <c r="O113" s="34">
        <v>-2.3369000000000001E-2</v>
      </c>
      <c r="P113" s="25">
        <v>127.958</v>
      </c>
      <c r="Q113" s="25">
        <v>126.34</v>
      </c>
      <c r="R113" s="34">
        <v>1.2806712046857646E-2</v>
      </c>
    </row>
    <row r="114" spans="1:18" x14ac:dyDescent="0.15">
      <c r="A114" s="26">
        <v>107</v>
      </c>
      <c r="B114" s="25">
        <v>123177</v>
      </c>
      <c r="C114" s="25" t="s">
        <v>1018</v>
      </c>
      <c r="D114" s="25">
        <v>120.59399999999999</v>
      </c>
      <c r="E114" s="34">
        <v>-9.1000000000000004E-3</v>
      </c>
      <c r="F114" s="25">
        <v>13.28</v>
      </c>
      <c r="G114" s="25">
        <v>83.28</v>
      </c>
      <c r="H114" s="43">
        <v>0.4481</v>
      </c>
      <c r="I114" s="57">
        <v>165.404</v>
      </c>
      <c r="J114" s="32">
        <v>47179</v>
      </c>
      <c r="K114" s="33">
        <v>4.7149999999999999</v>
      </c>
      <c r="L114" s="33">
        <v>2.436261</v>
      </c>
      <c r="M114" s="33">
        <v>1226.662204</v>
      </c>
      <c r="N114" s="34">
        <v>4.1751825657398836E-2</v>
      </c>
      <c r="O114" s="34">
        <v>-1.2439999999999999E-3</v>
      </c>
      <c r="P114" s="25">
        <v>122.2</v>
      </c>
      <c r="Q114" s="25">
        <v>120.54</v>
      </c>
      <c r="R114" s="34">
        <v>1.3771362203417924E-2</v>
      </c>
    </row>
    <row r="115" spans="1:18" x14ac:dyDescent="0.15">
      <c r="A115" s="26">
        <v>108</v>
      </c>
      <c r="B115" s="25">
        <v>123231</v>
      </c>
      <c r="C115" s="25" t="s">
        <v>1023</v>
      </c>
      <c r="D115" s="25">
        <v>125.562</v>
      </c>
      <c r="E115" s="34">
        <v>-3.4999999999999996E-3</v>
      </c>
      <c r="F115" s="25">
        <v>25.76</v>
      </c>
      <c r="G115" s="25">
        <v>86.68</v>
      </c>
      <c r="H115" s="43">
        <v>0.4486</v>
      </c>
      <c r="I115" s="57">
        <v>170.422</v>
      </c>
      <c r="J115" s="32">
        <v>47431</v>
      </c>
      <c r="K115" s="33">
        <v>5.4050000000000002</v>
      </c>
      <c r="L115" s="33">
        <v>5.4499370000000003</v>
      </c>
      <c r="M115" s="33">
        <v>535.21667160000004</v>
      </c>
      <c r="N115" s="34">
        <v>7.8213176834724743E-3</v>
      </c>
      <c r="O115" s="34">
        <v>-8.1740000000000007E-3</v>
      </c>
      <c r="P115" s="25">
        <v>126</v>
      </c>
      <c r="Q115" s="25">
        <v>124.896</v>
      </c>
      <c r="R115" s="34">
        <v>8.8393543428132142E-3</v>
      </c>
    </row>
    <row r="116" spans="1:18" x14ac:dyDescent="0.15">
      <c r="A116" s="26">
        <v>109</v>
      </c>
      <c r="B116" s="25">
        <v>123156</v>
      </c>
      <c r="C116" s="25" t="s">
        <v>1039</v>
      </c>
      <c r="D116" s="25">
        <v>92.41</v>
      </c>
      <c r="E116" s="34">
        <v>-1.1000000000000001E-2</v>
      </c>
      <c r="F116" s="25">
        <v>10.69</v>
      </c>
      <c r="G116" s="25">
        <v>63.42</v>
      </c>
      <c r="H116" s="43">
        <v>0.45710000000000001</v>
      </c>
      <c r="I116" s="57">
        <v>138.12</v>
      </c>
      <c r="J116" s="32">
        <v>46981</v>
      </c>
      <c r="K116" s="33">
        <v>4.173</v>
      </c>
      <c r="L116" s="33">
        <v>3.9686189999999999</v>
      </c>
      <c r="M116" s="33">
        <v>1384.7607109999999</v>
      </c>
      <c r="N116" s="34">
        <v>3.7758641058299472E-2</v>
      </c>
      <c r="O116" s="34">
        <v>6.8250000000000005E-2</v>
      </c>
      <c r="P116" s="25">
        <v>93.453000000000003</v>
      </c>
      <c r="Q116" s="25">
        <v>91.626000000000005</v>
      </c>
      <c r="R116" s="34">
        <v>1.9939755091349595E-2</v>
      </c>
    </row>
    <row r="117" spans="1:18" x14ac:dyDescent="0.15">
      <c r="A117" s="26">
        <v>110</v>
      </c>
      <c r="B117" s="25">
        <v>113663</v>
      </c>
      <c r="C117" s="25" t="s">
        <v>1058</v>
      </c>
      <c r="D117" s="25">
        <v>116.464</v>
      </c>
      <c r="E117" s="34">
        <v>4.4000000000000003E-3</v>
      </c>
      <c r="F117" s="25">
        <v>31.86</v>
      </c>
      <c r="G117" s="25">
        <v>79.91</v>
      </c>
      <c r="H117" s="43">
        <v>0.45740000000000003</v>
      </c>
      <c r="I117" s="57">
        <v>162.20400000000001</v>
      </c>
      <c r="J117" s="32">
        <v>47085</v>
      </c>
      <c r="K117" s="33">
        <v>4.4580000000000002</v>
      </c>
      <c r="L117" s="33">
        <v>6.4988799999999998</v>
      </c>
      <c r="M117" s="33">
        <v>2774.0574000000001</v>
      </c>
      <c r="N117" s="34">
        <v>3.6650948907350933E-2</v>
      </c>
      <c r="O117" s="34">
        <v>6.8579999999999995E-3</v>
      </c>
      <c r="P117" s="25">
        <v>116.816</v>
      </c>
      <c r="Q117" s="25">
        <v>115.77800000000001</v>
      </c>
      <c r="R117" s="34">
        <v>8.9654338475357725E-3</v>
      </c>
    </row>
    <row r="118" spans="1:18" x14ac:dyDescent="0.15">
      <c r="A118" s="26">
        <v>111</v>
      </c>
      <c r="B118" s="25">
        <v>118044</v>
      </c>
      <c r="C118" s="25" t="s">
        <v>1011</v>
      </c>
      <c r="D118" s="25">
        <v>117.476</v>
      </c>
      <c r="E118" s="34">
        <v>5.1999999999999998E-3</v>
      </c>
      <c r="F118" s="25">
        <v>35.409999999999997</v>
      </c>
      <c r="G118" s="25">
        <v>80.400000000000006</v>
      </c>
      <c r="H118" s="43">
        <v>0.46110000000000001</v>
      </c>
      <c r="I118" s="57">
        <v>163.58600000000001</v>
      </c>
      <c r="J118" s="32">
        <v>47372</v>
      </c>
      <c r="K118" s="33">
        <v>5.2439999999999998</v>
      </c>
      <c r="L118" s="33">
        <v>4.4198199999999996</v>
      </c>
      <c r="M118" s="33">
        <v>445.80759999999998</v>
      </c>
      <c r="N118" s="34">
        <v>8.5860563528603277E-3</v>
      </c>
      <c r="O118" s="34">
        <v>6.9800000000000005E-4</v>
      </c>
      <c r="P118" s="25">
        <v>117.548</v>
      </c>
      <c r="Q118" s="25">
        <v>116.85</v>
      </c>
      <c r="R118" s="34">
        <v>5.9734702610184645E-3</v>
      </c>
    </row>
    <row r="119" spans="1:18" x14ac:dyDescent="0.15">
      <c r="A119" s="26">
        <v>112</v>
      </c>
      <c r="B119" s="25">
        <v>123152</v>
      </c>
      <c r="C119" s="25" t="s">
        <v>1053</v>
      </c>
      <c r="D119" s="25">
        <v>118.461</v>
      </c>
      <c r="E119" s="34">
        <v>-7.7000000000000002E-3</v>
      </c>
      <c r="F119" s="25">
        <v>28.81</v>
      </c>
      <c r="G119" s="25">
        <v>81.010000000000005</v>
      </c>
      <c r="H119" s="43">
        <v>0.46229999999999999</v>
      </c>
      <c r="I119" s="57">
        <v>164.691</v>
      </c>
      <c r="J119" s="32">
        <v>46955</v>
      </c>
      <c r="K119" s="33">
        <v>4.101</v>
      </c>
      <c r="L119" s="33">
        <v>2.9219309999999998</v>
      </c>
      <c r="M119" s="33">
        <v>1952.0862760000002</v>
      </c>
      <c r="N119" s="34">
        <v>5.6396695490464811E-2</v>
      </c>
      <c r="O119" s="34">
        <v>1.1679E-2</v>
      </c>
      <c r="P119" s="25">
        <v>120.01</v>
      </c>
      <c r="Q119" s="25">
        <v>118</v>
      </c>
      <c r="R119" s="34">
        <v>1.7033898305084789E-2</v>
      </c>
    </row>
    <row r="120" spans="1:18" x14ac:dyDescent="0.15">
      <c r="A120" s="26">
        <v>113</v>
      </c>
      <c r="B120" s="25">
        <v>123197</v>
      </c>
      <c r="C120" s="25" t="s">
        <v>1048</v>
      </c>
      <c r="D120" s="25">
        <v>122.20099999999999</v>
      </c>
      <c r="E120" s="34">
        <v>-3.7000000000000002E-3</v>
      </c>
      <c r="F120" s="25">
        <v>21.2</v>
      </c>
      <c r="G120" s="25">
        <v>83.07</v>
      </c>
      <c r="H120" s="43">
        <v>0.47110000000000002</v>
      </c>
      <c r="I120" s="57">
        <v>169.31099999999998</v>
      </c>
      <c r="J120" s="32">
        <v>47246</v>
      </c>
      <c r="K120" s="33">
        <v>4.899</v>
      </c>
      <c r="L120" s="33">
        <v>3.9960330000000002</v>
      </c>
      <c r="M120" s="33">
        <v>3363.8200601999997</v>
      </c>
      <c r="N120" s="34">
        <v>6.8885676888388606E-2</v>
      </c>
      <c r="O120" s="34">
        <v>-2.055E-3</v>
      </c>
      <c r="P120" s="25">
        <v>123.10599999999999</v>
      </c>
      <c r="Q120" s="25">
        <v>121.89</v>
      </c>
      <c r="R120" s="34">
        <v>9.9762080564442853E-3</v>
      </c>
    </row>
    <row r="121" spans="1:18" x14ac:dyDescent="0.15">
      <c r="A121" s="26">
        <v>114</v>
      </c>
      <c r="B121" s="25">
        <v>127090</v>
      </c>
      <c r="C121" s="25" t="s">
        <v>1038</v>
      </c>
      <c r="D121" s="25">
        <v>117.3</v>
      </c>
      <c r="E121" s="34">
        <v>4.5999999999999999E-3</v>
      </c>
      <c r="F121" s="25">
        <v>25.9</v>
      </c>
      <c r="G121" s="25">
        <v>79.42</v>
      </c>
      <c r="H121" s="43">
        <v>0.47700000000000004</v>
      </c>
      <c r="I121" s="57">
        <v>165</v>
      </c>
      <c r="J121" s="32">
        <v>47323</v>
      </c>
      <c r="K121" s="33">
        <v>5.1100000000000003</v>
      </c>
      <c r="L121" s="33">
        <v>4.6174799999999996</v>
      </c>
      <c r="M121" s="33">
        <v>3509.3438097000003</v>
      </c>
      <c r="N121" s="34">
        <v>6.4792223327625464E-2</v>
      </c>
      <c r="O121" s="34">
        <v>2.6979999999999999E-3</v>
      </c>
      <c r="P121" s="25">
        <v>118.29300000000001</v>
      </c>
      <c r="Q121" s="25">
        <v>116.75</v>
      </c>
      <c r="R121" s="34">
        <v>1.3216274089935814E-2</v>
      </c>
    </row>
    <row r="122" spans="1:18" x14ac:dyDescent="0.15">
      <c r="A122" s="26">
        <v>115</v>
      </c>
      <c r="B122" s="25">
        <v>123172</v>
      </c>
      <c r="C122" s="25" t="s">
        <v>887</v>
      </c>
      <c r="D122" s="25">
        <v>113.39100000000001</v>
      </c>
      <c r="E122" s="34">
        <v>-8.0000000000000002E-3</v>
      </c>
      <c r="F122" s="25">
        <v>15</v>
      </c>
      <c r="G122" s="25">
        <v>76.069999999999993</v>
      </c>
      <c r="H122" s="43">
        <v>0.49060000000000004</v>
      </c>
      <c r="I122" s="57">
        <v>162.45100000000002</v>
      </c>
      <c r="J122" s="32">
        <v>47102</v>
      </c>
      <c r="K122" s="33">
        <v>4.5039999999999996</v>
      </c>
      <c r="L122" s="33">
        <v>7.9999250000000002</v>
      </c>
      <c r="M122" s="33">
        <v>1453.0142020000001</v>
      </c>
      <c r="N122" s="34">
        <v>1.6017891897679833E-2</v>
      </c>
      <c r="O122" s="34">
        <v>9.0530000000000003E-3</v>
      </c>
      <c r="P122" s="25">
        <v>114.711</v>
      </c>
      <c r="Q122" s="25">
        <v>113.354</v>
      </c>
      <c r="R122" s="34">
        <v>1.1971346401538538E-2</v>
      </c>
    </row>
    <row r="123" spans="1:18" x14ac:dyDescent="0.15">
      <c r="A123" s="26">
        <v>116</v>
      </c>
      <c r="B123" s="25">
        <v>123214</v>
      </c>
      <c r="C123" s="25" t="s">
        <v>1033</v>
      </c>
      <c r="D123" s="25">
        <v>107.447</v>
      </c>
      <c r="E123" s="34">
        <v>-5.1999999999999998E-3</v>
      </c>
      <c r="F123" s="25">
        <v>6.65</v>
      </c>
      <c r="G123" s="25">
        <v>72.03</v>
      </c>
      <c r="H123" s="43">
        <v>0.49170000000000003</v>
      </c>
      <c r="I123" s="57">
        <v>156.61700000000002</v>
      </c>
      <c r="J123" s="32">
        <v>47330</v>
      </c>
      <c r="K123" s="33">
        <v>5.1289999999999996</v>
      </c>
      <c r="L123" s="33">
        <v>4.5499160000000005</v>
      </c>
      <c r="M123" s="33">
        <v>1319.6015638000001</v>
      </c>
      <c r="N123" s="34">
        <v>2.699262669701177E-2</v>
      </c>
      <c r="O123" s="34">
        <v>1.9308000000000002E-2</v>
      </c>
      <c r="P123" s="25">
        <v>108.03</v>
      </c>
      <c r="Q123" s="25">
        <v>106.666</v>
      </c>
      <c r="R123" s="34">
        <v>1.2787579922374556E-2</v>
      </c>
    </row>
    <row r="124" spans="1:18" x14ac:dyDescent="0.15">
      <c r="A124" s="26">
        <v>117</v>
      </c>
      <c r="B124" s="25">
        <v>123234</v>
      </c>
      <c r="C124" s="25" t="s">
        <v>1037</v>
      </c>
      <c r="D124" s="25">
        <v>111.19</v>
      </c>
      <c r="E124" s="34">
        <v>2.5999999999999999E-3</v>
      </c>
      <c r="F124" s="25">
        <v>6.4</v>
      </c>
      <c r="G124" s="25">
        <v>74.53</v>
      </c>
      <c r="H124" s="43">
        <v>0.4919</v>
      </c>
      <c r="I124" s="57">
        <v>160.38</v>
      </c>
      <c r="J124" s="32">
        <v>47463</v>
      </c>
      <c r="K124" s="33">
        <v>5.4930000000000003</v>
      </c>
      <c r="L124" s="33">
        <v>4</v>
      </c>
      <c r="M124" s="33">
        <v>645.91900799999996</v>
      </c>
      <c r="N124" s="34">
        <v>1.4522866444824171E-2</v>
      </c>
      <c r="O124" s="34">
        <v>1.3718999999999999E-2</v>
      </c>
      <c r="P124" s="25">
        <v>111.852</v>
      </c>
      <c r="Q124" s="25">
        <v>110.694</v>
      </c>
      <c r="R124" s="34">
        <v>1.0461271613637607E-2</v>
      </c>
    </row>
    <row r="125" spans="1:18" x14ac:dyDescent="0.15">
      <c r="A125" s="26">
        <v>118</v>
      </c>
      <c r="B125" s="25">
        <v>127088</v>
      </c>
      <c r="C125" s="25" t="s">
        <v>896</v>
      </c>
      <c r="D125" s="25">
        <v>116.4</v>
      </c>
      <c r="E125" s="34">
        <v>-1.8100000000000002E-2</v>
      </c>
      <c r="F125" s="25">
        <v>17.39</v>
      </c>
      <c r="G125" s="25">
        <v>77.86</v>
      </c>
      <c r="H125" s="43">
        <v>0.495</v>
      </c>
      <c r="I125" s="57">
        <v>165.9</v>
      </c>
      <c r="J125" s="32">
        <v>47302</v>
      </c>
      <c r="K125" s="33">
        <v>5.0519999999999996</v>
      </c>
      <c r="L125" s="33">
        <v>5.9991099999999999</v>
      </c>
      <c r="M125" s="33">
        <v>1215.2458245999999</v>
      </c>
      <c r="N125" s="34">
        <v>1.7403008488068913E-2</v>
      </c>
      <c r="O125" s="34">
        <v>6.4949999999999999E-3</v>
      </c>
      <c r="P125" s="25">
        <v>118.79900000000001</v>
      </c>
      <c r="Q125" s="25">
        <v>116.209</v>
      </c>
      <c r="R125" s="34">
        <v>2.2287430405562421E-2</v>
      </c>
    </row>
    <row r="126" spans="1:18" x14ac:dyDescent="0.15">
      <c r="A126" s="26">
        <v>119</v>
      </c>
      <c r="B126" s="25">
        <v>118039</v>
      </c>
      <c r="C126" s="25" t="s">
        <v>944</v>
      </c>
      <c r="D126" s="25">
        <v>102.961</v>
      </c>
      <c r="E126" s="34">
        <v>2.0299999999999999E-2</v>
      </c>
      <c r="F126" s="25">
        <v>10.119999999999999</v>
      </c>
      <c r="G126" s="25">
        <v>68.77</v>
      </c>
      <c r="H126" s="43">
        <v>0.49719999999999998</v>
      </c>
      <c r="I126" s="57">
        <v>152.68099999999998</v>
      </c>
      <c r="J126" s="32">
        <v>47319</v>
      </c>
      <c r="K126" s="33">
        <v>5.0990000000000002</v>
      </c>
      <c r="L126" s="33">
        <v>4.1079100000000004</v>
      </c>
      <c r="M126" s="33">
        <v>7233.1647000000003</v>
      </c>
      <c r="N126" s="34">
        <v>0.1710151879728512</v>
      </c>
      <c r="O126" s="34">
        <v>2.9491E-2</v>
      </c>
      <c r="P126" s="25">
        <v>104.4</v>
      </c>
      <c r="Q126" s="25">
        <v>100.432</v>
      </c>
      <c r="R126" s="34">
        <v>3.9509319738728725E-2</v>
      </c>
    </row>
    <row r="127" spans="1:18" x14ac:dyDescent="0.15">
      <c r="A127" s="26">
        <v>120</v>
      </c>
      <c r="B127" s="25">
        <v>127076</v>
      </c>
      <c r="C127" s="25" t="s">
        <v>1030</v>
      </c>
      <c r="D127" s="25">
        <v>114.5</v>
      </c>
      <c r="E127" s="34">
        <v>-2.5000000000000001E-3</v>
      </c>
      <c r="F127" s="25">
        <v>28.06</v>
      </c>
      <c r="G127" s="25">
        <v>76.3</v>
      </c>
      <c r="H127" s="43">
        <v>0.50070000000000003</v>
      </c>
      <c r="I127" s="57">
        <v>164.57</v>
      </c>
      <c r="J127" s="32">
        <v>47051</v>
      </c>
      <c r="K127" s="33">
        <v>4.3639999999999999</v>
      </c>
      <c r="L127" s="33">
        <v>7.6900589999999998</v>
      </c>
      <c r="M127" s="33">
        <v>432.25961960000006</v>
      </c>
      <c r="N127" s="34">
        <v>4.9091862419774366E-3</v>
      </c>
      <c r="O127" s="34">
        <v>3.637E-3</v>
      </c>
      <c r="P127" s="25">
        <v>115.002</v>
      </c>
      <c r="Q127" s="25">
        <v>114.20099999999999</v>
      </c>
      <c r="R127" s="34">
        <v>7.0139490897628042E-3</v>
      </c>
    </row>
    <row r="128" spans="1:18" x14ac:dyDescent="0.15">
      <c r="A128" s="26">
        <v>121</v>
      </c>
      <c r="B128" s="25">
        <v>118012</v>
      </c>
      <c r="C128" s="25" t="s">
        <v>1040</v>
      </c>
      <c r="D128" s="25">
        <v>121.26300000000001</v>
      </c>
      <c r="E128" s="34">
        <v>-2.2000000000000001E-3</v>
      </c>
      <c r="F128" s="25">
        <v>25.26</v>
      </c>
      <c r="G128" s="25">
        <v>80.56</v>
      </c>
      <c r="H128" s="43">
        <v>0.50529999999999997</v>
      </c>
      <c r="I128" s="57">
        <v>171.79300000000001</v>
      </c>
      <c r="J128" s="32">
        <v>46939</v>
      </c>
      <c r="K128" s="33">
        <v>4.0579999999999998</v>
      </c>
      <c r="L128" s="33">
        <v>4.9988299999999999</v>
      </c>
      <c r="M128" s="33">
        <v>485.79349999999999</v>
      </c>
      <c r="N128" s="34">
        <v>8.0141049171690414E-3</v>
      </c>
      <c r="O128" s="34">
        <v>-3.4000000000000002E-4</v>
      </c>
      <c r="P128" s="25">
        <v>122.01600000000001</v>
      </c>
      <c r="Q128" s="25">
        <v>121</v>
      </c>
      <c r="R128" s="34">
        <v>8.3966942148760767E-3</v>
      </c>
    </row>
    <row r="129" spans="1:18" x14ac:dyDescent="0.15">
      <c r="A129" s="26">
        <v>122</v>
      </c>
      <c r="B129" s="25">
        <v>123227</v>
      </c>
      <c r="C129" s="25" t="s">
        <v>1057</v>
      </c>
      <c r="D129" s="25">
        <v>132.733</v>
      </c>
      <c r="E129" s="34">
        <v>-3.1099999999999999E-2</v>
      </c>
      <c r="F129" s="25">
        <v>53.34</v>
      </c>
      <c r="G129" s="25">
        <v>86.24</v>
      </c>
      <c r="H129" s="43">
        <v>0.53909999999999991</v>
      </c>
      <c r="I129" s="57">
        <v>186.643</v>
      </c>
      <c r="J129" s="32">
        <v>47411</v>
      </c>
      <c r="K129" s="33">
        <v>5.351</v>
      </c>
      <c r="L129" s="33">
        <v>3.6285790000000002</v>
      </c>
      <c r="M129" s="33">
        <v>182782.3222729</v>
      </c>
      <c r="N129" s="34">
        <v>3.7950604470919118</v>
      </c>
      <c r="O129" s="34">
        <v>-1.7762E-2</v>
      </c>
      <c r="P129" s="25">
        <v>140.69999999999999</v>
      </c>
      <c r="Q129" s="25">
        <v>130.72200000000001</v>
      </c>
      <c r="R129" s="34">
        <v>7.6329921512828594E-2</v>
      </c>
    </row>
    <row r="130" spans="1:18" x14ac:dyDescent="0.15">
      <c r="A130" s="26">
        <v>123</v>
      </c>
      <c r="B130" s="25">
        <v>113646</v>
      </c>
      <c r="C130" s="25" t="s">
        <v>1016</v>
      </c>
      <c r="D130" s="25">
        <v>136.154</v>
      </c>
      <c r="E130" s="34">
        <v>-4.5000000000000005E-3</v>
      </c>
      <c r="F130" s="25">
        <v>8.18</v>
      </c>
      <c r="G130" s="25">
        <v>88.02</v>
      </c>
      <c r="H130" s="43">
        <v>0.54689999999999994</v>
      </c>
      <c r="I130" s="57">
        <v>190.84399999999999</v>
      </c>
      <c r="J130" s="32">
        <v>46857</v>
      </c>
      <c r="K130" s="33">
        <v>3.8330000000000002</v>
      </c>
      <c r="L130" s="33">
        <v>1.3812599999999999</v>
      </c>
      <c r="M130" s="33">
        <v>889.77710000000002</v>
      </c>
      <c r="N130" s="34">
        <v>4.731244415191975E-2</v>
      </c>
      <c r="O130" s="34">
        <v>-4.9138000000000001E-2</v>
      </c>
      <c r="P130" s="25">
        <v>136.86099999999999</v>
      </c>
      <c r="Q130" s="25">
        <v>135.4</v>
      </c>
      <c r="R130" s="34">
        <v>1.079025110782854E-2</v>
      </c>
    </row>
    <row r="131" spans="1:18" x14ac:dyDescent="0.15">
      <c r="A131" s="26">
        <v>124</v>
      </c>
      <c r="B131" s="25">
        <v>127094</v>
      </c>
      <c r="C131" s="25" t="s">
        <v>940</v>
      </c>
      <c r="D131" s="25">
        <v>105.613</v>
      </c>
      <c r="E131" s="34">
        <v>-3.3E-3</v>
      </c>
      <c r="F131" s="25">
        <v>10.74</v>
      </c>
      <c r="G131" s="25">
        <v>68.25</v>
      </c>
      <c r="H131" s="43">
        <v>0.5474</v>
      </c>
      <c r="I131" s="57">
        <v>160.35300000000001</v>
      </c>
      <c r="J131" s="32">
        <v>47409</v>
      </c>
      <c r="K131" s="33">
        <v>5.3449999999999998</v>
      </c>
      <c r="L131" s="33">
        <v>3.1598799999999998</v>
      </c>
      <c r="M131" s="33">
        <v>1151.352304</v>
      </c>
      <c r="N131" s="34">
        <v>3.4500092944415819E-2</v>
      </c>
      <c r="O131" s="34">
        <v>2.6120999999999998E-2</v>
      </c>
      <c r="P131" s="25">
        <v>106.429</v>
      </c>
      <c r="Q131" s="25">
        <v>104.7</v>
      </c>
      <c r="R131" s="34">
        <v>1.6513849092645645E-2</v>
      </c>
    </row>
    <row r="132" spans="1:18" x14ac:dyDescent="0.15">
      <c r="A132" s="26">
        <v>125</v>
      </c>
      <c r="B132" s="25">
        <v>111003</v>
      </c>
      <c r="C132" s="25" t="s">
        <v>1064</v>
      </c>
      <c r="D132" s="25">
        <v>119.96599999999999</v>
      </c>
      <c r="E132" s="34">
        <v>-7.7000000000000002E-3</v>
      </c>
      <c r="F132" s="25">
        <v>14.21</v>
      </c>
      <c r="G132" s="25">
        <v>77.41</v>
      </c>
      <c r="H132" s="43">
        <v>0.54969999999999997</v>
      </c>
      <c r="I132" s="57">
        <v>174.93599999999998</v>
      </c>
      <c r="J132" s="32">
        <v>46819</v>
      </c>
      <c r="K132" s="33">
        <v>3.7290000000000001</v>
      </c>
      <c r="L132" s="33">
        <v>2.0373399999999999</v>
      </c>
      <c r="M132" s="33">
        <v>581.80640000000005</v>
      </c>
      <c r="N132" s="34">
        <v>2.3804376125488334E-2</v>
      </c>
      <c r="O132" s="34">
        <v>7.7000000000000001E-5</v>
      </c>
      <c r="P132" s="25">
        <v>120.99299999999999</v>
      </c>
      <c r="Q132" s="25">
        <v>119.45</v>
      </c>
      <c r="R132" s="34">
        <v>1.2917538719129276E-2</v>
      </c>
    </row>
    <row r="133" spans="1:18" x14ac:dyDescent="0.15">
      <c r="A133" s="26">
        <v>126</v>
      </c>
      <c r="B133" s="25">
        <v>123240</v>
      </c>
      <c r="C133" s="25" t="s">
        <v>1056</v>
      </c>
      <c r="D133" s="25">
        <v>119.5</v>
      </c>
      <c r="E133" s="34">
        <v>0</v>
      </c>
      <c r="F133" s="25">
        <v>10</v>
      </c>
      <c r="G133" s="25">
        <v>77</v>
      </c>
      <c r="H133" s="43">
        <v>0.55189999999999995</v>
      </c>
      <c r="I133" s="57">
        <v>174.69</v>
      </c>
      <c r="J133" s="32">
        <v>47514</v>
      </c>
      <c r="K133" s="33">
        <v>5.633</v>
      </c>
      <c r="L133" s="33">
        <v>10</v>
      </c>
      <c r="M133" s="33">
        <v>430.88991069999997</v>
      </c>
      <c r="N133" s="34">
        <v>3.6057733112970706E-3</v>
      </c>
      <c r="O133" s="34">
        <v>-6.7510000000000001E-3</v>
      </c>
      <c r="P133" s="25">
        <v>119.608</v>
      </c>
      <c r="Q133" s="25">
        <v>118.65</v>
      </c>
      <c r="R133" s="34">
        <v>8.0741677201854063E-3</v>
      </c>
    </row>
    <row r="134" spans="1:18" x14ac:dyDescent="0.15">
      <c r="A134" s="26">
        <v>127</v>
      </c>
      <c r="B134" s="25">
        <v>123195</v>
      </c>
      <c r="C134" s="25" t="s">
        <v>960</v>
      </c>
      <c r="D134" s="25">
        <v>118.05800000000001</v>
      </c>
      <c r="E134" s="34">
        <v>-7.8000000000000005E-3</v>
      </c>
      <c r="F134" s="25">
        <v>61.19</v>
      </c>
      <c r="G134" s="25">
        <v>75.8</v>
      </c>
      <c r="H134" s="43">
        <v>0.5575</v>
      </c>
      <c r="I134" s="57">
        <v>173.80799999999999</v>
      </c>
      <c r="J134" s="32">
        <v>47225</v>
      </c>
      <c r="K134" s="33">
        <v>4.8410000000000002</v>
      </c>
      <c r="L134" s="33">
        <v>5.4599089999999997</v>
      </c>
      <c r="M134" s="33">
        <v>673.05218179999997</v>
      </c>
      <c r="N134" s="34">
        <v>1.0441620635143907E-2</v>
      </c>
      <c r="O134" s="34">
        <v>5.1999999999999998E-3</v>
      </c>
      <c r="P134" s="25">
        <v>119.16</v>
      </c>
      <c r="Q134" s="25">
        <v>118.01300000000001</v>
      </c>
      <c r="R134" s="34">
        <v>9.7192682162133941E-3</v>
      </c>
    </row>
    <row r="135" spans="1:18" x14ac:dyDescent="0.15">
      <c r="A135" s="26">
        <v>128</v>
      </c>
      <c r="B135" s="25">
        <v>127093</v>
      </c>
      <c r="C135" s="25" t="s">
        <v>1012</v>
      </c>
      <c r="D135" s="25">
        <v>115.9</v>
      </c>
      <c r="E135" s="34">
        <v>-8.9999999999999998E-4</v>
      </c>
      <c r="F135" s="25">
        <v>10.35</v>
      </c>
      <c r="G135" s="25">
        <v>73.91</v>
      </c>
      <c r="H135" s="43">
        <v>0.56810000000000005</v>
      </c>
      <c r="I135" s="57">
        <v>172.71</v>
      </c>
      <c r="J135" s="32">
        <v>47408</v>
      </c>
      <c r="K135" s="33">
        <v>5.3419999999999996</v>
      </c>
      <c r="L135" s="33">
        <v>2.4298000000000002</v>
      </c>
      <c r="M135" s="33">
        <v>604.26499109999997</v>
      </c>
      <c r="N135" s="34">
        <v>2.145722078199145E-2</v>
      </c>
      <c r="O135" s="34">
        <v>2.0592000000000003E-2</v>
      </c>
      <c r="P135" s="25">
        <v>116.069</v>
      </c>
      <c r="Q135" s="25">
        <v>115.212</v>
      </c>
      <c r="R135" s="34">
        <v>7.4384612713953345E-3</v>
      </c>
    </row>
    <row r="136" spans="1:18" x14ac:dyDescent="0.15">
      <c r="A136" s="26">
        <v>129</v>
      </c>
      <c r="B136" s="25">
        <v>123233</v>
      </c>
      <c r="C136" s="25" t="s">
        <v>1042</v>
      </c>
      <c r="D136" s="25">
        <v>111.99299999999999</v>
      </c>
      <c r="E136" s="34">
        <v>-7.9000000000000008E-3</v>
      </c>
      <c r="F136" s="25">
        <v>20.11</v>
      </c>
      <c r="G136" s="25">
        <v>71.209999999999994</v>
      </c>
      <c r="H136" s="43">
        <v>0.57269999999999999</v>
      </c>
      <c r="I136" s="57">
        <v>169.26300000000001</v>
      </c>
      <c r="J136" s="32">
        <v>47451</v>
      </c>
      <c r="K136" s="33">
        <v>5.46</v>
      </c>
      <c r="L136" s="33">
        <v>6.5</v>
      </c>
      <c r="M136" s="33">
        <v>2441.3084469999999</v>
      </c>
      <c r="N136" s="34">
        <v>3.3536552724105696E-2</v>
      </c>
      <c r="O136" s="34">
        <v>1.2766E-2</v>
      </c>
      <c r="P136" s="25">
        <v>113.4</v>
      </c>
      <c r="Q136" s="25">
        <v>111.85899999999999</v>
      </c>
      <c r="R136" s="34">
        <v>1.3776271913748658E-2</v>
      </c>
    </row>
    <row r="137" spans="1:18" x14ac:dyDescent="0.15">
      <c r="A137" s="26">
        <v>130</v>
      </c>
      <c r="B137" s="25">
        <v>123238</v>
      </c>
      <c r="C137" s="25" t="s">
        <v>1001</v>
      </c>
      <c r="D137" s="25">
        <v>190</v>
      </c>
      <c r="E137" s="34">
        <v>0.16850000000000001</v>
      </c>
      <c r="F137" s="25">
        <v>29.24</v>
      </c>
      <c r="G137" s="25">
        <v>120.45</v>
      </c>
      <c r="H137" s="43">
        <v>0.57740000000000002</v>
      </c>
      <c r="I137" s="57">
        <v>247.74</v>
      </c>
      <c r="J137" s="32">
        <v>47494</v>
      </c>
      <c r="K137" s="33">
        <v>5.5780000000000003</v>
      </c>
      <c r="L137" s="33">
        <v>5.29</v>
      </c>
      <c r="M137" s="33">
        <v>554907.28328780003</v>
      </c>
      <c r="N137" s="34">
        <v>5.5209161604596551</v>
      </c>
      <c r="O137" s="34">
        <v>-8.0216999999999997E-2</v>
      </c>
      <c r="P137" s="25">
        <v>195.124</v>
      </c>
      <c r="Q137" s="25">
        <v>163.00200000000001</v>
      </c>
      <c r="R137" s="34">
        <v>0.19706506668629822</v>
      </c>
    </row>
    <row r="138" spans="1:18" x14ac:dyDescent="0.15">
      <c r="A138" s="26">
        <v>131</v>
      </c>
      <c r="B138" s="25">
        <v>113681</v>
      </c>
      <c r="C138" s="25" t="s">
        <v>1031</v>
      </c>
      <c r="D138" s="25">
        <v>114.872</v>
      </c>
      <c r="E138" s="34">
        <v>-5.3E-3</v>
      </c>
      <c r="F138" s="25">
        <v>11.46</v>
      </c>
      <c r="G138" s="25">
        <v>71.989999999999995</v>
      </c>
      <c r="H138" s="43">
        <v>0.59570000000000001</v>
      </c>
      <c r="I138" s="57">
        <v>174.44200000000001</v>
      </c>
      <c r="J138" s="32">
        <v>47481</v>
      </c>
      <c r="K138" s="33">
        <v>5.5419999999999998</v>
      </c>
      <c r="L138" s="33">
        <v>6.6</v>
      </c>
      <c r="M138" s="33">
        <v>261.0582</v>
      </c>
      <c r="N138" s="34">
        <v>3.4433345573571211E-3</v>
      </c>
      <c r="O138" s="34">
        <v>7.8759999999999993E-3</v>
      </c>
      <c r="P138" s="25">
        <v>115.782</v>
      </c>
      <c r="Q138" s="25">
        <v>114.75</v>
      </c>
      <c r="R138" s="34">
        <v>8.9934640522875507E-3</v>
      </c>
    </row>
    <row r="139" spans="1:18" x14ac:dyDescent="0.15">
      <c r="A139" s="26">
        <v>132</v>
      </c>
      <c r="B139" s="25">
        <v>127098</v>
      </c>
      <c r="C139" s="25" t="s">
        <v>959</v>
      </c>
      <c r="D139" s="25">
        <v>116.88</v>
      </c>
      <c r="E139" s="34">
        <v>-3.9000000000000003E-3</v>
      </c>
      <c r="F139" s="25">
        <v>45.91</v>
      </c>
      <c r="G139" s="25">
        <v>72.25</v>
      </c>
      <c r="H139" s="43">
        <v>0.61770000000000003</v>
      </c>
      <c r="I139" s="57">
        <v>178.65</v>
      </c>
      <c r="J139" s="32">
        <v>47446</v>
      </c>
      <c r="K139" s="33">
        <v>5.4470000000000001</v>
      </c>
      <c r="L139" s="33">
        <v>4.7</v>
      </c>
      <c r="M139" s="33">
        <v>2926.2769311000002</v>
      </c>
      <c r="N139" s="34">
        <v>5.3269345739219716E-2</v>
      </c>
      <c r="O139" s="34">
        <v>-2.8699999999999998E-4</v>
      </c>
      <c r="P139" s="25">
        <v>118</v>
      </c>
      <c r="Q139" s="25">
        <v>116.70099999999999</v>
      </c>
      <c r="R139" s="34">
        <v>1.1131010017052181E-2</v>
      </c>
    </row>
    <row r="140" spans="1:18" x14ac:dyDescent="0.15">
      <c r="A140" s="26">
        <v>133</v>
      </c>
      <c r="B140" s="25">
        <v>127087</v>
      </c>
      <c r="C140" s="25" t="s">
        <v>1047</v>
      </c>
      <c r="D140" s="25">
        <v>109.01300000000001</v>
      </c>
      <c r="E140" s="34">
        <v>-3.2000000000000002E-3</v>
      </c>
      <c r="F140" s="25">
        <v>13.26</v>
      </c>
      <c r="G140" s="25">
        <v>66.819999999999993</v>
      </c>
      <c r="H140" s="43">
        <v>0.63139999999999996</v>
      </c>
      <c r="I140" s="57">
        <v>172.15300000000002</v>
      </c>
      <c r="J140" s="32">
        <v>47283</v>
      </c>
      <c r="K140" s="33">
        <v>5</v>
      </c>
      <c r="L140" s="33">
        <v>4.6289480000000003</v>
      </c>
      <c r="M140" s="33">
        <v>253.38096000000002</v>
      </c>
      <c r="N140" s="34">
        <v>5.0212677934050121E-3</v>
      </c>
      <c r="O140" s="34">
        <v>2.0598999999999999E-2</v>
      </c>
      <c r="P140" s="25">
        <v>109.4</v>
      </c>
      <c r="Q140" s="25">
        <v>108.55500000000001</v>
      </c>
      <c r="R140" s="34">
        <v>7.7840725899313602E-3</v>
      </c>
    </row>
    <row r="141" spans="1:18" x14ac:dyDescent="0.15">
      <c r="A141" s="26">
        <v>134</v>
      </c>
      <c r="B141" s="25">
        <v>118040</v>
      </c>
      <c r="C141" s="25" t="s">
        <v>1034</v>
      </c>
      <c r="D141" s="25">
        <v>103.93899999999999</v>
      </c>
      <c r="E141" s="34">
        <v>1.21E-2</v>
      </c>
      <c r="F141" s="25">
        <v>40</v>
      </c>
      <c r="G141" s="25">
        <v>61.92</v>
      </c>
      <c r="H141" s="43">
        <v>0.67859999999999998</v>
      </c>
      <c r="I141" s="57">
        <v>171.79899999999998</v>
      </c>
      <c r="J141" s="32">
        <v>47324</v>
      </c>
      <c r="K141" s="33">
        <v>5.1120000000000001</v>
      </c>
      <c r="L141" s="33">
        <v>4.2999400000000003</v>
      </c>
      <c r="M141" s="33">
        <v>5948.2923000000001</v>
      </c>
      <c r="N141" s="34">
        <v>0.13309182243041009</v>
      </c>
      <c r="O141" s="34">
        <v>3.1772000000000002E-2</v>
      </c>
      <c r="P141" s="25">
        <v>104.68</v>
      </c>
      <c r="Q141" s="25">
        <v>102.14100000000001</v>
      </c>
      <c r="R141" s="34">
        <v>2.4857794617244803E-2</v>
      </c>
    </row>
    <row r="142" spans="1:18" x14ac:dyDescent="0.15">
      <c r="A142" s="26">
        <v>135</v>
      </c>
      <c r="B142" s="25">
        <v>123230</v>
      </c>
      <c r="C142" s="25" t="s">
        <v>1021</v>
      </c>
      <c r="D142" s="25">
        <v>122.736</v>
      </c>
      <c r="E142" s="34">
        <v>-2.0999999999999999E-3</v>
      </c>
      <c r="F142" s="25">
        <v>29.03</v>
      </c>
      <c r="G142" s="25">
        <v>73.06</v>
      </c>
      <c r="H142" s="43">
        <v>0.67989999999999995</v>
      </c>
      <c r="I142" s="57">
        <v>190.726</v>
      </c>
      <c r="J142" s="32">
        <v>47431</v>
      </c>
      <c r="K142" s="33">
        <v>5.4050000000000002</v>
      </c>
      <c r="L142" s="33">
        <v>3.4998629999999999</v>
      </c>
      <c r="M142" s="33">
        <v>1952.5206833</v>
      </c>
      <c r="N142" s="34">
        <v>4.5454055010751816E-2</v>
      </c>
      <c r="O142" s="34">
        <v>-2.2190000000000001E-3</v>
      </c>
      <c r="P142" s="25">
        <v>123.38200000000001</v>
      </c>
      <c r="Q142" s="25">
        <v>122.3</v>
      </c>
      <c r="R142" s="34">
        <v>8.8470973017171529E-3</v>
      </c>
    </row>
    <row r="143" spans="1:18" x14ac:dyDescent="0.15">
      <c r="A143" s="26">
        <v>136</v>
      </c>
      <c r="B143" s="25">
        <v>127081</v>
      </c>
      <c r="C143" s="25" t="s">
        <v>970</v>
      </c>
      <c r="D143" s="25">
        <v>126.961</v>
      </c>
      <c r="E143" s="34">
        <v>-2.1099999999999997E-2</v>
      </c>
      <c r="F143" s="25">
        <v>30.02</v>
      </c>
      <c r="G143" s="25">
        <v>74.95</v>
      </c>
      <c r="H143" s="43">
        <v>0.69389999999999996</v>
      </c>
      <c r="I143" s="57">
        <v>196.351</v>
      </c>
      <c r="J143" s="32">
        <v>47180</v>
      </c>
      <c r="K143" s="33">
        <v>4.718</v>
      </c>
      <c r="L143" s="33">
        <v>5.3984069999999997</v>
      </c>
      <c r="M143" s="33">
        <v>4671.0052976000006</v>
      </c>
      <c r="N143" s="34">
        <v>6.8151340303350377E-2</v>
      </c>
      <c r="O143" s="34">
        <v>-1.9111E-2</v>
      </c>
      <c r="P143" s="25">
        <v>130.5</v>
      </c>
      <c r="Q143" s="25">
        <v>126.855</v>
      </c>
      <c r="R143" s="34">
        <v>2.8733593472862685E-2</v>
      </c>
    </row>
    <row r="144" spans="1:18" x14ac:dyDescent="0.15">
      <c r="A144" s="26">
        <v>137</v>
      </c>
      <c r="B144" s="25">
        <v>123173</v>
      </c>
      <c r="C144" s="25" t="s">
        <v>1045</v>
      </c>
      <c r="D144" s="25">
        <v>115.426</v>
      </c>
      <c r="E144" s="34">
        <v>-4.8999999999999998E-3</v>
      </c>
      <c r="F144" s="25">
        <v>13.81</v>
      </c>
      <c r="G144" s="25">
        <v>64.739999999999995</v>
      </c>
      <c r="H144" s="43">
        <v>0.78290000000000004</v>
      </c>
      <c r="I144" s="57">
        <v>193.71600000000001</v>
      </c>
      <c r="J144" s="32">
        <v>47117</v>
      </c>
      <c r="K144" s="33">
        <v>4.5449999999999999</v>
      </c>
      <c r="L144" s="33">
        <v>2.4215830000000005</v>
      </c>
      <c r="M144" s="33">
        <v>523.809123</v>
      </c>
      <c r="N144" s="34">
        <v>1.8740020136516742E-2</v>
      </c>
      <c r="O144" s="34">
        <v>1.0659E-2</v>
      </c>
      <c r="P144" s="25">
        <v>116.7</v>
      </c>
      <c r="Q144" s="25">
        <v>115.16500000000001</v>
      </c>
      <c r="R144" s="34">
        <v>1.3328702296704697E-2</v>
      </c>
    </row>
    <row r="145" spans="1:18" x14ac:dyDescent="0.15">
      <c r="A145" s="26">
        <v>138</v>
      </c>
      <c r="B145" s="25">
        <v>127097</v>
      </c>
      <c r="C145" s="25" t="s">
        <v>1051</v>
      </c>
      <c r="D145" s="25">
        <v>124.8</v>
      </c>
      <c r="E145" s="34">
        <v>-1.34E-2</v>
      </c>
      <c r="F145" s="25">
        <v>37.53</v>
      </c>
      <c r="G145" s="25">
        <v>66.510000000000005</v>
      </c>
      <c r="H145" s="43">
        <v>0.87639999999999996</v>
      </c>
      <c r="I145" s="57">
        <v>212.44</v>
      </c>
      <c r="J145" s="32">
        <v>47417</v>
      </c>
      <c r="K145" s="33">
        <v>5.367</v>
      </c>
      <c r="L145" s="33">
        <v>2.0985680000000002</v>
      </c>
      <c r="M145" s="33">
        <v>6016.7708640000001</v>
      </c>
      <c r="N145" s="34">
        <v>0.22973429977012896</v>
      </c>
      <c r="O145" s="34">
        <v>-9.4640000000000002E-3</v>
      </c>
      <c r="P145" s="25">
        <v>127</v>
      </c>
      <c r="Q145" s="25">
        <v>124.53</v>
      </c>
      <c r="R145" s="34">
        <v>1.9834578013330113E-2</v>
      </c>
    </row>
    <row r="146" spans="1:18" x14ac:dyDescent="0.15">
      <c r="A146" s="26">
        <v>139</v>
      </c>
      <c r="B146" s="25">
        <v>123138</v>
      </c>
      <c r="C146" s="25" t="s">
        <v>634</v>
      </c>
      <c r="D146" s="25">
        <v>119.86</v>
      </c>
      <c r="E146" s="34">
        <v>-5.0000000000000001E-3</v>
      </c>
      <c r="F146" s="25">
        <v>26.53</v>
      </c>
      <c r="G146" s="25">
        <v>63.81</v>
      </c>
      <c r="H146" s="43">
        <v>0.87840000000000007</v>
      </c>
      <c r="I146" s="57">
        <v>207.7</v>
      </c>
      <c r="J146" s="32">
        <v>46814</v>
      </c>
      <c r="K146" s="33">
        <v>3.7149999999999999</v>
      </c>
      <c r="L146" s="33">
        <v>2.3952100000000001</v>
      </c>
      <c r="M146" s="33">
        <v>1391.653699</v>
      </c>
      <c r="N146" s="34">
        <v>4.8474496717405252E-2</v>
      </c>
      <c r="O146" s="34">
        <v>1.4649999999999999E-3</v>
      </c>
      <c r="P146" s="25">
        <v>121.41</v>
      </c>
      <c r="Q146" s="25">
        <v>119.78</v>
      </c>
      <c r="R146" s="34">
        <v>1.3608281850058402E-2</v>
      </c>
    </row>
    <row r="147" spans="1:18" x14ac:dyDescent="0.15">
      <c r="A147" s="26">
        <v>140</v>
      </c>
      <c r="B147" s="25">
        <v>127080</v>
      </c>
      <c r="C147" s="25" t="s">
        <v>649</v>
      </c>
      <c r="D147" s="25">
        <v>153.095</v>
      </c>
      <c r="E147" s="34">
        <v>-1.1699999999999999E-2</v>
      </c>
      <c r="F147" s="25">
        <v>28.94</v>
      </c>
      <c r="G147" s="25">
        <v>81.27</v>
      </c>
      <c r="H147" s="43">
        <v>0.88379999999999992</v>
      </c>
      <c r="I147" s="57">
        <v>241.47499999999999</v>
      </c>
      <c r="J147" s="32">
        <v>47117</v>
      </c>
      <c r="K147" s="33">
        <v>4.5449999999999999</v>
      </c>
      <c r="L147" s="33">
        <v>2.796567</v>
      </c>
      <c r="M147" s="33">
        <v>5946.1612279999999</v>
      </c>
      <c r="N147" s="34">
        <v>0.13888343362752831</v>
      </c>
      <c r="O147" s="34">
        <v>-5.1920000000000001E-2</v>
      </c>
      <c r="P147" s="25">
        <v>155.66</v>
      </c>
      <c r="Q147" s="25">
        <v>152.76300000000001</v>
      </c>
      <c r="R147" s="34">
        <v>1.8964016155744463E-2</v>
      </c>
    </row>
    <row r="148" spans="1:18" x14ac:dyDescent="0.15">
      <c r="A148" s="26">
        <v>141</v>
      </c>
      <c r="B148" s="25">
        <v>113680</v>
      </c>
      <c r="C148" s="25" t="s">
        <v>1043</v>
      </c>
      <c r="D148" s="25">
        <v>121.624</v>
      </c>
      <c r="E148" s="34">
        <v>-2.6099999999999998E-2</v>
      </c>
      <c r="F148" s="25">
        <v>13.01</v>
      </c>
      <c r="G148" s="25">
        <v>62.34</v>
      </c>
      <c r="H148" s="43">
        <v>0.95099999999999996</v>
      </c>
      <c r="I148" s="57">
        <v>216.72399999999999</v>
      </c>
      <c r="J148" s="32">
        <v>47437</v>
      </c>
      <c r="K148" s="33">
        <v>5.4219999999999997</v>
      </c>
      <c r="L148" s="33">
        <v>2.9999899999999999</v>
      </c>
      <c r="M148" s="33">
        <v>7125.6646000000001</v>
      </c>
      <c r="N148" s="34">
        <v>0.19529282466987077</v>
      </c>
      <c r="O148" s="34">
        <v>-1.1200000000000001E-3</v>
      </c>
      <c r="P148" s="25">
        <v>125.069</v>
      </c>
      <c r="Q148" s="25">
        <v>121.5</v>
      </c>
      <c r="R148" s="34">
        <v>2.9374485596707842E-2</v>
      </c>
    </row>
    <row r="149" spans="1:18" x14ac:dyDescent="0.15">
      <c r="A149" s="26">
        <v>142</v>
      </c>
      <c r="B149" s="25">
        <v>127096</v>
      </c>
      <c r="C149" s="25" t="s">
        <v>1032</v>
      </c>
      <c r="D149" s="25">
        <v>131.63900000000001</v>
      </c>
      <c r="E149" s="34">
        <v>-2.0299999999999999E-2</v>
      </c>
      <c r="F149" s="25">
        <v>13.39</v>
      </c>
      <c r="G149" s="25">
        <v>62.29</v>
      </c>
      <c r="H149" s="43">
        <v>1.1133</v>
      </c>
      <c r="I149" s="57">
        <v>242.96899999999999</v>
      </c>
      <c r="J149" s="32">
        <v>47416</v>
      </c>
      <c r="K149" s="33">
        <v>5.3639999999999999</v>
      </c>
      <c r="L149" s="33">
        <v>2.9543059999999999</v>
      </c>
      <c r="M149" s="33">
        <v>9865.9175547999985</v>
      </c>
      <c r="N149" s="34">
        <v>0.25368654334282353</v>
      </c>
      <c r="O149" s="34">
        <v>-1.5298000000000001E-2</v>
      </c>
      <c r="P149" s="25">
        <v>135.06</v>
      </c>
      <c r="Q149" s="25">
        <v>131.35599999999999</v>
      </c>
      <c r="R149" s="34">
        <v>2.8198178994488322E-2</v>
      </c>
    </row>
  </sheetData>
  <autoFilter ref="A7:T94">
    <sortState ref="A8:T209">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17" activePane="bottomLeft" state="frozen"/>
      <selection pane="bottomLeft" activeCell="T33" sqref="T33"/>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50</v>
      </c>
      <c r="B1" s="8"/>
      <c r="C1" s="35" t="s">
        <v>394</v>
      </c>
      <c r="D1" s="12"/>
      <c r="E1" s="12"/>
      <c r="I1" s="8" t="s">
        <v>361</v>
      </c>
      <c r="J1" s="8"/>
      <c r="K1" s="30" t="s">
        <v>362</v>
      </c>
      <c r="L1" s="37"/>
      <c r="M1" s="31"/>
      <c r="N1" s="30"/>
      <c r="O1" s="30"/>
      <c r="P1" s="30"/>
      <c r="R1" s="8" t="s">
        <v>613</v>
      </c>
      <c r="S1" s="8"/>
      <c r="U1" s="7"/>
      <c r="V1" s="7"/>
    </row>
    <row r="2" spans="1:23" s="6" customFormat="1" x14ac:dyDescent="0.15">
      <c r="A2" s="6" t="s">
        <v>38</v>
      </c>
      <c r="B2" s="6" t="s">
        <v>37</v>
      </c>
      <c r="C2" s="6" t="s">
        <v>356</v>
      </c>
      <c r="D2" s="4" t="s">
        <v>48</v>
      </c>
      <c r="E2" s="4" t="s">
        <v>180</v>
      </c>
      <c r="H2" s="15"/>
      <c r="I2" s="6" t="s">
        <v>357</v>
      </c>
      <c r="J2" s="6" t="s">
        <v>358</v>
      </c>
      <c r="K2" s="6" t="s">
        <v>356</v>
      </c>
      <c r="L2" s="38" t="s">
        <v>29</v>
      </c>
      <c r="M2" s="28" t="s">
        <v>360</v>
      </c>
      <c r="N2" s="4" t="s">
        <v>46</v>
      </c>
      <c r="Q2" s="15"/>
      <c r="R2" s="6" t="s">
        <v>357</v>
      </c>
      <c r="S2" s="6" t="s">
        <v>358</v>
      </c>
      <c r="T2" s="6" t="s">
        <v>356</v>
      </c>
      <c r="U2" s="38" t="s">
        <v>29</v>
      </c>
      <c r="V2" s="28" t="s">
        <v>360</v>
      </c>
      <c r="W2" s="4" t="s">
        <v>46</v>
      </c>
    </row>
    <row r="3" spans="1:23" x14ac:dyDescent="0.15">
      <c r="A3" s="1">
        <v>123038</v>
      </c>
      <c r="B3" s="1" t="s">
        <v>981</v>
      </c>
      <c r="C3" s="7">
        <f>VLOOKUP(A3,可转债实时数据!$B$7:$D$149,3,FALSE)</f>
        <v>141.5</v>
      </c>
      <c r="D3" s="5" t="e">
        <f t="shared" ref="D3:D56" si="0">MATCH(A3,$I$1:$I$130,0)-2</f>
        <v>#N/A</v>
      </c>
      <c r="E3" s="5" t="e">
        <f t="shared" ref="E3:E56" si="1">MATCH(A3,$R$1:$R$43,0)-2</f>
        <v>#N/A</v>
      </c>
      <c r="H3" s="14">
        <v>1</v>
      </c>
      <c r="I3">
        <v>118019</v>
      </c>
      <c r="J3" t="s">
        <v>949</v>
      </c>
      <c r="K3">
        <v>161.59899999999999</v>
      </c>
      <c r="L3" s="39">
        <v>-0.1042</v>
      </c>
      <c r="M3" s="17">
        <v>6.0350000000000001E-2</v>
      </c>
      <c r="N3" s="5" t="str">
        <f>IF(ISNA(MATCH(I3,$A$3:$A$130,0)),"未买","Yes")</f>
        <v>未买</v>
      </c>
      <c r="Q3" s="14">
        <v>1</v>
      </c>
      <c r="R3" s="7">
        <v>118019</v>
      </c>
      <c r="S3" s="7" t="s">
        <v>949</v>
      </c>
      <c r="T3" s="7">
        <v>161.59899999999999</v>
      </c>
      <c r="U3" s="39">
        <v>-0.1042</v>
      </c>
      <c r="V3" s="17">
        <v>6.0350000000000001E-2</v>
      </c>
      <c r="W3" s="5" t="str">
        <f t="shared" ref="W3:W52" si="2">IF(ISNA(MATCH(R3,$A$2:$A$43,0)),"未买","Yes")</f>
        <v>未买</v>
      </c>
    </row>
    <row r="4" spans="1:23" x14ac:dyDescent="0.15">
      <c r="A4" s="1">
        <v>123050</v>
      </c>
      <c r="B4" s="1" t="s">
        <v>903</v>
      </c>
      <c r="C4" s="7" t="e">
        <f>VLOOKUP(A4,可转债实时数据!$B$7:$D$149,3,FALSE)</f>
        <v>#N/A</v>
      </c>
      <c r="D4" s="5" t="e">
        <f t="shared" si="0"/>
        <v>#N/A</v>
      </c>
      <c r="E4" s="5" t="e">
        <f t="shared" si="1"/>
        <v>#N/A</v>
      </c>
      <c r="H4" s="14">
        <v>2</v>
      </c>
      <c r="I4">
        <v>123044</v>
      </c>
      <c r="J4" t="s">
        <v>1009</v>
      </c>
      <c r="K4">
        <v>130.65</v>
      </c>
      <c r="L4" s="39">
        <v>-5.3E-3</v>
      </c>
      <c r="M4" s="17">
        <v>4.011279</v>
      </c>
      <c r="N4" s="5" t="str">
        <f>IF(ISNA(MATCH(I4,$A$3:$A$130,0)),"未买","Yes")</f>
        <v>未买</v>
      </c>
      <c r="Q4" s="14">
        <v>2</v>
      </c>
      <c r="R4" s="7">
        <v>123044</v>
      </c>
      <c r="S4" s="7" t="s">
        <v>1009</v>
      </c>
      <c r="T4" s="7">
        <v>130.65</v>
      </c>
      <c r="U4" s="39">
        <v>-5.3E-3</v>
      </c>
      <c r="V4" s="17">
        <v>4.011279</v>
      </c>
      <c r="W4" s="5" t="str">
        <f t="shared" si="2"/>
        <v>未买</v>
      </c>
    </row>
    <row r="5" spans="1:23" x14ac:dyDescent="0.15">
      <c r="A5" s="1">
        <v>123054</v>
      </c>
      <c r="B5" s="1" t="s">
        <v>982</v>
      </c>
      <c r="C5" s="7">
        <f>VLOOKUP(A5,可转债实时数据!$B$7:$D$149,3,FALSE)</f>
        <v>133.602</v>
      </c>
      <c r="D5" s="5" t="e">
        <f t="shared" si="0"/>
        <v>#N/A</v>
      </c>
      <c r="E5" s="5" t="e">
        <f t="shared" si="1"/>
        <v>#N/A</v>
      </c>
      <c r="H5" s="14">
        <v>3</v>
      </c>
      <c r="I5">
        <v>128123</v>
      </c>
      <c r="J5" t="s">
        <v>966</v>
      </c>
      <c r="K5">
        <v>143</v>
      </c>
      <c r="L5" s="39">
        <v>-4.8999999999999998E-3</v>
      </c>
      <c r="M5" s="17">
        <v>2.8745590000000001</v>
      </c>
      <c r="N5" s="5" t="str">
        <f>IF(ISNA(MATCH(I5,$A$3:$A$130,0)),"未买","Yes")</f>
        <v>Yes</v>
      </c>
      <c r="Q5" s="14">
        <v>3</v>
      </c>
      <c r="R5" s="7">
        <v>128123</v>
      </c>
      <c r="S5" s="7" t="s">
        <v>966</v>
      </c>
      <c r="T5" s="7">
        <v>143</v>
      </c>
      <c r="U5" s="39">
        <v>-4.8999999999999998E-3</v>
      </c>
      <c r="V5" s="17">
        <v>2.8745590000000001</v>
      </c>
      <c r="W5" s="5" t="str">
        <f t="shared" si="2"/>
        <v>Yes</v>
      </c>
    </row>
    <row r="6" spans="1:23" x14ac:dyDescent="0.15">
      <c r="A6" s="1">
        <v>123080</v>
      </c>
      <c r="B6" s="1" t="s">
        <v>36</v>
      </c>
      <c r="C6" s="7" t="e">
        <f>VLOOKUP(A6,可转债实时数据!$B$7:$D$149,3,FALSE)</f>
        <v>#N/A</v>
      </c>
      <c r="D6" s="5" t="e">
        <f t="shared" si="0"/>
        <v>#N/A</v>
      </c>
      <c r="E6" s="5" t="e">
        <f t="shared" si="1"/>
        <v>#N/A</v>
      </c>
      <c r="H6" s="14">
        <v>4</v>
      </c>
      <c r="I6">
        <v>123127</v>
      </c>
      <c r="J6" t="s">
        <v>964</v>
      </c>
      <c r="K6">
        <v>156.30000000000001</v>
      </c>
      <c r="L6" s="39">
        <v>2.0799999999999999E-2</v>
      </c>
      <c r="M6" s="17">
        <v>2.8521670000000001</v>
      </c>
      <c r="N6" s="5" t="str">
        <f>IF(ISNA(MATCH(I6,$A$3:$A$130,0)),"未买","Yes")</f>
        <v>未买</v>
      </c>
      <c r="Q6" s="14">
        <v>4</v>
      </c>
      <c r="R6" s="7">
        <v>113027</v>
      </c>
      <c r="S6" s="7" t="s">
        <v>998</v>
      </c>
      <c r="T6" s="7">
        <v>203.399</v>
      </c>
      <c r="U6" s="39">
        <v>1.21E-2</v>
      </c>
      <c r="V6" s="17">
        <v>1.162E-2</v>
      </c>
      <c r="W6" s="5" t="str">
        <f t="shared" si="2"/>
        <v>Yes</v>
      </c>
    </row>
    <row r="7" spans="1:23" x14ac:dyDescent="0.15">
      <c r="A7" s="1">
        <v>123107</v>
      </c>
      <c r="B7" s="1" t="s">
        <v>983</v>
      </c>
      <c r="C7" s="7" t="e">
        <f>VLOOKUP(A7,可转债实时数据!$B$7:$D$149,3,FALSE)</f>
        <v>#N/A</v>
      </c>
      <c r="D7" s="5" t="e">
        <f t="shared" si="0"/>
        <v>#N/A</v>
      </c>
      <c r="E7" s="5" t="e">
        <f t="shared" si="1"/>
        <v>#N/A</v>
      </c>
      <c r="H7" s="14">
        <v>5</v>
      </c>
      <c r="I7">
        <v>123223</v>
      </c>
      <c r="J7" t="s">
        <v>994</v>
      </c>
      <c r="K7">
        <v>175.81299999999999</v>
      </c>
      <c r="L7" s="39">
        <v>2.9100000000000001E-2</v>
      </c>
      <c r="M7" s="17">
        <v>3.5360019999999994</v>
      </c>
      <c r="N7" s="5" t="str">
        <f t="shared" ref="N7:N52" si="3">IF(ISNA(MATCH(I7,$A$3:$A$130,0)),"未买","Yes")</f>
        <v>未买</v>
      </c>
      <c r="Q7" s="14">
        <v>5</v>
      </c>
      <c r="R7" s="7">
        <v>123127</v>
      </c>
      <c r="S7" s="7" t="s">
        <v>964</v>
      </c>
      <c r="T7" s="7">
        <v>156.30000000000001</v>
      </c>
      <c r="U7" s="39">
        <v>2.0799999999999999E-2</v>
      </c>
      <c r="V7" s="17">
        <v>2.8521670000000001</v>
      </c>
      <c r="W7" s="5" t="str">
        <f t="shared" si="2"/>
        <v>未买</v>
      </c>
    </row>
    <row r="8" spans="1:23" x14ac:dyDescent="0.15">
      <c r="A8" s="1">
        <v>123129</v>
      </c>
      <c r="B8" s="1" t="s">
        <v>45</v>
      </c>
      <c r="C8" s="7">
        <f>VLOOKUP(A8,可转债实时数据!$B$7:$D$149,3,FALSE)</f>
        <v>119.9</v>
      </c>
      <c r="D8" s="5" t="e">
        <f t="shared" si="0"/>
        <v>#N/A</v>
      </c>
      <c r="E8" s="5" t="e">
        <f t="shared" si="1"/>
        <v>#N/A</v>
      </c>
      <c r="H8" s="14">
        <v>6</v>
      </c>
      <c r="I8">
        <v>118046</v>
      </c>
      <c r="J8" t="s">
        <v>973</v>
      </c>
      <c r="K8">
        <v>152.14500000000001</v>
      </c>
      <c r="L8" s="39">
        <v>3.2099999999999997E-2</v>
      </c>
      <c r="M8" s="17">
        <v>4.34</v>
      </c>
      <c r="N8" s="5" t="str">
        <f t="shared" si="3"/>
        <v>未买</v>
      </c>
      <c r="Q8" s="14">
        <v>6</v>
      </c>
      <c r="R8" s="7">
        <v>123223</v>
      </c>
      <c r="S8" s="7" t="s">
        <v>994</v>
      </c>
      <c r="T8" s="7">
        <v>175.81299999999999</v>
      </c>
      <c r="U8" s="39">
        <v>2.9100000000000001E-2</v>
      </c>
      <c r="V8" s="17">
        <v>3.5360019999999994</v>
      </c>
      <c r="W8" s="5" t="str">
        <f t="shared" si="2"/>
        <v>未买</v>
      </c>
    </row>
    <row r="9" spans="1:23" x14ac:dyDescent="0.15">
      <c r="A9" s="1">
        <v>123194</v>
      </c>
      <c r="B9" s="1" t="s">
        <v>984</v>
      </c>
      <c r="C9" s="7">
        <f>VLOOKUP(A9,可转债实时数据!$B$7:$D$149,3,FALSE)</f>
        <v>133.05199999999999</v>
      </c>
      <c r="D9" s="5">
        <f t="shared" si="0"/>
        <v>38</v>
      </c>
      <c r="E9" s="5" t="e">
        <f t="shared" si="1"/>
        <v>#N/A</v>
      </c>
      <c r="H9" s="14">
        <v>7</v>
      </c>
      <c r="I9">
        <v>123201</v>
      </c>
      <c r="J9" t="s">
        <v>892</v>
      </c>
      <c r="K9">
        <v>134</v>
      </c>
      <c r="L9" s="39">
        <v>3.9199999999999999E-2</v>
      </c>
      <c r="M9" s="17">
        <v>3.4951050000000001</v>
      </c>
      <c r="N9" s="5" t="str">
        <f t="shared" si="3"/>
        <v>未买</v>
      </c>
      <c r="Q9" s="14">
        <v>7</v>
      </c>
      <c r="R9" s="7">
        <v>118046</v>
      </c>
      <c r="S9" s="7" t="s">
        <v>973</v>
      </c>
      <c r="T9" s="7">
        <v>152.14500000000001</v>
      </c>
      <c r="U9" s="39">
        <v>3.2099999999999997E-2</v>
      </c>
      <c r="V9" s="17">
        <v>4.34</v>
      </c>
      <c r="W9" s="5" t="str">
        <f t="shared" si="2"/>
        <v>未买</v>
      </c>
    </row>
    <row r="10" spans="1:23" x14ac:dyDescent="0.15">
      <c r="A10" s="1">
        <v>127012</v>
      </c>
      <c r="B10" s="1" t="s">
        <v>985</v>
      </c>
      <c r="C10" s="7" t="e">
        <f>VLOOKUP(A10,可转债实时数据!$B$7:$D$149,3,FALSE)</f>
        <v>#N/A</v>
      </c>
      <c r="D10" s="5" t="e">
        <f t="shared" si="0"/>
        <v>#N/A</v>
      </c>
      <c r="E10" s="5" t="e">
        <f t="shared" si="1"/>
        <v>#N/A</v>
      </c>
      <c r="H10" s="14">
        <v>8</v>
      </c>
      <c r="I10">
        <v>127092</v>
      </c>
      <c r="J10" t="s">
        <v>942</v>
      </c>
      <c r="K10">
        <v>164.3</v>
      </c>
      <c r="L10" s="39">
        <v>4.4600000000000001E-2</v>
      </c>
      <c r="M10" s="17">
        <v>7.299112</v>
      </c>
      <c r="N10" s="5" t="str">
        <f t="shared" si="3"/>
        <v>未买</v>
      </c>
      <c r="Q10" s="14">
        <v>8</v>
      </c>
      <c r="R10" s="7">
        <v>123201</v>
      </c>
      <c r="S10" s="7" t="s">
        <v>892</v>
      </c>
      <c r="T10" s="7">
        <v>134</v>
      </c>
      <c r="U10" s="39">
        <v>3.9199999999999999E-2</v>
      </c>
      <c r="V10" s="17">
        <v>3.4951050000000001</v>
      </c>
      <c r="W10" s="5" t="str">
        <f t="shared" si="2"/>
        <v>未买</v>
      </c>
    </row>
    <row r="11" spans="1:23" x14ac:dyDescent="0.15">
      <c r="A11" s="1">
        <v>128076</v>
      </c>
      <c r="B11" s="1" t="s">
        <v>43</v>
      </c>
      <c r="C11" s="7" t="e">
        <f>VLOOKUP(A11,可转债实时数据!$B$7:$D$149,3,FALSE)</f>
        <v>#N/A</v>
      </c>
      <c r="D11" s="5" t="e">
        <f t="shared" si="0"/>
        <v>#N/A</v>
      </c>
      <c r="E11" s="5" t="e">
        <f t="shared" si="1"/>
        <v>#N/A</v>
      </c>
      <c r="H11" s="14">
        <v>9</v>
      </c>
      <c r="I11">
        <v>127014</v>
      </c>
      <c r="J11" t="s">
        <v>890</v>
      </c>
      <c r="K11">
        <v>153</v>
      </c>
      <c r="L11" s="39">
        <v>4.8899999999999999E-2</v>
      </c>
      <c r="M11" s="17">
        <v>5.3004920000000002</v>
      </c>
      <c r="N11" s="5" t="str">
        <f t="shared" si="3"/>
        <v>未买</v>
      </c>
      <c r="Q11" s="14">
        <v>9</v>
      </c>
      <c r="R11" s="7">
        <v>127014</v>
      </c>
      <c r="S11" s="7" t="s">
        <v>890</v>
      </c>
      <c r="T11" s="7">
        <v>153</v>
      </c>
      <c r="U11" s="39">
        <v>4.8899999999999999E-2</v>
      </c>
      <c r="V11" s="17">
        <v>5.3004920000000002</v>
      </c>
      <c r="W11" s="5" t="str">
        <f t="shared" si="2"/>
        <v>未买</v>
      </c>
    </row>
    <row r="12" spans="1:23" x14ac:dyDescent="0.15">
      <c r="A12" s="1">
        <v>128121</v>
      </c>
      <c r="B12" s="1" t="s">
        <v>986</v>
      </c>
      <c r="C12" s="7" t="e">
        <f>VLOOKUP(A12,可转债实时数据!$B$7:$D$149,3,FALSE)</f>
        <v>#N/A</v>
      </c>
      <c r="D12" s="5" t="e">
        <f t="shared" si="0"/>
        <v>#N/A</v>
      </c>
      <c r="E12" s="5" t="e">
        <f t="shared" si="1"/>
        <v>#N/A</v>
      </c>
      <c r="H12" s="14">
        <v>10</v>
      </c>
      <c r="I12">
        <v>123191</v>
      </c>
      <c r="J12" t="s">
        <v>974</v>
      </c>
      <c r="K12">
        <v>126.9</v>
      </c>
      <c r="L12" s="39">
        <v>5.0900000000000001E-2</v>
      </c>
      <c r="M12" s="17">
        <v>6.9919589999999996</v>
      </c>
      <c r="N12" s="5" t="str">
        <f t="shared" si="3"/>
        <v>未买</v>
      </c>
      <c r="Q12" s="14">
        <v>10</v>
      </c>
      <c r="R12" s="7">
        <v>123191</v>
      </c>
      <c r="S12" s="7" t="s">
        <v>974</v>
      </c>
      <c r="T12" s="7">
        <v>126.9</v>
      </c>
      <c r="U12" s="39">
        <v>5.0900000000000001E-2</v>
      </c>
      <c r="V12" s="17">
        <v>6.9919589999999996</v>
      </c>
      <c r="W12" s="5" t="str">
        <f t="shared" si="2"/>
        <v>未买</v>
      </c>
    </row>
    <row r="13" spans="1:23" x14ac:dyDescent="0.15">
      <c r="A13" s="1">
        <v>128123</v>
      </c>
      <c r="B13" s="1" t="s">
        <v>987</v>
      </c>
      <c r="C13" s="7">
        <f>VLOOKUP(A13,可转债实时数据!$B$7:$D$149,3,FALSE)</f>
        <v>143</v>
      </c>
      <c r="D13" s="5">
        <f t="shared" si="0"/>
        <v>3</v>
      </c>
      <c r="E13" s="5">
        <f t="shared" si="1"/>
        <v>3</v>
      </c>
      <c r="H13" s="14">
        <v>11</v>
      </c>
      <c r="I13">
        <v>127037</v>
      </c>
      <c r="J13" t="s">
        <v>637</v>
      </c>
      <c r="K13">
        <v>186.19399999999999</v>
      </c>
      <c r="L13" s="39">
        <v>5.5500000000000001E-2</v>
      </c>
      <c r="M13" s="17">
        <v>5.071593</v>
      </c>
      <c r="N13" s="5" t="str">
        <f t="shared" si="3"/>
        <v>未买</v>
      </c>
      <c r="Q13" s="14">
        <v>11</v>
      </c>
      <c r="R13" s="7">
        <v>127037</v>
      </c>
      <c r="S13" s="7" t="s">
        <v>637</v>
      </c>
      <c r="T13" s="7">
        <v>186.19399999999999</v>
      </c>
      <c r="U13" s="39">
        <v>5.5500000000000001E-2</v>
      </c>
      <c r="V13" s="17">
        <v>5.071593</v>
      </c>
      <c r="W13" s="5" t="str">
        <f t="shared" si="2"/>
        <v>未买</v>
      </c>
    </row>
    <row r="14" spans="1:23" x14ac:dyDescent="0.15">
      <c r="A14" s="1">
        <v>128143</v>
      </c>
      <c r="B14" s="1" t="s">
        <v>902</v>
      </c>
      <c r="C14" s="7">
        <f>VLOOKUP(A14,可转债实时数据!$B$7:$D$149,3,FALSE)</f>
        <v>126.624</v>
      </c>
      <c r="D14" s="5" t="e">
        <f t="shared" si="0"/>
        <v>#N/A</v>
      </c>
      <c r="E14" s="5" t="e">
        <f t="shared" si="1"/>
        <v>#N/A</v>
      </c>
      <c r="H14" s="14">
        <v>12</v>
      </c>
      <c r="I14">
        <v>113546</v>
      </c>
      <c r="J14" t="s">
        <v>40</v>
      </c>
      <c r="K14">
        <v>137.72200000000001</v>
      </c>
      <c r="L14" s="39">
        <v>6.5500000000000003E-2</v>
      </c>
      <c r="M14" s="17">
        <v>2.29501</v>
      </c>
      <c r="N14" s="5" t="str">
        <f t="shared" si="3"/>
        <v>未买</v>
      </c>
      <c r="Q14" s="14">
        <v>12</v>
      </c>
      <c r="R14" s="7">
        <v>113546</v>
      </c>
      <c r="S14" s="7" t="s">
        <v>40</v>
      </c>
      <c r="T14" s="7">
        <v>137.72200000000001</v>
      </c>
      <c r="U14" s="39">
        <v>6.5500000000000003E-2</v>
      </c>
      <c r="V14" s="17">
        <v>2.29501</v>
      </c>
      <c r="W14" s="5" t="str">
        <f t="shared" si="2"/>
        <v>未买</v>
      </c>
    </row>
    <row r="15" spans="1:23" x14ac:dyDescent="0.15">
      <c r="A15" s="1">
        <v>110052</v>
      </c>
      <c r="B15" s="1" t="s">
        <v>605</v>
      </c>
      <c r="C15" s="7" t="e">
        <f>VLOOKUP(A15,可转债实时数据!$B$7:$D$149,3,FALSE)</f>
        <v>#N/A</v>
      </c>
      <c r="D15" s="5" t="e">
        <f t="shared" si="0"/>
        <v>#N/A</v>
      </c>
      <c r="E15" s="5" t="e">
        <f t="shared" si="1"/>
        <v>#N/A</v>
      </c>
      <c r="H15" s="14">
        <v>13</v>
      </c>
      <c r="I15">
        <v>113648</v>
      </c>
      <c r="J15" t="s">
        <v>958</v>
      </c>
      <c r="K15">
        <v>139.33600000000001</v>
      </c>
      <c r="L15" s="39">
        <v>7.3200000000000001E-2</v>
      </c>
      <c r="M15" s="17">
        <v>8.9978300000000004</v>
      </c>
      <c r="N15" s="5" t="str">
        <f t="shared" si="3"/>
        <v>未买</v>
      </c>
      <c r="Q15" s="14">
        <v>13</v>
      </c>
      <c r="R15" s="7">
        <v>123203</v>
      </c>
      <c r="S15" s="7" t="s">
        <v>1059</v>
      </c>
      <c r="T15" s="7">
        <v>128.02799999999999</v>
      </c>
      <c r="U15" s="39">
        <v>9.5199999999999993E-2</v>
      </c>
      <c r="V15" s="17">
        <v>4.4834230000000002</v>
      </c>
      <c r="W15" s="5" t="str">
        <f t="shared" si="2"/>
        <v>未买</v>
      </c>
    </row>
    <row r="16" spans="1:23" x14ac:dyDescent="0.15">
      <c r="A16" s="1">
        <v>113027</v>
      </c>
      <c r="B16" s="1" t="s">
        <v>35</v>
      </c>
      <c r="C16" s="7">
        <f>VLOOKUP(A16,可转债实时数据!$B$7:$D$149,3,FALSE)</f>
        <v>203.399</v>
      </c>
      <c r="D16" s="5" t="e">
        <f t="shared" si="0"/>
        <v>#N/A</v>
      </c>
      <c r="E16" s="5">
        <f t="shared" si="1"/>
        <v>4</v>
      </c>
      <c r="H16" s="14">
        <v>14</v>
      </c>
      <c r="I16">
        <v>111017</v>
      </c>
      <c r="J16" t="s">
        <v>996</v>
      </c>
      <c r="K16">
        <v>151.84200000000001</v>
      </c>
      <c r="L16" s="39">
        <v>8.0600000000000005E-2</v>
      </c>
      <c r="M16" s="17">
        <v>8.6962399999999995</v>
      </c>
      <c r="N16" s="5" t="str">
        <f t="shared" si="3"/>
        <v>未买</v>
      </c>
      <c r="Q16" s="14">
        <v>14</v>
      </c>
      <c r="R16" s="7">
        <v>128106</v>
      </c>
      <c r="S16" s="7" t="s">
        <v>967</v>
      </c>
      <c r="T16" s="7">
        <v>237.90799999999999</v>
      </c>
      <c r="U16" s="39">
        <v>9.8000000000000004E-2</v>
      </c>
      <c r="V16" s="17">
        <v>2.4223150000000002</v>
      </c>
      <c r="W16" s="5" t="str">
        <f t="shared" si="2"/>
        <v>未买</v>
      </c>
    </row>
    <row r="17" spans="1:23" x14ac:dyDescent="0.15">
      <c r="A17" s="1">
        <v>113061</v>
      </c>
      <c r="B17" s="1" t="s">
        <v>988</v>
      </c>
      <c r="C17" s="7" t="e">
        <f>VLOOKUP(A17,可转债实时数据!$B$7:$D$149,3,FALSE)</f>
        <v>#N/A</v>
      </c>
      <c r="D17" s="5" t="e">
        <f t="shared" si="0"/>
        <v>#N/A</v>
      </c>
      <c r="E17" s="5" t="e">
        <f t="shared" si="1"/>
        <v>#N/A</v>
      </c>
      <c r="H17" s="14">
        <v>15</v>
      </c>
      <c r="I17">
        <v>123203</v>
      </c>
      <c r="J17" t="s">
        <v>1059</v>
      </c>
      <c r="K17">
        <v>128.02799999999999</v>
      </c>
      <c r="L17" s="39">
        <v>9.5199999999999993E-2</v>
      </c>
      <c r="M17" s="17">
        <v>4.4834230000000002</v>
      </c>
      <c r="N17" s="5" t="str">
        <f t="shared" si="3"/>
        <v>未买</v>
      </c>
      <c r="Q17" s="14">
        <v>15</v>
      </c>
      <c r="R17" s="7">
        <v>111015</v>
      </c>
      <c r="S17" s="7" t="s">
        <v>894</v>
      </c>
      <c r="T17" s="7">
        <v>117.786</v>
      </c>
      <c r="U17" s="39">
        <v>0.10039999999999999</v>
      </c>
      <c r="V17" s="17">
        <v>6.6623999999999999</v>
      </c>
      <c r="W17" s="5" t="str">
        <f t="shared" si="2"/>
        <v>未买</v>
      </c>
    </row>
    <row r="18" spans="1:23" x14ac:dyDescent="0.15">
      <c r="A18" s="1">
        <v>113526</v>
      </c>
      <c r="B18" s="1" t="s">
        <v>44</v>
      </c>
      <c r="C18" s="7" t="e">
        <f>VLOOKUP(A18,可转债实时数据!$B$7:$D$149,3,FALSE)</f>
        <v>#N/A</v>
      </c>
      <c r="D18" s="5" t="e">
        <f t="shared" si="0"/>
        <v>#N/A</v>
      </c>
      <c r="E18" s="5" t="e">
        <f t="shared" si="1"/>
        <v>#N/A</v>
      </c>
      <c r="H18" s="14">
        <v>16</v>
      </c>
      <c r="I18">
        <v>111015</v>
      </c>
      <c r="J18" t="s">
        <v>894</v>
      </c>
      <c r="K18">
        <v>117.786</v>
      </c>
      <c r="L18" s="39">
        <v>0.10039999999999999</v>
      </c>
      <c r="M18" s="17">
        <v>6.6623999999999999</v>
      </c>
      <c r="N18" s="5" t="str">
        <f t="shared" si="3"/>
        <v>未买</v>
      </c>
      <c r="Q18" s="14">
        <v>16</v>
      </c>
      <c r="R18" s="7">
        <v>128087</v>
      </c>
      <c r="S18" s="7" t="s">
        <v>42</v>
      </c>
      <c r="T18" s="7">
        <v>116.452</v>
      </c>
      <c r="U18" s="39">
        <v>0.1016</v>
      </c>
      <c r="V18" s="17">
        <v>6.4426889999999997</v>
      </c>
      <c r="W18" s="5" t="str">
        <f t="shared" si="2"/>
        <v>未买</v>
      </c>
    </row>
    <row r="19" spans="1:23" x14ac:dyDescent="0.15">
      <c r="A19" s="1">
        <v>113532</v>
      </c>
      <c r="B19" s="1" t="s">
        <v>976</v>
      </c>
      <c r="C19" s="7" t="e">
        <f>VLOOKUP(A19,可转债实时数据!$B$7:$D$149,3,FALSE)</f>
        <v>#N/A</v>
      </c>
      <c r="D19" s="5" t="e">
        <f t="shared" si="0"/>
        <v>#N/A</v>
      </c>
      <c r="E19" s="5" t="e">
        <f t="shared" si="1"/>
        <v>#N/A</v>
      </c>
      <c r="H19" s="14">
        <v>17</v>
      </c>
      <c r="I19">
        <v>128087</v>
      </c>
      <c r="J19" t="s">
        <v>42</v>
      </c>
      <c r="K19">
        <v>116.452</v>
      </c>
      <c r="L19" s="39">
        <v>0.1016</v>
      </c>
      <c r="M19" s="17">
        <v>6.4426889999999997</v>
      </c>
      <c r="N19" s="5" t="str">
        <f t="shared" si="3"/>
        <v>未买</v>
      </c>
      <c r="Q19" s="14">
        <v>17</v>
      </c>
      <c r="R19" s="7">
        <v>111011</v>
      </c>
      <c r="S19" s="7" t="s">
        <v>1002</v>
      </c>
      <c r="T19" s="7">
        <v>139.001</v>
      </c>
      <c r="U19" s="39">
        <v>0.11259999999999999</v>
      </c>
      <c r="V19" s="17">
        <v>4.0325800000000003</v>
      </c>
      <c r="W19" s="5" t="str">
        <f t="shared" si="2"/>
        <v>未买</v>
      </c>
    </row>
    <row r="20" spans="1:23" x14ac:dyDescent="0.15">
      <c r="A20" s="1">
        <v>113561</v>
      </c>
      <c r="B20" s="1" t="s">
        <v>968</v>
      </c>
      <c r="C20" s="7" t="e">
        <f>VLOOKUP(A20,可转债实时数据!$B$7:$D$149,3,FALSE)</f>
        <v>#N/A</v>
      </c>
      <c r="D20" s="5" t="e">
        <f t="shared" si="0"/>
        <v>#N/A</v>
      </c>
      <c r="E20" s="5" t="e">
        <f t="shared" si="1"/>
        <v>#N/A</v>
      </c>
      <c r="H20" s="14">
        <v>18</v>
      </c>
      <c r="I20">
        <v>113631</v>
      </c>
      <c r="J20" t="s">
        <v>951</v>
      </c>
      <c r="K20">
        <v>128.24199999999999</v>
      </c>
      <c r="L20" s="39">
        <v>0.1017</v>
      </c>
      <c r="M20" s="17">
        <v>9.2962299999999995</v>
      </c>
      <c r="N20" s="5" t="str">
        <f t="shared" si="3"/>
        <v>未买</v>
      </c>
      <c r="Q20" s="14">
        <v>18</v>
      </c>
      <c r="R20" s="7">
        <v>123205</v>
      </c>
      <c r="S20" s="7" t="s">
        <v>1004</v>
      </c>
      <c r="T20" s="7">
        <v>131.292</v>
      </c>
      <c r="U20" s="39">
        <v>0.1293</v>
      </c>
      <c r="V20" s="17">
        <v>4.0439749999999997</v>
      </c>
      <c r="W20" s="5" t="str">
        <f t="shared" si="2"/>
        <v>未买</v>
      </c>
    </row>
    <row r="21" spans="1:23" x14ac:dyDescent="0.15">
      <c r="A21" s="1">
        <v>113566</v>
      </c>
      <c r="B21" s="1" t="s">
        <v>965</v>
      </c>
      <c r="C21" s="7" t="e">
        <f>VLOOKUP(A21,可转债实时数据!$B$7:$D$149,3,FALSE)</f>
        <v>#N/A</v>
      </c>
      <c r="D21" s="5" t="e">
        <f t="shared" si="0"/>
        <v>#N/A</v>
      </c>
      <c r="E21" s="5" t="e">
        <f t="shared" si="1"/>
        <v>#N/A</v>
      </c>
      <c r="H21" s="14">
        <v>19</v>
      </c>
      <c r="I21">
        <v>123213</v>
      </c>
      <c r="J21" t="s">
        <v>1025</v>
      </c>
      <c r="K21">
        <v>125.523</v>
      </c>
      <c r="L21" s="39">
        <v>0.1069</v>
      </c>
      <c r="M21" s="17">
        <v>9.9997799999999994</v>
      </c>
      <c r="N21" s="5" t="str">
        <f t="shared" si="3"/>
        <v>未买</v>
      </c>
      <c r="Q21" s="14">
        <v>19</v>
      </c>
      <c r="R21" s="7">
        <v>110074</v>
      </c>
      <c r="S21" s="7" t="s">
        <v>1008</v>
      </c>
      <c r="T21" s="7">
        <v>135.38800000000001</v>
      </c>
      <c r="U21" s="39">
        <v>0.13039999999999999</v>
      </c>
      <c r="V21" s="17">
        <v>5.0761500000000002</v>
      </c>
      <c r="W21" s="5" t="str">
        <f t="shared" si="2"/>
        <v>未买</v>
      </c>
    </row>
    <row r="22" spans="1:23" x14ac:dyDescent="0.15">
      <c r="A22" s="1">
        <v>113588</v>
      </c>
      <c r="B22" s="1" t="s">
        <v>989</v>
      </c>
      <c r="C22" s="7">
        <f>VLOOKUP(A22,可转债实时数据!$B$7:$D$149,3,FALSE)</f>
        <v>150.52799999999999</v>
      </c>
      <c r="D22" s="5">
        <f t="shared" si="0"/>
        <v>46</v>
      </c>
      <c r="E22" s="5">
        <f t="shared" si="1"/>
        <v>37</v>
      </c>
      <c r="H22" s="14">
        <v>20</v>
      </c>
      <c r="I22">
        <v>111011</v>
      </c>
      <c r="J22" t="s">
        <v>1002</v>
      </c>
      <c r="K22">
        <v>139.001</v>
      </c>
      <c r="L22" s="39">
        <v>0.11259999999999999</v>
      </c>
      <c r="M22" s="17">
        <v>4.0325800000000003</v>
      </c>
      <c r="N22" s="5" t="str">
        <f t="shared" si="3"/>
        <v>未买</v>
      </c>
      <c r="Q22" s="14">
        <v>20</v>
      </c>
      <c r="R22" s="7">
        <v>123143</v>
      </c>
      <c r="S22" s="7" t="s">
        <v>1054</v>
      </c>
      <c r="T22" s="7">
        <v>137.83799999999999</v>
      </c>
      <c r="U22" s="39">
        <v>0.1346</v>
      </c>
      <c r="V22" s="17">
        <v>2.6896019999999998</v>
      </c>
      <c r="W22" s="5" t="str">
        <f t="shared" si="2"/>
        <v>未买</v>
      </c>
    </row>
    <row r="23" spans="1:23" x14ac:dyDescent="0.15">
      <c r="A23" s="1">
        <v>113628</v>
      </c>
      <c r="B23" s="1" t="s">
        <v>886</v>
      </c>
      <c r="C23" s="7">
        <f>VLOOKUP(A23,可转债实时数据!$B$7:$D$149,3,FALSE)</f>
        <v>117.13200000000001</v>
      </c>
      <c r="D23" s="5" t="e">
        <f t="shared" si="0"/>
        <v>#N/A</v>
      </c>
      <c r="E23" s="5" t="e">
        <f t="shared" si="1"/>
        <v>#N/A</v>
      </c>
      <c r="H23" s="14">
        <v>21</v>
      </c>
      <c r="I23">
        <v>123205</v>
      </c>
      <c r="J23" t="s">
        <v>1004</v>
      </c>
      <c r="K23">
        <v>131.292</v>
      </c>
      <c r="L23" s="39">
        <v>0.1293</v>
      </c>
      <c r="M23" s="17">
        <v>4.0439749999999997</v>
      </c>
      <c r="N23" s="5" t="str">
        <f t="shared" si="3"/>
        <v>未买</v>
      </c>
      <c r="Q23" s="14">
        <v>21</v>
      </c>
      <c r="R23" s="7">
        <v>118021</v>
      </c>
      <c r="S23" s="7" t="s">
        <v>962</v>
      </c>
      <c r="T23" s="7">
        <v>154.255</v>
      </c>
      <c r="U23" s="39">
        <v>0.13699999999999998</v>
      </c>
      <c r="V23" s="17">
        <v>2.5010400000000002</v>
      </c>
      <c r="W23" s="5" t="str">
        <f t="shared" si="2"/>
        <v>未买</v>
      </c>
    </row>
    <row r="24" spans="1:23" x14ac:dyDescent="0.15">
      <c r="A24" s="1"/>
      <c r="B24" s="1"/>
      <c r="C24" s="7" t="e">
        <f>VLOOKUP(A24,可转债实时数据!$B$7:$D$149,3,FALSE)</f>
        <v>#N/A</v>
      </c>
      <c r="D24" s="5" t="e">
        <f t="shared" si="0"/>
        <v>#N/A</v>
      </c>
      <c r="E24" s="5" t="e">
        <f t="shared" si="1"/>
        <v>#N/A</v>
      </c>
      <c r="H24" s="14">
        <v>22</v>
      </c>
      <c r="I24">
        <v>110074</v>
      </c>
      <c r="J24" t="s">
        <v>1008</v>
      </c>
      <c r="K24">
        <v>135.38800000000001</v>
      </c>
      <c r="L24" s="39">
        <v>0.13039999999999999</v>
      </c>
      <c r="M24" s="17">
        <v>5.0761500000000002</v>
      </c>
      <c r="N24" s="5" t="str">
        <f t="shared" si="3"/>
        <v>未买</v>
      </c>
      <c r="Q24" s="14">
        <v>22</v>
      </c>
      <c r="R24" s="7">
        <v>113672</v>
      </c>
      <c r="S24" s="7" t="s">
        <v>1006</v>
      </c>
      <c r="T24" s="7">
        <v>137.12899999999999</v>
      </c>
      <c r="U24" s="39">
        <v>0.1396</v>
      </c>
      <c r="V24" s="17">
        <v>6.3849299999999998</v>
      </c>
      <c r="W24" s="5" t="str">
        <f t="shared" si="2"/>
        <v>未买</v>
      </c>
    </row>
    <row r="25" spans="1:23" x14ac:dyDescent="0.15">
      <c r="A25" s="1"/>
      <c r="B25" s="1"/>
      <c r="C25" s="7" t="e">
        <f>VLOOKUP(A25,可转债实时数据!$B$7:$D$149,3,FALSE)</f>
        <v>#N/A</v>
      </c>
      <c r="D25" s="5" t="e">
        <f t="shared" si="0"/>
        <v>#N/A</v>
      </c>
      <c r="E25" s="5" t="e">
        <f t="shared" si="1"/>
        <v>#N/A</v>
      </c>
      <c r="H25" s="14">
        <v>23</v>
      </c>
      <c r="I25">
        <v>123143</v>
      </c>
      <c r="J25" t="s">
        <v>1054</v>
      </c>
      <c r="K25">
        <v>137.83799999999999</v>
      </c>
      <c r="L25" s="39">
        <v>0.1346</v>
      </c>
      <c r="M25" s="17">
        <v>2.6896019999999998</v>
      </c>
      <c r="N25" s="5" t="str">
        <f t="shared" si="3"/>
        <v>未买</v>
      </c>
      <c r="Q25" s="14">
        <v>23</v>
      </c>
      <c r="R25" s="7">
        <v>127095</v>
      </c>
      <c r="S25" s="7" t="s">
        <v>999</v>
      </c>
      <c r="T25" s="7">
        <v>132.84899999999999</v>
      </c>
      <c r="U25" s="39">
        <v>0.14880000000000002</v>
      </c>
      <c r="V25" s="17">
        <v>6.9927970000000004</v>
      </c>
      <c r="W25" s="5" t="str">
        <f t="shared" si="2"/>
        <v>未买</v>
      </c>
    </row>
    <row r="26" spans="1:23" x14ac:dyDescent="0.15">
      <c r="A26" s="1"/>
      <c r="B26" s="1"/>
      <c r="C26" s="7" t="e">
        <f>VLOOKUP(A26,可转债实时数据!$B$7:$D$149,3,FALSE)</f>
        <v>#N/A</v>
      </c>
      <c r="D26" s="5" t="e">
        <f t="shared" si="0"/>
        <v>#N/A</v>
      </c>
      <c r="E26" s="5" t="e">
        <f t="shared" si="1"/>
        <v>#N/A</v>
      </c>
      <c r="H26" s="14">
        <v>24</v>
      </c>
      <c r="I26">
        <v>127075</v>
      </c>
      <c r="J26" t="s">
        <v>1062</v>
      </c>
      <c r="K26">
        <v>115.69199999999999</v>
      </c>
      <c r="L26" s="39">
        <v>0.13699999999999998</v>
      </c>
      <c r="M26" s="17">
        <v>9.6692460000000011</v>
      </c>
      <c r="N26" s="5" t="str">
        <f t="shared" si="3"/>
        <v>未买</v>
      </c>
      <c r="Q26" s="14">
        <v>24</v>
      </c>
      <c r="R26" s="7">
        <v>123222</v>
      </c>
      <c r="S26" s="7" t="s">
        <v>943</v>
      </c>
      <c r="T26" s="7">
        <v>131.30000000000001</v>
      </c>
      <c r="U26" s="39">
        <v>0.15839999999999999</v>
      </c>
      <c r="V26" s="17">
        <v>4.9987690000000002</v>
      </c>
      <c r="W26" s="5" t="str">
        <f t="shared" si="2"/>
        <v>未买</v>
      </c>
    </row>
    <row r="27" spans="1:23" x14ac:dyDescent="0.15">
      <c r="A27" s="1"/>
      <c r="B27" s="1"/>
      <c r="C27" s="7" t="e">
        <f>VLOOKUP(A27,可转债实时数据!$B$7:$D$149,3,FALSE)</f>
        <v>#N/A</v>
      </c>
      <c r="D27" s="5" t="e">
        <f t="shared" si="0"/>
        <v>#N/A</v>
      </c>
      <c r="E27" s="5" t="e">
        <f t="shared" si="1"/>
        <v>#N/A</v>
      </c>
      <c r="H27" s="14">
        <v>25</v>
      </c>
      <c r="I27">
        <v>118021</v>
      </c>
      <c r="J27" t="s">
        <v>962</v>
      </c>
      <c r="K27">
        <v>154.255</v>
      </c>
      <c r="L27" s="39">
        <v>0.13699999999999998</v>
      </c>
      <c r="M27" s="17">
        <v>2.5010400000000002</v>
      </c>
      <c r="N27" s="5" t="str">
        <f t="shared" si="3"/>
        <v>未买</v>
      </c>
      <c r="Q27" s="14">
        <v>25</v>
      </c>
      <c r="R27" s="7">
        <v>123209</v>
      </c>
      <c r="S27" s="7" t="s">
        <v>1013</v>
      </c>
      <c r="T27" s="7">
        <v>133.5</v>
      </c>
      <c r="U27" s="39">
        <v>0.15869999999999998</v>
      </c>
      <c r="V27" s="17">
        <v>2.1513990000000005</v>
      </c>
      <c r="W27" s="5" t="str">
        <f t="shared" si="2"/>
        <v>未买</v>
      </c>
    </row>
    <row r="28" spans="1:23" x14ac:dyDescent="0.15">
      <c r="A28" s="1"/>
      <c r="B28" s="1"/>
      <c r="C28" s="7" t="e">
        <f>VLOOKUP(A28,可转债实时数据!$B$7:$D$149,3,FALSE)</f>
        <v>#N/A</v>
      </c>
      <c r="D28" s="5" t="e">
        <f t="shared" si="0"/>
        <v>#N/A</v>
      </c>
      <c r="E28" s="5" t="e">
        <f t="shared" si="1"/>
        <v>#N/A</v>
      </c>
      <c r="H28" s="14">
        <v>26</v>
      </c>
      <c r="I28">
        <v>123192</v>
      </c>
      <c r="J28" t="s">
        <v>995</v>
      </c>
      <c r="K28">
        <v>165.27500000000001</v>
      </c>
      <c r="L28" s="39">
        <v>0.1386</v>
      </c>
      <c r="M28" s="17">
        <v>7.2385849999999996</v>
      </c>
      <c r="N28" s="5" t="str">
        <f t="shared" si="3"/>
        <v>未买</v>
      </c>
      <c r="Q28" s="14">
        <v>26</v>
      </c>
      <c r="R28" s="7">
        <v>123188</v>
      </c>
      <c r="S28" s="7" t="s">
        <v>997</v>
      </c>
      <c r="T28" s="7">
        <v>140.01499999999999</v>
      </c>
      <c r="U28" s="39">
        <v>0.16440000000000002</v>
      </c>
      <c r="V28" s="17">
        <v>6.948963</v>
      </c>
      <c r="W28" s="5" t="str">
        <f t="shared" si="2"/>
        <v>未买</v>
      </c>
    </row>
    <row r="29" spans="1:23" x14ac:dyDescent="0.15">
      <c r="A29" s="1"/>
      <c r="B29" s="1"/>
      <c r="C29" s="7" t="e">
        <f>VLOOKUP(A29,可转债实时数据!$B$7:$D$149,3,FALSE)</f>
        <v>#N/A</v>
      </c>
      <c r="D29" s="5" t="e">
        <f t="shared" si="0"/>
        <v>#N/A</v>
      </c>
      <c r="E29" s="5" t="e">
        <f t="shared" si="1"/>
        <v>#N/A</v>
      </c>
      <c r="H29" s="14">
        <v>27</v>
      </c>
      <c r="I29">
        <v>113672</v>
      </c>
      <c r="J29" t="s">
        <v>1006</v>
      </c>
      <c r="K29">
        <v>137.12899999999999</v>
      </c>
      <c r="L29" s="39">
        <v>0.1396</v>
      </c>
      <c r="M29" s="17">
        <v>6.3849299999999998</v>
      </c>
      <c r="N29" s="5" t="str">
        <f t="shared" si="3"/>
        <v>未买</v>
      </c>
      <c r="Q29" s="14">
        <v>27</v>
      </c>
      <c r="R29" s="7">
        <v>123204</v>
      </c>
      <c r="S29" s="7" t="s">
        <v>895</v>
      </c>
      <c r="T29" s="7">
        <v>122.577</v>
      </c>
      <c r="U29" s="39">
        <v>0.17180000000000001</v>
      </c>
      <c r="V29" s="17">
        <v>6.1658109999999997</v>
      </c>
      <c r="W29" s="5" t="str">
        <f t="shared" si="2"/>
        <v>未买</v>
      </c>
    </row>
    <row r="30" spans="1:23" x14ac:dyDescent="0.15">
      <c r="A30" s="1"/>
      <c r="B30" s="1"/>
      <c r="C30" s="7" t="e">
        <f>VLOOKUP(A30,可转债实时数据!$B$7:$D$149,3,FALSE)</f>
        <v>#N/A</v>
      </c>
      <c r="D30" s="5" t="e">
        <f t="shared" si="0"/>
        <v>#N/A</v>
      </c>
      <c r="E30" s="5" t="e">
        <f t="shared" si="1"/>
        <v>#N/A</v>
      </c>
      <c r="H30" s="14">
        <v>28</v>
      </c>
      <c r="I30">
        <v>127095</v>
      </c>
      <c r="J30" t="s">
        <v>999</v>
      </c>
      <c r="K30">
        <v>132.84899999999999</v>
      </c>
      <c r="L30" s="39">
        <v>0.14880000000000002</v>
      </c>
      <c r="M30" s="17">
        <v>6.9927970000000004</v>
      </c>
      <c r="N30" s="5" t="str">
        <f t="shared" si="3"/>
        <v>未买</v>
      </c>
      <c r="Q30" s="14">
        <v>28</v>
      </c>
      <c r="R30" s="7">
        <v>123092</v>
      </c>
      <c r="S30" s="7" t="s">
        <v>891</v>
      </c>
      <c r="T30" s="7">
        <v>127.15</v>
      </c>
      <c r="U30" s="39">
        <v>0.17370000000000002</v>
      </c>
      <c r="V30" s="17">
        <v>3.9874019999999994</v>
      </c>
      <c r="W30" s="5" t="str">
        <f t="shared" si="2"/>
        <v>未买</v>
      </c>
    </row>
    <row r="31" spans="1:23" x14ac:dyDescent="0.15">
      <c r="A31" s="1"/>
      <c r="B31" s="1"/>
      <c r="C31" s="7" t="e">
        <f>VLOOKUP(A31,可转债实时数据!$B$7:$D$149,3,FALSE)</f>
        <v>#N/A</v>
      </c>
      <c r="D31" s="5" t="e">
        <f t="shared" si="0"/>
        <v>#N/A</v>
      </c>
      <c r="E31" s="5" t="e">
        <f t="shared" si="1"/>
        <v>#N/A</v>
      </c>
      <c r="H31" s="14">
        <v>29</v>
      </c>
      <c r="I31">
        <v>123184</v>
      </c>
      <c r="J31" t="s">
        <v>947</v>
      </c>
      <c r="K31">
        <v>123.2</v>
      </c>
      <c r="L31" s="39">
        <v>0.1512</v>
      </c>
      <c r="M31" s="17">
        <v>9.7494750000000003</v>
      </c>
      <c r="N31" s="5" t="str">
        <f t="shared" si="3"/>
        <v>未买</v>
      </c>
      <c r="Q31" s="14">
        <v>29</v>
      </c>
      <c r="R31" s="7">
        <v>128128</v>
      </c>
      <c r="S31" s="7" t="s">
        <v>1060</v>
      </c>
      <c r="T31" s="7">
        <v>125.902</v>
      </c>
      <c r="U31" s="39">
        <v>0.1832</v>
      </c>
      <c r="V31" s="17">
        <v>6.7943759999999997</v>
      </c>
      <c r="W31" s="5" t="str">
        <f t="shared" si="2"/>
        <v>未买</v>
      </c>
    </row>
    <row r="32" spans="1:23" x14ac:dyDescent="0.15">
      <c r="A32" s="1"/>
      <c r="B32" s="1"/>
      <c r="C32" s="7" t="e">
        <f>VLOOKUP(A32,可转债实时数据!$B$7:$D$149,3,FALSE)</f>
        <v>#N/A</v>
      </c>
      <c r="D32" s="5" t="e">
        <f t="shared" si="0"/>
        <v>#N/A</v>
      </c>
      <c r="E32" s="5" t="e">
        <f t="shared" si="1"/>
        <v>#N/A</v>
      </c>
      <c r="H32" s="14">
        <v>30</v>
      </c>
      <c r="I32">
        <v>123222</v>
      </c>
      <c r="J32" t="s">
        <v>943</v>
      </c>
      <c r="K32">
        <v>131.30000000000001</v>
      </c>
      <c r="L32" s="39">
        <v>0.15839999999999999</v>
      </c>
      <c r="M32" s="17">
        <v>4.9987690000000002</v>
      </c>
      <c r="N32" s="5" t="str">
        <f t="shared" si="3"/>
        <v>未买</v>
      </c>
      <c r="Q32" s="14">
        <v>30</v>
      </c>
      <c r="R32" s="7">
        <v>113651</v>
      </c>
      <c r="S32" s="7" t="s">
        <v>619</v>
      </c>
      <c r="T32" s="7">
        <v>129.32499999999999</v>
      </c>
      <c r="U32" s="39">
        <v>0.18469999999999998</v>
      </c>
      <c r="V32" s="17">
        <v>6.0994000000000002</v>
      </c>
      <c r="W32" s="5" t="str">
        <f t="shared" si="2"/>
        <v>未买</v>
      </c>
    </row>
    <row r="33" spans="1:23" x14ac:dyDescent="0.15">
      <c r="A33" s="1"/>
      <c r="B33" s="1"/>
      <c r="C33" s="7" t="e">
        <f>VLOOKUP(A33,可转债实时数据!$B$7:$D$149,3,FALSE)</f>
        <v>#N/A</v>
      </c>
      <c r="D33" s="5" t="e">
        <f t="shared" si="0"/>
        <v>#N/A</v>
      </c>
      <c r="E33" s="5" t="e">
        <f t="shared" si="1"/>
        <v>#N/A</v>
      </c>
      <c r="H33" s="14">
        <v>31</v>
      </c>
      <c r="I33">
        <v>123209</v>
      </c>
      <c r="J33" t="s">
        <v>1013</v>
      </c>
      <c r="K33">
        <v>133.5</v>
      </c>
      <c r="L33" s="39">
        <v>0.15869999999999998</v>
      </c>
      <c r="M33" s="17">
        <v>2.1513990000000005</v>
      </c>
      <c r="N33" s="5" t="str">
        <f t="shared" si="3"/>
        <v>未买</v>
      </c>
      <c r="Q33" s="14">
        <v>31</v>
      </c>
      <c r="R33" s="7">
        <v>123221</v>
      </c>
      <c r="S33" s="7" t="s">
        <v>910</v>
      </c>
      <c r="T33" s="7">
        <v>131.94900000000001</v>
      </c>
      <c r="U33" s="39">
        <v>0.1852</v>
      </c>
      <c r="V33" s="17">
        <v>4.9941829999999996</v>
      </c>
      <c r="W33" s="5" t="str">
        <f t="shared" si="2"/>
        <v>未买</v>
      </c>
    </row>
    <row r="34" spans="1:23" x14ac:dyDescent="0.15">
      <c r="A34" s="1"/>
      <c r="B34" s="1"/>
      <c r="C34" s="7" t="e">
        <f>VLOOKUP(A34,可转债实时数据!$B$7:$D$149,3,FALSE)</f>
        <v>#N/A</v>
      </c>
      <c r="D34" s="5" t="e">
        <f t="shared" si="0"/>
        <v>#N/A</v>
      </c>
      <c r="E34" s="5" t="e">
        <f t="shared" si="1"/>
        <v>#N/A</v>
      </c>
      <c r="H34" s="14">
        <v>32</v>
      </c>
      <c r="I34">
        <v>123188</v>
      </c>
      <c r="J34" t="s">
        <v>997</v>
      </c>
      <c r="K34">
        <v>140.01499999999999</v>
      </c>
      <c r="L34" s="39">
        <v>0.16440000000000002</v>
      </c>
      <c r="M34" s="17">
        <v>6.948963</v>
      </c>
      <c r="N34" s="5" t="str">
        <f t="shared" si="3"/>
        <v>未买</v>
      </c>
      <c r="Q34" s="14">
        <v>32</v>
      </c>
      <c r="R34" s="7">
        <v>123219</v>
      </c>
      <c r="S34" s="7" t="s">
        <v>911</v>
      </c>
      <c r="T34" s="7">
        <v>126.462</v>
      </c>
      <c r="U34" s="39">
        <v>0.18770000000000001</v>
      </c>
      <c r="V34" s="17">
        <v>5.9998149999999999</v>
      </c>
      <c r="W34" s="5" t="str">
        <f t="shared" si="2"/>
        <v>未买</v>
      </c>
    </row>
    <row r="35" spans="1:23" x14ac:dyDescent="0.15">
      <c r="A35" s="1"/>
      <c r="B35" s="1"/>
      <c r="C35" s="7" t="e">
        <f>VLOOKUP(A35,可转债实时数据!$B$7:$D$149,3,FALSE)</f>
        <v>#N/A</v>
      </c>
      <c r="D35" s="5" t="e">
        <f t="shared" si="0"/>
        <v>#N/A</v>
      </c>
      <c r="E35" s="5" t="e">
        <f t="shared" si="1"/>
        <v>#N/A</v>
      </c>
      <c r="H35" s="14">
        <v>33</v>
      </c>
      <c r="I35">
        <v>123204</v>
      </c>
      <c r="J35" t="s">
        <v>895</v>
      </c>
      <c r="K35">
        <v>122.577</v>
      </c>
      <c r="L35" s="39">
        <v>0.17180000000000001</v>
      </c>
      <c r="M35" s="17">
        <v>6.1658109999999997</v>
      </c>
      <c r="N35" s="5" t="str">
        <f t="shared" si="3"/>
        <v>未买</v>
      </c>
      <c r="Q35" s="14">
        <v>33</v>
      </c>
      <c r="R35" s="7">
        <v>123229</v>
      </c>
      <c r="S35" s="7" t="s">
        <v>1003</v>
      </c>
      <c r="T35" s="7">
        <v>122.22199999999999</v>
      </c>
      <c r="U35" s="39">
        <v>0.19500000000000001</v>
      </c>
      <c r="V35" s="17">
        <v>4.9996200000000002</v>
      </c>
      <c r="W35" s="5" t="str">
        <f t="shared" si="2"/>
        <v>未买</v>
      </c>
    </row>
    <row r="36" spans="1:23" x14ac:dyDescent="0.15">
      <c r="A36" s="1"/>
      <c r="B36" s="1"/>
      <c r="C36" s="7" t="e">
        <f>VLOOKUP(A36,可转债实时数据!$B$7:$D$149,3,FALSE)</f>
        <v>#N/A</v>
      </c>
      <c r="D36" s="5" t="e">
        <f t="shared" si="0"/>
        <v>#N/A</v>
      </c>
      <c r="E36" s="5" t="e">
        <f t="shared" si="1"/>
        <v>#N/A</v>
      </c>
      <c r="H36" s="14">
        <v>34</v>
      </c>
      <c r="I36">
        <v>123092</v>
      </c>
      <c r="J36" t="s">
        <v>891</v>
      </c>
      <c r="K36">
        <v>127.15</v>
      </c>
      <c r="L36" s="39">
        <v>0.17370000000000002</v>
      </c>
      <c r="M36" s="17">
        <v>3.9874019999999994</v>
      </c>
      <c r="N36" s="5" t="str">
        <f t="shared" si="3"/>
        <v>未买</v>
      </c>
      <c r="Q36" s="14">
        <v>34</v>
      </c>
      <c r="R36" s="7">
        <v>123135</v>
      </c>
      <c r="S36" s="7" t="s">
        <v>948</v>
      </c>
      <c r="T36" s="7">
        <v>134.6</v>
      </c>
      <c r="U36" s="39">
        <v>0.2175</v>
      </c>
      <c r="V36" s="17">
        <v>2.0100609999999999</v>
      </c>
      <c r="W36" s="5" t="str">
        <f t="shared" si="2"/>
        <v>未买</v>
      </c>
    </row>
    <row r="37" spans="1:23" x14ac:dyDescent="0.15">
      <c r="A37" s="1"/>
      <c r="B37" s="1"/>
      <c r="C37" s="7" t="e">
        <f>VLOOKUP(A37,可转债实时数据!$B$7:$D$149,3,FALSE)</f>
        <v>#N/A</v>
      </c>
      <c r="D37" s="5" t="e">
        <f t="shared" si="0"/>
        <v>#N/A</v>
      </c>
      <c r="E37" s="5" t="e">
        <f t="shared" si="1"/>
        <v>#N/A</v>
      </c>
      <c r="H37" s="14">
        <v>35</v>
      </c>
      <c r="I37">
        <v>128128</v>
      </c>
      <c r="J37" t="s">
        <v>1060</v>
      </c>
      <c r="K37">
        <v>125.902</v>
      </c>
      <c r="L37" s="39">
        <v>0.1832</v>
      </c>
      <c r="M37" s="17">
        <v>6.7943759999999997</v>
      </c>
      <c r="N37" s="5" t="str">
        <f t="shared" si="3"/>
        <v>未买</v>
      </c>
      <c r="Q37" s="14">
        <v>35</v>
      </c>
      <c r="R37" s="7">
        <v>127028</v>
      </c>
      <c r="S37" s="7" t="s">
        <v>39</v>
      </c>
      <c r="T37" s="7">
        <v>123.705</v>
      </c>
      <c r="U37" s="39">
        <v>0.22070000000000001</v>
      </c>
      <c r="V37" s="17">
        <v>4.0626449999999998</v>
      </c>
      <c r="W37" s="5" t="str">
        <f t="shared" si="2"/>
        <v>未买</v>
      </c>
    </row>
    <row r="38" spans="1:23" x14ac:dyDescent="0.15">
      <c r="A38" s="1"/>
      <c r="B38" s="1"/>
      <c r="C38" s="7" t="e">
        <f>VLOOKUP(A38,可转债实时数据!$B$7:$D$149,3,FALSE)</f>
        <v>#N/A</v>
      </c>
      <c r="D38" s="5" t="e">
        <f t="shared" si="0"/>
        <v>#N/A</v>
      </c>
      <c r="E38" s="5" t="e">
        <f t="shared" si="1"/>
        <v>#N/A</v>
      </c>
      <c r="H38" s="14">
        <v>36</v>
      </c>
      <c r="I38">
        <v>113651</v>
      </c>
      <c r="J38" t="s">
        <v>619</v>
      </c>
      <c r="K38">
        <v>129.32499999999999</v>
      </c>
      <c r="L38" s="39">
        <v>0.18469999999999998</v>
      </c>
      <c r="M38" s="17">
        <v>6.0994000000000002</v>
      </c>
      <c r="N38" s="5" t="str">
        <f t="shared" si="3"/>
        <v>未买</v>
      </c>
      <c r="Q38" s="14">
        <v>36</v>
      </c>
      <c r="R38" s="7">
        <v>123187</v>
      </c>
      <c r="S38" s="7" t="s">
        <v>961</v>
      </c>
      <c r="T38" s="7">
        <v>120.447</v>
      </c>
      <c r="U38" s="39">
        <v>0.22440000000000002</v>
      </c>
      <c r="V38" s="17">
        <v>4.5274780000000003</v>
      </c>
      <c r="W38" s="5" t="str">
        <f t="shared" si="2"/>
        <v>未买</v>
      </c>
    </row>
    <row r="39" spans="1:23" x14ac:dyDescent="0.15">
      <c r="A39" s="1"/>
      <c r="B39" s="1"/>
      <c r="C39" s="7" t="e">
        <f>VLOOKUP(A39,可转债实时数据!$B$7:$D$149,3,FALSE)</f>
        <v>#N/A</v>
      </c>
      <c r="D39" s="5" t="e">
        <f t="shared" si="0"/>
        <v>#N/A</v>
      </c>
      <c r="E39" s="5" t="e">
        <f t="shared" si="1"/>
        <v>#N/A</v>
      </c>
      <c r="H39" s="14">
        <v>37</v>
      </c>
      <c r="I39">
        <v>123221</v>
      </c>
      <c r="J39" t="s">
        <v>910</v>
      </c>
      <c r="K39">
        <v>131.94900000000001</v>
      </c>
      <c r="L39" s="39">
        <v>0.1852</v>
      </c>
      <c r="M39" s="17">
        <v>4.9941829999999996</v>
      </c>
      <c r="N39" s="5" t="str">
        <f t="shared" si="3"/>
        <v>未买</v>
      </c>
      <c r="Q39" s="14">
        <v>37</v>
      </c>
      <c r="R39" s="7">
        <v>113588</v>
      </c>
      <c r="S39" s="7" t="s">
        <v>954</v>
      </c>
      <c r="T39" s="7">
        <v>150.52799999999999</v>
      </c>
      <c r="U39" s="39">
        <v>0.2248</v>
      </c>
      <c r="V39" s="17">
        <v>2.96862</v>
      </c>
      <c r="W39" s="5" t="str">
        <f t="shared" si="2"/>
        <v>Yes</v>
      </c>
    </row>
    <row r="40" spans="1:23" x14ac:dyDescent="0.15">
      <c r="A40" s="1"/>
      <c r="B40" s="1"/>
      <c r="C40" s="7" t="e">
        <f>VLOOKUP(A40,可转债实时数据!$B$7:$D$149,3,FALSE)</f>
        <v>#N/A</v>
      </c>
      <c r="D40" s="5" t="e">
        <f t="shared" si="0"/>
        <v>#N/A</v>
      </c>
      <c r="E40" s="5" t="e">
        <f t="shared" si="1"/>
        <v>#N/A</v>
      </c>
      <c r="H40" s="14">
        <v>38</v>
      </c>
      <c r="I40">
        <v>123194</v>
      </c>
      <c r="J40" t="s">
        <v>946</v>
      </c>
      <c r="K40">
        <v>133.05199999999999</v>
      </c>
      <c r="L40" s="39">
        <v>0.1865</v>
      </c>
      <c r="M40" s="17">
        <v>8.4619619999999998</v>
      </c>
      <c r="N40" s="5" t="str">
        <f t="shared" si="3"/>
        <v>Yes</v>
      </c>
      <c r="Q40" s="14">
        <v>38</v>
      </c>
      <c r="R40" s="7">
        <v>113039</v>
      </c>
      <c r="S40" s="7" t="s">
        <v>1028</v>
      </c>
      <c r="T40" s="7">
        <v>124.551</v>
      </c>
      <c r="U40" s="39">
        <v>0.23</v>
      </c>
      <c r="V40" s="17">
        <v>2.8768799999999999</v>
      </c>
      <c r="W40" s="5" t="str">
        <f t="shared" si="2"/>
        <v>未买</v>
      </c>
    </row>
    <row r="41" spans="1:23" x14ac:dyDescent="0.15">
      <c r="C41" s="7" t="e">
        <f>VLOOKUP(A41,可转债实时数据!$B$7:$D$149,3,FALSE)</f>
        <v>#N/A</v>
      </c>
      <c r="D41" s="5" t="e">
        <f t="shared" si="0"/>
        <v>#N/A</v>
      </c>
      <c r="E41" s="5" t="e">
        <f t="shared" si="1"/>
        <v>#N/A</v>
      </c>
      <c r="H41" s="14">
        <v>39</v>
      </c>
      <c r="I41">
        <v>123219</v>
      </c>
      <c r="J41" t="s">
        <v>911</v>
      </c>
      <c r="K41">
        <v>126.462</v>
      </c>
      <c r="L41" s="39">
        <v>0.18770000000000001</v>
      </c>
      <c r="M41" s="17">
        <v>5.9998149999999999</v>
      </c>
      <c r="N41" s="5" t="str">
        <f t="shared" si="3"/>
        <v>未买</v>
      </c>
      <c r="Q41" s="14">
        <v>39</v>
      </c>
      <c r="R41" s="7">
        <v>127069</v>
      </c>
      <c r="S41" s="7" t="s">
        <v>963</v>
      </c>
      <c r="T41" s="7">
        <v>127.694</v>
      </c>
      <c r="U41" s="39">
        <v>0.2414</v>
      </c>
      <c r="V41" s="17">
        <v>5.0410730000000008</v>
      </c>
      <c r="W41" s="5" t="str">
        <f t="shared" si="2"/>
        <v>未买</v>
      </c>
    </row>
    <row r="42" spans="1:23" x14ac:dyDescent="0.15">
      <c r="C42" s="7" t="e">
        <f>VLOOKUP(A42,可转债实时数据!$B$7:$D$149,3,FALSE)</f>
        <v>#N/A</v>
      </c>
      <c r="D42" s="5" t="e">
        <f t="shared" si="0"/>
        <v>#N/A</v>
      </c>
      <c r="E42" s="5" t="e">
        <f t="shared" si="1"/>
        <v>#N/A</v>
      </c>
      <c r="H42" s="14">
        <v>40</v>
      </c>
      <c r="I42">
        <v>123229</v>
      </c>
      <c r="J42" t="s">
        <v>1003</v>
      </c>
      <c r="K42">
        <v>122.22199999999999</v>
      </c>
      <c r="L42" s="39">
        <v>0.19500000000000001</v>
      </c>
      <c r="M42" s="17">
        <v>4.9996200000000002</v>
      </c>
      <c r="N42" s="5" t="str">
        <f t="shared" si="3"/>
        <v>未买</v>
      </c>
      <c r="Q42" s="14">
        <v>40</v>
      </c>
      <c r="R42" s="7">
        <v>123131</v>
      </c>
      <c r="S42" s="7" t="s">
        <v>635</v>
      </c>
      <c r="T42" s="7">
        <v>130.53100000000001</v>
      </c>
      <c r="U42" s="39">
        <v>0.2414</v>
      </c>
      <c r="V42" s="17">
        <v>5.2101699999999997</v>
      </c>
      <c r="W42" s="5" t="str">
        <f t="shared" si="2"/>
        <v>未买</v>
      </c>
    </row>
    <row r="43" spans="1:23" x14ac:dyDescent="0.15">
      <c r="C43" s="7" t="e">
        <f>VLOOKUP(A43,可转债实时数据!$B$7:$D$149,3,FALSE)</f>
        <v>#N/A</v>
      </c>
      <c r="D43" s="5" t="e">
        <f t="shared" si="0"/>
        <v>#N/A</v>
      </c>
      <c r="E43" s="5" t="e">
        <f t="shared" si="1"/>
        <v>#N/A</v>
      </c>
      <c r="H43" s="14">
        <v>41</v>
      </c>
      <c r="I43">
        <v>113634</v>
      </c>
      <c r="J43" t="s">
        <v>1036</v>
      </c>
      <c r="K43">
        <v>132.62</v>
      </c>
      <c r="L43" s="39">
        <v>0.20120000000000002</v>
      </c>
      <c r="M43" s="17">
        <v>7.5076700000000001</v>
      </c>
      <c r="N43" s="5" t="str">
        <f t="shared" si="3"/>
        <v>未买</v>
      </c>
      <c r="Q43" s="14">
        <v>41</v>
      </c>
      <c r="R43" s="7">
        <v>127055</v>
      </c>
      <c r="S43" s="7" t="s">
        <v>912</v>
      </c>
      <c r="T43" s="7">
        <v>112</v>
      </c>
      <c r="U43" s="39">
        <v>0.25569999999999998</v>
      </c>
      <c r="V43" s="17">
        <v>5.7660080000000002</v>
      </c>
      <c r="W43" s="5" t="str">
        <f t="shared" si="2"/>
        <v>未买</v>
      </c>
    </row>
    <row r="44" spans="1:23" x14ac:dyDescent="0.15">
      <c r="C44" s="7" t="e">
        <f>VLOOKUP(A44,可转债实时数据!$B$7:$D$149,3,FALSE)</f>
        <v>#N/A</v>
      </c>
      <c r="D44" s="5" t="e">
        <f t="shared" si="0"/>
        <v>#N/A</v>
      </c>
      <c r="E44" s="5" t="e">
        <f t="shared" si="1"/>
        <v>#N/A</v>
      </c>
      <c r="H44" s="14">
        <v>42</v>
      </c>
      <c r="I44" s="7">
        <v>128133</v>
      </c>
      <c r="J44" s="7" t="s">
        <v>1020</v>
      </c>
      <c r="K44" s="7">
        <v>122.821</v>
      </c>
      <c r="L44" s="40">
        <v>0.21079999999999999</v>
      </c>
      <c r="M44" s="29">
        <v>7.9925259999999998</v>
      </c>
      <c r="N44" s="5" t="str">
        <f>IF(ISNA(MATCH(I44,$A$3:$A$130,0)),"未买","Yes")</f>
        <v>未买</v>
      </c>
      <c r="Q44" s="14">
        <v>42</v>
      </c>
      <c r="R44" s="7">
        <v>113676</v>
      </c>
      <c r="S44" s="7" t="s">
        <v>1024</v>
      </c>
      <c r="T44" s="7">
        <v>118.8</v>
      </c>
      <c r="U44" s="40">
        <v>0.25629999999999997</v>
      </c>
      <c r="V44" s="29">
        <v>5.7595900000000002</v>
      </c>
      <c r="W44" s="5" t="str">
        <f t="shared" si="2"/>
        <v>未买</v>
      </c>
    </row>
    <row r="45" spans="1:23" x14ac:dyDescent="0.15">
      <c r="C45" s="7" t="e">
        <f>VLOOKUP(A45,可转债实时数据!$B$7:$D$149,3,FALSE)</f>
        <v>#N/A</v>
      </c>
      <c r="D45" s="5" t="e">
        <f t="shared" si="0"/>
        <v>#N/A</v>
      </c>
      <c r="E45" s="5" t="e">
        <f t="shared" si="1"/>
        <v>#N/A</v>
      </c>
      <c r="H45" s="14">
        <v>43</v>
      </c>
      <c r="I45" s="7">
        <v>123135</v>
      </c>
      <c r="J45" s="7" t="s">
        <v>948</v>
      </c>
      <c r="K45" s="7">
        <v>134.6</v>
      </c>
      <c r="L45" s="40">
        <v>0.2175</v>
      </c>
      <c r="M45" s="29">
        <v>2.0100609999999999</v>
      </c>
      <c r="N45" s="5" t="str">
        <f t="shared" si="3"/>
        <v>未买</v>
      </c>
      <c r="Q45" s="14">
        <v>43</v>
      </c>
      <c r="R45" s="7">
        <v>123224</v>
      </c>
      <c r="S45" s="7" t="s">
        <v>1052</v>
      </c>
      <c r="T45" s="7">
        <v>118.8</v>
      </c>
      <c r="U45" s="40">
        <v>0.27239999999999998</v>
      </c>
      <c r="V45" s="29">
        <v>4.9996600000000004</v>
      </c>
      <c r="W45" s="5" t="str">
        <f t="shared" si="2"/>
        <v>未买</v>
      </c>
    </row>
    <row r="46" spans="1:23" x14ac:dyDescent="0.15">
      <c r="C46" s="7" t="e">
        <f>VLOOKUP(A46,可转债实时数据!$B$7:$D$149,3,FALSE)</f>
        <v>#N/A</v>
      </c>
      <c r="D46" s="5" t="e">
        <f t="shared" si="0"/>
        <v>#N/A</v>
      </c>
      <c r="E46" s="5" t="e">
        <f t="shared" si="1"/>
        <v>#N/A</v>
      </c>
      <c r="H46" s="14">
        <v>44</v>
      </c>
      <c r="I46" s="7">
        <v>127028</v>
      </c>
      <c r="J46" s="7" t="s">
        <v>39</v>
      </c>
      <c r="K46" s="7">
        <v>123.705</v>
      </c>
      <c r="L46" s="40">
        <v>0.22070000000000001</v>
      </c>
      <c r="M46" s="29">
        <v>4.0626449999999998</v>
      </c>
      <c r="N46" s="5" t="str">
        <f t="shared" si="3"/>
        <v>未买</v>
      </c>
      <c r="Q46" s="14">
        <v>44</v>
      </c>
      <c r="R46" s="7">
        <v>113628</v>
      </c>
      <c r="S46" s="7" t="s">
        <v>886</v>
      </c>
      <c r="T46" s="7">
        <v>117.13200000000001</v>
      </c>
      <c r="U46" s="40">
        <v>0.27610000000000001</v>
      </c>
      <c r="V46" s="29">
        <v>4.1492100000000001</v>
      </c>
      <c r="W46" s="5" t="str">
        <f t="shared" si="2"/>
        <v>Yes</v>
      </c>
    </row>
    <row r="47" spans="1:23" x14ac:dyDescent="0.15">
      <c r="C47" s="7" t="e">
        <f>VLOOKUP(A47,可转债实时数据!$B$7:$D$149,3,FALSE)</f>
        <v>#N/A</v>
      </c>
      <c r="D47" s="5" t="e">
        <f t="shared" si="0"/>
        <v>#N/A</v>
      </c>
      <c r="E47" s="5" t="e">
        <f t="shared" si="1"/>
        <v>#N/A</v>
      </c>
      <c r="H47" s="14">
        <v>45</v>
      </c>
      <c r="I47" s="7">
        <v>123187</v>
      </c>
      <c r="J47" s="7" t="s">
        <v>961</v>
      </c>
      <c r="K47" s="7">
        <v>120.447</v>
      </c>
      <c r="L47" s="40">
        <v>0.22440000000000002</v>
      </c>
      <c r="M47" s="29">
        <v>4.5274780000000003</v>
      </c>
      <c r="N47" s="5" t="str">
        <f t="shared" si="3"/>
        <v>未买</v>
      </c>
      <c r="Q47" s="14">
        <v>45</v>
      </c>
      <c r="R47" s="7">
        <v>113674</v>
      </c>
      <c r="S47" s="7" t="s">
        <v>1017</v>
      </c>
      <c r="T47" s="7">
        <v>128.435</v>
      </c>
      <c r="U47" s="40">
        <v>0.2772</v>
      </c>
      <c r="V47" s="29">
        <v>3.9991400000000001</v>
      </c>
      <c r="W47" s="5" t="str">
        <f t="shared" si="2"/>
        <v>未买</v>
      </c>
    </row>
    <row r="48" spans="1:23" x14ac:dyDescent="0.15">
      <c r="C48" s="7" t="e">
        <f>VLOOKUP(A48,可转债实时数据!$B$7:$D$149,3,FALSE)</f>
        <v>#N/A</v>
      </c>
      <c r="D48" s="5" t="e">
        <f t="shared" si="0"/>
        <v>#N/A</v>
      </c>
      <c r="E48" s="5" t="e">
        <f t="shared" si="1"/>
        <v>#N/A</v>
      </c>
      <c r="H48" s="14">
        <v>46</v>
      </c>
      <c r="I48" s="7">
        <v>113588</v>
      </c>
      <c r="J48" s="7" t="s">
        <v>954</v>
      </c>
      <c r="K48" s="7">
        <v>150.52799999999999</v>
      </c>
      <c r="L48" s="40">
        <v>0.2248</v>
      </c>
      <c r="M48" s="29">
        <v>2.96862</v>
      </c>
      <c r="N48" s="5" t="str">
        <f t="shared" si="3"/>
        <v>Yes</v>
      </c>
      <c r="Q48" s="14">
        <v>46</v>
      </c>
      <c r="R48" s="7">
        <v>128091</v>
      </c>
      <c r="S48" s="7" t="s">
        <v>975</v>
      </c>
      <c r="T48" s="7">
        <v>142.75</v>
      </c>
      <c r="U48" s="40">
        <v>0.28129999999999999</v>
      </c>
      <c r="V48" s="29">
        <v>1.5190729999999999</v>
      </c>
      <c r="W48" s="5" t="str">
        <f t="shared" si="2"/>
        <v>未买</v>
      </c>
    </row>
    <row r="49" spans="3:23" x14ac:dyDescent="0.15">
      <c r="C49" s="7" t="e">
        <f>VLOOKUP(A49,可转债实时数据!$B$7:$D$149,3,FALSE)</f>
        <v>#N/A</v>
      </c>
      <c r="D49" s="5" t="e">
        <f t="shared" si="0"/>
        <v>#N/A</v>
      </c>
      <c r="E49" s="5" t="e">
        <f t="shared" si="1"/>
        <v>#N/A</v>
      </c>
      <c r="H49" s="14">
        <v>47</v>
      </c>
      <c r="I49" s="7">
        <v>123225</v>
      </c>
      <c r="J49" s="7" t="s">
        <v>941</v>
      </c>
      <c r="K49" s="7">
        <v>121.2</v>
      </c>
      <c r="L49" s="40">
        <v>0.22620000000000001</v>
      </c>
      <c r="M49" s="29">
        <v>7.9925480000000002</v>
      </c>
      <c r="N49" s="5" t="str">
        <f t="shared" si="3"/>
        <v>未买</v>
      </c>
      <c r="Q49" s="14">
        <v>47</v>
      </c>
      <c r="R49" s="7">
        <v>113664</v>
      </c>
      <c r="S49" s="7" t="s">
        <v>641</v>
      </c>
      <c r="T49" s="7">
        <v>119.99</v>
      </c>
      <c r="U49" s="40">
        <v>0.28589999999999999</v>
      </c>
      <c r="V49" s="29">
        <v>4.4993100000000004</v>
      </c>
      <c r="W49" s="5" t="str">
        <f t="shared" si="2"/>
        <v>未买</v>
      </c>
    </row>
    <row r="50" spans="3:23" x14ac:dyDescent="0.15">
      <c r="C50" s="7" t="e">
        <f>VLOOKUP(A50,可转债实时数据!$B$7:$D$149,3,FALSE)</f>
        <v>#N/A</v>
      </c>
      <c r="D50" s="5" t="e">
        <f t="shared" si="0"/>
        <v>#N/A</v>
      </c>
      <c r="E50" s="5" t="e">
        <f t="shared" si="1"/>
        <v>#N/A</v>
      </c>
      <c r="H50" s="14">
        <v>48</v>
      </c>
      <c r="I50" s="7">
        <v>113039</v>
      </c>
      <c r="J50" s="7" t="s">
        <v>1028</v>
      </c>
      <c r="K50" s="7">
        <v>124.551</v>
      </c>
      <c r="L50" s="40">
        <v>0.23</v>
      </c>
      <c r="M50" s="29">
        <v>2.8768799999999999</v>
      </c>
      <c r="N50" s="5" t="str">
        <f t="shared" si="3"/>
        <v>未买</v>
      </c>
      <c r="Q50" s="14">
        <v>48</v>
      </c>
      <c r="R50" s="7">
        <v>111012</v>
      </c>
      <c r="S50" s="7" t="s">
        <v>645</v>
      </c>
      <c r="T50" s="7">
        <v>126.265</v>
      </c>
      <c r="U50" s="40">
        <v>0.28610000000000002</v>
      </c>
      <c r="V50" s="29">
        <v>2.68513</v>
      </c>
      <c r="W50" s="5" t="str">
        <f t="shared" si="2"/>
        <v>未买</v>
      </c>
    </row>
    <row r="51" spans="3:23" x14ac:dyDescent="0.15">
      <c r="C51" s="7" t="e">
        <f>VLOOKUP(A51,可转债实时数据!$B$7:$D$149,3,FALSE)</f>
        <v>#N/A</v>
      </c>
      <c r="D51" s="5" t="e">
        <f t="shared" si="0"/>
        <v>#N/A</v>
      </c>
      <c r="E51" s="5" t="e">
        <f t="shared" si="1"/>
        <v>#N/A</v>
      </c>
      <c r="H51" s="14">
        <v>49</v>
      </c>
      <c r="I51" s="7">
        <v>127069</v>
      </c>
      <c r="J51" s="7" t="s">
        <v>963</v>
      </c>
      <c r="K51" s="7">
        <v>127.694</v>
      </c>
      <c r="L51" s="40">
        <v>0.2414</v>
      </c>
      <c r="M51" s="29">
        <v>5.0410730000000008</v>
      </c>
      <c r="N51" s="5" t="str">
        <f t="shared" si="3"/>
        <v>未买</v>
      </c>
      <c r="Q51" s="14">
        <v>49</v>
      </c>
      <c r="R51" s="7">
        <v>123218</v>
      </c>
      <c r="S51" s="7" t="s">
        <v>1005</v>
      </c>
      <c r="T51" s="7">
        <v>121.48</v>
      </c>
      <c r="U51" s="40">
        <v>0.28800000000000003</v>
      </c>
      <c r="V51" s="29">
        <v>3.7975249999999998</v>
      </c>
      <c r="W51" s="5" t="str">
        <f t="shared" si="2"/>
        <v>未买</v>
      </c>
    </row>
    <row r="52" spans="3:23" x14ac:dyDescent="0.15">
      <c r="C52" s="7" t="e">
        <f>VLOOKUP(A52,可转债实时数据!$B$7:$D$149,3,FALSE)</f>
        <v>#N/A</v>
      </c>
      <c r="D52" s="5" t="e">
        <f t="shared" si="0"/>
        <v>#N/A</v>
      </c>
      <c r="E52" s="5" t="e">
        <f t="shared" si="1"/>
        <v>#N/A</v>
      </c>
      <c r="H52" s="14">
        <v>50</v>
      </c>
      <c r="I52" s="7">
        <v>123131</v>
      </c>
      <c r="J52" s="7" t="s">
        <v>635</v>
      </c>
      <c r="K52" s="7">
        <v>130.53100000000001</v>
      </c>
      <c r="L52" s="40">
        <v>0.2414</v>
      </c>
      <c r="M52" s="29">
        <v>5.2101699999999997</v>
      </c>
      <c r="N52" s="5" t="str">
        <f t="shared" si="3"/>
        <v>未买</v>
      </c>
      <c r="Q52" s="14">
        <v>50</v>
      </c>
      <c r="R52" s="7">
        <v>123096</v>
      </c>
      <c r="S52" s="7" t="s">
        <v>950</v>
      </c>
      <c r="T52" s="7">
        <v>84.757000000000005</v>
      </c>
      <c r="U52" s="40">
        <v>0.29299999999999998</v>
      </c>
      <c r="V52" s="29">
        <v>5.2376120000000004</v>
      </c>
      <c r="W52" s="5" t="str">
        <f t="shared" si="2"/>
        <v>未买</v>
      </c>
    </row>
    <row r="53" spans="3:23" x14ac:dyDescent="0.15">
      <c r="C53" s="7" t="e">
        <f>VLOOKUP(A53,可转债实时数据!$B$7:$D$149,3,FALSE)</f>
        <v>#N/A</v>
      </c>
      <c r="D53" s="5" t="e">
        <f t="shared" si="0"/>
        <v>#N/A</v>
      </c>
      <c r="E53" s="5" t="e">
        <f t="shared" si="1"/>
        <v>#N/A</v>
      </c>
    </row>
    <row r="54" spans="3:23" x14ac:dyDescent="0.15">
      <c r="C54" s="7" t="e">
        <f>VLOOKUP(A54,可转债实时数据!$B$7:$D$149,3,FALSE)</f>
        <v>#N/A</v>
      </c>
      <c r="D54" s="5" t="e">
        <f t="shared" si="0"/>
        <v>#N/A</v>
      </c>
      <c r="E54" s="5" t="e">
        <f t="shared" si="1"/>
        <v>#N/A</v>
      </c>
    </row>
    <row r="55" spans="3:23" x14ac:dyDescent="0.15">
      <c r="C55" s="7" t="e">
        <f>VLOOKUP(A55,可转债实时数据!$B$7:$D$149,3,FALSE)</f>
        <v>#N/A</v>
      </c>
      <c r="D55" s="5" t="e">
        <f t="shared" si="0"/>
        <v>#N/A</v>
      </c>
      <c r="E55" s="5" t="e">
        <f t="shared" si="1"/>
        <v>#N/A</v>
      </c>
    </row>
    <row r="56" spans="3:23" x14ac:dyDescent="0.15">
      <c r="C56" s="7" t="e">
        <f>VLOOKUP(A56,可转债实时数据!$B$7:$D$149,3,FALSE)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C1" zoomScaleNormal="100" workbookViewId="0">
      <pane ySplit="2" topLeftCell="A16" activePane="bottomLeft" state="frozen"/>
      <selection pane="bottomLeft" activeCell="M32" sqref="M32"/>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51</v>
      </c>
      <c r="B1" s="8"/>
      <c r="C1" s="35" t="s">
        <v>378</v>
      </c>
      <c r="D1" s="12"/>
      <c r="E1" s="12"/>
      <c r="I1" s="8" t="s">
        <v>363</v>
      </c>
      <c r="J1" s="8"/>
      <c r="K1" s="30" t="s">
        <v>364</v>
      </c>
      <c r="L1" s="37"/>
      <c r="M1" s="30"/>
      <c r="N1" s="30"/>
      <c r="O1" s="30"/>
      <c r="P1" s="30"/>
      <c r="S1" s="8" t="s">
        <v>614</v>
      </c>
      <c r="V1" s="7"/>
      <c r="W1" s="7"/>
    </row>
    <row r="2" spans="1:24" s="6" customFormat="1" x14ac:dyDescent="0.15">
      <c r="A2" s="6" t="s">
        <v>38</v>
      </c>
      <c r="B2" s="6" t="s">
        <v>37</v>
      </c>
      <c r="C2" s="6" t="s">
        <v>356</v>
      </c>
      <c r="D2" s="4" t="s">
        <v>606</v>
      </c>
      <c r="E2" s="4" t="s">
        <v>607</v>
      </c>
      <c r="H2" s="15"/>
      <c r="I2" s="6" t="s">
        <v>357</v>
      </c>
      <c r="J2" s="6" t="s">
        <v>358</v>
      </c>
      <c r="K2" s="6" t="s">
        <v>356</v>
      </c>
      <c r="L2" s="38" t="s">
        <v>29</v>
      </c>
      <c r="M2" s="6" t="s">
        <v>359</v>
      </c>
      <c r="N2" s="28" t="s">
        <v>360</v>
      </c>
      <c r="O2" s="4" t="s">
        <v>46</v>
      </c>
      <c r="R2" s="15"/>
      <c r="S2" s="6" t="s">
        <v>357</v>
      </c>
      <c r="T2" s="6" t="s">
        <v>358</v>
      </c>
      <c r="U2" s="6" t="s">
        <v>356</v>
      </c>
      <c r="V2" s="38" t="s">
        <v>29</v>
      </c>
      <c r="W2" s="28" t="s">
        <v>360</v>
      </c>
      <c r="X2" s="4" t="s">
        <v>46</v>
      </c>
    </row>
    <row r="3" spans="1:24" s="3" customFormat="1" x14ac:dyDescent="0.15">
      <c r="A3" s="3">
        <v>123038</v>
      </c>
      <c r="B3" s="3" t="s">
        <v>981</v>
      </c>
      <c r="C3" s="3">
        <f>VLOOKUP(A3,可转债实时数据!$B$7:$D$149,3,FALSE)</f>
        <v>141.5</v>
      </c>
      <c r="D3" s="5">
        <f t="shared" ref="D3:D16" si="0">MATCH(A3,$I$1:$I$290,0)-2</f>
        <v>32</v>
      </c>
      <c r="E3" s="5" t="e">
        <f t="shared" ref="E3:E16" si="1">MATCH(A3,$S$1:$S$44,0)-2</f>
        <v>#N/A</v>
      </c>
      <c r="H3" s="16">
        <v>1</v>
      </c>
      <c r="I3">
        <v>123201</v>
      </c>
      <c r="J3" t="s">
        <v>892</v>
      </c>
      <c r="K3">
        <v>134</v>
      </c>
      <c r="L3" s="39">
        <v>3.9199999999999999E-2</v>
      </c>
      <c r="M3">
        <v>137.91999999999999</v>
      </c>
      <c r="N3" s="17">
        <v>3.4951050000000001</v>
      </c>
      <c r="O3" s="5" t="str">
        <f t="shared" ref="O3:O30" si="2">IF(ISNA(MATCH(I3,$A$3:$A$290,0)),"未买","Yes")</f>
        <v>未买</v>
      </c>
      <c r="R3" s="16">
        <v>1</v>
      </c>
      <c r="S3" s="7">
        <v>123044</v>
      </c>
      <c r="T3" s="7" t="s">
        <v>1009</v>
      </c>
      <c r="U3" s="7">
        <v>130.65</v>
      </c>
      <c r="V3" s="39">
        <v>-5.3E-3</v>
      </c>
      <c r="W3" s="17">
        <v>4.011279</v>
      </c>
      <c r="X3" s="5" t="str">
        <f t="shared" ref="X3:X28" si="3">IF(ISNA(MATCH(S3,$A$3:$A$290,0)),"未买","Yes")</f>
        <v>未买</v>
      </c>
    </row>
    <row r="4" spans="1:24" s="3" customFormat="1" x14ac:dyDescent="0.15">
      <c r="A4" s="3">
        <v>123050</v>
      </c>
      <c r="B4" s="3" t="s">
        <v>903</v>
      </c>
      <c r="C4" s="3" t="e">
        <f>VLOOKUP(A4,可转债实时数据!$B$7:$D$149,3,FALSE)</f>
        <v>#N/A</v>
      </c>
      <c r="D4" s="5" t="e">
        <f t="shared" si="0"/>
        <v>#N/A</v>
      </c>
      <c r="E4" s="5" t="e">
        <f t="shared" si="1"/>
        <v>#N/A</v>
      </c>
      <c r="H4" s="16">
        <v>2</v>
      </c>
      <c r="I4">
        <v>123156</v>
      </c>
      <c r="J4" t="s">
        <v>1039</v>
      </c>
      <c r="K4">
        <v>92.41</v>
      </c>
      <c r="L4" s="39">
        <v>0.45710000000000001</v>
      </c>
      <c r="M4">
        <v>138.12</v>
      </c>
      <c r="N4" s="17">
        <v>3.9686189999999999</v>
      </c>
      <c r="O4" s="5" t="str">
        <f t="shared" si="2"/>
        <v>未买</v>
      </c>
      <c r="R4" s="16">
        <v>2</v>
      </c>
      <c r="S4" s="7">
        <v>128123</v>
      </c>
      <c r="T4" s="7" t="s">
        <v>966</v>
      </c>
      <c r="U4" s="7">
        <v>143</v>
      </c>
      <c r="V4" s="39">
        <v>-4.8999999999999998E-3</v>
      </c>
      <c r="W4" s="17">
        <v>2.8745590000000001</v>
      </c>
      <c r="X4" s="5" t="str">
        <f t="shared" si="3"/>
        <v>Yes</v>
      </c>
    </row>
    <row r="5" spans="1:24" x14ac:dyDescent="0.15">
      <c r="A5" s="7">
        <v>123054</v>
      </c>
      <c r="B5" s="7" t="s">
        <v>982</v>
      </c>
      <c r="C5" s="3">
        <f>VLOOKUP(A5,可转债实时数据!$B$7:$D$149,3,FALSE)</f>
        <v>133.602</v>
      </c>
      <c r="D5" s="5">
        <f t="shared" si="0"/>
        <v>31</v>
      </c>
      <c r="E5" s="5" t="e">
        <f t="shared" si="1"/>
        <v>#N/A</v>
      </c>
      <c r="H5" s="16">
        <v>3</v>
      </c>
      <c r="I5">
        <v>128123</v>
      </c>
      <c r="J5" t="s">
        <v>966</v>
      </c>
      <c r="K5">
        <v>143</v>
      </c>
      <c r="L5" s="39">
        <v>-4.8999999999999998E-3</v>
      </c>
      <c r="M5">
        <v>142.51</v>
      </c>
      <c r="N5" s="17">
        <v>2.8745590000000001</v>
      </c>
      <c r="O5" s="5" t="str">
        <f t="shared" si="2"/>
        <v>Yes</v>
      </c>
      <c r="R5" s="16">
        <v>3</v>
      </c>
      <c r="S5" s="7">
        <v>123201</v>
      </c>
      <c r="T5" s="7" t="s">
        <v>892</v>
      </c>
      <c r="U5" s="7">
        <v>134</v>
      </c>
      <c r="V5" s="39">
        <v>3.9199999999999999E-2</v>
      </c>
      <c r="W5" s="17">
        <v>3.4951050000000001</v>
      </c>
      <c r="X5" s="5" t="str">
        <f t="shared" si="3"/>
        <v>未买</v>
      </c>
    </row>
    <row r="6" spans="1:24" x14ac:dyDescent="0.15">
      <c r="A6" s="7">
        <v>123080</v>
      </c>
      <c r="B6" s="7" t="s">
        <v>36</v>
      </c>
      <c r="C6" s="3" t="e">
        <f>VLOOKUP(A6,可转债实时数据!$B$7:$D$149,3,FALSE)</f>
        <v>#N/A</v>
      </c>
      <c r="D6" s="5" t="e">
        <f t="shared" si="0"/>
        <v>#N/A</v>
      </c>
      <c r="E6" s="5" t="e">
        <f t="shared" si="1"/>
        <v>#N/A</v>
      </c>
      <c r="H6" s="16">
        <v>4</v>
      </c>
      <c r="I6">
        <v>113546</v>
      </c>
      <c r="J6" t="s">
        <v>40</v>
      </c>
      <c r="K6">
        <v>137.72200000000001</v>
      </c>
      <c r="L6" s="39">
        <v>6.5500000000000003E-2</v>
      </c>
      <c r="M6">
        <v>144.27200000000002</v>
      </c>
      <c r="N6" s="17">
        <v>2.29501</v>
      </c>
      <c r="O6" s="5" t="str">
        <f t="shared" si="2"/>
        <v>未买</v>
      </c>
      <c r="R6" s="16">
        <v>4</v>
      </c>
      <c r="S6" s="7">
        <v>123191</v>
      </c>
      <c r="T6" s="7" t="s">
        <v>974</v>
      </c>
      <c r="U6" s="7">
        <v>126.9</v>
      </c>
      <c r="V6" s="39">
        <v>5.0900000000000001E-2</v>
      </c>
      <c r="W6" s="17">
        <v>6.9919589999999996</v>
      </c>
      <c r="X6" s="5" t="str">
        <f t="shared" si="3"/>
        <v>未买</v>
      </c>
    </row>
    <row r="7" spans="1:24" x14ac:dyDescent="0.15">
      <c r="A7" s="7">
        <v>123107</v>
      </c>
      <c r="B7" s="7" t="s">
        <v>983</v>
      </c>
      <c r="C7" s="3" t="e">
        <f>VLOOKUP(A7,可转债实时数据!$B$7:$D$149,3,FALSE)</f>
        <v>#N/A</v>
      </c>
      <c r="D7" s="5" t="e">
        <f t="shared" si="0"/>
        <v>#N/A</v>
      </c>
      <c r="E7" s="5" t="e">
        <f t="shared" si="1"/>
        <v>#N/A</v>
      </c>
      <c r="H7" s="16">
        <v>5</v>
      </c>
      <c r="I7">
        <v>123092</v>
      </c>
      <c r="J7" t="s">
        <v>891</v>
      </c>
      <c r="K7">
        <v>127.15</v>
      </c>
      <c r="L7" s="39">
        <v>0.17370000000000002</v>
      </c>
      <c r="M7">
        <v>144.52000000000001</v>
      </c>
      <c r="N7" s="17">
        <v>3.9874019999999994</v>
      </c>
      <c r="O7" s="5" t="str">
        <f t="shared" si="2"/>
        <v>未买</v>
      </c>
      <c r="R7" s="16">
        <v>5</v>
      </c>
      <c r="S7" s="7">
        <v>113546</v>
      </c>
      <c r="T7" s="7" t="s">
        <v>40</v>
      </c>
      <c r="U7" s="7">
        <v>137.72200000000001</v>
      </c>
      <c r="V7" s="39">
        <v>6.5500000000000003E-2</v>
      </c>
      <c r="W7" s="17">
        <v>2.29501</v>
      </c>
      <c r="X7" s="5" t="str">
        <f t="shared" si="3"/>
        <v>未买</v>
      </c>
    </row>
    <row r="8" spans="1:24" x14ac:dyDescent="0.15">
      <c r="A8" s="7">
        <v>123129</v>
      </c>
      <c r="B8" s="7" t="s">
        <v>45</v>
      </c>
      <c r="C8" s="3">
        <f>VLOOKUP(A8,可转债实时数据!$B$7:$D$149,3,FALSE)</f>
        <v>119.9</v>
      </c>
      <c r="D8" s="5">
        <f t="shared" si="0"/>
        <v>22</v>
      </c>
      <c r="E8" s="5" t="e">
        <f t="shared" si="1"/>
        <v>#N/A</v>
      </c>
      <c r="H8" s="16">
        <v>6</v>
      </c>
      <c r="I8">
        <v>123160</v>
      </c>
      <c r="J8" t="s">
        <v>1015</v>
      </c>
      <c r="K8">
        <v>108.99</v>
      </c>
      <c r="L8" s="39">
        <v>0.3629</v>
      </c>
      <c r="M8">
        <v>145.28</v>
      </c>
      <c r="N8" s="17">
        <v>3.3488639999999998</v>
      </c>
      <c r="O8" s="5" t="str">
        <f t="shared" si="2"/>
        <v>未买</v>
      </c>
      <c r="R8" s="16">
        <v>6</v>
      </c>
      <c r="S8" s="7">
        <v>123203</v>
      </c>
      <c r="T8" s="7" t="s">
        <v>1059</v>
      </c>
      <c r="U8" s="7">
        <v>128.02799999999999</v>
      </c>
      <c r="V8" s="39">
        <v>9.5199999999999993E-2</v>
      </c>
      <c r="W8" s="17">
        <v>4.4834230000000002</v>
      </c>
      <c r="X8" s="5" t="str">
        <f t="shared" si="3"/>
        <v>未买</v>
      </c>
    </row>
    <row r="9" spans="1:24" s="3" customFormat="1" x14ac:dyDescent="0.15">
      <c r="A9" s="7">
        <v>123194</v>
      </c>
      <c r="B9" s="7" t="s">
        <v>984</v>
      </c>
      <c r="C9" s="3">
        <f>VLOOKUP(A9,可转债实时数据!$B$7:$D$149,3,FALSE)</f>
        <v>133.05199999999999</v>
      </c>
      <c r="D9" s="5" t="e">
        <f t="shared" si="0"/>
        <v>#N/A</v>
      </c>
      <c r="E9" s="5" t="e">
        <f t="shared" si="1"/>
        <v>#N/A</v>
      </c>
      <c r="H9" s="16">
        <v>7</v>
      </c>
      <c r="I9">
        <v>123163</v>
      </c>
      <c r="J9" t="s">
        <v>636</v>
      </c>
      <c r="K9">
        <v>114.5</v>
      </c>
      <c r="L9" s="39">
        <v>0.3155</v>
      </c>
      <c r="M9">
        <v>146.05000000000001</v>
      </c>
      <c r="N9" s="17">
        <v>3.0994899999999999</v>
      </c>
      <c r="O9" s="5" t="str">
        <f t="shared" si="2"/>
        <v>未买</v>
      </c>
      <c r="R9" s="16">
        <v>7</v>
      </c>
      <c r="S9" s="7">
        <v>111015</v>
      </c>
      <c r="T9" s="7" t="s">
        <v>894</v>
      </c>
      <c r="U9" s="7">
        <v>117.786</v>
      </c>
      <c r="V9" s="39">
        <v>0.10039999999999999</v>
      </c>
      <c r="W9" s="17">
        <v>6.6623999999999999</v>
      </c>
      <c r="X9" s="5" t="str">
        <f t="shared" si="3"/>
        <v>未买</v>
      </c>
    </row>
    <row r="10" spans="1:24" x14ac:dyDescent="0.15">
      <c r="A10" s="7">
        <v>127012</v>
      </c>
      <c r="B10" s="7" t="s">
        <v>985</v>
      </c>
      <c r="C10" s="3" t="e">
        <f>VLOOKUP(A10,可转债实时数据!$B$7:$D$149,3,FALSE)</f>
        <v>#N/A</v>
      </c>
      <c r="D10" s="5" t="e">
        <f t="shared" si="0"/>
        <v>#N/A</v>
      </c>
      <c r="E10" s="5" t="e">
        <f t="shared" si="1"/>
        <v>#N/A</v>
      </c>
      <c r="H10" s="16">
        <v>8</v>
      </c>
      <c r="I10">
        <v>113039</v>
      </c>
      <c r="J10" t="s">
        <v>1028</v>
      </c>
      <c r="K10">
        <v>124.551</v>
      </c>
      <c r="L10" s="39">
        <v>0.23</v>
      </c>
      <c r="M10">
        <v>147.55099999999999</v>
      </c>
      <c r="N10" s="17">
        <v>2.8768799999999999</v>
      </c>
      <c r="O10" s="5" t="str">
        <f t="shared" si="2"/>
        <v>未买</v>
      </c>
      <c r="R10" s="16">
        <v>8</v>
      </c>
      <c r="S10" s="7">
        <v>128087</v>
      </c>
      <c r="T10" s="7" t="s">
        <v>42</v>
      </c>
      <c r="U10" s="7">
        <v>116.452</v>
      </c>
      <c r="V10" s="39">
        <v>0.1016</v>
      </c>
      <c r="W10" s="17">
        <v>6.4426889999999997</v>
      </c>
      <c r="X10" s="5" t="str">
        <f t="shared" si="3"/>
        <v>未买</v>
      </c>
    </row>
    <row r="11" spans="1:24" x14ac:dyDescent="0.15">
      <c r="A11" s="7">
        <v>128076</v>
      </c>
      <c r="B11" s="7" t="s">
        <v>43</v>
      </c>
      <c r="C11" s="3" t="e">
        <f>VLOOKUP(A11,可转债实时数据!$B$7:$D$149,3,FALSE)</f>
        <v>#N/A</v>
      </c>
      <c r="D11" s="5" t="e">
        <f t="shared" si="0"/>
        <v>#N/A</v>
      </c>
      <c r="E11" s="5" t="e">
        <f t="shared" si="1"/>
        <v>#N/A</v>
      </c>
      <c r="H11" s="16">
        <v>9</v>
      </c>
      <c r="I11">
        <v>123141</v>
      </c>
      <c r="J11" t="s">
        <v>179</v>
      </c>
      <c r="K11">
        <v>115.587</v>
      </c>
      <c r="L11" s="39">
        <v>0.32069999999999999</v>
      </c>
      <c r="M11">
        <v>147.65700000000001</v>
      </c>
      <c r="N11" s="17">
        <v>3.2096100000000001</v>
      </c>
      <c r="O11" s="5" t="str">
        <f t="shared" si="2"/>
        <v>未买</v>
      </c>
      <c r="R11" s="16">
        <v>9</v>
      </c>
      <c r="S11" s="7">
        <v>111011</v>
      </c>
      <c r="T11" s="7" t="s">
        <v>1002</v>
      </c>
      <c r="U11" s="7">
        <v>139.001</v>
      </c>
      <c r="V11" s="39">
        <v>0.11259999999999999</v>
      </c>
      <c r="W11" s="17">
        <v>4.0325800000000003</v>
      </c>
      <c r="X11" s="5" t="str">
        <f t="shared" si="3"/>
        <v>未买</v>
      </c>
    </row>
    <row r="12" spans="1:24" x14ac:dyDescent="0.15">
      <c r="A12" s="7">
        <v>128121</v>
      </c>
      <c r="B12" s="7" t="s">
        <v>986</v>
      </c>
      <c r="C12" s="3" t="e">
        <f>VLOOKUP(A12,可转债实时数据!$B$7:$D$149,3,FALSE)</f>
        <v>#N/A</v>
      </c>
      <c r="D12" s="5" t="e">
        <f t="shared" si="0"/>
        <v>#N/A</v>
      </c>
      <c r="E12" s="5" t="e">
        <f t="shared" si="1"/>
        <v>#N/A</v>
      </c>
      <c r="H12" s="16">
        <v>10</v>
      </c>
      <c r="I12">
        <v>123207</v>
      </c>
      <c r="J12" t="s">
        <v>899</v>
      </c>
      <c r="K12">
        <v>113.529</v>
      </c>
      <c r="L12" s="39">
        <v>0.34229999999999999</v>
      </c>
      <c r="M12">
        <v>147.75899999999999</v>
      </c>
      <c r="N12" s="17">
        <v>3.9988869999999999</v>
      </c>
      <c r="O12" s="5" t="str">
        <f t="shared" si="2"/>
        <v>未买</v>
      </c>
      <c r="R12" s="16">
        <v>10</v>
      </c>
      <c r="S12" s="7">
        <v>123205</v>
      </c>
      <c r="T12" s="7" t="s">
        <v>1004</v>
      </c>
      <c r="U12" s="7">
        <v>131.292</v>
      </c>
      <c r="V12" s="39">
        <v>0.1293</v>
      </c>
      <c r="W12" s="17">
        <v>4.0439749999999997</v>
      </c>
      <c r="X12" s="5" t="str">
        <f t="shared" si="3"/>
        <v>未买</v>
      </c>
    </row>
    <row r="13" spans="1:24" x14ac:dyDescent="0.15">
      <c r="A13" s="7">
        <v>128123</v>
      </c>
      <c r="B13" s="7" t="s">
        <v>987</v>
      </c>
      <c r="C13" s="3">
        <f>VLOOKUP(A13,可转债实时数据!$B$7:$D$149,3,FALSE)</f>
        <v>143</v>
      </c>
      <c r="D13" s="5">
        <f t="shared" si="0"/>
        <v>3</v>
      </c>
      <c r="E13" s="5">
        <f t="shared" si="1"/>
        <v>2</v>
      </c>
      <c r="H13" s="16">
        <v>11</v>
      </c>
      <c r="I13">
        <v>123209</v>
      </c>
      <c r="J13" t="s">
        <v>1013</v>
      </c>
      <c r="K13">
        <v>133.5</v>
      </c>
      <c r="L13" s="39">
        <v>0.15869999999999998</v>
      </c>
      <c r="M13">
        <v>149.37</v>
      </c>
      <c r="N13" s="17">
        <v>2.1513990000000005</v>
      </c>
      <c r="O13" s="5" t="str">
        <f t="shared" si="2"/>
        <v>未买</v>
      </c>
      <c r="R13" s="16">
        <v>11</v>
      </c>
      <c r="S13" s="7">
        <v>110074</v>
      </c>
      <c r="T13" s="7" t="s">
        <v>1008</v>
      </c>
      <c r="U13" s="7">
        <v>135.38800000000001</v>
      </c>
      <c r="V13" s="39">
        <v>0.13039999999999999</v>
      </c>
      <c r="W13" s="17">
        <v>5.0761500000000002</v>
      </c>
      <c r="X13" s="5" t="str">
        <f t="shared" si="3"/>
        <v>未买</v>
      </c>
    </row>
    <row r="14" spans="1:24" x14ac:dyDescent="0.15">
      <c r="A14" s="7">
        <v>128143</v>
      </c>
      <c r="B14" s="7" t="s">
        <v>902</v>
      </c>
      <c r="C14" s="3">
        <f>VLOOKUP(A14,可转债实时数据!$B$7:$D$149,3,FALSE)</f>
        <v>126.624</v>
      </c>
      <c r="D14" s="5">
        <f t="shared" si="0"/>
        <v>30</v>
      </c>
      <c r="E14" s="5" t="e">
        <f t="shared" si="1"/>
        <v>#N/A</v>
      </c>
      <c r="H14" s="16">
        <v>12</v>
      </c>
      <c r="I14">
        <v>123218</v>
      </c>
      <c r="J14" t="s">
        <v>1005</v>
      </c>
      <c r="K14">
        <v>121.48</v>
      </c>
      <c r="L14" s="39">
        <v>0.28800000000000003</v>
      </c>
      <c r="M14">
        <v>150.28</v>
      </c>
      <c r="N14" s="17">
        <v>3.7975249999999998</v>
      </c>
      <c r="O14" s="5" t="str">
        <f t="shared" si="2"/>
        <v>未买</v>
      </c>
      <c r="R14" s="16">
        <v>12</v>
      </c>
      <c r="S14" s="7">
        <v>123143</v>
      </c>
      <c r="T14" s="7" t="s">
        <v>1054</v>
      </c>
      <c r="U14" s="7">
        <v>137.83799999999999</v>
      </c>
      <c r="V14" s="39">
        <v>0.1346</v>
      </c>
      <c r="W14" s="17">
        <v>2.6896019999999998</v>
      </c>
      <c r="X14" s="5" t="str">
        <f t="shared" si="3"/>
        <v>未买</v>
      </c>
    </row>
    <row r="15" spans="1:24" x14ac:dyDescent="0.15">
      <c r="A15" s="7">
        <v>110052</v>
      </c>
      <c r="B15" s="7" t="s">
        <v>605</v>
      </c>
      <c r="C15" s="3" t="e">
        <f>VLOOKUP(A15,可转债实时数据!$B$7:$D$149,3,FALSE)</f>
        <v>#N/A</v>
      </c>
      <c r="D15" s="5" t="e">
        <f t="shared" si="0"/>
        <v>#N/A</v>
      </c>
      <c r="E15" s="5" t="e">
        <f t="shared" si="1"/>
        <v>#N/A</v>
      </c>
      <c r="H15" s="16">
        <v>13</v>
      </c>
      <c r="I15">
        <v>123143</v>
      </c>
      <c r="J15" t="s">
        <v>1054</v>
      </c>
      <c r="K15">
        <v>137.83799999999999</v>
      </c>
      <c r="L15" s="39">
        <v>0.1346</v>
      </c>
      <c r="M15">
        <v>151.298</v>
      </c>
      <c r="N15" s="17">
        <v>2.6896019999999998</v>
      </c>
      <c r="O15" s="5" t="str">
        <f t="shared" si="2"/>
        <v>未买</v>
      </c>
      <c r="R15" s="16">
        <v>13</v>
      </c>
      <c r="S15" s="7">
        <v>113672</v>
      </c>
      <c r="T15" s="7" t="s">
        <v>1006</v>
      </c>
      <c r="U15" s="7">
        <v>137.12899999999999</v>
      </c>
      <c r="V15" s="39">
        <v>0.1396</v>
      </c>
      <c r="W15" s="17">
        <v>6.3849299999999998</v>
      </c>
      <c r="X15" s="5" t="str">
        <f t="shared" si="3"/>
        <v>未买</v>
      </c>
    </row>
    <row r="16" spans="1:24" x14ac:dyDescent="0.15">
      <c r="A16" s="7">
        <v>113027</v>
      </c>
      <c r="B16" s="7" t="s">
        <v>35</v>
      </c>
      <c r="C16" s="3">
        <f>VLOOKUP(A16,可转债实时数据!$B$7:$D$149,3,FALSE)</f>
        <v>203.399</v>
      </c>
      <c r="D16" s="5" t="e">
        <f t="shared" si="0"/>
        <v>#N/A</v>
      </c>
      <c r="E16" s="5" t="e">
        <f t="shared" si="1"/>
        <v>#N/A</v>
      </c>
      <c r="H16" s="16">
        <v>14</v>
      </c>
      <c r="I16">
        <v>128120</v>
      </c>
      <c r="J16" t="s">
        <v>1041</v>
      </c>
      <c r="K16">
        <v>118.39700000000001</v>
      </c>
      <c r="L16" s="39">
        <v>0.3387</v>
      </c>
      <c r="M16">
        <v>152.267</v>
      </c>
      <c r="N16" s="17">
        <v>2.5942419999999995</v>
      </c>
      <c r="O16" s="5" t="str">
        <f t="shared" si="2"/>
        <v>未买</v>
      </c>
      <c r="R16" s="16">
        <v>14</v>
      </c>
      <c r="S16" s="7">
        <v>127095</v>
      </c>
      <c r="T16" s="7" t="s">
        <v>999</v>
      </c>
      <c r="U16" s="7">
        <v>132.84899999999999</v>
      </c>
      <c r="V16" s="39">
        <v>0.14880000000000002</v>
      </c>
      <c r="W16" s="17">
        <v>6.9927970000000004</v>
      </c>
      <c r="X16" s="5" t="str">
        <f t="shared" si="3"/>
        <v>未买</v>
      </c>
    </row>
    <row r="17" spans="1:24" x14ac:dyDescent="0.15">
      <c r="A17" s="7">
        <v>113061</v>
      </c>
      <c r="B17" s="7" t="s">
        <v>988</v>
      </c>
      <c r="C17" s="3" t="e">
        <f>VLOOKUP(A17,可转债实时数据!$B$7:$D$149,3,FALSE)</f>
        <v>#N/A</v>
      </c>
      <c r="D17" s="5" t="e">
        <f t="shared" ref="D17:D44" si="4">MATCH(A17,$I$1:$I$290,0)-2</f>
        <v>#N/A</v>
      </c>
      <c r="E17" s="5" t="e">
        <f t="shared" ref="E17:E44" si="5">MATCH(A17,$S$1:$S$44,0)-2</f>
        <v>#N/A</v>
      </c>
      <c r="H17" s="16">
        <v>15</v>
      </c>
      <c r="I17">
        <v>111012</v>
      </c>
      <c r="J17" t="s">
        <v>645</v>
      </c>
      <c r="K17">
        <v>126.265</v>
      </c>
      <c r="L17" s="39">
        <v>0.28610000000000002</v>
      </c>
      <c r="M17">
        <v>154.875</v>
      </c>
      <c r="N17" s="17">
        <v>2.68513</v>
      </c>
      <c r="O17" s="5" t="str">
        <f t="shared" si="2"/>
        <v>未买</v>
      </c>
      <c r="R17" s="16">
        <v>15</v>
      </c>
      <c r="S17" s="7">
        <v>123222</v>
      </c>
      <c r="T17" s="7" t="s">
        <v>943</v>
      </c>
      <c r="U17" s="7">
        <v>131.30000000000001</v>
      </c>
      <c r="V17" s="39">
        <v>0.15839999999999999</v>
      </c>
      <c r="W17" s="17">
        <v>4.9987690000000002</v>
      </c>
      <c r="X17" s="5" t="str">
        <f t="shared" si="3"/>
        <v>未买</v>
      </c>
    </row>
    <row r="18" spans="1:24" x14ac:dyDescent="0.15">
      <c r="A18" s="7">
        <v>113526</v>
      </c>
      <c r="B18" s="7" t="s">
        <v>44</v>
      </c>
      <c r="C18" s="3" t="e">
        <f>VLOOKUP(A18,可转债实时数据!$B$7:$D$149,3,FALSE)</f>
        <v>#N/A</v>
      </c>
      <c r="D18" s="5" t="e">
        <f t="shared" si="4"/>
        <v>#N/A</v>
      </c>
      <c r="E18" s="5" t="e">
        <f t="shared" si="5"/>
        <v>#N/A</v>
      </c>
      <c r="H18" s="16">
        <v>16</v>
      </c>
      <c r="I18">
        <v>111008</v>
      </c>
      <c r="J18" t="s">
        <v>618</v>
      </c>
      <c r="K18">
        <v>122.505</v>
      </c>
      <c r="L18" s="39">
        <v>0.32840000000000003</v>
      </c>
      <c r="M18">
        <v>155.345</v>
      </c>
      <c r="N18" s="17">
        <v>3.8386</v>
      </c>
      <c r="O18" s="5" t="str">
        <f t="shared" si="2"/>
        <v>未买</v>
      </c>
      <c r="R18" s="16">
        <v>16</v>
      </c>
      <c r="S18" s="7">
        <v>123209</v>
      </c>
      <c r="T18" s="7" t="s">
        <v>1013</v>
      </c>
      <c r="U18" s="7">
        <v>133.5</v>
      </c>
      <c r="V18" s="39">
        <v>0.15869999999999998</v>
      </c>
      <c r="W18" s="17">
        <v>2.1513990000000005</v>
      </c>
      <c r="X18" s="5" t="str">
        <f t="shared" si="3"/>
        <v>未买</v>
      </c>
    </row>
    <row r="19" spans="1:24" x14ac:dyDescent="0.15">
      <c r="A19" s="7">
        <v>113532</v>
      </c>
      <c r="B19" s="7" t="s">
        <v>976</v>
      </c>
      <c r="C19" s="3" t="e">
        <f>VLOOKUP(A19,可转债实时数据!$B$7:$D$149,3,FALSE)</f>
        <v>#N/A</v>
      </c>
      <c r="D19" s="5" t="e">
        <f t="shared" si="4"/>
        <v>#N/A</v>
      </c>
      <c r="E19" s="5" t="e">
        <f t="shared" si="5"/>
        <v>#N/A</v>
      </c>
      <c r="H19" s="16">
        <v>17</v>
      </c>
      <c r="I19">
        <v>113674</v>
      </c>
      <c r="J19" t="s">
        <v>1017</v>
      </c>
      <c r="K19">
        <v>128.435</v>
      </c>
      <c r="L19" s="39">
        <v>0.2772</v>
      </c>
      <c r="M19">
        <v>156.155</v>
      </c>
      <c r="N19" s="17">
        <v>3.9991400000000001</v>
      </c>
      <c r="O19" s="5" t="str">
        <f t="shared" si="2"/>
        <v>未买</v>
      </c>
      <c r="R19" s="16">
        <v>17</v>
      </c>
      <c r="S19" s="7">
        <v>123188</v>
      </c>
      <c r="T19" s="7" t="s">
        <v>997</v>
      </c>
      <c r="U19" s="7">
        <v>140.01499999999999</v>
      </c>
      <c r="V19" s="39">
        <v>0.16440000000000002</v>
      </c>
      <c r="W19" s="17">
        <v>6.948963</v>
      </c>
      <c r="X19" s="5" t="str">
        <f t="shared" si="3"/>
        <v>未买</v>
      </c>
    </row>
    <row r="20" spans="1:24" x14ac:dyDescent="0.15">
      <c r="A20" s="7">
        <v>113561</v>
      </c>
      <c r="B20" s="7" t="s">
        <v>968</v>
      </c>
      <c r="C20" s="3" t="e">
        <f>VLOOKUP(A20,可转债实时数据!$B$7:$D$149,3,FALSE)</f>
        <v>#N/A</v>
      </c>
      <c r="D20" s="5" t="e">
        <f t="shared" si="4"/>
        <v>#N/A</v>
      </c>
      <c r="E20" s="5" t="e">
        <f t="shared" si="5"/>
        <v>#N/A</v>
      </c>
      <c r="H20" s="16">
        <v>18</v>
      </c>
      <c r="I20">
        <v>123135</v>
      </c>
      <c r="J20" t="s">
        <v>948</v>
      </c>
      <c r="K20">
        <v>134.6</v>
      </c>
      <c r="L20" s="39">
        <v>0.2175</v>
      </c>
      <c r="M20">
        <v>156.35</v>
      </c>
      <c r="N20" s="17">
        <v>2.0100609999999999</v>
      </c>
      <c r="O20" s="5" t="str">
        <f t="shared" si="2"/>
        <v>未买</v>
      </c>
      <c r="R20" s="16">
        <v>18</v>
      </c>
      <c r="S20" s="7">
        <v>123204</v>
      </c>
      <c r="T20" s="7" t="s">
        <v>895</v>
      </c>
      <c r="U20" s="7">
        <v>122.577</v>
      </c>
      <c r="V20" s="39">
        <v>0.17180000000000001</v>
      </c>
      <c r="W20" s="17">
        <v>6.1658109999999997</v>
      </c>
      <c r="X20" s="5" t="str">
        <f t="shared" si="3"/>
        <v>未买</v>
      </c>
    </row>
    <row r="21" spans="1:24" x14ac:dyDescent="0.15">
      <c r="A21" s="7">
        <v>113566</v>
      </c>
      <c r="B21" s="7" t="s">
        <v>965</v>
      </c>
      <c r="C21" s="3" t="e">
        <f>VLOOKUP(A21,可转债实时数据!$B$7:$D$149,3,FALSE)</f>
        <v>#N/A</v>
      </c>
      <c r="D21" s="5" t="e">
        <f t="shared" si="4"/>
        <v>#N/A</v>
      </c>
      <c r="E21" s="5" t="e">
        <f t="shared" si="5"/>
        <v>#N/A</v>
      </c>
      <c r="H21" s="16">
        <v>19</v>
      </c>
      <c r="I21">
        <v>123206</v>
      </c>
      <c r="J21" t="s">
        <v>900</v>
      </c>
      <c r="K21">
        <v>124.20099999999999</v>
      </c>
      <c r="L21" s="39">
        <v>0.3261</v>
      </c>
      <c r="M21">
        <v>156.81099999999998</v>
      </c>
      <c r="N21" s="17">
        <v>2.4974310000000002</v>
      </c>
      <c r="O21" s="5" t="str">
        <f t="shared" si="2"/>
        <v>未买</v>
      </c>
      <c r="R21" s="16">
        <v>19</v>
      </c>
      <c r="S21" s="7">
        <v>123092</v>
      </c>
      <c r="T21" s="7" t="s">
        <v>891</v>
      </c>
      <c r="U21" s="7">
        <v>127.15</v>
      </c>
      <c r="V21" s="39">
        <v>0.17370000000000002</v>
      </c>
      <c r="W21" s="17">
        <v>3.9874019999999994</v>
      </c>
      <c r="X21" s="5" t="str">
        <f t="shared" si="3"/>
        <v>未买</v>
      </c>
    </row>
    <row r="22" spans="1:24" x14ac:dyDescent="0.15">
      <c r="A22" s="7">
        <v>113588</v>
      </c>
      <c r="B22" s="7" t="s">
        <v>989</v>
      </c>
      <c r="C22" s="3">
        <f>VLOOKUP(A22,可转债实时数据!$B$7:$D$149,3,FALSE)</f>
        <v>150.52799999999999</v>
      </c>
      <c r="D22" s="5" t="e">
        <f t="shared" si="4"/>
        <v>#N/A</v>
      </c>
      <c r="E22" s="5" t="e">
        <f t="shared" si="5"/>
        <v>#N/A</v>
      </c>
      <c r="H22" s="16">
        <v>20</v>
      </c>
      <c r="I22">
        <v>123200</v>
      </c>
      <c r="J22" t="s">
        <v>1007</v>
      </c>
      <c r="K22">
        <v>113.102</v>
      </c>
      <c r="L22" s="39">
        <v>0.44340000000000002</v>
      </c>
      <c r="M22">
        <v>157.44200000000001</v>
      </c>
      <c r="N22" s="17">
        <v>3.7018559999999998</v>
      </c>
      <c r="O22" s="5" t="str">
        <f t="shared" si="2"/>
        <v>未买</v>
      </c>
      <c r="R22" s="16">
        <v>20</v>
      </c>
      <c r="S22" s="7">
        <v>128128</v>
      </c>
      <c r="T22" s="7" t="s">
        <v>1060</v>
      </c>
      <c r="U22" s="7">
        <v>125.902</v>
      </c>
      <c r="V22" s="39">
        <v>0.1832</v>
      </c>
      <c r="W22" s="17">
        <v>6.7943759999999997</v>
      </c>
      <c r="X22" s="5" t="str">
        <f t="shared" si="3"/>
        <v>未买</v>
      </c>
    </row>
    <row r="23" spans="1:24" x14ac:dyDescent="0.15">
      <c r="A23" s="7">
        <v>113628</v>
      </c>
      <c r="B23" s="7" t="s">
        <v>886</v>
      </c>
      <c r="C23" s="3">
        <f>VLOOKUP(A23,可转债实时数据!$B$7:$D$149,3,FALSE)</f>
        <v>117.13200000000001</v>
      </c>
      <c r="D23" s="5" t="e">
        <f t="shared" si="4"/>
        <v>#N/A</v>
      </c>
      <c r="E23" s="5">
        <f t="shared" si="5"/>
        <v>34</v>
      </c>
      <c r="H23" s="16">
        <v>21</v>
      </c>
      <c r="I23">
        <v>113671</v>
      </c>
      <c r="J23" t="s">
        <v>1014</v>
      </c>
      <c r="K23">
        <v>126.607</v>
      </c>
      <c r="L23" s="39">
        <v>0.3599</v>
      </c>
      <c r="M23">
        <v>162.59700000000001</v>
      </c>
      <c r="N23" s="17">
        <v>3.0996000000000001</v>
      </c>
      <c r="O23" s="5" t="str">
        <f t="shared" si="2"/>
        <v>未买</v>
      </c>
      <c r="R23" s="16">
        <v>21</v>
      </c>
      <c r="S23" s="7">
        <v>113651</v>
      </c>
      <c r="T23" s="7" t="s">
        <v>619</v>
      </c>
      <c r="U23" s="7">
        <v>129.32499999999999</v>
      </c>
      <c r="V23" s="39">
        <v>0.18469999999999998</v>
      </c>
      <c r="W23" s="17">
        <v>6.0994000000000002</v>
      </c>
      <c r="X23" s="5" t="str">
        <f t="shared" si="3"/>
        <v>未买</v>
      </c>
    </row>
    <row r="24" spans="1:24" x14ac:dyDescent="0.15">
      <c r="C24" s="85" t="e">
        <f>VLOOKUP(A24,可转债实时数据!$B$7:$D$149,3,FALSE)</f>
        <v>#N/A</v>
      </c>
      <c r="D24" s="5" t="e">
        <f t="shared" si="4"/>
        <v>#N/A</v>
      </c>
      <c r="E24" s="5" t="e">
        <f t="shared" si="5"/>
        <v>#N/A</v>
      </c>
      <c r="H24" s="16">
        <v>22</v>
      </c>
      <c r="I24">
        <v>123129</v>
      </c>
      <c r="J24" t="s">
        <v>952</v>
      </c>
      <c r="K24">
        <v>119.9</v>
      </c>
      <c r="L24" s="39">
        <v>0.43759999999999999</v>
      </c>
      <c r="M24">
        <v>163.66</v>
      </c>
      <c r="N24" s="17">
        <v>1.9411050000000001</v>
      </c>
      <c r="O24" s="5" t="str">
        <f t="shared" si="2"/>
        <v>Yes</v>
      </c>
      <c r="R24" s="16">
        <v>22</v>
      </c>
      <c r="S24" s="7">
        <v>123221</v>
      </c>
      <c r="T24" s="7" t="s">
        <v>910</v>
      </c>
      <c r="U24" s="7">
        <v>131.94900000000001</v>
      </c>
      <c r="V24" s="39">
        <v>0.1852</v>
      </c>
      <c r="W24" s="17">
        <v>4.9941829999999996</v>
      </c>
      <c r="X24" s="5" t="str">
        <f t="shared" si="3"/>
        <v>未买</v>
      </c>
    </row>
    <row r="25" spans="1:24" x14ac:dyDescent="0.15">
      <c r="C25" s="85" t="e">
        <f>VLOOKUP(A25,可转债实时数据!$B$7:$D$149,3,FALSE)</f>
        <v>#N/A</v>
      </c>
      <c r="D25" s="5" t="e">
        <f t="shared" si="4"/>
        <v>#N/A</v>
      </c>
      <c r="E25" s="5" t="e">
        <f t="shared" si="5"/>
        <v>#N/A</v>
      </c>
      <c r="H25" s="16">
        <v>23</v>
      </c>
      <c r="I25">
        <v>123152</v>
      </c>
      <c r="J25" t="s">
        <v>1053</v>
      </c>
      <c r="K25">
        <v>118.461</v>
      </c>
      <c r="L25" s="39">
        <v>0.46229999999999999</v>
      </c>
      <c r="M25">
        <v>164.691</v>
      </c>
      <c r="N25" s="17">
        <v>2.9219309999999998</v>
      </c>
      <c r="O25" s="5" t="str">
        <f t="shared" si="2"/>
        <v>未买</v>
      </c>
      <c r="R25" s="16">
        <v>23</v>
      </c>
      <c r="S25" s="7">
        <v>123219</v>
      </c>
      <c r="T25" s="7" t="s">
        <v>911</v>
      </c>
      <c r="U25" s="7">
        <v>126.462</v>
      </c>
      <c r="V25" s="39">
        <v>0.18770000000000001</v>
      </c>
      <c r="W25" s="17">
        <v>5.9998149999999999</v>
      </c>
      <c r="X25" s="5" t="str">
        <f t="shared" si="3"/>
        <v>未买</v>
      </c>
    </row>
    <row r="26" spans="1:24" x14ac:dyDescent="0.15">
      <c r="C26" s="85" t="e">
        <f>VLOOKUP(A26,可转债实时数据!$B$7:$D$149,3,FALSE)</f>
        <v>#N/A</v>
      </c>
      <c r="D26" s="5" t="e">
        <f t="shared" si="4"/>
        <v>#N/A</v>
      </c>
      <c r="E26" s="5" t="e">
        <f t="shared" si="5"/>
        <v>#N/A</v>
      </c>
      <c r="H26" s="16">
        <v>24</v>
      </c>
      <c r="I26">
        <v>123177</v>
      </c>
      <c r="J26" t="s">
        <v>1018</v>
      </c>
      <c r="K26">
        <v>120.59399999999999</v>
      </c>
      <c r="L26" s="39">
        <v>0.4481</v>
      </c>
      <c r="M26">
        <v>165.404</v>
      </c>
      <c r="N26" s="17">
        <v>2.436261</v>
      </c>
      <c r="O26" s="5" t="str">
        <f t="shared" si="2"/>
        <v>未买</v>
      </c>
      <c r="R26" s="16">
        <v>24</v>
      </c>
      <c r="S26" s="7">
        <v>123229</v>
      </c>
      <c r="T26" s="7" t="s">
        <v>1003</v>
      </c>
      <c r="U26" s="7">
        <v>122.22199999999999</v>
      </c>
      <c r="V26" s="39">
        <v>0.19500000000000001</v>
      </c>
      <c r="W26" s="17">
        <v>4.9996200000000002</v>
      </c>
      <c r="X26" s="5" t="str">
        <f t="shared" si="3"/>
        <v>未买</v>
      </c>
    </row>
    <row r="27" spans="1:24" x14ac:dyDescent="0.15">
      <c r="C27" s="85" t="e">
        <f>VLOOKUP(A27,可转债实时数据!$B$7:$D$149,3,FALSE)</f>
        <v>#N/A</v>
      </c>
      <c r="D27" s="5" t="e">
        <f t="shared" si="4"/>
        <v>#N/A</v>
      </c>
      <c r="E27" s="5" t="e">
        <f t="shared" si="5"/>
        <v>#N/A</v>
      </c>
      <c r="H27" s="16">
        <v>25</v>
      </c>
      <c r="I27">
        <v>123199</v>
      </c>
      <c r="J27" t="s">
        <v>1055</v>
      </c>
      <c r="K27">
        <v>125.2</v>
      </c>
      <c r="L27" s="39">
        <v>0.40369999999999995</v>
      </c>
      <c r="M27">
        <v>165.57</v>
      </c>
      <c r="N27" s="17">
        <v>3.198588</v>
      </c>
      <c r="O27" s="5" t="str">
        <f t="shared" si="2"/>
        <v>未买</v>
      </c>
      <c r="R27" s="16">
        <v>25</v>
      </c>
      <c r="S27" s="7">
        <v>123135</v>
      </c>
      <c r="T27" s="7" t="s">
        <v>948</v>
      </c>
      <c r="U27" s="7">
        <v>134.6</v>
      </c>
      <c r="V27" s="39">
        <v>0.2175</v>
      </c>
      <c r="W27" s="17">
        <v>2.0100609999999999</v>
      </c>
      <c r="X27" s="5" t="str">
        <f t="shared" si="3"/>
        <v>未买</v>
      </c>
    </row>
    <row r="28" spans="1:24" x14ac:dyDescent="0.15">
      <c r="C28" s="85" t="e">
        <f>VLOOKUP(A28,可转债实时数据!$B$7:$D$149,3,FALSE)</f>
        <v>#N/A</v>
      </c>
      <c r="D28" s="5" t="e">
        <f t="shared" si="4"/>
        <v>#N/A</v>
      </c>
      <c r="E28" s="5" t="e">
        <f t="shared" si="5"/>
        <v>#N/A</v>
      </c>
      <c r="H28" s="16">
        <v>26</v>
      </c>
      <c r="I28">
        <v>111013</v>
      </c>
      <c r="J28" t="s">
        <v>1061</v>
      </c>
      <c r="K28">
        <v>124.843</v>
      </c>
      <c r="L28" s="39">
        <v>0.4219</v>
      </c>
      <c r="M28">
        <v>167.03300000000002</v>
      </c>
      <c r="N28" s="17">
        <v>3.6865899999999998</v>
      </c>
      <c r="O28" s="5" t="str">
        <f t="shared" si="2"/>
        <v>未买</v>
      </c>
      <c r="R28" s="16">
        <v>26</v>
      </c>
      <c r="S28" s="7">
        <v>127028</v>
      </c>
      <c r="T28" s="7" t="s">
        <v>39</v>
      </c>
      <c r="U28" s="7">
        <v>123.705</v>
      </c>
      <c r="V28" s="39">
        <v>0.22070000000000001</v>
      </c>
      <c r="W28" s="17">
        <v>4.0626449999999998</v>
      </c>
      <c r="X28" s="5" t="str">
        <f t="shared" si="3"/>
        <v>未买</v>
      </c>
    </row>
    <row r="29" spans="1:24" x14ac:dyDescent="0.15">
      <c r="C29" s="85" t="e">
        <f>VLOOKUP(A29,可转债实时数据!$B$7:$D$149,3,FALSE)</f>
        <v>#N/A</v>
      </c>
      <c r="D29" s="5" t="e">
        <f t="shared" si="4"/>
        <v>#N/A</v>
      </c>
      <c r="E29" s="5" t="e">
        <f t="shared" si="5"/>
        <v>#N/A</v>
      </c>
      <c r="H29" s="16">
        <v>27</v>
      </c>
      <c r="I29">
        <v>113598</v>
      </c>
      <c r="J29" t="s">
        <v>41</v>
      </c>
      <c r="K29">
        <v>132.79599999999999</v>
      </c>
      <c r="L29" s="39">
        <v>0.36090000000000005</v>
      </c>
      <c r="M29">
        <v>168.886</v>
      </c>
      <c r="N29" s="17">
        <v>2.7522899999999999</v>
      </c>
      <c r="O29" s="5" t="str">
        <f t="shared" si="2"/>
        <v>未买</v>
      </c>
      <c r="R29" s="16">
        <v>27</v>
      </c>
      <c r="S29" s="7">
        <v>123187</v>
      </c>
      <c r="T29" s="7" t="s">
        <v>961</v>
      </c>
      <c r="U29" s="7">
        <v>120.447</v>
      </c>
      <c r="V29" s="39">
        <v>0.22440000000000002</v>
      </c>
      <c r="W29" s="17">
        <v>4.5274780000000003</v>
      </c>
      <c r="X29" s="5" t="str">
        <f t="shared" ref="X29:X52" si="6">IF(ISNA(MATCH(S29,$A$3:$A$290,0)),"未买","Yes")</f>
        <v>未买</v>
      </c>
    </row>
    <row r="30" spans="1:24" x14ac:dyDescent="0.15">
      <c r="C30" s="85" t="e">
        <f>VLOOKUP(A30,可转债实时数据!$B$7:$D$149,3,FALSE)</f>
        <v>#N/A</v>
      </c>
      <c r="D30" s="5" t="e">
        <f t="shared" si="4"/>
        <v>#N/A</v>
      </c>
      <c r="E30" s="5" t="e">
        <f t="shared" si="5"/>
        <v>#N/A</v>
      </c>
      <c r="H30" s="16">
        <v>28</v>
      </c>
      <c r="I30">
        <v>123197</v>
      </c>
      <c r="J30" t="s">
        <v>1048</v>
      </c>
      <c r="K30">
        <v>122.20099999999999</v>
      </c>
      <c r="L30" s="39">
        <v>0.47110000000000002</v>
      </c>
      <c r="M30">
        <v>169.31099999999998</v>
      </c>
      <c r="N30" s="17">
        <v>3.9960330000000002</v>
      </c>
      <c r="O30" s="5" t="str">
        <f t="shared" si="2"/>
        <v>未买</v>
      </c>
      <c r="R30" s="16">
        <v>28</v>
      </c>
      <c r="S30" s="7">
        <v>113039</v>
      </c>
      <c r="T30" s="7" t="s">
        <v>1028</v>
      </c>
      <c r="U30" s="7">
        <v>124.551</v>
      </c>
      <c r="V30" s="39">
        <v>0.23</v>
      </c>
      <c r="W30" s="17">
        <v>2.8768799999999999</v>
      </c>
      <c r="X30" s="5" t="str">
        <f t="shared" si="6"/>
        <v>未买</v>
      </c>
    </row>
    <row r="31" spans="1:24" x14ac:dyDescent="0.15">
      <c r="C31" s="85" t="e">
        <f>VLOOKUP(A31,可转债实时数据!$B$7:$D$149,3,FALSE)</f>
        <v>#N/A</v>
      </c>
      <c r="D31" s="5" t="e">
        <f t="shared" si="4"/>
        <v>#N/A</v>
      </c>
      <c r="E31" s="5" t="e">
        <f t="shared" si="5"/>
        <v>#N/A</v>
      </c>
      <c r="H31" s="16">
        <v>29</v>
      </c>
      <c r="I31">
        <v>128091</v>
      </c>
      <c r="J31" t="s">
        <v>975</v>
      </c>
      <c r="K31">
        <v>142.75</v>
      </c>
      <c r="L31" s="39">
        <v>0.28129999999999999</v>
      </c>
      <c r="M31">
        <v>170.88</v>
      </c>
      <c r="N31" s="17">
        <v>1.5190729999999999</v>
      </c>
      <c r="O31" s="5" t="str">
        <f t="shared" ref="O31:O52" si="7">IF(ISNA(MATCH(I31,$A$3:$A$290,0)),"未买","Yes")</f>
        <v>未买</v>
      </c>
      <c r="R31" s="16">
        <v>29</v>
      </c>
      <c r="S31" s="7">
        <v>127069</v>
      </c>
      <c r="T31" s="7" t="s">
        <v>963</v>
      </c>
      <c r="U31" s="7">
        <v>127.694</v>
      </c>
      <c r="V31" s="39">
        <v>0.2414</v>
      </c>
      <c r="W31" s="17">
        <v>5.0410730000000008</v>
      </c>
      <c r="X31" s="5" t="str">
        <f t="shared" si="6"/>
        <v>未买</v>
      </c>
    </row>
    <row r="32" spans="1:24" x14ac:dyDescent="0.15">
      <c r="C32" s="85" t="e">
        <f>VLOOKUP(A32,可转债实时数据!$B$7:$D$149,3,FALSE)</f>
        <v>#N/A</v>
      </c>
      <c r="D32" s="5" t="e">
        <f t="shared" si="4"/>
        <v>#N/A</v>
      </c>
      <c r="E32" s="5" t="e">
        <f t="shared" si="5"/>
        <v>#N/A</v>
      </c>
      <c r="H32" s="16">
        <v>30</v>
      </c>
      <c r="I32">
        <v>128143</v>
      </c>
      <c r="J32" t="s">
        <v>902</v>
      </c>
      <c r="K32">
        <v>126.624</v>
      </c>
      <c r="L32" s="39">
        <v>0.44729999999999998</v>
      </c>
      <c r="M32">
        <v>171.35399999999998</v>
      </c>
      <c r="N32" s="17">
        <v>1.7305539999999999</v>
      </c>
      <c r="O32" s="5" t="str">
        <f t="shared" si="7"/>
        <v>Yes</v>
      </c>
      <c r="R32" s="16">
        <v>30</v>
      </c>
      <c r="S32" s="7">
        <v>123131</v>
      </c>
      <c r="T32" s="7" t="s">
        <v>635</v>
      </c>
      <c r="U32" s="7">
        <v>130.53100000000001</v>
      </c>
      <c r="V32" s="39">
        <v>0.2414</v>
      </c>
      <c r="W32" s="17">
        <v>5.2101699999999997</v>
      </c>
      <c r="X32" s="5" t="str">
        <f t="shared" si="6"/>
        <v>未买</v>
      </c>
    </row>
    <row r="33" spans="3:24" x14ac:dyDescent="0.15">
      <c r="C33" s="85" t="e">
        <f>VLOOKUP(A33,可转债实时数据!$B$7:$D$149,3,FALSE)</f>
        <v>#N/A</v>
      </c>
      <c r="D33" s="5" t="e">
        <f t="shared" si="4"/>
        <v>#N/A</v>
      </c>
      <c r="E33" s="5" t="e">
        <f t="shared" si="5"/>
        <v>#N/A</v>
      </c>
      <c r="H33" s="16">
        <v>31</v>
      </c>
      <c r="I33">
        <v>123054</v>
      </c>
      <c r="J33" t="s">
        <v>955</v>
      </c>
      <c r="K33">
        <v>133.602</v>
      </c>
      <c r="L33" s="39">
        <v>0.37790000000000001</v>
      </c>
      <c r="M33">
        <v>171.392</v>
      </c>
      <c r="N33" s="17">
        <v>1.672515</v>
      </c>
      <c r="O33" s="5" t="str">
        <f t="shared" si="7"/>
        <v>Yes</v>
      </c>
      <c r="R33" s="16">
        <v>31</v>
      </c>
      <c r="S33" s="7">
        <v>127055</v>
      </c>
      <c r="T33" s="7" t="s">
        <v>912</v>
      </c>
      <c r="U33" s="7">
        <v>112</v>
      </c>
      <c r="V33" s="39">
        <v>0.25569999999999998</v>
      </c>
      <c r="W33" s="17">
        <v>5.7660080000000002</v>
      </c>
      <c r="X33" s="5" t="str">
        <f t="shared" si="6"/>
        <v>未买</v>
      </c>
    </row>
    <row r="34" spans="3:24" x14ac:dyDescent="0.15">
      <c r="C34" s="85" t="e">
        <f>VLOOKUP(A34,可转债实时数据!$B$7:$D$149,3,FALSE)</f>
        <v>#N/A</v>
      </c>
      <c r="D34" s="5" t="e">
        <f t="shared" si="4"/>
        <v>#N/A</v>
      </c>
      <c r="E34" s="5" t="e">
        <f t="shared" si="5"/>
        <v>#N/A</v>
      </c>
      <c r="H34" s="16">
        <v>32</v>
      </c>
      <c r="I34">
        <v>123038</v>
      </c>
      <c r="J34" t="s">
        <v>953</v>
      </c>
      <c r="K34">
        <v>141.5</v>
      </c>
      <c r="L34" s="39">
        <v>0.35630000000000001</v>
      </c>
      <c r="M34">
        <v>177.13</v>
      </c>
      <c r="N34" s="17">
        <v>1.471317</v>
      </c>
      <c r="O34" s="5" t="str">
        <f t="shared" si="7"/>
        <v>Yes</v>
      </c>
      <c r="R34" s="16">
        <v>32</v>
      </c>
      <c r="S34" s="7">
        <v>113676</v>
      </c>
      <c r="T34" s="7" t="s">
        <v>1024</v>
      </c>
      <c r="U34" s="7">
        <v>118.8</v>
      </c>
      <c r="V34" s="39">
        <v>0.25629999999999997</v>
      </c>
      <c r="W34" s="17">
        <v>5.7595900000000002</v>
      </c>
      <c r="X34" s="5" t="str">
        <f t="shared" si="6"/>
        <v>未买</v>
      </c>
    </row>
    <row r="35" spans="3:24" x14ac:dyDescent="0.15">
      <c r="C35" s="85" t="e">
        <f>VLOOKUP(A35,可转债实时数据!$B$7:$D$149,3,FALSE)</f>
        <v>#N/A</v>
      </c>
      <c r="D35" s="5" t="e">
        <f t="shared" si="4"/>
        <v>#N/A</v>
      </c>
      <c r="E35" s="5" t="e">
        <f t="shared" si="5"/>
        <v>#N/A</v>
      </c>
      <c r="H35" s="16">
        <v>33</v>
      </c>
      <c r="I35">
        <v>123038</v>
      </c>
      <c r="J35" t="s">
        <v>953</v>
      </c>
      <c r="K35">
        <v>139.84100000000001</v>
      </c>
      <c r="L35" s="39">
        <v>0.38390000000000002</v>
      </c>
      <c r="M35">
        <v>178.23099999999999</v>
      </c>
      <c r="N35" s="17">
        <v>1.471317</v>
      </c>
      <c r="O35" s="5" t="str">
        <f t="shared" si="7"/>
        <v>Yes</v>
      </c>
      <c r="R35" s="16">
        <v>33</v>
      </c>
      <c r="S35" s="7">
        <v>123224</v>
      </c>
      <c r="T35" s="7" t="s">
        <v>1052</v>
      </c>
      <c r="U35" s="7">
        <v>118.8</v>
      </c>
      <c r="V35" s="39">
        <v>0.27239999999999998</v>
      </c>
      <c r="W35" s="17">
        <v>4.9996600000000004</v>
      </c>
      <c r="X35" s="5" t="str">
        <f t="shared" si="6"/>
        <v>未买</v>
      </c>
    </row>
    <row r="36" spans="3:24" x14ac:dyDescent="0.15">
      <c r="C36" s="85" t="e">
        <f>VLOOKUP(A36,可转债实时数据!$B$7:$D$149,3,FALSE)</f>
        <v>#N/A</v>
      </c>
      <c r="D36" s="5" t="e">
        <f t="shared" si="4"/>
        <v>#N/A</v>
      </c>
      <c r="E36" s="5" t="e">
        <f t="shared" si="5"/>
        <v>#N/A</v>
      </c>
      <c r="H36" s="16">
        <v>34</v>
      </c>
      <c r="I36">
        <v>123054</v>
      </c>
      <c r="J36" t="s">
        <v>955</v>
      </c>
      <c r="K36">
        <v>137.285</v>
      </c>
      <c r="L36" s="39">
        <v>0.3246</v>
      </c>
      <c r="M36">
        <v>169.745</v>
      </c>
      <c r="N36" s="17">
        <v>1.672515</v>
      </c>
      <c r="O36" s="5" t="str">
        <f t="shared" si="7"/>
        <v>Yes</v>
      </c>
      <c r="R36" s="16">
        <v>34</v>
      </c>
      <c r="S36" s="7">
        <v>113628</v>
      </c>
      <c r="T36" s="7" t="s">
        <v>886</v>
      </c>
      <c r="U36" s="7">
        <v>117.13200000000001</v>
      </c>
      <c r="V36" s="39">
        <v>0.27610000000000001</v>
      </c>
      <c r="W36" s="17">
        <v>4.1492100000000001</v>
      </c>
      <c r="X36" s="5" t="str">
        <f t="shared" si="6"/>
        <v>Yes</v>
      </c>
    </row>
    <row r="37" spans="3:24" x14ac:dyDescent="0.15">
      <c r="C37" s="85" t="e">
        <f>VLOOKUP(A37,可转债实时数据!$B$7:$D$149,3,FALSE)</f>
        <v>#N/A</v>
      </c>
      <c r="D37" s="5" t="e">
        <f t="shared" si="4"/>
        <v>#N/A</v>
      </c>
      <c r="E37" s="5" t="e">
        <f t="shared" si="5"/>
        <v>#N/A</v>
      </c>
      <c r="H37" s="16">
        <v>35</v>
      </c>
      <c r="I37">
        <v>123038</v>
      </c>
      <c r="J37" t="s">
        <v>953</v>
      </c>
      <c r="K37">
        <v>138.4</v>
      </c>
      <c r="L37" s="39">
        <v>0.34119999999999995</v>
      </c>
      <c r="M37">
        <v>172.52</v>
      </c>
      <c r="N37" s="17">
        <v>1.471317</v>
      </c>
      <c r="O37" s="5" t="str">
        <f t="shared" si="7"/>
        <v>Yes</v>
      </c>
      <c r="R37" s="16">
        <v>35</v>
      </c>
      <c r="S37" s="7">
        <v>113674</v>
      </c>
      <c r="T37" s="7" t="s">
        <v>1017</v>
      </c>
      <c r="U37" s="7">
        <v>128.435</v>
      </c>
      <c r="V37" s="39">
        <v>0.2772</v>
      </c>
      <c r="W37" s="17">
        <v>3.9991400000000001</v>
      </c>
      <c r="X37" s="5" t="str">
        <f t="shared" si="6"/>
        <v>未买</v>
      </c>
    </row>
    <row r="38" spans="3:24" x14ac:dyDescent="0.15">
      <c r="C38" s="85" t="e">
        <f>VLOOKUP(A38,可转债实时数据!$B$7:$D$149,3,FALSE)</f>
        <v>#N/A</v>
      </c>
      <c r="D38" s="5" t="e">
        <f t="shared" si="4"/>
        <v>#N/A</v>
      </c>
      <c r="E38" s="5" t="e">
        <f t="shared" si="5"/>
        <v>#N/A</v>
      </c>
      <c r="H38" s="16">
        <v>36</v>
      </c>
      <c r="I38">
        <v>113646</v>
      </c>
      <c r="J38" t="s">
        <v>1016</v>
      </c>
      <c r="K38">
        <v>139.08000000000001</v>
      </c>
      <c r="L38" s="39">
        <v>0.44</v>
      </c>
      <c r="M38">
        <v>183.08</v>
      </c>
      <c r="N38" s="17">
        <v>1.3812899999999999</v>
      </c>
      <c r="O38" s="5" t="str">
        <f t="shared" si="7"/>
        <v>未买</v>
      </c>
      <c r="R38" s="16">
        <v>36</v>
      </c>
      <c r="S38" s="7">
        <v>128091</v>
      </c>
      <c r="T38" s="7" t="s">
        <v>975</v>
      </c>
      <c r="U38" s="7">
        <v>142.75</v>
      </c>
      <c r="V38" s="39">
        <v>0.28129999999999999</v>
      </c>
      <c r="W38" s="17">
        <v>1.5190729999999999</v>
      </c>
      <c r="X38" s="5" t="str">
        <f t="shared" si="6"/>
        <v>未买</v>
      </c>
    </row>
    <row r="39" spans="3:24" x14ac:dyDescent="0.15">
      <c r="C39" s="85" t="e">
        <f>VLOOKUP(A39,可转债实时数据!$B$7:$D$149,3,FALSE)</f>
        <v>#N/A</v>
      </c>
      <c r="D39" s="5" t="e">
        <f t="shared" si="4"/>
        <v>#N/A</v>
      </c>
      <c r="E39" s="5" t="e">
        <f t="shared" si="5"/>
        <v>#N/A</v>
      </c>
      <c r="H39" s="16">
        <v>37</v>
      </c>
      <c r="I39"/>
      <c r="J39"/>
      <c r="K39"/>
      <c r="L39" s="39"/>
      <c r="M39"/>
      <c r="N39" s="17"/>
      <c r="O39" s="5" t="str">
        <f t="shared" si="7"/>
        <v>未买</v>
      </c>
      <c r="R39" s="16">
        <v>37</v>
      </c>
      <c r="S39" s="7">
        <v>113664</v>
      </c>
      <c r="T39" s="7" t="s">
        <v>641</v>
      </c>
      <c r="U39" s="7">
        <v>119.99</v>
      </c>
      <c r="V39" s="39">
        <v>0.28589999999999999</v>
      </c>
      <c r="W39" s="17">
        <v>4.4993100000000004</v>
      </c>
      <c r="X39" s="5" t="str">
        <f t="shared" si="6"/>
        <v>未买</v>
      </c>
    </row>
    <row r="40" spans="3:24" x14ac:dyDescent="0.15">
      <c r="C40" s="85" t="e">
        <f>VLOOKUP(A40,可转债实时数据!$B$7:$D$149,3,FALSE)</f>
        <v>#N/A</v>
      </c>
      <c r="D40" s="5" t="e">
        <f t="shared" si="4"/>
        <v>#N/A</v>
      </c>
      <c r="E40" s="5" t="e">
        <f t="shared" si="5"/>
        <v>#N/A</v>
      </c>
      <c r="H40" s="16">
        <v>38</v>
      </c>
      <c r="I40"/>
      <c r="J40"/>
      <c r="K40"/>
      <c r="L40" s="39"/>
      <c r="M40"/>
      <c r="N40" s="17"/>
      <c r="O40" s="5" t="str">
        <f t="shared" si="7"/>
        <v>未买</v>
      </c>
      <c r="R40" s="16">
        <v>38</v>
      </c>
      <c r="S40" s="7">
        <v>111012</v>
      </c>
      <c r="T40" s="7" t="s">
        <v>645</v>
      </c>
      <c r="U40" s="7">
        <v>126.265</v>
      </c>
      <c r="V40" s="39">
        <v>0.28610000000000002</v>
      </c>
      <c r="W40" s="17">
        <v>2.68513</v>
      </c>
      <c r="X40" s="5" t="str">
        <f t="shared" si="6"/>
        <v>未买</v>
      </c>
    </row>
    <row r="41" spans="3:24" x14ac:dyDescent="0.15">
      <c r="C41" s="85" t="e">
        <f>VLOOKUP(A41,可转债实时数据!$B$7:$D$149,3,FALSE)</f>
        <v>#N/A</v>
      </c>
      <c r="D41" s="5" t="e">
        <f t="shared" si="4"/>
        <v>#N/A</v>
      </c>
      <c r="E41" s="5" t="e">
        <f t="shared" si="5"/>
        <v>#N/A</v>
      </c>
      <c r="H41" s="16">
        <v>39</v>
      </c>
      <c r="I41"/>
      <c r="J41"/>
      <c r="K41"/>
      <c r="L41" s="39"/>
      <c r="M41"/>
      <c r="N41" s="17"/>
      <c r="O41" s="5" t="str">
        <f t="shared" si="7"/>
        <v>未买</v>
      </c>
      <c r="R41" s="16">
        <v>39</v>
      </c>
      <c r="S41" s="7">
        <v>123218</v>
      </c>
      <c r="T41" s="7" t="s">
        <v>1005</v>
      </c>
      <c r="U41" s="7">
        <v>121.48</v>
      </c>
      <c r="V41" s="39">
        <v>0.28800000000000003</v>
      </c>
      <c r="W41" s="17">
        <v>3.7975249999999998</v>
      </c>
      <c r="X41" s="5" t="str">
        <f t="shared" si="6"/>
        <v>未买</v>
      </c>
    </row>
    <row r="42" spans="3:24" x14ac:dyDescent="0.15">
      <c r="C42" s="85" t="e">
        <f>VLOOKUP(A42,可转债实时数据!$B$7:$D$149,3,FALSE)</f>
        <v>#N/A</v>
      </c>
      <c r="D42" s="5" t="e">
        <f t="shared" si="4"/>
        <v>#N/A</v>
      </c>
      <c r="E42" s="5" t="e">
        <f t="shared" si="5"/>
        <v>#N/A</v>
      </c>
      <c r="H42" s="16">
        <v>40</v>
      </c>
      <c r="I42"/>
      <c r="J42"/>
      <c r="K42"/>
      <c r="L42" s="39"/>
      <c r="M42"/>
      <c r="N42" s="17"/>
      <c r="O42" s="5" t="str">
        <f t="shared" si="7"/>
        <v>未买</v>
      </c>
      <c r="R42" s="16">
        <v>40</v>
      </c>
      <c r="S42" s="7">
        <v>123096</v>
      </c>
      <c r="T42" s="7" t="s">
        <v>950</v>
      </c>
      <c r="U42" s="7">
        <v>84.757000000000005</v>
      </c>
      <c r="V42" s="39">
        <v>0.29299999999999998</v>
      </c>
      <c r="W42" s="17">
        <v>5.2376120000000004</v>
      </c>
      <c r="X42" s="5" t="str">
        <f t="shared" si="6"/>
        <v>未买</v>
      </c>
    </row>
    <row r="43" spans="3:24" x14ac:dyDescent="0.15">
      <c r="C43" s="85" t="e">
        <f>VLOOKUP(A43,可转债实时数据!$B$7:$D$149,3,FALSE)</f>
        <v>#N/A</v>
      </c>
      <c r="D43" s="5" t="e">
        <f t="shared" si="4"/>
        <v>#N/A</v>
      </c>
      <c r="E43" s="5" t="e">
        <f t="shared" si="5"/>
        <v>#N/A</v>
      </c>
      <c r="H43" s="16">
        <v>41</v>
      </c>
      <c r="I43"/>
      <c r="J43"/>
      <c r="K43"/>
      <c r="L43" s="39"/>
      <c r="M43"/>
      <c r="N43" s="17"/>
      <c r="O43" s="5" t="str">
        <f t="shared" si="7"/>
        <v>未买</v>
      </c>
      <c r="R43" s="16">
        <v>41</v>
      </c>
      <c r="S43" s="7">
        <v>127104</v>
      </c>
      <c r="T43" s="7" t="s">
        <v>1000</v>
      </c>
      <c r="U43" s="7">
        <v>138.14500000000001</v>
      </c>
      <c r="V43" s="39">
        <v>0.30730000000000002</v>
      </c>
      <c r="W43" s="17">
        <v>5.8312730000000004</v>
      </c>
      <c r="X43" s="5" t="str">
        <f t="shared" si="6"/>
        <v>未买</v>
      </c>
    </row>
    <row r="44" spans="3:24" x14ac:dyDescent="0.15">
      <c r="C44" s="85" t="e">
        <f>VLOOKUP(A44,可转债实时数据!$B$7:$D$149,3,FALSE)</f>
        <v>#N/A</v>
      </c>
      <c r="D44" s="5" t="e">
        <f t="shared" si="4"/>
        <v>#N/A</v>
      </c>
      <c r="E44" s="5" t="e">
        <f t="shared" si="5"/>
        <v>#N/A</v>
      </c>
      <c r="H44" s="16">
        <v>42</v>
      </c>
      <c r="I44"/>
      <c r="J44"/>
      <c r="K44"/>
      <c r="L44" s="39"/>
      <c r="M44"/>
      <c r="N44" s="17"/>
      <c r="O44" s="5" t="str">
        <f t="shared" si="7"/>
        <v>未买</v>
      </c>
      <c r="R44" s="16">
        <v>42</v>
      </c>
      <c r="S44" s="7">
        <v>127053</v>
      </c>
      <c r="T44" s="7" t="s">
        <v>1027</v>
      </c>
      <c r="U44" s="7">
        <v>121.1</v>
      </c>
      <c r="V44" s="39">
        <v>0.31420000000000003</v>
      </c>
      <c r="W44" s="17">
        <v>4.8162739999999999</v>
      </c>
      <c r="X44" s="5" t="str">
        <f t="shared" si="6"/>
        <v>未买</v>
      </c>
    </row>
    <row r="45" spans="3:24" x14ac:dyDescent="0.15">
      <c r="H45" s="14">
        <v>43</v>
      </c>
      <c r="O45" s="5" t="str">
        <f t="shared" si="7"/>
        <v>未买</v>
      </c>
      <c r="R45" s="14">
        <v>43</v>
      </c>
      <c r="S45" s="7">
        <v>123163</v>
      </c>
      <c r="T45" s="7" t="s">
        <v>636</v>
      </c>
      <c r="U45" s="7">
        <v>114.5</v>
      </c>
      <c r="V45" s="40">
        <v>0.3155</v>
      </c>
      <c r="W45" s="29">
        <v>3.0994899999999999</v>
      </c>
      <c r="X45" s="5" t="str">
        <f t="shared" si="6"/>
        <v>未买</v>
      </c>
    </row>
    <row r="46" spans="3:24" x14ac:dyDescent="0.15">
      <c r="H46" s="14">
        <v>44</v>
      </c>
      <c r="O46" s="5" t="str">
        <f t="shared" si="7"/>
        <v>未买</v>
      </c>
      <c r="R46" s="14">
        <v>44</v>
      </c>
      <c r="S46" s="7">
        <v>111002</v>
      </c>
      <c r="T46" s="7" t="s">
        <v>1035</v>
      </c>
      <c r="U46" s="7">
        <v>121.107</v>
      </c>
      <c r="V46" s="40">
        <v>0.31879999999999997</v>
      </c>
      <c r="W46" s="29">
        <v>6.6192900000000003</v>
      </c>
      <c r="X46" s="5" t="str">
        <f t="shared" si="6"/>
        <v>未买</v>
      </c>
    </row>
    <row r="47" spans="3:24" x14ac:dyDescent="0.15">
      <c r="H47" s="14">
        <v>45</v>
      </c>
      <c r="O47" s="5" t="str">
        <f t="shared" si="7"/>
        <v>未买</v>
      </c>
      <c r="R47" s="14">
        <v>45</v>
      </c>
      <c r="S47" s="7">
        <v>123202</v>
      </c>
      <c r="T47" s="7" t="s">
        <v>893</v>
      </c>
      <c r="U47" s="7">
        <v>110.51</v>
      </c>
      <c r="V47" s="40">
        <v>0.31950000000000001</v>
      </c>
      <c r="W47" s="29">
        <v>4.5990730000000006</v>
      </c>
      <c r="X47" s="5" t="str">
        <f t="shared" si="6"/>
        <v>未买</v>
      </c>
    </row>
    <row r="48" spans="3:24" x14ac:dyDescent="0.15">
      <c r="H48" s="14">
        <v>46</v>
      </c>
      <c r="O48" s="5" t="str">
        <f t="shared" si="7"/>
        <v>未买</v>
      </c>
      <c r="R48" s="14">
        <v>46</v>
      </c>
      <c r="S48" s="7">
        <v>123141</v>
      </c>
      <c r="T48" s="7" t="s">
        <v>179</v>
      </c>
      <c r="U48" s="7">
        <v>115.587</v>
      </c>
      <c r="V48" s="40">
        <v>0.32069999999999999</v>
      </c>
      <c r="W48" s="29">
        <v>3.2096100000000001</v>
      </c>
      <c r="X48" s="5" t="str">
        <f t="shared" si="6"/>
        <v>未买</v>
      </c>
    </row>
    <row r="49" spans="8:24" x14ac:dyDescent="0.15">
      <c r="H49" s="14">
        <v>47</v>
      </c>
      <c r="O49" s="5" t="str">
        <f t="shared" si="7"/>
        <v>未买</v>
      </c>
      <c r="R49" s="14">
        <v>47</v>
      </c>
      <c r="S49" s="7">
        <v>123206</v>
      </c>
      <c r="T49" s="7" t="s">
        <v>900</v>
      </c>
      <c r="U49" s="7">
        <v>124.20099999999999</v>
      </c>
      <c r="V49" s="40">
        <v>0.3261</v>
      </c>
      <c r="W49" s="29">
        <v>2.4974310000000002</v>
      </c>
      <c r="X49" s="5" t="str">
        <f t="shared" si="6"/>
        <v>未买</v>
      </c>
    </row>
    <row r="50" spans="8:24" x14ac:dyDescent="0.15">
      <c r="H50" s="14">
        <v>48</v>
      </c>
      <c r="O50" s="5" t="str">
        <f t="shared" si="7"/>
        <v>未买</v>
      </c>
      <c r="R50" s="14">
        <v>48</v>
      </c>
      <c r="S50" s="7">
        <v>111008</v>
      </c>
      <c r="T50" s="7" t="s">
        <v>618</v>
      </c>
      <c r="U50" s="7">
        <v>122.505</v>
      </c>
      <c r="V50" s="40">
        <v>0.32840000000000003</v>
      </c>
      <c r="W50" s="29">
        <v>3.8386</v>
      </c>
      <c r="X50" s="5" t="str">
        <f t="shared" si="6"/>
        <v>未买</v>
      </c>
    </row>
    <row r="51" spans="8:24" x14ac:dyDescent="0.15">
      <c r="H51" s="14">
        <v>49</v>
      </c>
      <c r="O51" s="5" t="str">
        <f t="shared" si="7"/>
        <v>未买</v>
      </c>
      <c r="R51" s="14">
        <v>49</v>
      </c>
      <c r="S51" s="7">
        <v>127054</v>
      </c>
      <c r="T51" s="7" t="s">
        <v>897</v>
      </c>
      <c r="U51" s="7">
        <v>123.32599999999999</v>
      </c>
      <c r="V51" s="40">
        <v>0.33630000000000004</v>
      </c>
      <c r="W51" s="29">
        <v>5.1360530000000004</v>
      </c>
      <c r="X51" s="5" t="str">
        <f t="shared" si="6"/>
        <v>未买</v>
      </c>
    </row>
    <row r="52" spans="8:24" x14ac:dyDescent="0.15">
      <c r="H52" s="14">
        <v>50</v>
      </c>
      <c r="O52" s="5" t="str">
        <f t="shared" si="7"/>
        <v>未买</v>
      </c>
      <c r="R52" s="14">
        <v>50</v>
      </c>
      <c r="S52" s="7">
        <v>128120</v>
      </c>
      <c r="T52" s="7" t="s">
        <v>1041</v>
      </c>
      <c r="U52" s="7">
        <v>118.39700000000001</v>
      </c>
      <c r="V52" s="40">
        <v>0.3387</v>
      </c>
      <c r="W52" s="29">
        <v>2.5942419999999995</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5"/>
  <sheetViews>
    <sheetView topLeftCell="G1" workbookViewId="0">
      <pane ySplit="1" topLeftCell="A2" activePane="bottomLeft" state="frozen"/>
      <selection pane="bottomLeft" activeCell="S20" sqref="S20"/>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22.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52</v>
      </c>
      <c r="B1" s="19" t="s">
        <v>33</v>
      </c>
      <c r="C1" s="19" t="s">
        <v>32</v>
      </c>
      <c r="D1" s="19" t="s">
        <v>324</v>
      </c>
      <c r="E1" s="22"/>
      <c r="F1" s="24" t="s">
        <v>178</v>
      </c>
      <c r="G1" s="20"/>
      <c r="H1" s="19" t="s">
        <v>33</v>
      </c>
      <c r="I1" s="19" t="s">
        <v>32</v>
      </c>
      <c r="J1" s="19" t="s">
        <v>31</v>
      </c>
      <c r="K1" s="42" t="s">
        <v>29</v>
      </c>
      <c r="L1" s="41" t="s">
        <v>382</v>
      </c>
      <c r="M1" s="41" t="s">
        <v>383</v>
      </c>
      <c r="N1" s="42" t="s">
        <v>30</v>
      </c>
      <c r="O1" s="41" t="s">
        <v>399</v>
      </c>
      <c r="P1" s="41" t="s">
        <v>400</v>
      </c>
      <c r="Q1" s="41" t="s">
        <v>401</v>
      </c>
      <c r="R1" s="41" t="s">
        <v>402</v>
      </c>
      <c r="S1" s="41" t="s">
        <v>417</v>
      </c>
      <c r="T1" s="19" t="s">
        <v>28</v>
      </c>
      <c r="U1" s="19" t="s">
        <v>318</v>
      </c>
      <c r="V1" s="19" t="s">
        <v>319</v>
      </c>
      <c r="W1" s="21" t="s">
        <v>320</v>
      </c>
      <c r="X1" s="82" t="s">
        <v>638</v>
      </c>
      <c r="Y1" s="80" t="s">
        <v>656</v>
      </c>
      <c r="AA1" s="36" t="s">
        <v>376</v>
      </c>
    </row>
    <row r="2" spans="1:28" x14ac:dyDescent="0.15">
      <c r="A2">
        <v>1</v>
      </c>
      <c r="B2">
        <v>159981</v>
      </c>
      <c r="C2" t="s">
        <v>27</v>
      </c>
      <c r="D2">
        <f t="shared" ref="D2:D10" si="0">MATCH(IF(B2&lt;499999,"SZ"&amp;B2,"SH"&amp;B2),$H$2:$H$1668,0)</f>
        <v>3</v>
      </c>
      <c r="G2" s="11">
        <v>1</v>
      </c>
      <c r="H2" t="s">
        <v>351</v>
      </c>
      <c r="I2" t="s">
        <v>926</v>
      </c>
      <c r="J2" t="s">
        <v>927</v>
      </c>
      <c r="K2" s="43">
        <v>-5.5999999999999999E-3</v>
      </c>
      <c r="L2" s="39">
        <v>5.0000000000000001E-4</v>
      </c>
      <c r="M2" s="39">
        <v>-6.8400000000000002E-2</v>
      </c>
      <c r="N2" s="43">
        <v>5.2200000000000003E-2</v>
      </c>
      <c r="O2" s="39">
        <v>0.23419999999999999</v>
      </c>
      <c r="P2" s="39">
        <v>0.28220000000000001</v>
      </c>
      <c r="Q2" s="39">
        <v>0.32040000000000002</v>
      </c>
      <c r="R2" s="39">
        <v>0.3876</v>
      </c>
      <c r="S2" s="39">
        <v>5.57E-2</v>
      </c>
      <c r="T2">
        <v>100</v>
      </c>
      <c r="U2">
        <v>96.75</v>
      </c>
      <c r="V2">
        <v>99.35</v>
      </c>
      <c r="W2" s="17">
        <v>5212.7768999999998</v>
      </c>
      <c r="X2" s="83" t="s">
        <v>639</v>
      </c>
      <c r="AA2" s="9"/>
      <c r="AB2" s="9"/>
    </row>
    <row r="3" spans="1:28" x14ac:dyDescent="0.15">
      <c r="A3">
        <v>2</v>
      </c>
      <c r="B3">
        <v>160416</v>
      </c>
      <c r="C3" t="s">
        <v>26</v>
      </c>
      <c r="D3" t="e">
        <f t="shared" si="0"/>
        <v>#N/A</v>
      </c>
      <c r="G3" s="11">
        <v>2</v>
      </c>
      <c r="H3" t="s">
        <v>284</v>
      </c>
      <c r="I3" t="s">
        <v>285</v>
      </c>
      <c r="J3" t="s">
        <v>321</v>
      </c>
      <c r="K3" s="43">
        <v>-1.8E-3</v>
      </c>
      <c r="L3" s="39">
        <v>2.1399999999999999E-2</v>
      </c>
      <c r="M3" s="39">
        <v>2.1000000000000001E-2</v>
      </c>
      <c r="N3" s="43">
        <v>6.5100000000000005E-2</v>
      </c>
      <c r="O3" s="39">
        <v>0.11899999999999999</v>
      </c>
      <c r="P3" s="39">
        <v>0.2079</v>
      </c>
      <c r="Q3" s="39">
        <v>0.1206</v>
      </c>
      <c r="R3" s="39">
        <v>0.23330000000000001</v>
      </c>
      <c r="S3" s="39">
        <v>5.9900000000000002E-2</v>
      </c>
      <c r="T3">
        <v>99.35</v>
      </c>
      <c r="U3">
        <v>98.7</v>
      </c>
      <c r="V3">
        <v>93.51</v>
      </c>
      <c r="W3" s="17">
        <v>13916.3592407</v>
      </c>
      <c r="X3" s="83" t="s">
        <v>639</v>
      </c>
      <c r="AA3" s="9"/>
      <c r="AB3" s="9"/>
    </row>
    <row r="4" spans="1:28" x14ac:dyDescent="0.15">
      <c r="A4">
        <v>3</v>
      </c>
      <c r="B4">
        <v>164906</v>
      </c>
      <c r="C4" t="s">
        <v>25</v>
      </c>
      <c r="D4">
        <f t="shared" si="0"/>
        <v>131</v>
      </c>
      <c r="G4" s="11">
        <v>3</v>
      </c>
      <c r="H4" s="10" t="s">
        <v>54</v>
      </c>
      <c r="I4" t="s">
        <v>914</v>
      </c>
      <c r="J4" t="s">
        <v>185</v>
      </c>
      <c r="K4" s="43">
        <v>-5.1000000000000004E-3</v>
      </c>
      <c r="L4" s="39">
        <v>1.4E-3</v>
      </c>
      <c r="M4" s="39">
        <v>-1.54E-2</v>
      </c>
      <c r="N4" s="43">
        <v>1.72E-2</v>
      </c>
      <c r="O4" s="39">
        <v>3.2000000000000001E-2</v>
      </c>
      <c r="P4" s="39">
        <v>2.9899999999999999E-2</v>
      </c>
      <c r="Q4" s="39">
        <v>0.18429999999999999</v>
      </c>
      <c r="R4" s="39">
        <v>-2.7900000000000001E-2</v>
      </c>
      <c r="S4" s="39">
        <v>0.27110000000000001</v>
      </c>
      <c r="T4">
        <v>98.7</v>
      </c>
      <c r="U4">
        <v>87.01</v>
      </c>
      <c r="V4">
        <v>98.7</v>
      </c>
      <c r="W4" s="17">
        <v>1802.9080199999999</v>
      </c>
      <c r="X4" s="83" t="s">
        <v>639</v>
      </c>
      <c r="AA4" s="9"/>
      <c r="AB4" s="9"/>
    </row>
    <row r="5" spans="1:28" x14ac:dyDescent="0.15">
      <c r="A5">
        <v>4</v>
      </c>
      <c r="B5">
        <v>159985</v>
      </c>
      <c r="C5" t="s">
        <v>24</v>
      </c>
      <c r="D5">
        <f t="shared" si="0"/>
        <v>25</v>
      </c>
      <c r="G5" s="11">
        <v>4</v>
      </c>
      <c r="H5" s="10" t="s">
        <v>314</v>
      </c>
      <c r="I5" t="s">
        <v>315</v>
      </c>
      <c r="J5" t="s">
        <v>321</v>
      </c>
      <c r="K5" s="43">
        <v>-1.6000000000000001E-3</v>
      </c>
      <c r="L5" s="39">
        <v>1.72E-2</v>
      </c>
      <c r="M5" s="39">
        <v>5.1900000000000002E-2</v>
      </c>
      <c r="N5" s="43">
        <v>3.73E-2</v>
      </c>
      <c r="O5" s="39">
        <v>3.3999999999999998E-3</v>
      </c>
      <c r="P5" s="39">
        <v>-2.7199999999999998E-2</v>
      </c>
      <c r="Q5" s="39">
        <v>-8.9300000000000004E-2</v>
      </c>
      <c r="R5" s="39">
        <v>-8.6699999999999999E-2</v>
      </c>
      <c r="S5" s="39">
        <v>-0.32419999999999999</v>
      </c>
      <c r="T5">
        <v>98.05</v>
      </c>
      <c r="U5">
        <v>92.86</v>
      </c>
      <c r="V5">
        <v>91.56</v>
      </c>
      <c r="W5" s="17">
        <v>1833.6615999999999</v>
      </c>
      <c r="X5" s="83" t="s">
        <v>639</v>
      </c>
      <c r="AA5" s="9"/>
      <c r="AB5" s="9"/>
    </row>
    <row r="6" spans="1:28" x14ac:dyDescent="0.15">
      <c r="A6">
        <v>5</v>
      </c>
      <c r="B6">
        <v>501046</v>
      </c>
      <c r="C6" t="s">
        <v>34</v>
      </c>
      <c r="D6" t="e">
        <f t="shared" si="0"/>
        <v>#N/A</v>
      </c>
      <c r="G6" s="11">
        <v>5</v>
      </c>
      <c r="H6" t="s">
        <v>59</v>
      </c>
      <c r="I6" t="s">
        <v>906</v>
      </c>
      <c r="J6" t="s">
        <v>655</v>
      </c>
      <c r="K6" s="43">
        <v>-2.8E-3</v>
      </c>
      <c r="L6" s="39">
        <v>1.6000000000000001E-3</v>
      </c>
      <c r="M6" s="39">
        <v>4.5999999999999999E-3</v>
      </c>
      <c r="N6" s="43">
        <v>5.5999999999999999E-3</v>
      </c>
      <c r="O6" s="39">
        <v>1.5299999999999999E-2</v>
      </c>
      <c r="P6" s="39">
        <v>4.4299999999999999E-2</v>
      </c>
      <c r="Q6" s="39">
        <v>5.4800000000000001E-2</v>
      </c>
      <c r="R6" s="39">
        <v>9.1999999999999998E-2</v>
      </c>
      <c r="S6" s="39">
        <v>0.15529999999999999</v>
      </c>
      <c r="T6">
        <v>97.4</v>
      </c>
      <c r="U6">
        <v>80.52</v>
      </c>
      <c r="V6">
        <v>96.75</v>
      </c>
      <c r="W6" s="17">
        <v>36541.033600000002</v>
      </c>
      <c r="AA6" t="s">
        <v>1075</v>
      </c>
    </row>
    <row r="7" spans="1:28" x14ac:dyDescent="0.15">
      <c r="A7">
        <v>6</v>
      </c>
      <c r="B7">
        <v>160216</v>
      </c>
      <c r="C7" t="s">
        <v>22</v>
      </c>
      <c r="D7" t="e">
        <f t="shared" si="0"/>
        <v>#N/A</v>
      </c>
      <c r="G7" s="11">
        <v>6</v>
      </c>
      <c r="H7" s="10" t="s">
        <v>124</v>
      </c>
      <c r="I7" t="s">
        <v>218</v>
      </c>
      <c r="J7" t="s">
        <v>185</v>
      </c>
      <c r="K7" s="43">
        <v>-1.1999999999999999E-3</v>
      </c>
      <c r="L7" s="39">
        <v>1.7600000000000001E-2</v>
      </c>
      <c r="M7" s="39">
        <v>4.4299999999999999E-2</v>
      </c>
      <c r="N7" s="43">
        <v>2.7099999999999999E-2</v>
      </c>
      <c r="O7" s="39">
        <v>-4.6699999999999998E-2</v>
      </c>
      <c r="P7" s="39">
        <v>-9.5899999999999999E-2</v>
      </c>
      <c r="Q7" s="39">
        <v>-0.19309999999999999</v>
      </c>
      <c r="R7" s="39">
        <v>-4.8099999999999997E-2</v>
      </c>
      <c r="S7" s="39">
        <v>-0.24210000000000001</v>
      </c>
      <c r="T7">
        <v>96.75</v>
      </c>
      <c r="U7">
        <v>88.31</v>
      </c>
      <c r="V7">
        <v>86.36</v>
      </c>
      <c r="W7" s="17">
        <v>1700.0584600000002</v>
      </c>
    </row>
    <row r="8" spans="1:28" x14ac:dyDescent="0.15">
      <c r="A8">
        <v>7</v>
      </c>
      <c r="B8">
        <v>513680</v>
      </c>
      <c r="C8" t="s">
        <v>47</v>
      </c>
      <c r="D8" t="e">
        <f t="shared" si="0"/>
        <v>#N/A</v>
      </c>
      <c r="G8" s="11">
        <v>7</v>
      </c>
      <c r="H8" s="10" t="s">
        <v>62</v>
      </c>
      <c r="I8" t="s">
        <v>907</v>
      </c>
      <c r="J8" t="s">
        <v>655</v>
      </c>
      <c r="K8" s="43">
        <v>-2.0999999999999999E-3</v>
      </c>
      <c r="L8" s="39">
        <v>1.6000000000000001E-3</v>
      </c>
      <c r="M8" s="39">
        <v>3.0000000000000001E-3</v>
      </c>
      <c r="N8" s="43">
        <v>4.1000000000000003E-3</v>
      </c>
      <c r="O8" s="39">
        <v>1.35E-2</v>
      </c>
      <c r="P8" s="39">
        <v>3.1099999999999999E-2</v>
      </c>
      <c r="Q8" s="39">
        <v>4.0899999999999999E-2</v>
      </c>
      <c r="R8" s="39">
        <v>7.0000000000000007E-2</v>
      </c>
      <c r="S8" s="39">
        <v>0.12039999999999999</v>
      </c>
      <c r="T8">
        <v>96.1</v>
      </c>
      <c r="U8">
        <v>77.27</v>
      </c>
      <c r="V8">
        <v>95.45</v>
      </c>
      <c r="W8" s="17">
        <v>13555.8048</v>
      </c>
    </row>
    <row r="9" spans="1:28" x14ac:dyDescent="0.15">
      <c r="A9">
        <v>8</v>
      </c>
      <c r="B9">
        <v>160717</v>
      </c>
      <c r="C9" t="s">
        <v>19</v>
      </c>
      <c r="D9" t="e">
        <f t="shared" si="0"/>
        <v>#N/A</v>
      </c>
      <c r="G9" s="11">
        <v>8</v>
      </c>
      <c r="H9" s="10" t="s">
        <v>415</v>
      </c>
      <c r="I9" t="s">
        <v>416</v>
      </c>
      <c r="J9" t="s">
        <v>403</v>
      </c>
      <c r="K9" s="43">
        <v>-1E-3</v>
      </c>
      <c r="L9" s="39">
        <v>-4.0000000000000002E-4</v>
      </c>
      <c r="M9" s="39">
        <v>4.4600000000000001E-2</v>
      </c>
      <c r="N9" s="43">
        <v>1.9099999999999999E-2</v>
      </c>
      <c r="O9" s="39">
        <v>-1.32E-2</v>
      </c>
      <c r="P9" s="39">
        <v>-9.1899999999999996E-2</v>
      </c>
      <c r="Q9" s="39">
        <v>-0.18920000000000001</v>
      </c>
      <c r="R9" s="39">
        <v>-0.30380000000000001</v>
      </c>
      <c r="S9" s="39">
        <v>-0.30380000000000001</v>
      </c>
      <c r="T9">
        <v>95.45</v>
      </c>
      <c r="U9">
        <v>87.66</v>
      </c>
      <c r="V9">
        <v>84.42</v>
      </c>
      <c r="W9" s="17">
        <v>2814.7041844999999</v>
      </c>
    </row>
    <row r="10" spans="1:28" x14ac:dyDescent="0.15">
      <c r="A10">
        <v>9</v>
      </c>
      <c r="B10">
        <v>162411</v>
      </c>
      <c r="C10" t="s">
        <v>21</v>
      </c>
      <c r="D10">
        <f t="shared" si="0"/>
        <v>30</v>
      </c>
      <c r="G10" s="11">
        <v>9</v>
      </c>
      <c r="H10" s="10" t="s">
        <v>312</v>
      </c>
      <c r="I10" t="s">
        <v>313</v>
      </c>
      <c r="J10" t="s">
        <v>321</v>
      </c>
      <c r="K10" s="43">
        <v>-1.1000000000000001E-3</v>
      </c>
      <c r="L10" s="39">
        <v>7.6E-3</v>
      </c>
      <c r="M10" s="39">
        <v>2.98E-2</v>
      </c>
      <c r="N10" s="43">
        <v>1.32E-2</v>
      </c>
      <c r="O10" s="39">
        <v>-7.3599999999999999E-2</v>
      </c>
      <c r="P10" s="39">
        <v>-0.1232</v>
      </c>
      <c r="Q10" s="39">
        <v>-0.23760000000000001</v>
      </c>
      <c r="R10" s="39">
        <v>-0.19170000000000001</v>
      </c>
      <c r="S10" s="39">
        <v>-0.44640000000000002</v>
      </c>
      <c r="T10">
        <v>94.81</v>
      </c>
      <c r="U10">
        <v>85.71</v>
      </c>
      <c r="V10">
        <v>85.71</v>
      </c>
      <c r="W10" s="17">
        <v>1183.5913</v>
      </c>
    </row>
    <row r="11" spans="1:28" x14ac:dyDescent="0.15">
      <c r="G11" s="11">
        <v>10</v>
      </c>
      <c r="H11" t="s">
        <v>112</v>
      </c>
      <c r="I11" t="s">
        <v>259</v>
      </c>
      <c r="J11" t="s">
        <v>185</v>
      </c>
      <c r="K11" s="43">
        <v>-8.0000000000000004E-4</v>
      </c>
      <c r="L11" s="39">
        <v>1.17E-2</v>
      </c>
      <c r="M11" s="39">
        <v>3.7100000000000001E-2</v>
      </c>
      <c r="N11" s="43">
        <v>1.54E-2</v>
      </c>
      <c r="O11" s="39">
        <v>-6.7100000000000007E-2</v>
      </c>
      <c r="P11" s="39">
        <v>-0.13059999999999999</v>
      </c>
      <c r="Q11" s="39">
        <v>-0.2747</v>
      </c>
      <c r="R11" s="39">
        <v>-0.24079999999999999</v>
      </c>
      <c r="S11" s="39">
        <v>-0.4052</v>
      </c>
      <c r="T11">
        <v>94.16</v>
      </c>
      <c r="U11">
        <v>86.36</v>
      </c>
      <c r="V11">
        <v>83.12</v>
      </c>
      <c r="W11" s="17">
        <v>262231.37109999999</v>
      </c>
      <c r="X11" s="83" t="s">
        <v>639</v>
      </c>
    </row>
    <row r="12" spans="1:28" x14ac:dyDescent="0.15">
      <c r="G12" s="11">
        <v>11</v>
      </c>
      <c r="H12" t="s">
        <v>94</v>
      </c>
      <c r="I12" t="s">
        <v>248</v>
      </c>
      <c r="J12" t="s">
        <v>185</v>
      </c>
      <c r="K12" s="43">
        <v>-2.0000000000000001E-4</v>
      </c>
      <c r="L12" s="39">
        <v>3.3000000000000002E-2</v>
      </c>
      <c r="M12" s="39">
        <v>7.3800000000000004E-2</v>
      </c>
      <c r="N12" s="43">
        <v>6.9400000000000003E-2</v>
      </c>
      <c r="O12" s="39">
        <v>-2.92E-2</v>
      </c>
      <c r="P12" s="39">
        <v>-8.5199999999999998E-2</v>
      </c>
      <c r="Q12" s="39">
        <v>-0.20580000000000001</v>
      </c>
      <c r="R12" s="39">
        <v>-0.2384</v>
      </c>
      <c r="S12" s="39">
        <v>-0.25840000000000002</v>
      </c>
      <c r="T12">
        <v>93.51</v>
      </c>
      <c r="U12">
        <v>99.35</v>
      </c>
      <c r="V12">
        <v>68.180000000000007</v>
      </c>
      <c r="W12" s="17">
        <v>44685.540155499999</v>
      </c>
      <c r="X12" s="83" t="s">
        <v>639</v>
      </c>
    </row>
    <row r="13" spans="1:28" x14ac:dyDescent="0.15">
      <c r="G13" s="11">
        <v>12</v>
      </c>
      <c r="H13" s="10" t="s">
        <v>288</v>
      </c>
      <c r="I13" t="s">
        <v>289</v>
      </c>
      <c r="J13" t="s">
        <v>321</v>
      </c>
      <c r="K13" s="43">
        <v>-2.2000000000000001E-3</v>
      </c>
      <c r="L13" s="39">
        <v>-3.0499999999999999E-2</v>
      </c>
      <c r="M13" s="39">
        <v>-2.1600000000000001E-2</v>
      </c>
      <c r="N13" s="43">
        <v>-4.0000000000000002E-4</v>
      </c>
      <c r="O13" s="39">
        <v>-3.5099999999999999E-2</v>
      </c>
      <c r="P13" s="39">
        <v>3.5999999999999997E-2</v>
      </c>
      <c r="Q13" s="39">
        <v>-0.20799999999999999</v>
      </c>
      <c r="R13" s="39">
        <v>-0.3382</v>
      </c>
      <c r="S13" s="39">
        <v>-0.45079999999999998</v>
      </c>
      <c r="T13">
        <v>92.86</v>
      </c>
      <c r="U13">
        <v>68.83</v>
      </c>
      <c r="V13">
        <v>96.1</v>
      </c>
      <c r="W13" s="17">
        <v>2118.7854748</v>
      </c>
    </row>
    <row r="14" spans="1:28" x14ac:dyDescent="0.15">
      <c r="G14" s="11">
        <v>13</v>
      </c>
      <c r="H14" s="10" t="s">
        <v>86</v>
      </c>
      <c r="I14" t="s">
        <v>251</v>
      </c>
      <c r="J14" t="s">
        <v>185</v>
      </c>
      <c r="K14" s="43">
        <v>0</v>
      </c>
      <c r="L14" s="39">
        <v>4.2900000000000001E-2</v>
      </c>
      <c r="M14" s="39">
        <v>8.5699999999999998E-2</v>
      </c>
      <c r="N14" s="43">
        <v>8.3900000000000002E-2</v>
      </c>
      <c r="O14" s="39">
        <v>-1.8700000000000001E-2</v>
      </c>
      <c r="P14" s="39">
        <v>-0.1153</v>
      </c>
      <c r="Q14" s="39">
        <v>-0.22090000000000001</v>
      </c>
      <c r="R14" s="39">
        <v>-0.20499999999999999</v>
      </c>
      <c r="S14" s="39">
        <v>-0.25059999999999999</v>
      </c>
      <c r="T14">
        <v>92.21</v>
      </c>
      <c r="U14">
        <v>100</v>
      </c>
      <c r="V14">
        <v>61.04</v>
      </c>
      <c r="W14" s="17">
        <v>131098.26629999999</v>
      </c>
    </row>
    <row r="15" spans="1:28" x14ac:dyDescent="0.15">
      <c r="G15" s="11">
        <v>14</v>
      </c>
      <c r="H15" s="10" t="s">
        <v>55</v>
      </c>
      <c r="I15" t="s">
        <v>640</v>
      </c>
      <c r="J15" t="s">
        <v>185</v>
      </c>
      <c r="K15" s="43">
        <v>-3.3999999999999998E-3</v>
      </c>
      <c r="L15" s="39">
        <v>-1.0200000000000001E-2</v>
      </c>
      <c r="M15" s="39">
        <v>-5.45E-2</v>
      </c>
      <c r="N15" s="43">
        <v>-1.46E-2</v>
      </c>
      <c r="O15" s="39">
        <v>0.1193</v>
      </c>
      <c r="P15" s="39">
        <v>0.1678</v>
      </c>
      <c r="Q15" s="39">
        <v>0.20100000000000001</v>
      </c>
      <c r="R15" s="39">
        <v>0.1101</v>
      </c>
      <c r="S15" s="39">
        <v>0.27439999999999998</v>
      </c>
      <c r="T15">
        <v>91.56</v>
      </c>
      <c r="U15">
        <v>62.34</v>
      </c>
      <c r="V15">
        <v>97.4</v>
      </c>
      <c r="W15" s="17">
        <v>11808.3674656</v>
      </c>
      <c r="X15" s="83" t="s">
        <v>639</v>
      </c>
    </row>
    <row r="16" spans="1:28" x14ac:dyDescent="0.15">
      <c r="G16" s="11">
        <v>15</v>
      </c>
      <c r="H16" s="10" t="s">
        <v>102</v>
      </c>
      <c r="I16" t="s">
        <v>990</v>
      </c>
      <c r="J16" t="s">
        <v>185</v>
      </c>
      <c r="K16" s="43">
        <v>-5.9999999999999995E-4</v>
      </c>
      <c r="L16" s="39">
        <v>-4.0000000000000001E-3</v>
      </c>
      <c r="M16" s="39">
        <v>3.5999999999999999E-3</v>
      </c>
      <c r="N16" s="43">
        <v>8.6E-3</v>
      </c>
      <c r="O16" s="39">
        <v>2.4799999999999999E-2</v>
      </c>
      <c r="P16" s="39">
        <v>7.0000000000000007E-2</v>
      </c>
      <c r="Q16" s="39">
        <v>-7.1000000000000004E-3</v>
      </c>
      <c r="R16" s="39">
        <v>0.1187</v>
      </c>
      <c r="S16" s="39">
        <v>0.1043</v>
      </c>
      <c r="T16">
        <v>90.91</v>
      </c>
      <c r="U16">
        <v>82.47</v>
      </c>
      <c r="V16">
        <v>76.62</v>
      </c>
      <c r="W16" s="17">
        <v>2188.7357999999999</v>
      </c>
    </row>
    <row r="17" spans="7:24" x14ac:dyDescent="0.15">
      <c r="G17" s="11">
        <v>16</v>
      </c>
      <c r="H17" s="10" t="s">
        <v>132</v>
      </c>
      <c r="I17" t="s">
        <v>224</v>
      </c>
      <c r="J17" t="s">
        <v>185</v>
      </c>
      <c r="K17" s="43">
        <v>-1.1999999999999999E-3</v>
      </c>
      <c r="L17" s="39">
        <v>1E-4</v>
      </c>
      <c r="M17" s="39">
        <v>3.7499999999999999E-2</v>
      </c>
      <c r="N17" s="43">
        <v>1.4E-3</v>
      </c>
      <c r="O17" s="39">
        <v>-4.0099999999999997E-2</v>
      </c>
      <c r="P17" s="39">
        <v>-0.13850000000000001</v>
      </c>
      <c r="Q17" s="39">
        <v>-9.69E-2</v>
      </c>
      <c r="R17" s="39">
        <v>-6.5500000000000003E-2</v>
      </c>
      <c r="S17" s="39">
        <v>-0.1318</v>
      </c>
      <c r="T17">
        <v>90.26</v>
      </c>
      <c r="U17">
        <v>70.78</v>
      </c>
      <c r="V17">
        <v>87.66</v>
      </c>
      <c r="W17" s="17">
        <v>1962.1889000000001</v>
      </c>
    </row>
    <row r="18" spans="7:24" x14ac:dyDescent="0.15">
      <c r="G18" s="11">
        <v>17</v>
      </c>
      <c r="H18" t="s">
        <v>57</v>
      </c>
      <c r="I18" t="s">
        <v>282</v>
      </c>
      <c r="J18" t="s">
        <v>321</v>
      </c>
      <c r="K18" s="43">
        <v>-5.9999999999999995E-4</v>
      </c>
      <c r="L18" s="39">
        <v>1.4E-3</v>
      </c>
      <c r="M18" s="39">
        <v>2.3999999999999998E-3</v>
      </c>
      <c r="N18" s="43">
        <v>3.8999999999999998E-3</v>
      </c>
      <c r="O18" s="39">
        <v>1.0500000000000001E-2</v>
      </c>
      <c r="P18" s="39">
        <v>2.5499999999999998E-2</v>
      </c>
      <c r="Q18" s="39">
        <v>3.7600000000000001E-2</v>
      </c>
      <c r="R18" s="39">
        <v>6.3700000000000007E-2</v>
      </c>
      <c r="S18" s="39">
        <v>9.9599999999999994E-2</v>
      </c>
      <c r="T18">
        <v>89.61</v>
      </c>
      <c r="U18">
        <v>76.62</v>
      </c>
      <c r="V18">
        <v>79.22</v>
      </c>
      <c r="W18" s="17">
        <v>6071.6041799999994</v>
      </c>
    </row>
    <row r="19" spans="7:24" x14ac:dyDescent="0.15">
      <c r="G19" s="11">
        <v>18</v>
      </c>
      <c r="H19" t="s">
        <v>82</v>
      </c>
      <c r="I19" t="s">
        <v>250</v>
      </c>
      <c r="J19" t="s">
        <v>185</v>
      </c>
      <c r="K19" s="43">
        <v>-2.9999999999999997E-4</v>
      </c>
      <c r="L19" s="39">
        <v>-2.2000000000000001E-3</v>
      </c>
      <c r="M19" s="39">
        <v>3.7900000000000003E-2</v>
      </c>
      <c r="N19" s="43">
        <v>1.15E-2</v>
      </c>
      <c r="O19" s="39">
        <v>5.4999999999999997E-3</v>
      </c>
      <c r="P19" s="39">
        <v>-5.57E-2</v>
      </c>
      <c r="Q19" s="39">
        <v>-0.156</v>
      </c>
      <c r="R19" s="39">
        <v>-0.1148</v>
      </c>
      <c r="S19" s="39">
        <v>-0.1163</v>
      </c>
      <c r="T19">
        <v>88.96</v>
      </c>
      <c r="U19">
        <v>85.06</v>
      </c>
      <c r="V19">
        <v>70.13</v>
      </c>
      <c r="W19" s="17">
        <v>25996.7333</v>
      </c>
      <c r="X19" s="83" t="s">
        <v>639</v>
      </c>
    </row>
    <row r="20" spans="7:24" x14ac:dyDescent="0.15">
      <c r="G20" s="11">
        <v>19</v>
      </c>
      <c r="H20" s="10" t="s">
        <v>121</v>
      </c>
      <c r="I20" t="s">
        <v>199</v>
      </c>
      <c r="J20" t="s">
        <v>185</v>
      </c>
      <c r="K20" s="43">
        <v>0</v>
      </c>
      <c r="L20" s="39">
        <v>1.83E-2</v>
      </c>
      <c r="M20" s="39">
        <v>5.0799999999999998E-2</v>
      </c>
      <c r="N20" s="43">
        <v>3.7600000000000001E-2</v>
      </c>
      <c r="O20" s="39">
        <v>-1.03E-2</v>
      </c>
      <c r="P20" s="39">
        <v>-1.5699999999999999E-2</v>
      </c>
      <c r="Q20" s="39">
        <v>-0.1023</v>
      </c>
      <c r="R20" s="39">
        <v>-8.9399999999999993E-2</v>
      </c>
      <c r="S20" s="39">
        <v>-0.27039999999999997</v>
      </c>
      <c r="T20">
        <v>88.31</v>
      </c>
      <c r="U20">
        <v>93.51</v>
      </c>
      <c r="V20">
        <v>60.39</v>
      </c>
      <c r="W20" s="17">
        <v>352.70600000000002</v>
      </c>
    </row>
    <row r="21" spans="7:24" x14ac:dyDescent="0.15">
      <c r="G21" s="11">
        <v>20</v>
      </c>
      <c r="H21" s="10" t="s">
        <v>130</v>
      </c>
      <c r="I21" t="s">
        <v>208</v>
      </c>
      <c r="J21" t="s">
        <v>185</v>
      </c>
      <c r="K21" s="43">
        <v>-1.8E-3</v>
      </c>
      <c r="L21" s="39">
        <v>-1.8E-3</v>
      </c>
      <c r="M21" s="39">
        <v>1.5699999999999999E-2</v>
      </c>
      <c r="N21" s="43">
        <v>-1.77E-2</v>
      </c>
      <c r="O21" s="39">
        <v>7.4000000000000003E-3</v>
      </c>
      <c r="P21" s="39">
        <v>9.4000000000000004E-3</v>
      </c>
      <c r="Q21" s="39">
        <v>0.1183</v>
      </c>
      <c r="R21" s="39">
        <v>-5.0000000000000001E-3</v>
      </c>
      <c r="S21" s="39">
        <v>5.8999999999999997E-2</v>
      </c>
      <c r="T21">
        <v>87.66</v>
      </c>
      <c r="U21">
        <v>59.74</v>
      </c>
      <c r="V21">
        <v>94.16</v>
      </c>
      <c r="W21" s="17">
        <v>2270.4747000000002</v>
      </c>
      <c r="X21" s="83" t="s">
        <v>639</v>
      </c>
    </row>
    <row r="22" spans="7:24" x14ac:dyDescent="0.15">
      <c r="G22" s="11">
        <v>21</v>
      </c>
      <c r="H22" s="10" t="s">
        <v>56</v>
      </c>
      <c r="I22" t="s">
        <v>283</v>
      </c>
      <c r="J22" t="s">
        <v>321</v>
      </c>
      <c r="K22" s="43">
        <v>-5.0000000000000001E-4</v>
      </c>
      <c r="L22" s="39">
        <v>1.2999999999999999E-3</v>
      </c>
      <c r="M22" s="39">
        <v>2.3999999999999998E-3</v>
      </c>
      <c r="N22" s="43">
        <v>4.3E-3</v>
      </c>
      <c r="O22" s="39">
        <v>1.3299999999999999E-2</v>
      </c>
      <c r="P22" s="39">
        <v>3.4700000000000002E-2</v>
      </c>
      <c r="Q22" s="39">
        <v>4.7199999999999999E-2</v>
      </c>
      <c r="R22" s="39">
        <v>8.0699999999999994E-2</v>
      </c>
      <c r="S22" s="39">
        <v>0.13289999999999999</v>
      </c>
      <c r="T22">
        <v>87.01</v>
      </c>
      <c r="U22">
        <v>77.92</v>
      </c>
      <c r="V22">
        <v>74.680000000000007</v>
      </c>
      <c r="W22" s="17">
        <v>4703.3434700000007</v>
      </c>
    </row>
    <row r="23" spans="7:24" x14ac:dyDescent="0.15">
      <c r="G23" s="11">
        <v>22</v>
      </c>
      <c r="H23" t="s">
        <v>75</v>
      </c>
      <c r="I23" t="s">
        <v>235</v>
      </c>
      <c r="J23" t="s">
        <v>185</v>
      </c>
      <c r="K23" s="43">
        <v>-1.1999999999999999E-3</v>
      </c>
      <c r="L23" s="39">
        <v>-3.1099999999999999E-2</v>
      </c>
      <c r="M23" s="39">
        <v>-5.0000000000000001E-3</v>
      </c>
      <c r="N23" s="43">
        <v>-7.7999999999999996E-3</v>
      </c>
      <c r="O23" s="39">
        <v>-2.3900000000000001E-2</v>
      </c>
      <c r="P23" s="39">
        <v>-3.9199999999999999E-2</v>
      </c>
      <c r="Q23" s="39">
        <v>-0.28210000000000002</v>
      </c>
      <c r="R23" s="39">
        <v>-0.41120000000000001</v>
      </c>
      <c r="S23" s="39">
        <v>-0.42430000000000001</v>
      </c>
      <c r="T23">
        <v>86.36</v>
      </c>
      <c r="U23">
        <v>64.94</v>
      </c>
      <c r="V23">
        <v>87.01</v>
      </c>
      <c r="W23" s="17">
        <v>5029.65517</v>
      </c>
      <c r="X23" s="83" t="s">
        <v>639</v>
      </c>
    </row>
    <row r="24" spans="7:24" x14ac:dyDescent="0.15">
      <c r="G24" s="11">
        <v>23</v>
      </c>
      <c r="H24" s="10" t="s">
        <v>63</v>
      </c>
      <c r="I24" t="s">
        <v>242</v>
      </c>
      <c r="J24" t="s">
        <v>185</v>
      </c>
      <c r="K24" s="43">
        <v>-2.9999999999999997E-4</v>
      </c>
      <c r="L24" s="39">
        <v>1.6000000000000001E-3</v>
      </c>
      <c r="M24" s="39">
        <v>3.0999999999999999E-3</v>
      </c>
      <c r="N24" s="43">
        <v>4.7000000000000002E-3</v>
      </c>
      <c r="O24" s="39">
        <v>1.34E-2</v>
      </c>
      <c r="P24" s="39">
        <v>3.7199999999999997E-2</v>
      </c>
      <c r="Q24" s="39">
        <v>5.3400000000000003E-2</v>
      </c>
      <c r="R24" s="39">
        <v>8.8200000000000001E-2</v>
      </c>
      <c r="S24" s="39">
        <v>0.14349999999999999</v>
      </c>
      <c r="T24">
        <v>85.71</v>
      </c>
      <c r="U24">
        <v>79.22</v>
      </c>
      <c r="V24">
        <v>72.08</v>
      </c>
      <c r="W24" s="17">
        <v>33367.616999999998</v>
      </c>
    </row>
    <row r="25" spans="7:24" x14ac:dyDescent="0.15">
      <c r="G25" s="11">
        <v>24</v>
      </c>
      <c r="H25" t="s">
        <v>58</v>
      </c>
      <c r="I25" t="s">
        <v>290</v>
      </c>
      <c r="J25" t="s">
        <v>321</v>
      </c>
      <c r="K25" s="43">
        <v>-4.0000000000000002E-4</v>
      </c>
      <c r="L25" s="39">
        <v>8.0000000000000004E-4</v>
      </c>
      <c r="M25" s="39">
        <v>2.5000000000000001E-3</v>
      </c>
      <c r="N25" s="43">
        <v>4.4000000000000003E-3</v>
      </c>
      <c r="O25" s="39">
        <v>1.2999999999999999E-2</v>
      </c>
      <c r="P25" s="39">
        <v>3.4599999999999999E-2</v>
      </c>
      <c r="Q25" s="39">
        <v>4.7500000000000001E-2</v>
      </c>
      <c r="R25" s="39">
        <v>7.6300000000000007E-2</v>
      </c>
      <c r="S25" s="39">
        <v>0.1245</v>
      </c>
      <c r="T25">
        <v>85.06</v>
      </c>
      <c r="U25">
        <v>78.569999999999993</v>
      </c>
      <c r="V25">
        <v>72.73</v>
      </c>
      <c r="W25" s="17">
        <v>41508.392</v>
      </c>
    </row>
    <row r="26" spans="7:24" x14ac:dyDescent="0.15">
      <c r="G26" s="11">
        <v>25</v>
      </c>
      <c r="H26" t="s">
        <v>73</v>
      </c>
      <c r="I26" t="s">
        <v>220</v>
      </c>
      <c r="J26" t="s">
        <v>185</v>
      </c>
      <c r="K26" s="43">
        <v>-1.15E-2</v>
      </c>
      <c r="L26" s="39">
        <v>-5.7999999999999996E-3</v>
      </c>
      <c r="M26" s="39">
        <v>-1.21E-2</v>
      </c>
      <c r="N26" s="43">
        <v>-2.46E-2</v>
      </c>
      <c r="O26" s="39">
        <v>5.3199999999999997E-2</v>
      </c>
      <c r="P26" s="39">
        <v>-1.38E-2</v>
      </c>
      <c r="Q26" s="39">
        <v>0.29770000000000002</v>
      </c>
      <c r="R26" s="39">
        <v>0.38269999999999998</v>
      </c>
      <c r="S26" s="39">
        <v>0.72519999999999996</v>
      </c>
      <c r="T26">
        <v>84.42</v>
      </c>
      <c r="U26">
        <v>49.35</v>
      </c>
      <c r="V26">
        <v>100</v>
      </c>
      <c r="W26" s="17">
        <v>17584.381271999999</v>
      </c>
      <c r="X26" s="83" t="s">
        <v>639</v>
      </c>
    </row>
    <row r="27" spans="7:24" x14ac:dyDescent="0.15">
      <c r="G27" s="11">
        <v>26</v>
      </c>
      <c r="H27" s="10" t="s">
        <v>91</v>
      </c>
      <c r="I27" t="s">
        <v>187</v>
      </c>
      <c r="J27" t="s">
        <v>185</v>
      </c>
      <c r="K27" s="43">
        <v>-1E-4</v>
      </c>
      <c r="L27" s="39">
        <v>-4.1000000000000003E-3</v>
      </c>
      <c r="M27" s="39">
        <v>3.7000000000000002E-3</v>
      </c>
      <c r="N27" s="43">
        <v>8.9999999999999993E-3</v>
      </c>
      <c r="O27" s="39">
        <v>2.5600000000000001E-2</v>
      </c>
      <c r="P27" s="39">
        <v>7.2599999999999998E-2</v>
      </c>
      <c r="Q27" s="39">
        <v>-8.2000000000000007E-3</v>
      </c>
      <c r="R27" s="39">
        <v>0.11840000000000001</v>
      </c>
      <c r="S27" s="39">
        <v>0.10100000000000001</v>
      </c>
      <c r="T27">
        <v>83.77</v>
      </c>
      <c r="U27">
        <v>83.77</v>
      </c>
      <c r="V27">
        <v>64.94</v>
      </c>
      <c r="W27" s="17">
        <v>616.99130000000002</v>
      </c>
    </row>
    <row r="28" spans="7:24" x14ac:dyDescent="0.15">
      <c r="G28" s="11">
        <v>27</v>
      </c>
      <c r="H28" s="10" t="s">
        <v>105</v>
      </c>
      <c r="I28" t="s">
        <v>908</v>
      </c>
      <c r="J28" t="s">
        <v>185</v>
      </c>
      <c r="K28" s="43">
        <v>-1E-4</v>
      </c>
      <c r="L28" s="39">
        <v>9.1000000000000004E-3</v>
      </c>
      <c r="M28" s="39">
        <v>3.3799999999999997E-2</v>
      </c>
      <c r="N28" s="43">
        <v>8.3999999999999995E-3</v>
      </c>
      <c r="O28" s="39">
        <v>-5.8200000000000002E-2</v>
      </c>
      <c r="P28" s="39">
        <v>-7.4899999999999994E-2</v>
      </c>
      <c r="Q28" s="39">
        <v>-0.2044</v>
      </c>
      <c r="R28" s="39">
        <v>6.13E-2</v>
      </c>
      <c r="S28" s="39">
        <v>-0.17319999999999999</v>
      </c>
      <c r="T28">
        <v>83.12</v>
      </c>
      <c r="U28">
        <v>81.819999999999993</v>
      </c>
      <c r="V28">
        <v>66.23</v>
      </c>
      <c r="W28" s="17">
        <v>28463.967135799998</v>
      </c>
      <c r="X28" s="83" t="s">
        <v>639</v>
      </c>
    </row>
    <row r="29" spans="7:24" x14ac:dyDescent="0.15">
      <c r="G29" s="11">
        <v>28</v>
      </c>
      <c r="H29" s="10" t="s">
        <v>93</v>
      </c>
      <c r="I29" t="s">
        <v>234</v>
      </c>
      <c r="J29" t="s">
        <v>185</v>
      </c>
      <c r="K29" s="43">
        <v>0</v>
      </c>
      <c r="L29" s="39">
        <v>-1.1000000000000001E-3</v>
      </c>
      <c r="M29" s="39">
        <v>5.04E-2</v>
      </c>
      <c r="N29" s="43">
        <v>2.7400000000000001E-2</v>
      </c>
      <c r="O29" s="39">
        <v>9.9000000000000008E-3</v>
      </c>
      <c r="P29" s="39">
        <v>-9.0399999999999994E-2</v>
      </c>
      <c r="Q29" s="39">
        <v>-0.19789999999999999</v>
      </c>
      <c r="R29" s="39">
        <v>-0.24759999999999999</v>
      </c>
      <c r="S29" s="39">
        <v>-0.2165</v>
      </c>
      <c r="T29">
        <v>82.47</v>
      </c>
      <c r="U29">
        <v>88.96</v>
      </c>
      <c r="V29">
        <v>59.09</v>
      </c>
      <c r="W29" s="17">
        <v>8356.1092000000008</v>
      </c>
    </row>
    <row r="30" spans="7:24" x14ac:dyDescent="0.15">
      <c r="G30" s="11">
        <v>29</v>
      </c>
      <c r="H30" s="10" t="s">
        <v>90</v>
      </c>
      <c r="I30" t="s">
        <v>191</v>
      </c>
      <c r="J30" t="s">
        <v>185</v>
      </c>
      <c r="K30" s="43">
        <v>2.0000000000000001E-4</v>
      </c>
      <c r="L30" s="39">
        <v>2.23E-2</v>
      </c>
      <c r="M30" s="39">
        <v>5.3699999999999998E-2</v>
      </c>
      <c r="N30" s="43">
        <v>3.8699999999999998E-2</v>
      </c>
      <c r="O30" s="39">
        <v>-2.12E-2</v>
      </c>
      <c r="P30" s="39">
        <v>-4.9099999999999998E-2</v>
      </c>
      <c r="Q30" s="39">
        <v>-0.1203</v>
      </c>
      <c r="R30" s="39">
        <v>-5.5500000000000001E-2</v>
      </c>
      <c r="S30" s="39">
        <v>-0.24640000000000001</v>
      </c>
      <c r="T30">
        <v>81.819999999999993</v>
      </c>
      <c r="U30">
        <v>94.16</v>
      </c>
      <c r="V30">
        <v>52.6</v>
      </c>
      <c r="W30" s="17">
        <v>4377.9283700000005</v>
      </c>
    </row>
    <row r="31" spans="7:24" x14ac:dyDescent="0.15">
      <c r="G31" s="11">
        <v>30</v>
      </c>
      <c r="H31" s="10" t="s">
        <v>53</v>
      </c>
      <c r="I31" t="s">
        <v>274</v>
      </c>
      <c r="J31" t="s">
        <v>273</v>
      </c>
      <c r="K31" s="43">
        <v>-4.1999999999999997E-3</v>
      </c>
      <c r="L31" s="39">
        <v>1.3899999999999999E-2</v>
      </c>
      <c r="M31" s="39">
        <v>-2.2100000000000002E-2</v>
      </c>
      <c r="N31" s="43">
        <v>-2.46E-2</v>
      </c>
      <c r="O31" s="39">
        <v>2.6800000000000001E-2</v>
      </c>
      <c r="P31" s="39">
        <v>0.11559999999999999</v>
      </c>
      <c r="Q31" s="39">
        <v>0.25640000000000002</v>
      </c>
      <c r="R31" s="39">
        <v>0.15260000000000001</v>
      </c>
      <c r="S31" s="39">
        <v>1.0402</v>
      </c>
      <c r="T31">
        <v>81.17</v>
      </c>
      <c r="U31">
        <v>48.7</v>
      </c>
      <c r="V31">
        <v>98.05</v>
      </c>
      <c r="W31" s="17">
        <v>4042.8938982</v>
      </c>
      <c r="X31" s="83" t="s">
        <v>639</v>
      </c>
    </row>
    <row r="32" spans="7:24" x14ac:dyDescent="0.15">
      <c r="G32" s="11">
        <v>31</v>
      </c>
      <c r="H32" t="s">
        <v>104</v>
      </c>
      <c r="I32" t="s">
        <v>205</v>
      </c>
      <c r="J32" t="s">
        <v>185</v>
      </c>
      <c r="K32" s="43">
        <v>-5.0000000000000001E-4</v>
      </c>
      <c r="L32" s="39">
        <v>1.03E-2</v>
      </c>
      <c r="M32" s="39">
        <v>2.63E-2</v>
      </c>
      <c r="N32" s="43">
        <v>-1.1000000000000001E-3</v>
      </c>
      <c r="O32" s="39">
        <v>-9.9699999999999997E-2</v>
      </c>
      <c r="P32" s="39">
        <v>-0.13039999999999999</v>
      </c>
      <c r="Q32" s="39">
        <v>-0.28649999999999998</v>
      </c>
      <c r="R32" s="39">
        <v>0.23549999999999999</v>
      </c>
      <c r="S32" s="39">
        <v>-0.1071</v>
      </c>
      <c r="T32">
        <v>80.52</v>
      </c>
      <c r="U32">
        <v>68.180000000000007</v>
      </c>
      <c r="V32">
        <v>75.319999999999993</v>
      </c>
      <c r="W32" s="17">
        <v>5753.3759</v>
      </c>
    </row>
    <row r="33" spans="7:25" x14ac:dyDescent="0.15">
      <c r="G33" s="11">
        <v>32</v>
      </c>
      <c r="H33" t="s">
        <v>979</v>
      </c>
      <c r="I33" t="s">
        <v>980</v>
      </c>
      <c r="J33" t="s">
        <v>655</v>
      </c>
      <c r="K33" s="43">
        <v>0</v>
      </c>
      <c r="L33" s="39">
        <v>5.0000000000000001E-3</v>
      </c>
      <c r="M33" s="39">
        <v>4.3E-3</v>
      </c>
      <c r="N33" s="43">
        <v>9.7000000000000003E-3</v>
      </c>
      <c r="O33" s="39">
        <v>1.46E-2</v>
      </c>
      <c r="P33" s="39">
        <v>0.10100000000000001</v>
      </c>
      <c r="Q33" s="39">
        <v>0.13969999999999999</v>
      </c>
      <c r="R33" s="39">
        <v>0.13969999999999999</v>
      </c>
      <c r="S33" s="39">
        <v>0.13969999999999999</v>
      </c>
      <c r="T33">
        <v>79.87</v>
      </c>
      <c r="U33">
        <v>84.42</v>
      </c>
      <c r="V33">
        <v>57.79</v>
      </c>
      <c r="W33" s="17">
        <v>45294.699699999997</v>
      </c>
      <c r="X33" s="83" t="s">
        <v>639</v>
      </c>
    </row>
    <row r="34" spans="7:25" x14ac:dyDescent="0.15">
      <c r="G34" s="11">
        <v>33</v>
      </c>
      <c r="H34" s="10" t="s">
        <v>89</v>
      </c>
      <c r="I34" t="s">
        <v>298</v>
      </c>
      <c r="J34" t="s">
        <v>321</v>
      </c>
      <c r="K34" s="43">
        <v>-2.9999999999999997E-4</v>
      </c>
      <c r="L34" s="39">
        <v>8.0000000000000004E-4</v>
      </c>
      <c r="M34" s="39">
        <v>1.6000000000000001E-3</v>
      </c>
      <c r="N34" s="43">
        <v>2.8E-3</v>
      </c>
      <c r="O34" s="39">
        <v>1.0200000000000001E-2</v>
      </c>
      <c r="P34" s="39">
        <v>2.41E-2</v>
      </c>
      <c r="Q34" s="39">
        <v>2.8000000000000001E-2</v>
      </c>
      <c r="R34" s="39">
        <v>4.3700000000000003E-2</v>
      </c>
      <c r="S34" s="39">
        <v>7.4999999999999997E-2</v>
      </c>
      <c r="T34">
        <v>79.22</v>
      </c>
      <c r="U34">
        <v>72.08</v>
      </c>
      <c r="V34">
        <v>69.48</v>
      </c>
      <c r="W34" s="17">
        <v>41950.311999999998</v>
      </c>
      <c r="X34" s="83" t="s">
        <v>639</v>
      </c>
    </row>
    <row r="35" spans="7:25" x14ac:dyDescent="0.15">
      <c r="G35" s="11">
        <v>34</v>
      </c>
      <c r="H35" s="10" t="s">
        <v>152</v>
      </c>
      <c r="I35" t="s">
        <v>245</v>
      </c>
      <c r="J35" t="s">
        <v>185</v>
      </c>
      <c r="K35" s="43">
        <v>-1.6999999999999999E-3</v>
      </c>
      <c r="L35" s="39">
        <v>-2.2100000000000002E-2</v>
      </c>
      <c r="M35" s="39">
        <v>-3.1300000000000001E-2</v>
      </c>
      <c r="N35" s="43">
        <v>-2.6200000000000001E-2</v>
      </c>
      <c r="O35" s="39">
        <v>-5.0900000000000001E-2</v>
      </c>
      <c r="P35" s="39">
        <v>-5.7799999999999997E-2</v>
      </c>
      <c r="Q35" s="39">
        <v>-8.9200000000000002E-2</v>
      </c>
      <c r="R35" s="39">
        <v>-1E-3</v>
      </c>
      <c r="S35" s="39">
        <v>-0.26090000000000002</v>
      </c>
      <c r="T35">
        <v>78.569999999999993</v>
      </c>
      <c r="U35">
        <v>47.4</v>
      </c>
      <c r="V35">
        <v>92.86</v>
      </c>
      <c r="W35" s="17">
        <v>5125.9766</v>
      </c>
      <c r="X35" s="83" t="s">
        <v>639</v>
      </c>
    </row>
    <row r="36" spans="7:25" x14ac:dyDescent="0.15">
      <c r="G36" s="11">
        <v>35</v>
      </c>
      <c r="H36" t="s">
        <v>345</v>
      </c>
      <c r="I36" t="s">
        <v>650</v>
      </c>
      <c r="J36" t="s">
        <v>655</v>
      </c>
      <c r="K36" s="43">
        <v>-1E-4</v>
      </c>
      <c r="L36" s="39">
        <v>8.9999999999999998E-4</v>
      </c>
      <c r="M36" s="39">
        <v>1.9E-3</v>
      </c>
      <c r="N36" s="43">
        <v>3.3E-3</v>
      </c>
      <c r="O36" s="39">
        <v>1.06E-2</v>
      </c>
      <c r="P36" s="39">
        <v>2.98E-2</v>
      </c>
      <c r="Q36" s="39">
        <v>4.3799999999999999E-2</v>
      </c>
      <c r="R36" s="39">
        <v>7.5600000000000001E-2</v>
      </c>
      <c r="S36" s="39">
        <v>0.13089999999999999</v>
      </c>
      <c r="T36">
        <v>77.92</v>
      </c>
      <c r="U36">
        <v>74.680000000000007</v>
      </c>
      <c r="V36">
        <v>65.58</v>
      </c>
      <c r="W36" s="17">
        <v>5861.3413200000005</v>
      </c>
      <c r="Y36" s="81" t="s">
        <v>657</v>
      </c>
    </row>
    <row r="37" spans="7:25" x14ac:dyDescent="0.15">
      <c r="G37" s="11">
        <v>36</v>
      </c>
      <c r="H37" s="10" t="s">
        <v>68</v>
      </c>
      <c r="I37" t="s">
        <v>238</v>
      </c>
      <c r="J37" t="s">
        <v>185</v>
      </c>
      <c r="K37" s="43">
        <v>-1E-4</v>
      </c>
      <c r="L37" s="39">
        <v>0</v>
      </c>
      <c r="M37" s="39">
        <v>1.5E-3</v>
      </c>
      <c r="N37" s="43">
        <v>3.5999999999999999E-3</v>
      </c>
      <c r="O37" s="39">
        <v>1.2500000000000001E-2</v>
      </c>
      <c r="P37" s="39">
        <v>2.8400000000000002E-2</v>
      </c>
      <c r="Q37" s="39">
        <v>3.6200000000000003E-2</v>
      </c>
      <c r="R37" s="39">
        <v>6.4199999999999993E-2</v>
      </c>
      <c r="S37" s="39">
        <v>0.1062</v>
      </c>
      <c r="T37">
        <v>77.27</v>
      </c>
      <c r="U37">
        <v>75.319999999999993</v>
      </c>
      <c r="V37">
        <v>64.290000000000006</v>
      </c>
      <c r="W37" s="17">
        <v>38301.586199999998</v>
      </c>
    </row>
    <row r="38" spans="7:25" x14ac:dyDescent="0.15">
      <c r="G38" s="11">
        <v>37</v>
      </c>
      <c r="H38" t="s">
        <v>68</v>
      </c>
      <c r="I38" t="s">
        <v>238</v>
      </c>
      <c r="J38" t="s">
        <v>655</v>
      </c>
      <c r="K38" s="43">
        <v>-1E-4</v>
      </c>
      <c r="L38" s="39">
        <v>0</v>
      </c>
      <c r="M38" s="39">
        <v>1.5E-3</v>
      </c>
      <c r="N38" s="43">
        <v>3.5999999999999999E-3</v>
      </c>
      <c r="O38" s="39">
        <v>1.2500000000000001E-2</v>
      </c>
      <c r="P38" s="39">
        <v>2.8400000000000002E-2</v>
      </c>
      <c r="Q38" s="39">
        <v>3.6200000000000003E-2</v>
      </c>
      <c r="R38" s="39">
        <v>6.4199999999999993E-2</v>
      </c>
      <c r="S38" s="39">
        <v>0.1062</v>
      </c>
      <c r="T38">
        <v>76.62</v>
      </c>
      <c r="U38">
        <v>75.97</v>
      </c>
      <c r="V38">
        <v>62.99</v>
      </c>
      <c r="W38" s="17">
        <v>38301.586199999998</v>
      </c>
      <c r="X38" s="83" t="s">
        <v>639</v>
      </c>
    </row>
    <row r="39" spans="7:25" x14ac:dyDescent="0.15">
      <c r="G39" s="11">
        <v>38</v>
      </c>
      <c r="H39" s="10" t="s">
        <v>404</v>
      </c>
      <c r="I39" t="s">
        <v>405</v>
      </c>
      <c r="J39" t="s">
        <v>403</v>
      </c>
      <c r="K39" s="43">
        <v>1E-4</v>
      </c>
      <c r="L39" s="39">
        <v>-4.1000000000000003E-3</v>
      </c>
      <c r="M39" s="39">
        <v>3.8E-3</v>
      </c>
      <c r="N39" s="43">
        <v>8.9999999999999993E-3</v>
      </c>
      <c r="O39" s="39">
        <v>2.5499999999999998E-2</v>
      </c>
      <c r="P39" s="39">
        <v>7.1199999999999999E-2</v>
      </c>
      <c r="Q39" s="39">
        <v>-5.1999999999999998E-3</v>
      </c>
      <c r="R39" s="39">
        <v>0.1215</v>
      </c>
      <c r="S39" s="39">
        <v>0.11840000000000001</v>
      </c>
      <c r="T39">
        <v>75.97</v>
      </c>
      <c r="U39">
        <v>83.12</v>
      </c>
      <c r="V39">
        <v>55.84</v>
      </c>
      <c r="W39" s="17">
        <v>637.81954000000007</v>
      </c>
    </row>
    <row r="40" spans="7:25" x14ac:dyDescent="0.15">
      <c r="G40" s="11">
        <v>39</v>
      </c>
      <c r="H40" t="s">
        <v>78</v>
      </c>
      <c r="I40" t="s">
        <v>297</v>
      </c>
      <c r="J40" t="s">
        <v>321</v>
      </c>
      <c r="K40" s="43">
        <v>-1E-4</v>
      </c>
      <c r="L40" s="39">
        <v>5.0000000000000001E-4</v>
      </c>
      <c r="M40" s="39">
        <v>8.0000000000000004E-4</v>
      </c>
      <c r="N40" s="43">
        <v>1.5E-3</v>
      </c>
      <c r="O40" s="39">
        <v>6.0000000000000001E-3</v>
      </c>
      <c r="P40" s="39">
        <v>1.37E-2</v>
      </c>
      <c r="Q40" s="39">
        <v>2.4E-2</v>
      </c>
      <c r="R40" s="39">
        <v>4.5999999999999999E-2</v>
      </c>
      <c r="S40" s="39">
        <v>7.6100000000000001E-2</v>
      </c>
      <c r="T40">
        <v>75.319999999999993</v>
      </c>
      <c r="U40">
        <v>71.430000000000007</v>
      </c>
      <c r="V40">
        <v>67.53</v>
      </c>
      <c r="W40" s="17">
        <v>990273.31889999995</v>
      </c>
    </row>
    <row r="41" spans="7:25" x14ac:dyDescent="0.15">
      <c r="G41" s="11">
        <v>40</v>
      </c>
      <c r="H41" s="10" t="s">
        <v>72</v>
      </c>
      <c r="I41" t="s">
        <v>265</v>
      </c>
      <c r="J41" t="s">
        <v>265</v>
      </c>
      <c r="K41" s="43">
        <v>-5.9999999999999995E-4</v>
      </c>
      <c r="L41" s="39">
        <v>-7.1000000000000004E-3</v>
      </c>
      <c r="M41" s="39">
        <v>-1.7100000000000001E-2</v>
      </c>
      <c r="N41" s="43">
        <v>-1.77E-2</v>
      </c>
      <c r="O41" s="39">
        <v>8.1299999999999997E-2</v>
      </c>
      <c r="P41" s="39">
        <v>0.16539999999999999</v>
      </c>
      <c r="Q41" s="39">
        <v>0.21</v>
      </c>
      <c r="R41" s="39">
        <v>0.35460000000000003</v>
      </c>
      <c r="S41" s="39">
        <v>0.41149999999999998</v>
      </c>
      <c r="T41">
        <v>74.680000000000007</v>
      </c>
      <c r="U41">
        <v>60.39</v>
      </c>
      <c r="V41">
        <v>78.569999999999993</v>
      </c>
      <c r="W41" s="17">
        <v>21209.645630000003</v>
      </c>
      <c r="X41" s="83" t="s">
        <v>639</v>
      </c>
      <c r="Y41" s="81" t="s">
        <v>657</v>
      </c>
    </row>
    <row r="42" spans="7:25" x14ac:dyDescent="0.15">
      <c r="G42" s="11">
        <v>41</v>
      </c>
      <c r="H42" s="10" t="s">
        <v>98</v>
      </c>
      <c r="I42" t="s">
        <v>296</v>
      </c>
      <c r="J42" t="s">
        <v>321</v>
      </c>
      <c r="K42" s="43">
        <v>-2.9999999999999997E-4</v>
      </c>
      <c r="L42" s="39">
        <v>-1.1999999999999999E-3</v>
      </c>
      <c r="M42" s="39">
        <v>-8.0000000000000002E-3</v>
      </c>
      <c r="N42" s="43">
        <v>-6.3E-3</v>
      </c>
      <c r="O42" s="39">
        <v>3.2800000000000003E-2</v>
      </c>
      <c r="P42" s="39">
        <v>4.8000000000000001E-2</v>
      </c>
      <c r="Q42" s="39">
        <v>2.7E-2</v>
      </c>
      <c r="R42" s="39">
        <v>2.3900000000000001E-2</v>
      </c>
      <c r="S42" s="39">
        <v>6.2100000000000002E-2</v>
      </c>
      <c r="T42">
        <v>74.03</v>
      </c>
      <c r="U42">
        <v>65.58</v>
      </c>
      <c r="V42">
        <v>71.430000000000007</v>
      </c>
      <c r="W42" s="17">
        <v>50449.713100000001</v>
      </c>
    </row>
    <row r="43" spans="7:25" x14ac:dyDescent="0.15">
      <c r="G43" s="11">
        <v>42</v>
      </c>
      <c r="H43" s="10" t="s">
        <v>110</v>
      </c>
      <c r="I43" t="s">
        <v>261</v>
      </c>
      <c r="J43" t="s">
        <v>185</v>
      </c>
      <c r="K43" s="43">
        <v>-1.6000000000000001E-3</v>
      </c>
      <c r="L43" s="39">
        <v>-2.9000000000000001E-2</v>
      </c>
      <c r="M43" s="39">
        <v>-1.5900000000000001E-2</v>
      </c>
      <c r="N43" s="43">
        <v>-2.93E-2</v>
      </c>
      <c r="O43" s="39">
        <v>-5.3600000000000002E-2</v>
      </c>
      <c r="P43" s="39">
        <v>-5.9499999999999997E-2</v>
      </c>
      <c r="Q43" s="39">
        <v>-0.18740000000000001</v>
      </c>
      <c r="R43" s="39">
        <v>-0.22620000000000001</v>
      </c>
      <c r="S43" s="39">
        <v>-0.4052</v>
      </c>
      <c r="T43">
        <v>73.38</v>
      </c>
      <c r="U43">
        <v>46.1</v>
      </c>
      <c r="V43">
        <v>90.91</v>
      </c>
      <c r="W43" s="17">
        <v>126762.01083</v>
      </c>
      <c r="X43" s="83" t="s">
        <v>639</v>
      </c>
    </row>
    <row r="44" spans="7:25" x14ac:dyDescent="0.15">
      <c r="G44" s="11">
        <v>43</v>
      </c>
      <c r="H44" t="s">
        <v>651</v>
      </c>
      <c r="I44" t="s">
        <v>654</v>
      </c>
      <c r="J44" t="s">
        <v>655</v>
      </c>
      <c r="K44" s="43">
        <v>0</v>
      </c>
      <c r="L44" s="39">
        <v>1.1000000000000001E-3</v>
      </c>
      <c r="M44" s="39">
        <v>4.0000000000000001E-3</v>
      </c>
      <c r="N44" s="43">
        <v>5.5999999999999999E-3</v>
      </c>
      <c r="O44" s="39">
        <v>1.6899999999999998E-2</v>
      </c>
      <c r="P44" s="39">
        <v>4.7399999999999998E-2</v>
      </c>
      <c r="Q44" s="39">
        <v>6.6000000000000003E-2</v>
      </c>
      <c r="R44" s="39">
        <v>8.6800000000000002E-2</v>
      </c>
      <c r="S44" s="39">
        <v>8.6800000000000002E-2</v>
      </c>
      <c r="T44">
        <v>72.73</v>
      </c>
      <c r="U44">
        <v>79.87</v>
      </c>
      <c r="V44">
        <v>57.14</v>
      </c>
      <c r="W44" s="17">
        <v>1188830.0532</v>
      </c>
      <c r="X44" s="83" t="s">
        <v>639</v>
      </c>
      <c r="Y44" s="81" t="s">
        <v>657</v>
      </c>
    </row>
    <row r="45" spans="7:25" x14ac:dyDescent="0.15">
      <c r="G45" s="11">
        <v>44</v>
      </c>
      <c r="H45" s="10" t="s">
        <v>103</v>
      </c>
      <c r="I45" t="s">
        <v>191</v>
      </c>
      <c r="J45" t="s">
        <v>185</v>
      </c>
      <c r="K45" s="43">
        <v>5.9999999999999995E-4</v>
      </c>
      <c r="L45" s="39">
        <v>1.78E-2</v>
      </c>
      <c r="M45" s="39">
        <v>5.0200000000000002E-2</v>
      </c>
      <c r="N45" s="43">
        <v>3.7100000000000001E-2</v>
      </c>
      <c r="O45" s="39">
        <v>-9.7000000000000003E-3</v>
      </c>
      <c r="P45" s="39">
        <v>-1.0999999999999999E-2</v>
      </c>
      <c r="Q45" s="39">
        <v>-8.3599999999999994E-2</v>
      </c>
      <c r="R45" s="39">
        <v>-5.7700000000000001E-2</v>
      </c>
      <c r="S45" s="39">
        <v>-0.2475</v>
      </c>
      <c r="T45">
        <v>72.08</v>
      </c>
      <c r="U45">
        <v>92.21</v>
      </c>
      <c r="V45">
        <v>42.86</v>
      </c>
      <c r="W45" s="17">
        <v>1154.6494</v>
      </c>
    </row>
    <row r="46" spans="7:25" x14ac:dyDescent="0.15">
      <c r="G46" s="11">
        <v>45</v>
      </c>
      <c r="H46" s="10" t="s">
        <v>65</v>
      </c>
      <c r="I46" t="s">
        <v>211</v>
      </c>
      <c r="J46" t="s">
        <v>185</v>
      </c>
      <c r="K46" s="43">
        <v>-1.6999999999999999E-3</v>
      </c>
      <c r="L46" s="39">
        <v>-3.5799999999999998E-2</v>
      </c>
      <c r="M46" s="39">
        <v>-4.1399999999999999E-2</v>
      </c>
      <c r="N46" s="43">
        <v>-3.2300000000000002E-2</v>
      </c>
      <c r="O46" s="39">
        <v>7.3400000000000007E-2</v>
      </c>
      <c r="P46" s="39">
        <v>8.2500000000000004E-2</v>
      </c>
      <c r="Q46" s="39">
        <v>1.9199999999999998E-2</v>
      </c>
      <c r="R46" s="39">
        <v>-7.7499999999999999E-2</v>
      </c>
      <c r="S46" s="39">
        <v>-1.7299999999999999E-2</v>
      </c>
      <c r="T46">
        <v>71.430000000000007</v>
      </c>
      <c r="U46">
        <v>42.21</v>
      </c>
      <c r="V46">
        <v>92.21</v>
      </c>
      <c r="W46" s="17">
        <v>1785.0927999999999</v>
      </c>
    </row>
    <row r="47" spans="7:25" x14ac:dyDescent="0.15">
      <c r="G47" s="11">
        <v>46</v>
      </c>
      <c r="H47" s="10" t="s">
        <v>67</v>
      </c>
      <c r="I47" t="s">
        <v>201</v>
      </c>
      <c r="J47" t="s">
        <v>185</v>
      </c>
      <c r="K47" s="43">
        <v>-1E-4</v>
      </c>
      <c r="L47" s="39">
        <v>-2.4500000000000001E-2</v>
      </c>
      <c r="M47" s="39">
        <v>-2.0899999999999998E-2</v>
      </c>
      <c r="N47" s="43">
        <v>1E-3</v>
      </c>
      <c r="O47" s="39">
        <v>-5.5500000000000001E-2</v>
      </c>
      <c r="P47" s="39">
        <v>5.7999999999999996E-3</v>
      </c>
      <c r="Q47" s="39">
        <v>-0.23569999999999999</v>
      </c>
      <c r="R47" s="39">
        <v>-0.35920000000000002</v>
      </c>
      <c r="S47" s="39">
        <v>-0.1948</v>
      </c>
      <c r="T47">
        <v>70.78</v>
      </c>
      <c r="U47">
        <v>70.13</v>
      </c>
      <c r="V47">
        <v>63.64</v>
      </c>
      <c r="W47" s="17">
        <v>973.99939000000006</v>
      </c>
    </row>
    <row r="48" spans="7:25" x14ac:dyDescent="0.15">
      <c r="G48" s="11">
        <v>47</v>
      </c>
      <c r="H48" t="s">
        <v>101</v>
      </c>
      <c r="I48" t="s">
        <v>246</v>
      </c>
      <c r="J48" t="s">
        <v>185</v>
      </c>
      <c r="K48" s="43">
        <v>-1.2999999999999999E-3</v>
      </c>
      <c r="L48" s="39">
        <v>-2.8899999999999999E-2</v>
      </c>
      <c r="M48" s="39">
        <v>-2.07E-2</v>
      </c>
      <c r="N48" s="43">
        <v>-3.1399999999999997E-2</v>
      </c>
      <c r="O48" s="39">
        <v>-6.6400000000000001E-2</v>
      </c>
      <c r="P48" s="39">
        <v>-8.9499999999999996E-2</v>
      </c>
      <c r="Q48" s="39">
        <v>-0.2802</v>
      </c>
      <c r="R48" s="39">
        <v>-0.40689999999999998</v>
      </c>
      <c r="S48" s="39">
        <v>-0.28960000000000002</v>
      </c>
      <c r="T48">
        <v>70.13</v>
      </c>
      <c r="U48">
        <v>42.86</v>
      </c>
      <c r="V48">
        <v>88.96</v>
      </c>
      <c r="W48" s="17">
        <v>5056.4174999999996</v>
      </c>
    </row>
    <row r="49" spans="7:25" x14ac:dyDescent="0.15">
      <c r="G49" s="11">
        <v>48</v>
      </c>
      <c r="H49" s="10" t="s">
        <v>307</v>
      </c>
      <c r="I49" t="s">
        <v>308</v>
      </c>
      <c r="J49" t="s">
        <v>321</v>
      </c>
      <c r="K49" s="43">
        <v>-1.1999999999999999E-3</v>
      </c>
      <c r="L49" s="39">
        <v>-9.9000000000000008E-3</v>
      </c>
      <c r="M49" s="39">
        <v>-1.9599999999999999E-2</v>
      </c>
      <c r="N49" s="43">
        <v>-3.09E-2</v>
      </c>
      <c r="O49" s="39">
        <v>2.8E-3</v>
      </c>
      <c r="P49" s="39">
        <v>9.7999999999999997E-3</v>
      </c>
      <c r="Q49" s="39">
        <v>-3.15E-2</v>
      </c>
      <c r="R49" s="39">
        <v>-4.0000000000000001E-3</v>
      </c>
      <c r="S49" s="39">
        <v>-0.14599999999999999</v>
      </c>
      <c r="T49">
        <v>69.48</v>
      </c>
      <c r="U49">
        <v>43.51</v>
      </c>
      <c r="V49">
        <v>88.31</v>
      </c>
      <c r="W49" s="17">
        <v>1771.1802</v>
      </c>
      <c r="X49" s="83" t="s">
        <v>639</v>
      </c>
      <c r="Y49" s="81" t="s">
        <v>657</v>
      </c>
    </row>
    <row r="50" spans="7:25" x14ac:dyDescent="0.15">
      <c r="G50" s="11">
        <v>49</v>
      </c>
      <c r="H50" s="10" t="s">
        <v>125</v>
      </c>
      <c r="I50" t="s">
        <v>198</v>
      </c>
      <c r="J50" t="s">
        <v>185</v>
      </c>
      <c r="K50" s="43">
        <v>-6.9999999999999999E-4</v>
      </c>
      <c r="L50" s="39">
        <v>-1.6899999999999998E-2</v>
      </c>
      <c r="M50" s="39">
        <v>-1.89E-2</v>
      </c>
      <c r="N50" s="43">
        <v>-2.2499999999999999E-2</v>
      </c>
      <c r="O50" s="39">
        <v>-4.4999999999999997E-3</v>
      </c>
      <c r="P50" s="39">
        <v>3.5999999999999997E-2</v>
      </c>
      <c r="Q50" s="39">
        <v>-5.2499999999999998E-2</v>
      </c>
      <c r="R50" s="39">
        <v>-9.8900000000000002E-2</v>
      </c>
      <c r="S50" s="39">
        <v>-0.30070000000000002</v>
      </c>
      <c r="T50">
        <v>68.83</v>
      </c>
      <c r="U50">
        <v>50.65</v>
      </c>
      <c r="V50">
        <v>79.87</v>
      </c>
      <c r="W50" s="17">
        <v>733.00800000000004</v>
      </c>
    </row>
    <row r="51" spans="7:25" x14ac:dyDescent="0.15">
      <c r="G51" s="11">
        <v>50</v>
      </c>
      <c r="H51" s="10" t="s">
        <v>303</v>
      </c>
      <c r="I51" t="s">
        <v>304</v>
      </c>
      <c r="J51" t="s">
        <v>321</v>
      </c>
      <c r="K51" s="43">
        <v>-2E-3</v>
      </c>
      <c r="L51" s="39">
        <v>-2.7300000000000001E-2</v>
      </c>
      <c r="M51" s="39">
        <v>-2.2200000000000001E-2</v>
      </c>
      <c r="N51" s="43">
        <v>-4.6699999999999998E-2</v>
      </c>
      <c r="O51" s="39">
        <v>-4.4900000000000002E-2</v>
      </c>
      <c r="P51" s="39">
        <v>-2.1899999999999999E-2</v>
      </c>
      <c r="Q51" s="39">
        <v>-0.108</v>
      </c>
      <c r="R51" s="39">
        <v>-0.1026</v>
      </c>
      <c r="S51" s="39">
        <v>-0.31269999999999998</v>
      </c>
      <c r="T51">
        <v>68.180000000000007</v>
      </c>
      <c r="U51">
        <v>33.770000000000003</v>
      </c>
      <c r="V51">
        <v>94.81</v>
      </c>
      <c r="W51" s="17">
        <v>653.13589999999999</v>
      </c>
    </row>
    <row r="52" spans="7:25" x14ac:dyDescent="0.15">
      <c r="G52" s="11">
        <v>51</v>
      </c>
      <c r="H52" s="10" t="s">
        <v>652</v>
      </c>
      <c r="I52" t="s">
        <v>653</v>
      </c>
      <c r="J52" t="s">
        <v>655</v>
      </c>
      <c r="K52" s="43">
        <v>1E-4</v>
      </c>
      <c r="L52" s="39">
        <v>0</v>
      </c>
      <c r="M52" s="39">
        <v>1.8E-3</v>
      </c>
      <c r="N52" s="43">
        <v>3.0999999999999999E-3</v>
      </c>
      <c r="O52" s="39">
        <v>1.3599999999999999E-2</v>
      </c>
      <c r="P52" s="39">
        <v>3.1199999999999999E-2</v>
      </c>
      <c r="Q52" s="39">
        <v>4.2700000000000002E-2</v>
      </c>
      <c r="R52" s="39">
        <v>6.7000000000000004E-2</v>
      </c>
      <c r="S52" s="39">
        <v>6.7000000000000004E-2</v>
      </c>
      <c r="T52">
        <v>67.53</v>
      </c>
      <c r="U52">
        <v>74.03</v>
      </c>
      <c r="V52">
        <v>54.55</v>
      </c>
      <c r="W52" s="17">
        <v>6681.4423999999999</v>
      </c>
      <c r="X52" s="83" t="s">
        <v>639</v>
      </c>
      <c r="Y52" s="81" t="s">
        <v>657</v>
      </c>
    </row>
    <row r="53" spans="7:25" x14ac:dyDescent="0.15">
      <c r="G53" s="11">
        <v>52</v>
      </c>
      <c r="H53" t="s">
        <v>136</v>
      </c>
      <c r="I53" t="s">
        <v>991</v>
      </c>
      <c r="J53" t="s">
        <v>185</v>
      </c>
      <c r="K53" s="43">
        <v>1E-4</v>
      </c>
      <c r="L53" s="39">
        <v>-5.3E-3</v>
      </c>
      <c r="M53" s="39">
        <v>-3.5999999999999999E-3</v>
      </c>
      <c r="N53" s="43">
        <v>-1.6000000000000001E-3</v>
      </c>
      <c r="O53" s="39">
        <v>2.3400000000000001E-2</v>
      </c>
      <c r="P53" s="39">
        <v>9.6699999999999994E-2</v>
      </c>
      <c r="Q53" s="39">
        <v>1E-4</v>
      </c>
      <c r="R53" s="39">
        <v>0.1915</v>
      </c>
      <c r="S53" s="39">
        <v>0.27950000000000003</v>
      </c>
      <c r="T53">
        <v>66.88</v>
      </c>
      <c r="U53">
        <v>67.53</v>
      </c>
      <c r="V53">
        <v>56.49</v>
      </c>
      <c r="W53" s="17">
        <v>8434.8631999999998</v>
      </c>
    </row>
    <row r="54" spans="7:25" x14ac:dyDescent="0.15">
      <c r="G54" s="11">
        <v>53</v>
      </c>
      <c r="H54" s="10" t="s">
        <v>74</v>
      </c>
      <c r="I54" t="s">
        <v>216</v>
      </c>
      <c r="J54" t="s">
        <v>185</v>
      </c>
      <c r="K54" s="43">
        <v>-5.9999999999999995E-4</v>
      </c>
      <c r="L54" s="39">
        <v>-3.0300000000000001E-2</v>
      </c>
      <c r="M54" s="39">
        <v>-1.9300000000000001E-2</v>
      </c>
      <c r="N54" s="43">
        <v>-3.0099999999999998E-2</v>
      </c>
      <c r="O54" s="39">
        <v>-6.9699999999999998E-2</v>
      </c>
      <c r="P54" s="39">
        <v>-8.7300000000000003E-2</v>
      </c>
      <c r="Q54" s="39">
        <v>-0.28470000000000001</v>
      </c>
      <c r="R54" s="39">
        <v>-0.4118</v>
      </c>
      <c r="S54" s="39">
        <v>-0.31190000000000001</v>
      </c>
      <c r="T54">
        <v>66.23</v>
      </c>
      <c r="U54">
        <v>44.81</v>
      </c>
      <c r="V54">
        <v>77.27</v>
      </c>
      <c r="W54" s="17">
        <v>1798.5665100000001</v>
      </c>
    </row>
    <row r="55" spans="7:25" x14ac:dyDescent="0.15">
      <c r="G55" s="11">
        <v>54</v>
      </c>
      <c r="H55" s="10" t="s">
        <v>96</v>
      </c>
      <c r="I55" t="s">
        <v>293</v>
      </c>
      <c r="J55" t="s">
        <v>655</v>
      </c>
      <c r="K55" s="43">
        <v>4.0000000000000002E-4</v>
      </c>
      <c r="L55" s="39">
        <v>8.0000000000000004E-4</v>
      </c>
      <c r="M55" s="39">
        <v>1.6000000000000001E-3</v>
      </c>
      <c r="N55" s="43">
        <v>2.8999999999999998E-3</v>
      </c>
      <c r="O55" s="39">
        <v>1.03E-2</v>
      </c>
      <c r="P55" s="39">
        <v>2.2800000000000001E-2</v>
      </c>
      <c r="Q55" s="39">
        <v>3.5200000000000002E-2</v>
      </c>
      <c r="R55" s="39">
        <v>5.6500000000000002E-2</v>
      </c>
      <c r="S55" s="39">
        <v>9.8299999999999998E-2</v>
      </c>
      <c r="T55">
        <v>65.58</v>
      </c>
      <c r="U55">
        <v>72.73</v>
      </c>
      <c r="V55">
        <v>48.7</v>
      </c>
      <c r="W55" s="17">
        <v>30862.435399999998</v>
      </c>
      <c r="X55" s="83" t="s">
        <v>639</v>
      </c>
    </row>
    <row r="56" spans="7:25" x14ac:dyDescent="0.15">
      <c r="G56" s="11">
        <v>55</v>
      </c>
      <c r="H56" t="s">
        <v>156</v>
      </c>
      <c r="I56" t="s">
        <v>194</v>
      </c>
      <c r="J56" t="s">
        <v>185</v>
      </c>
      <c r="K56" s="43">
        <v>-1.5E-3</v>
      </c>
      <c r="L56" s="39">
        <v>1E-4</v>
      </c>
      <c r="M56" s="39">
        <v>-1.95E-2</v>
      </c>
      <c r="N56" s="43">
        <v>-4.9700000000000001E-2</v>
      </c>
      <c r="O56" s="39">
        <v>-0.16569999999999999</v>
      </c>
      <c r="P56" s="39">
        <v>-0.29039999999999999</v>
      </c>
      <c r="Q56" s="39">
        <v>-0.31059999999999999</v>
      </c>
      <c r="R56" s="39">
        <v>-5.3900000000000003E-2</v>
      </c>
      <c r="S56" s="39">
        <v>-0.25929999999999997</v>
      </c>
      <c r="T56">
        <v>64.94</v>
      </c>
      <c r="U56">
        <v>31.17</v>
      </c>
      <c r="V56">
        <v>90.26</v>
      </c>
      <c r="W56" s="17">
        <v>1748.1714899999999</v>
      </c>
    </row>
    <row r="57" spans="7:25" x14ac:dyDescent="0.15">
      <c r="G57" s="11">
        <v>56</v>
      </c>
      <c r="H57" s="10" t="s">
        <v>291</v>
      </c>
      <c r="I57" t="s">
        <v>292</v>
      </c>
      <c r="J57" t="s">
        <v>321</v>
      </c>
      <c r="K57" s="43">
        <v>-6.9999999999999999E-4</v>
      </c>
      <c r="L57" s="39">
        <v>-3.5700000000000003E-2</v>
      </c>
      <c r="M57" s="39">
        <v>-3.8100000000000002E-2</v>
      </c>
      <c r="N57" s="43">
        <v>-3.4099999999999998E-2</v>
      </c>
      <c r="O57" s="39">
        <v>-4.7899999999999998E-2</v>
      </c>
      <c r="P57" s="39">
        <v>-5.2600000000000001E-2</v>
      </c>
      <c r="Q57" s="39">
        <v>-0.2656</v>
      </c>
      <c r="R57" s="39">
        <v>-0.39350000000000002</v>
      </c>
      <c r="S57" s="39">
        <v>-0.54069999999999996</v>
      </c>
      <c r="T57">
        <v>64.290000000000006</v>
      </c>
      <c r="U57">
        <v>40.26</v>
      </c>
      <c r="V57">
        <v>80.52</v>
      </c>
      <c r="W57" s="17">
        <v>802.21432000000004</v>
      </c>
    </row>
    <row r="58" spans="7:25" x14ac:dyDescent="0.15">
      <c r="G58" s="11">
        <v>57</v>
      </c>
      <c r="H58" t="s">
        <v>150</v>
      </c>
      <c r="I58" t="s">
        <v>264</v>
      </c>
      <c r="J58" t="s">
        <v>185</v>
      </c>
      <c r="K58" s="43">
        <v>-1E-4</v>
      </c>
      <c r="L58" s="39">
        <v>-1.4500000000000001E-2</v>
      </c>
      <c r="M58" s="39">
        <v>-1.8100000000000002E-2</v>
      </c>
      <c r="N58" s="43">
        <v>-2.0500000000000001E-2</v>
      </c>
      <c r="O58" s="39">
        <v>-7.1000000000000004E-3</v>
      </c>
      <c r="P58" s="39">
        <v>2.6700000000000002E-2</v>
      </c>
      <c r="Q58" s="39">
        <v>-4.7300000000000002E-2</v>
      </c>
      <c r="R58" s="39">
        <v>-6.9699999999999998E-2</v>
      </c>
      <c r="S58" s="39">
        <v>-0.24660000000000001</v>
      </c>
      <c r="T58">
        <v>63.64</v>
      </c>
      <c r="U58">
        <v>53.9</v>
      </c>
      <c r="V58">
        <v>66.88</v>
      </c>
      <c r="W58" s="17">
        <v>194288.1857</v>
      </c>
    </row>
    <row r="59" spans="7:25" x14ac:dyDescent="0.15">
      <c r="G59" s="11">
        <v>58</v>
      </c>
      <c r="H59" t="s">
        <v>309</v>
      </c>
      <c r="I59" t="s">
        <v>310</v>
      </c>
      <c r="J59" t="s">
        <v>321</v>
      </c>
      <c r="K59" s="43">
        <v>-1E-3</v>
      </c>
      <c r="L59" s="39">
        <v>1.6000000000000001E-3</v>
      </c>
      <c r="M59" s="39">
        <v>-1.5E-3</v>
      </c>
      <c r="N59" s="43">
        <v>-4.3799999999999999E-2</v>
      </c>
      <c r="O59" s="39">
        <v>-9.7500000000000003E-2</v>
      </c>
      <c r="P59" s="39">
        <v>-9.9699999999999997E-2</v>
      </c>
      <c r="Q59" s="39">
        <v>-0.17449999999999999</v>
      </c>
      <c r="R59" s="39">
        <v>-2.8199999999999999E-2</v>
      </c>
      <c r="S59" s="39">
        <v>-0.32740000000000002</v>
      </c>
      <c r="T59">
        <v>62.99</v>
      </c>
      <c r="U59">
        <v>35.71</v>
      </c>
      <c r="V59">
        <v>85.06</v>
      </c>
      <c r="W59" s="17">
        <v>5508.0173000000004</v>
      </c>
    </row>
    <row r="60" spans="7:25" x14ac:dyDescent="0.15">
      <c r="G60" s="11">
        <v>59</v>
      </c>
      <c r="H60" t="s">
        <v>174</v>
      </c>
      <c r="I60" t="s">
        <v>269</v>
      </c>
      <c r="J60" t="s">
        <v>266</v>
      </c>
      <c r="K60" s="43">
        <v>1.6999999999999999E-3</v>
      </c>
      <c r="L60" s="39">
        <v>0.06</v>
      </c>
      <c r="M60" s="39">
        <v>1.95E-2</v>
      </c>
      <c r="N60" s="43">
        <v>4.41E-2</v>
      </c>
      <c r="O60" s="39">
        <v>5.0200000000000002E-2</v>
      </c>
      <c r="P60" s="39">
        <v>0.1174</v>
      </c>
      <c r="Q60" s="39">
        <v>0.25719999999999998</v>
      </c>
      <c r="R60" s="39">
        <v>0.37109999999999999</v>
      </c>
      <c r="S60" s="39">
        <v>0.43059999999999998</v>
      </c>
      <c r="T60">
        <v>62.34</v>
      </c>
      <c r="U60">
        <v>94.81</v>
      </c>
      <c r="V60">
        <v>24.68</v>
      </c>
      <c r="W60" s="17">
        <v>17493.770788599999</v>
      </c>
      <c r="X60" s="83" t="s">
        <v>639</v>
      </c>
      <c r="Y60" s="81" t="s">
        <v>657</v>
      </c>
    </row>
    <row r="61" spans="7:25" x14ac:dyDescent="0.15">
      <c r="G61" s="11">
        <v>60</v>
      </c>
      <c r="H61" s="10" t="s">
        <v>120</v>
      </c>
      <c r="I61" t="s">
        <v>227</v>
      </c>
      <c r="J61" t="s">
        <v>185</v>
      </c>
      <c r="K61" s="43">
        <v>0</v>
      </c>
      <c r="L61" s="39">
        <v>-1.34E-2</v>
      </c>
      <c r="M61" s="39">
        <v>-2.06E-2</v>
      </c>
      <c r="N61" s="43">
        <v>-1.8800000000000001E-2</v>
      </c>
      <c r="O61" s="39">
        <v>-1.6000000000000001E-3</v>
      </c>
      <c r="P61" s="39">
        <v>3.9899999999999998E-2</v>
      </c>
      <c r="Q61" s="39">
        <v>-1.9E-2</v>
      </c>
      <c r="R61" s="39">
        <v>-3.7600000000000001E-2</v>
      </c>
      <c r="S61" s="39">
        <v>-0.17979999999999999</v>
      </c>
      <c r="T61">
        <v>61.69</v>
      </c>
      <c r="U61">
        <v>57.79</v>
      </c>
      <c r="V61">
        <v>61.69</v>
      </c>
      <c r="W61" s="17">
        <v>3102.8687</v>
      </c>
    </row>
    <row r="62" spans="7:25" x14ac:dyDescent="0.15">
      <c r="G62" s="11">
        <v>61</v>
      </c>
      <c r="H62" t="s">
        <v>411</v>
      </c>
      <c r="I62" t="s">
        <v>412</v>
      </c>
      <c r="J62" t="s">
        <v>403</v>
      </c>
      <c r="K62" s="43">
        <v>-1.2999999999999999E-3</v>
      </c>
      <c r="L62" s="39">
        <v>-5.4000000000000003E-3</v>
      </c>
      <c r="M62" s="39">
        <v>-3.1199999999999999E-2</v>
      </c>
      <c r="N62" s="43">
        <v>-5.2400000000000002E-2</v>
      </c>
      <c r="O62" s="39">
        <v>-5.6000000000000001E-2</v>
      </c>
      <c r="P62" s="39">
        <v>-0.1633</v>
      </c>
      <c r="Q62" s="39">
        <v>-0.17849999999999999</v>
      </c>
      <c r="R62" s="39">
        <v>-0.16889999999999999</v>
      </c>
      <c r="S62" s="39">
        <v>-0.16889999999999999</v>
      </c>
      <c r="T62">
        <v>61.04</v>
      </c>
      <c r="U62">
        <v>27.92</v>
      </c>
      <c r="V62">
        <v>89.61</v>
      </c>
      <c r="W62" s="17">
        <v>7020.4115299999994</v>
      </c>
      <c r="X62" s="83" t="s">
        <v>639</v>
      </c>
    </row>
    <row r="63" spans="7:25" x14ac:dyDescent="0.15">
      <c r="G63" s="11">
        <v>62</v>
      </c>
      <c r="H63" t="s">
        <v>144</v>
      </c>
      <c r="I63" t="s">
        <v>263</v>
      </c>
      <c r="J63" t="s">
        <v>185</v>
      </c>
      <c r="K63" s="43">
        <v>0</v>
      </c>
      <c r="L63" s="39">
        <v>-1.66E-2</v>
      </c>
      <c r="M63" s="39">
        <v>-2.3599999999999999E-2</v>
      </c>
      <c r="N63" s="43">
        <v>-1.89E-2</v>
      </c>
      <c r="O63" s="39">
        <v>-3.5000000000000001E-3</v>
      </c>
      <c r="P63" s="39">
        <v>3.85E-2</v>
      </c>
      <c r="Q63" s="39">
        <v>-5.4999999999999997E-3</v>
      </c>
      <c r="R63" s="39">
        <v>-0.06</v>
      </c>
      <c r="S63" s="39">
        <v>-0.22939999999999999</v>
      </c>
      <c r="T63">
        <v>60.39</v>
      </c>
      <c r="U63">
        <v>57.14</v>
      </c>
      <c r="V63">
        <v>59.74</v>
      </c>
      <c r="W63" s="17">
        <v>174972.73329999999</v>
      </c>
    </row>
    <row r="64" spans="7:25" x14ac:dyDescent="0.15">
      <c r="G64" s="11">
        <v>63</v>
      </c>
      <c r="H64" s="10" t="s">
        <v>131</v>
      </c>
      <c r="I64" t="s">
        <v>213</v>
      </c>
      <c r="J64" t="s">
        <v>185</v>
      </c>
      <c r="K64" s="43">
        <v>4.0000000000000002E-4</v>
      </c>
      <c r="L64" s="39">
        <v>1.8800000000000001E-2</v>
      </c>
      <c r="M64" s="39">
        <v>2.2700000000000001E-2</v>
      </c>
      <c r="N64" s="43">
        <v>-1.8E-3</v>
      </c>
      <c r="O64" s="39">
        <v>-3.9399999999999998E-2</v>
      </c>
      <c r="P64" s="39">
        <v>7.9000000000000001E-2</v>
      </c>
      <c r="Q64" s="39">
        <v>1.04E-2</v>
      </c>
      <c r="R64" s="39">
        <v>0.41189999999999999</v>
      </c>
      <c r="S64" s="39">
        <v>0.25069999999999998</v>
      </c>
      <c r="T64">
        <v>59.74</v>
      </c>
      <c r="U64">
        <v>66.88</v>
      </c>
      <c r="V64">
        <v>49.35</v>
      </c>
      <c r="W64" s="17">
        <v>29061.695599999999</v>
      </c>
      <c r="X64" s="83" t="s">
        <v>639</v>
      </c>
    </row>
    <row r="65" spans="7:25" x14ac:dyDescent="0.15">
      <c r="G65" s="11">
        <v>64</v>
      </c>
      <c r="H65" s="10" t="s">
        <v>142</v>
      </c>
      <c r="I65" t="s">
        <v>214</v>
      </c>
      <c r="J65" t="s">
        <v>185</v>
      </c>
      <c r="K65" s="43">
        <v>2.0999999999999999E-3</v>
      </c>
      <c r="L65" s="39">
        <v>2.8000000000000001E-2</v>
      </c>
      <c r="M65" s="39">
        <v>5.8700000000000002E-2</v>
      </c>
      <c r="N65" s="43">
        <v>4.5100000000000001E-2</v>
      </c>
      <c r="O65" s="39">
        <v>1.9800000000000002E-2</v>
      </c>
      <c r="P65" s="39">
        <v>4.2900000000000001E-2</v>
      </c>
      <c r="Q65" s="39">
        <v>-5.3E-3</v>
      </c>
      <c r="R65" s="39">
        <v>0.1459</v>
      </c>
      <c r="S65" s="39">
        <v>-2.7799999999999998E-2</v>
      </c>
      <c r="T65">
        <v>59.09</v>
      </c>
      <c r="U65">
        <v>95.45</v>
      </c>
      <c r="V65">
        <v>19.48</v>
      </c>
      <c r="W65" s="17">
        <v>11421.9897</v>
      </c>
    </row>
    <row r="66" spans="7:25" x14ac:dyDescent="0.15">
      <c r="G66" s="11">
        <v>65</v>
      </c>
      <c r="H66" s="10" t="s">
        <v>85</v>
      </c>
      <c r="I66" t="s">
        <v>1074</v>
      </c>
      <c r="J66" t="s">
        <v>185</v>
      </c>
      <c r="K66" s="43">
        <v>-8.0000000000000004E-4</v>
      </c>
      <c r="L66" s="39">
        <v>-3.6799999999999999E-2</v>
      </c>
      <c r="M66" s="39">
        <v>-3.7499999999999999E-2</v>
      </c>
      <c r="N66" s="43">
        <v>-4.9500000000000002E-2</v>
      </c>
      <c r="O66" s="39">
        <v>-5.9400000000000001E-2</v>
      </c>
      <c r="P66" s="39">
        <v>2.5399999999999999E-2</v>
      </c>
      <c r="Q66" s="39">
        <v>-0.214</v>
      </c>
      <c r="R66" s="39">
        <v>-0.30959999999999999</v>
      </c>
      <c r="S66" s="39">
        <v>-0.2893</v>
      </c>
      <c r="T66">
        <v>58.44</v>
      </c>
      <c r="U66">
        <v>31.82</v>
      </c>
      <c r="V66">
        <v>81.819999999999993</v>
      </c>
      <c r="W66" s="17">
        <v>1144.7740199999998</v>
      </c>
    </row>
    <row r="67" spans="7:25" x14ac:dyDescent="0.15">
      <c r="G67" s="11">
        <v>66</v>
      </c>
      <c r="H67" t="s">
        <v>60</v>
      </c>
      <c r="I67" t="s">
        <v>247</v>
      </c>
      <c r="J67" t="s">
        <v>185</v>
      </c>
      <c r="K67" s="43">
        <v>1.8E-3</v>
      </c>
      <c r="L67" s="39">
        <v>2.4899999999999999E-2</v>
      </c>
      <c r="M67" s="39">
        <v>-2.06E-2</v>
      </c>
      <c r="N67" s="43">
        <v>3.3700000000000001E-2</v>
      </c>
      <c r="O67" s="39">
        <v>3.4299999999999997E-2</v>
      </c>
      <c r="P67" s="39">
        <v>0.113</v>
      </c>
      <c r="Q67" s="39">
        <v>0.3281</v>
      </c>
      <c r="R67" s="39">
        <v>0.15609999999999999</v>
      </c>
      <c r="S67" s="39">
        <v>0.80059999999999998</v>
      </c>
      <c r="T67">
        <v>57.79</v>
      </c>
      <c r="U67">
        <v>89.61</v>
      </c>
      <c r="V67">
        <v>23.38</v>
      </c>
      <c r="W67" s="17">
        <v>12237.827499999999</v>
      </c>
      <c r="X67" s="83" t="s">
        <v>639</v>
      </c>
    </row>
    <row r="68" spans="7:25" x14ac:dyDescent="0.15">
      <c r="G68" s="11">
        <v>67</v>
      </c>
      <c r="H68" s="10" t="s">
        <v>113</v>
      </c>
      <c r="I68" t="s">
        <v>207</v>
      </c>
      <c r="J68" t="s">
        <v>185</v>
      </c>
      <c r="K68" s="43">
        <v>-1E-4</v>
      </c>
      <c r="L68" s="39">
        <v>-1.4500000000000001E-2</v>
      </c>
      <c r="M68" s="39">
        <v>-1.9099999999999999E-2</v>
      </c>
      <c r="N68" s="43">
        <v>-2.4799999999999999E-2</v>
      </c>
      <c r="O68" s="39">
        <v>-1.23E-2</v>
      </c>
      <c r="P68" s="39">
        <v>8.9999999999999993E-3</v>
      </c>
      <c r="Q68" s="39">
        <v>-6.3700000000000007E-2</v>
      </c>
      <c r="R68" s="39">
        <v>-6.2799999999999995E-2</v>
      </c>
      <c r="S68" s="39">
        <v>-0.22539999999999999</v>
      </c>
      <c r="T68">
        <v>57.14</v>
      </c>
      <c r="U68">
        <v>48.05</v>
      </c>
      <c r="V68">
        <v>62.34</v>
      </c>
      <c r="W68" s="17">
        <v>8496.2980000000007</v>
      </c>
    </row>
    <row r="69" spans="7:25" x14ac:dyDescent="0.15">
      <c r="G69" s="11">
        <v>68</v>
      </c>
      <c r="H69" s="10" t="s">
        <v>100</v>
      </c>
      <c r="I69" t="s">
        <v>223</v>
      </c>
      <c r="J69" t="s">
        <v>185</v>
      </c>
      <c r="K69" s="43">
        <v>5.0000000000000001E-4</v>
      </c>
      <c r="L69" s="39">
        <v>-3.3E-3</v>
      </c>
      <c r="M69" s="39">
        <v>-2.1100000000000001E-2</v>
      </c>
      <c r="N69" s="43">
        <v>-3.0000000000000001E-3</v>
      </c>
      <c r="O69" s="39">
        <v>3.8199999999999998E-2</v>
      </c>
      <c r="P69" s="39">
        <v>8.5800000000000001E-2</v>
      </c>
      <c r="Q69" s="39">
        <v>9.5299999999999996E-2</v>
      </c>
      <c r="R69" s="39">
        <v>0.18129999999999999</v>
      </c>
      <c r="S69" s="39">
        <v>0.2555</v>
      </c>
      <c r="T69">
        <v>56.49</v>
      </c>
      <c r="U69">
        <v>66.23</v>
      </c>
      <c r="V69">
        <v>44.16</v>
      </c>
      <c r="W69" s="17">
        <v>11601.5816</v>
      </c>
    </row>
    <row r="70" spans="7:25" x14ac:dyDescent="0.15">
      <c r="G70" s="11">
        <v>69</v>
      </c>
      <c r="H70" s="10" t="s">
        <v>109</v>
      </c>
      <c r="I70" t="s">
        <v>16</v>
      </c>
      <c r="J70" t="s">
        <v>321</v>
      </c>
      <c r="K70" s="43">
        <v>5.0000000000000001E-4</v>
      </c>
      <c r="L70" s="39">
        <v>-1.2999999999999999E-3</v>
      </c>
      <c r="M70" s="39">
        <v>-0.01</v>
      </c>
      <c r="N70" s="43">
        <v>-9.5999999999999992E-3</v>
      </c>
      <c r="O70" s="39">
        <v>3.0099999999999998E-2</v>
      </c>
      <c r="P70" s="39">
        <v>2.1399999999999999E-2</v>
      </c>
      <c r="Q70" s="39">
        <v>-7.4999999999999997E-3</v>
      </c>
      <c r="R70" s="39">
        <v>-2.8999999999999998E-3</v>
      </c>
      <c r="S70" s="39">
        <v>5.79E-2</v>
      </c>
      <c r="T70">
        <v>55.84</v>
      </c>
      <c r="U70">
        <v>64.290000000000006</v>
      </c>
      <c r="V70">
        <v>44.81</v>
      </c>
      <c r="W70" s="17">
        <v>143829.0024</v>
      </c>
    </row>
    <row r="71" spans="7:25" x14ac:dyDescent="0.15">
      <c r="G71" s="11">
        <v>70</v>
      </c>
      <c r="H71" s="10" t="s">
        <v>66</v>
      </c>
      <c r="I71" t="s">
        <v>230</v>
      </c>
      <c r="J71" t="s">
        <v>185</v>
      </c>
      <c r="K71" s="43">
        <v>-4.0000000000000002E-4</v>
      </c>
      <c r="L71" s="39">
        <v>-3.8899999999999997E-2</v>
      </c>
      <c r="M71" s="39">
        <v>-6.0499999999999998E-2</v>
      </c>
      <c r="N71" s="43">
        <v>-4.4499999999999998E-2</v>
      </c>
      <c r="O71" s="39">
        <v>-0.15809999999999999</v>
      </c>
      <c r="P71" s="39">
        <v>-8.5000000000000006E-2</v>
      </c>
      <c r="Q71" s="39">
        <v>-0.35070000000000001</v>
      </c>
      <c r="R71" s="39">
        <v>-0.44879999999999998</v>
      </c>
      <c r="S71" s="39">
        <v>-0.29430000000000001</v>
      </c>
      <c r="T71">
        <v>55.19</v>
      </c>
      <c r="U71">
        <v>34.42</v>
      </c>
      <c r="V71">
        <v>74.03</v>
      </c>
      <c r="W71" s="17">
        <v>24212.136900000001</v>
      </c>
      <c r="X71" s="83" t="s">
        <v>639</v>
      </c>
    </row>
    <row r="72" spans="7:25" x14ac:dyDescent="0.15">
      <c r="G72" s="11">
        <v>71</v>
      </c>
      <c r="H72" s="10" t="s">
        <v>888</v>
      </c>
      <c r="I72" t="s">
        <v>889</v>
      </c>
      <c r="J72" t="s">
        <v>266</v>
      </c>
      <c r="K72" s="43">
        <v>9.1999999999999998E-3</v>
      </c>
      <c r="L72" s="39">
        <v>4.3200000000000002E-2</v>
      </c>
      <c r="M72" s="39">
        <v>3.0800000000000001E-2</v>
      </c>
      <c r="N72" s="43">
        <v>6.08E-2</v>
      </c>
      <c r="O72" s="39">
        <v>6.6000000000000003E-2</v>
      </c>
      <c r="P72" s="39">
        <v>0.1862</v>
      </c>
      <c r="Q72" s="39">
        <v>0.1792</v>
      </c>
      <c r="R72" s="39">
        <v>0.1792</v>
      </c>
      <c r="S72" s="39">
        <v>0.1792</v>
      </c>
      <c r="T72">
        <v>54.55</v>
      </c>
      <c r="U72">
        <v>97.4</v>
      </c>
      <c r="V72">
        <v>10.39</v>
      </c>
      <c r="W72" s="17">
        <v>11142.429000100001</v>
      </c>
      <c r="X72" s="83" t="s">
        <v>639</v>
      </c>
      <c r="Y72" s="81" t="s">
        <v>657</v>
      </c>
    </row>
    <row r="73" spans="7:25" x14ac:dyDescent="0.15">
      <c r="G73" s="11">
        <v>72</v>
      </c>
      <c r="H73" s="10" t="s">
        <v>147</v>
      </c>
      <c r="I73" t="s">
        <v>221</v>
      </c>
      <c r="J73" t="s">
        <v>185</v>
      </c>
      <c r="K73" s="43">
        <v>1E-4</v>
      </c>
      <c r="L73" s="39">
        <v>-2.1700000000000001E-2</v>
      </c>
      <c r="M73" s="39">
        <v>-4.2700000000000002E-2</v>
      </c>
      <c r="N73" s="43">
        <v>-2.1700000000000001E-2</v>
      </c>
      <c r="O73" s="39">
        <v>5.45E-2</v>
      </c>
      <c r="P73" s="39">
        <v>0.15040000000000001</v>
      </c>
      <c r="Q73" s="39">
        <v>0.12529999999999999</v>
      </c>
      <c r="R73" s="39">
        <v>0.109</v>
      </c>
      <c r="S73" s="39">
        <v>-4.6600000000000003E-2</v>
      </c>
      <c r="T73">
        <v>53.9</v>
      </c>
      <c r="U73">
        <v>52.6</v>
      </c>
      <c r="V73">
        <v>55.19</v>
      </c>
      <c r="W73" s="17">
        <v>39744.452499999999</v>
      </c>
      <c r="X73" s="83" t="s">
        <v>639</v>
      </c>
    </row>
    <row r="74" spans="7:25" x14ac:dyDescent="0.15">
      <c r="G74" s="11">
        <v>73</v>
      </c>
      <c r="H74" t="s">
        <v>64</v>
      </c>
      <c r="I74" t="s">
        <v>206</v>
      </c>
      <c r="J74" t="s">
        <v>185</v>
      </c>
      <c r="K74" s="43">
        <v>3.0999999999999999E-3</v>
      </c>
      <c r="L74" s="39">
        <v>2.52E-2</v>
      </c>
      <c r="M74" s="39">
        <v>-2.07E-2</v>
      </c>
      <c r="N74" s="43">
        <v>3.5200000000000002E-2</v>
      </c>
      <c r="O74" s="39">
        <v>6.7799999999999999E-2</v>
      </c>
      <c r="P74" s="39">
        <v>0.23080000000000001</v>
      </c>
      <c r="Q74" s="39">
        <v>0.35449999999999998</v>
      </c>
      <c r="R74" s="39">
        <v>0.40720000000000001</v>
      </c>
      <c r="S74" s="39">
        <v>1.0764</v>
      </c>
      <c r="T74">
        <v>53.25</v>
      </c>
      <c r="U74">
        <v>91.56</v>
      </c>
      <c r="V74">
        <v>15.58</v>
      </c>
      <c r="W74" s="17">
        <v>3775.7713299999996</v>
      </c>
    </row>
    <row r="75" spans="7:25" x14ac:dyDescent="0.15">
      <c r="G75" s="11">
        <v>74</v>
      </c>
      <c r="H75" s="10" t="s">
        <v>148</v>
      </c>
      <c r="I75" t="s">
        <v>203</v>
      </c>
      <c r="J75" t="s">
        <v>185</v>
      </c>
      <c r="K75" s="43">
        <v>2.0000000000000001E-4</v>
      </c>
      <c r="L75" s="39">
        <v>4.7000000000000002E-3</v>
      </c>
      <c r="M75" s="39">
        <v>1.3100000000000001E-2</v>
      </c>
      <c r="N75" s="43">
        <v>-1.9E-2</v>
      </c>
      <c r="O75" s="39">
        <v>-0.15049999999999999</v>
      </c>
      <c r="P75" s="39">
        <v>-0.21859999999999999</v>
      </c>
      <c r="Q75" s="39">
        <v>-0.3745</v>
      </c>
      <c r="R75" s="39">
        <v>-1.84E-2</v>
      </c>
      <c r="S75" s="39">
        <v>-0.29120000000000001</v>
      </c>
      <c r="T75">
        <v>52.6</v>
      </c>
      <c r="U75">
        <v>56.49</v>
      </c>
      <c r="V75">
        <v>50.65</v>
      </c>
      <c r="W75" s="17">
        <v>5532.9025000000001</v>
      </c>
    </row>
    <row r="76" spans="7:25" x14ac:dyDescent="0.15">
      <c r="G76" s="11">
        <v>75</v>
      </c>
      <c r="H76" t="s">
        <v>413</v>
      </c>
      <c r="I76" t="s">
        <v>414</v>
      </c>
      <c r="J76" t="s">
        <v>403</v>
      </c>
      <c r="K76" s="43">
        <v>4.0000000000000002E-4</v>
      </c>
      <c r="L76" s="39">
        <v>-2.1299999999999999E-2</v>
      </c>
      <c r="M76" s="39">
        <v>-2.4400000000000002E-2</v>
      </c>
      <c r="N76" s="43">
        <v>-1.6899999999999998E-2</v>
      </c>
      <c r="O76" s="39">
        <v>1.17E-2</v>
      </c>
      <c r="P76" s="39">
        <v>9.3700000000000006E-2</v>
      </c>
      <c r="Q76" s="39">
        <v>-7.2700000000000001E-2</v>
      </c>
      <c r="R76" s="39">
        <v>-0.2833</v>
      </c>
      <c r="S76" s="39">
        <v>-0.2833</v>
      </c>
      <c r="T76">
        <v>51.95</v>
      </c>
      <c r="U76">
        <v>61.04</v>
      </c>
      <c r="V76">
        <v>45.45</v>
      </c>
      <c r="W76" s="17">
        <v>1166.7086999999999</v>
      </c>
    </row>
    <row r="77" spans="7:25" x14ac:dyDescent="0.15">
      <c r="G77" s="11">
        <v>76</v>
      </c>
      <c r="H77" s="10" t="s">
        <v>92</v>
      </c>
      <c r="I77" t="s">
        <v>219</v>
      </c>
      <c r="J77" t="s">
        <v>185</v>
      </c>
      <c r="K77" s="43">
        <v>-8.9999999999999998E-4</v>
      </c>
      <c r="L77" s="39">
        <v>-1.54E-2</v>
      </c>
      <c r="M77" s="39">
        <v>-1.23E-2</v>
      </c>
      <c r="N77" s="43">
        <v>-6.13E-2</v>
      </c>
      <c r="O77" s="39">
        <v>-0.10730000000000001</v>
      </c>
      <c r="P77" s="39">
        <v>-0.19420000000000001</v>
      </c>
      <c r="Q77" s="39">
        <v>-0.28179999999999999</v>
      </c>
      <c r="R77" s="39">
        <v>-0.35759999999999997</v>
      </c>
      <c r="S77" s="39">
        <v>-0.62329999999999997</v>
      </c>
      <c r="T77">
        <v>51.3</v>
      </c>
      <c r="U77">
        <v>22.08</v>
      </c>
      <c r="V77">
        <v>83.77</v>
      </c>
      <c r="W77" s="17">
        <v>30192.677299999999</v>
      </c>
    </row>
    <row r="78" spans="7:25" x14ac:dyDescent="0.15">
      <c r="G78" s="11">
        <v>77</v>
      </c>
      <c r="H78" t="s">
        <v>107</v>
      </c>
      <c r="I78" t="s">
        <v>217</v>
      </c>
      <c r="J78" t="s">
        <v>185</v>
      </c>
      <c r="K78" s="43">
        <v>-5.9999999999999995E-4</v>
      </c>
      <c r="L78" s="39">
        <v>-1.0500000000000001E-2</v>
      </c>
      <c r="M78" s="39">
        <v>-2.8500000000000001E-2</v>
      </c>
      <c r="N78" s="43">
        <v>-5.2499999999999998E-2</v>
      </c>
      <c r="O78" s="39">
        <v>-5.6500000000000002E-2</v>
      </c>
      <c r="P78" s="39">
        <v>-0.14449999999999999</v>
      </c>
      <c r="Q78" s="39">
        <v>-0.2051</v>
      </c>
      <c r="R78" s="39">
        <v>-0.153</v>
      </c>
      <c r="S78" s="39">
        <v>-0.15579999999999999</v>
      </c>
      <c r="T78">
        <v>50.65</v>
      </c>
      <c r="U78">
        <v>27.27</v>
      </c>
      <c r="V78">
        <v>77.92</v>
      </c>
      <c r="W78" s="17">
        <v>34541.497824699996</v>
      </c>
    </row>
    <row r="79" spans="7:25" x14ac:dyDescent="0.15">
      <c r="G79" s="11">
        <v>78</v>
      </c>
      <c r="H79" s="10" t="s">
        <v>305</v>
      </c>
      <c r="I79" t="s">
        <v>306</v>
      </c>
      <c r="J79" t="s">
        <v>321</v>
      </c>
      <c r="K79" s="43">
        <v>-8.0000000000000004E-4</v>
      </c>
      <c r="L79" s="39">
        <v>-8.6999999999999994E-3</v>
      </c>
      <c r="M79" s="39">
        <v>-1.5699999999999999E-2</v>
      </c>
      <c r="N79" s="43">
        <v>-6.1699999999999998E-2</v>
      </c>
      <c r="O79" s="39">
        <v>4.99E-2</v>
      </c>
      <c r="P79" s="39">
        <v>0.13980000000000001</v>
      </c>
      <c r="Q79" s="39">
        <v>0.1522</v>
      </c>
      <c r="R79" s="39">
        <v>0.2281</v>
      </c>
      <c r="S79" s="39">
        <v>4.9799999999999997E-2</v>
      </c>
      <c r="T79">
        <v>50</v>
      </c>
      <c r="U79">
        <v>21.43</v>
      </c>
      <c r="V79">
        <v>82.47</v>
      </c>
      <c r="W79" s="17">
        <v>1130.8776</v>
      </c>
    </row>
    <row r="80" spans="7:25" x14ac:dyDescent="0.15">
      <c r="G80" s="11">
        <v>79</v>
      </c>
      <c r="H80" s="10" t="s">
        <v>151</v>
      </c>
      <c r="I80" t="s">
        <v>197</v>
      </c>
      <c r="J80" t="s">
        <v>185</v>
      </c>
      <c r="K80" s="43">
        <v>5.9999999999999995E-4</v>
      </c>
      <c r="L80" s="39">
        <v>1E-4</v>
      </c>
      <c r="M80" s="39">
        <v>1.2699999999999999E-2</v>
      </c>
      <c r="N80" s="43">
        <v>-1.01E-2</v>
      </c>
      <c r="O80" s="39">
        <v>-0.1255</v>
      </c>
      <c r="P80" s="39">
        <v>-0.18160000000000001</v>
      </c>
      <c r="Q80" s="39">
        <v>-0.32450000000000001</v>
      </c>
      <c r="R80" s="39">
        <v>-3.9899999999999998E-2</v>
      </c>
      <c r="S80" s="39">
        <v>-0.33860000000000001</v>
      </c>
      <c r="T80">
        <v>49.35</v>
      </c>
      <c r="U80">
        <v>62.99</v>
      </c>
      <c r="V80">
        <v>40.909999999999997</v>
      </c>
      <c r="W80" s="17">
        <v>3412.2875100000001</v>
      </c>
    </row>
    <row r="81" spans="7:25" x14ac:dyDescent="0.15">
      <c r="G81" s="11">
        <v>80</v>
      </c>
      <c r="H81" t="s">
        <v>80</v>
      </c>
      <c r="I81" t="s">
        <v>193</v>
      </c>
      <c r="J81" t="s">
        <v>185</v>
      </c>
      <c r="K81" s="43">
        <v>2.0000000000000001E-4</v>
      </c>
      <c r="L81" s="39">
        <v>4.7000000000000002E-3</v>
      </c>
      <c r="M81" s="39">
        <v>-4.7800000000000002E-2</v>
      </c>
      <c r="N81" s="43">
        <v>-2.2499999999999999E-2</v>
      </c>
      <c r="O81" s="39">
        <v>6.3200000000000006E-2</v>
      </c>
      <c r="P81" s="39">
        <v>0.17860000000000001</v>
      </c>
      <c r="Q81" s="39">
        <v>0.1787</v>
      </c>
      <c r="R81" s="39">
        <v>0.16850000000000001</v>
      </c>
      <c r="S81" s="39">
        <v>0.45429999999999998</v>
      </c>
      <c r="T81">
        <v>48.7</v>
      </c>
      <c r="U81">
        <v>50</v>
      </c>
      <c r="V81">
        <v>51.3</v>
      </c>
      <c r="W81" s="17">
        <v>1388.5024000000001</v>
      </c>
    </row>
    <row r="82" spans="7:25" x14ac:dyDescent="0.15">
      <c r="G82" s="11">
        <v>81</v>
      </c>
      <c r="H82" t="s">
        <v>84</v>
      </c>
      <c r="I82" t="s">
        <v>244</v>
      </c>
      <c r="J82" t="s">
        <v>185</v>
      </c>
      <c r="K82" s="43">
        <v>-4.0000000000000002E-4</v>
      </c>
      <c r="L82" s="39">
        <v>-1.0500000000000001E-2</v>
      </c>
      <c r="M82" s="39">
        <v>-2.86E-2</v>
      </c>
      <c r="N82" s="43">
        <v>-5.2699999999999997E-2</v>
      </c>
      <c r="O82" s="39">
        <v>-5.67E-2</v>
      </c>
      <c r="P82" s="39">
        <v>-0.14480000000000001</v>
      </c>
      <c r="Q82" s="39">
        <v>-0.20519999999999999</v>
      </c>
      <c r="R82" s="39">
        <v>-0.15079999999999999</v>
      </c>
      <c r="S82" s="39">
        <v>-0.16919999999999999</v>
      </c>
      <c r="T82">
        <v>48.05</v>
      </c>
      <c r="U82">
        <v>26.62</v>
      </c>
      <c r="V82">
        <v>73.38</v>
      </c>
      <c r="W82" s="17">
        <v>44696.2166</v>
      </c>
      <c r="X82" s="83" t="s">
        <v>639</v>
      </c>
    </row>
    <row r="83" spans="7:25" x14ac:dyDescent="0.15">
      <c r="G83" s="11">
        <v>82</v>
      </c>
      <c r="H83" s="10" t="s">
        <v>128</v>
      </c>
      <c r="I83" t="s">
        <v>271</v>
      </c>
      <c r="J83" t="s">
        <v>266</v>
      </c>
      <c r="K83" s="43">
        <v>2.86E-2</v>
      </c>
      <c r="L83" s="39">
        <v>4.4200000000000003E-2</v>
      </c>
      <c r="M83" s="39">
        <v>3.2099999999999997E-2</v>
      </c>
      <c r="N83" s="43">
        <v>6.4000000000000001E-2</v>
      </c>
      <c r="O83" s="39">
        <v>7.1300000000000002E-2</v>
      </c>
      <c r="P83" s="39">
        <v>0.19839999999999999</v>
      </c>
      <c r="Q83" s="39">
        <v>0.36330000000000001</v>
      </c>
      <c r="R83" s="39">
        <v>0.74139999999999995</v>
      </c>
      <c r="S83" s="39">
        <v>0.60340000000000005</v>
      </c>
      <c r="T83">
        <v>47.4</v>
      </c>
      <c r="U83">
        <v>98.05</v>
      </c>
      <c r="V83">
        <v>1.95</v>
      </c>
      <c r="W83" s="17">
        <v>64999.163804200005</v>
      </c>
    </row>
    <row r="84" spans="7:25" x14ac:dyDescent="0.15">
      <c r="G84" s="11">
        <v>83</v>
      </c>
      <c r="H84" s="10" t="s">
        <v>957</v>
      </c>
      <c r="I84" t="s">
        <v>956</v>
      </c>
      <c r="J84" t="s">
        <v>276</v>
      </c>
      <c r="K84" s="43">
        <v>2.75E-2</v>
      </c>
      <c r="L84" s="39">
        <v>2.58E-2</v>
      </c>
      <c r="M84" s="39">
        <v>1.72E-2</v>
      </c>
      <c r="N84" s="43">
        <v>4.5600000000000002E-2</v>
      </c>
      <c r="O84" s="39">
        <v>4.87E-2</v>
      </c>
      <c r="P84" s="39">
        <v>7.2499999999999995E-2</v>
      </c>
      <c r="Q84" s="39">
        <v>7.7399999999999997E-2</v>
      </c>
      <c r="R84" s="39">
        <v>7.7399999999999997E-2</v>
      </c>
      <c r="S84" s="39">
        <v>7.7399999999999997E-2</v>
      </c>
      <c r="T84">
        <v>46.75</v>
      </c>
      <c r="U84">
        <v>96.1</v>
      </c>
      <c r="V84">
        <v>2.6</v>
      </c>
      <c r="W84" s="17">
        <v>2310.8368999999998</v>
      </c>
      <c r="X84" s="83" t="s">
        <v>639</v>
      </c>
    </row>
    <row r="85" spans="7:25" x14ac:dyDescent="0.15">
      <c r="G85" s="11">
        <v>84</v>
      </c>
      <c r="H85" s="10" t="s">
        <v>76</v>
      </c>
      <c r="I85" t="s">
        <v>215</v>
      </c>
      <c r="J85" t="s">
        <v>185</v>
      </c>
      <c r="K85" s="43">
        <v>5.0000000000000001E-4</v>
      </c>
      <c r="L85" s="39">
        <v>-4.8999999999999998E-3</v>
      </c>
      <c r="M85" s="39">
        <v>-1.9400000000000001E-2</v>
      </c>
      <c r="N85" s="43">
        <v>-2.0299999999999999E-2</v>
      </c>
      <c r="O85" s="39">
        <v>8.0000000000000002E-3</v>
      </c>
      <c r="P85" s="39">
        <v>3.1399999999999997E-2</v>
      </c>
      <c r="Q85" s="39">
        <v>1.44E-2</v>
      </c>
      <c r="R85" s="39">
        <v>0.1002</v>
      </c>
      <c r="S85" s="39">
        <v>5.5399999999999998E-2</v>
      </c>
      <c r="T85">
        <v>46.1</v>
      </c>
      <c r="U85">
        <v>54.55</v>
      </c>
      <c r="V85">
        <v>43.51</v>
      </c>
      <c r="W85" s="17">
        <v>8414.5349999999999</v>
      </c>
    </row>
    <row r="86" spans="7:25" x14ac:dyDescent="0.15">
      <c r="G86" s="11">
        <v>85</v>
      </c>
      <c r="H86" s="10" t="s">
        <v>924</v>
      </c>
      <c r="I86" t="s">
        <v>925</v>
      </c>
      <c r="J86" t="s">
        <v>266</v>
      </c>
      <c r="K86" s="43">
        <v>1.6199999999999999E-2</v>
      </c>
      <c r="L86" s="39">
        <v>2.0899999999999998E-2</v>
      </c>
      <c r="M86" s="39">
        <v>4.3700000000000003E-2</v>
      </c>
      <c r="N86" s="43">
        <v>3.4700000000000002E-2</v>
      </c>
      <c r="O86" s="39">
        <v>2.8899999999999999E-2</v>
      </c>
      <c r="P86" s="39">
        <v>0.13700000000000001</v>
      </c>
      <c r="Q86" s="39">
        <v>0.1153</v>
      </c>
      <c r="R86" s="39">
        <v>0.1799</v>
      </c>
      <c r="S86" s="39">
        <v>0.1799</v>
      </c>
      <c r="T86">
        <v>45.45</v>
      </c>
      <c r="U86">
        <v>90.26</v>
      </c>
      <c r="V86">
        <v>6.49</v>
      </c>
      <c r="W86" s="17">
        <v>3182.9063000000001</v>
      </c>
      <c r="X86" s="83" t="s">
        <v>639</v>
      </c>
    </row>
    <row r="87" spans="7:25" x14ac:dyDescent="0.15">
      <c r="G87" s="11">
        <v>86</v>
      </c>
      <c r="H87" s="10" t="s">
        <v>88</v>
      </c>
      <c r="I87" t="s">
        <v>255</v>
      </c>
      <c r="J87" t="s">
        <v>185</v>
      </c>
      <c r="K87" s="43">
        <v>2.0000000000000001E-4</v>
      </c>
      <c r="L87" s="39">
        <v>-3.0700000000000002E-2</v>
      </c>
      <c r="M87" s="39">
        <v>-1.95E-2</v>
      </c>
      <c r="N87" s="43">
        <v>-3.0599999999999999E-2</v>
      </c>
      <c r="O87" s="39">
        <v>-7.0499999999999993E-2</v>
      </c>
      <c r="P87" s="39">
        <v>-8.8400000000000006E-2</v>
      </c>
      <c r="Q87" s="39">
        <v>-0.2873</v>
      </c>
      <c r="R87" s="39">
        <v>-0.4194</v>
      </c>
      <c r="S87" s="39">
        <v>-0.32340000000000002</v>
      </c>
      <c r="T87">
        <v>44.81</v>
      </c>
      <c r="U87">
        <v>44.16</v>
      </c>
      <c r="V87">
        <v>51.95</v>
      </c>
      <c r="W87" s="17">
        <v>7027.5595000000003</v>
      </c>
    </row>
    <row r="88" spans="7:25" x14ac:dyDescent="0.15">
      <c r="G88" s="11">
        <v>87</v>
      </c>
      <c r="H88" s="10" t="s">
        <v>145</v>
      </c>
      <c r="I88" t="s">
        <v>190</v>
      </c>
      <c r="J88" t="s">
        <v>185</v>
      </c>
      <c r="K88" s="43">
        <v>-2.9999999999999997E-4</v>
      </c>
      <c r="L88" s="39">
        <v>-2.5000000000000001E-2</v>
      </c>
      <c r="M88" s="39">
        <v>-3.9300000000000002E-2</v>
      </c>
      <c r="N88" s="43">
        <v>-5.8599999999999999E-2</v>
      </c>
      <c r="O88" s="39">
        <v>-1.4E-3</v>
      </c>
      <c r="P88" s="39">
        <v>-3.7000000000000002E-3</v>
      </c>
      <c r="Q88" s="39">
        <v>-0.1109</v>
      </c>
      <c r="R88" s="39">
        <v>-0.28949999999999998</v>
      </c>
      <c r="S88" s="39">
        <v>-0.33029999999999998</v>
      </c>
      <c r="T88">
        <v>44.16</v>
      </c>
      <c r="U88">
        <v>23.38</v>
      </c>
      <c r="V88">
        <v>70.78</v>
      </c>
      <c r="W88" s="17">
        <v>4572.2230020000006</v>
      </c>
      <c r="X88" s="83" t="s">
        <v>639</v>
      </c>
    </row>
    <row r="89" spans="7:25" x14ac:dyDescent="0.15">
      <c r="G89" s="11">
        <v>88</v>
      </c>
      <c r="H89" s="10" t="s">
        <v>140</v>
      </c>
      <c r="I89" t="s">
        <v>270</v>
      </c>
      <c r="J89" t="s">
        <v>266</v>
      </c>
      <c r="K89" s="43">
        <v>4.8300000000000003E-2</v>
      </c>
      <c r="L89" s="39">
        <v>2.5499999999999998E-2</v>
      </c>
      <c r="M89" s="39">
        <v>2.2499999999999999E-2</v>
      </c>
      <c r="N89" s="43">
        <v>3.5099999999999999E-2</v>
      </c>
      <c r="O89" s="39">
        <v>5.0099999999999999E-2</v>
      </c>
      <c r="P89" s="39">
        <v>0.1734</v>
      </c>
      <c r="Q89" s="39">
        <v>0.3054</v>
      </c>
      <c r="R89" s="39">
        <v>0.46829999999999999</v>
      </c>
      <c r="S89" s="39">
        <v>0.4229</v>
      </c>
      <c r="T89">
        <v>43.51</v>
      </c>
      <c r="U89">
        <v>90.91</v>
      </c>
      <c r="V89">
        <v>1.3</v>
      </c>
      <c r="W89" s="17">
        <v>15626.251200000001</v>
      </c>
      <c r="X89" s="83" t="s">
        <v>639</v>
      </c>
      <c r="Y89" s="81" t="s">
        <v>657</v>
      </c>
    </row>
    <row r="90" spans="7:25" x14ac:dyDescent="0.15">
      <c r="G90" s="11">
        <v>89</v>
      </c>
      <c r="H90" s="10" t="s">
        <v>138</v>
      </c>
      <c r="I90" t="s">
        <v>256</v>
      </c>
      <c r="J90" t="s">
        <v>185</v>
      </c>
      <c r="K90" s="43">
        <v>1.1000000000000001E-3</v>
      </c>
      <c r="L90" s="39">
        <v>-1.83E-2</v>
      </c>
      <c r="M90" s="39">
        <v>-2.3099999999999999E-2</v>
      </c>
      <c r="N90" s="43">
        <v>-1.83E-2</v>
      </c>
      <c r="O90" s="39">
        <v>2.12E-2</v>
      </c>
      <c r="P90" s="39">
        <v>8.8400000000000006E-2</v>
      </c>
      <c r="Q90" s="39">
        <v>-9.1000000000000004E-3</v>
      </c>
      <c r="R90" s="39">
        <v>-8.6999999999999994E-2</v>
      </c>
      <c r="S90" s="39">
        <v>-0.25890000000000002</v>
      </c>
      <c r="T90">
        <v>42.86</v>
      </c>
      <c r="U90">
        <v>59.09</v>
      </c>
      <c r="V90">
        <v>32.47</v>
      </c>
      <c r="W90" s="17">
        <v>24789.584699999999</v>
      </c>
    </row>
    <row r="91" spans="7:25" x14ac:dyDescent="0.15">
      <c r="G91" s="11">
        <v>90</v>
      </c>
      <c r="H91" s="10" t="s">
        <v>299</v>
      </c>
      <c r="I91" t="s">
        <v>647</v>
      </c>
      <c r="J91" t="s">
        <v>321</v>
      </c>
      <c r="K91" s="43">
        <v>2.8E-3</v>
      </c>
      <c r="L91" s="39">
        <v>-1.8E-3</v>
      </c>
      <c r="M91" s="39">
        <v>-2.3900000000000001E-2</v>
      </c>
      <c r="N91" s="43">
        <v>3.0999999999999999E-3</v>
      </c>
      <c r="O91" s="39">
        <v>8.1199999999999994E-2</v>
      </c>
      <c r="P91" s="39">
        <v>0.22309999999999999</v>
      </c>
      <c r="Q91" s="39">
        <v>0.13930000000000001</v>
      </c>
      <c r="R91" s="39">
        <v>0.46329999999999999</v>
      </c>
      <c r="S91" s="39">
        <v>0.53039999999999998</v>
      </c>
      <c r="T91">
        <v>42.21</v>
      </c>
      <c r="U91">
        <v>73.38</v>
      </c>
      <c r="V91">
        <v>16.23</v>
      </c>
      <c r="W91" s="17">
        <v>3988.3110999999999</v>
      </c>
      <c r="X91" s="83" t="s">
        <v>639</v>
      </c>
    </row>
    <row r="92" spans="7:25" x14ac:dyDescent="0.15">
      <c r="G92" s="11">
        <v>91</v>
      </c>
      <c r="H92" s="10" t="s">
        <v>163</v>
      </c>
      <c r="I92" t="s">
        <v>181</v>
      </c>
      <c r="J92" t="s">
        <v>276</v>
      </c>
      <c r="K92" s="43">
        <v>1.4800000000000001E-2</v>
      </c>
      <c r="L92" s="39">
        <v>-2.0999999999999999E-3</v>
      </c>
      <c r="M92" s="39">
        <v>6.0000000000000001E-3</v>
      </c>
      <c r="N92" s="43">
        <v>7.3000000000000001E-3</v>
      </c>
      <c r="O92" s="39">
        <v>-4.5900000000000003E-2</v>
      </c>
      <c r="P92" s="39">
        <v>0.1106</v>
      </c>
      <c r="Q92" s="39">
        <v>0.13980000000000001</v>
      </c>
      <c r="R92" s="39">
        <v>0.30470000000000003</v>
      </c>
      <c r="S92" s="39">
        <v>0.11940000000000001</v>
      </c>
      <c r="T92">
        <v>41.56</v>
      </c>
      <c r="U92">
        <v>81.17</v>
      </c>
      <c r="V92">
        <v>7.79</v>
      </c>
      <c r="W92" s="17">
        <v>4714.7897000000003</v>
      </c>
      <c r="X92" s="83" t="s">
        <v>639</v>
      </c>
      <c r="Y92" s="81" t="s">
        <v>657</v>
      </c>
    </row>
    <row r="93" spans="7:25" x14ac:dyDescent="0.15">
      <c r="G93" s="11">
        <v>92</v>
      </c>
      <c r="H93" s="10" t="s">
        <v>301</v>
      </c>
      <c r="I93" t="s">
        <v>302</v>
      </c>
      <c r="J93" t="s">
        <v>321</v>
      </c>
      <c r="K93" s="43">
        <v>-6.9999999999999999E-4</v>
      </c>
      <c r="L93" s="39">
        <v>-2.01E-2</v>
      </c>
      <c r="M93" s="39">
        <v>-6.7000000000000004E-2</v>
      </c>
      <c r="N93" s="43">
        <v>-7.8200000000000006E-2</v>
      </c>
      <c r="O93" s="39">
        <v>-8.3599999999999994E-2</v>
      </c>
      <c r="P93" s="39">
        <v>-9.0700000000000003E-2</v>
      </c>
      <c r="Q93" s="39">
        <v>-0.2407</v>
      </c>
      <c r="R93" s="39">
        <v>-0.41220000000000001</v>
      </c>
      <c r="S93" s="39">
        <v>-0.54169999999999996</v>
      </c>
      <c r="T93">
        <v>40.909999999999997</v>
      </c>
      <c r="U93">
        <v>7.14</v>
      </c>
      <c r="V93">
        <v>81.17</v>
      </c>
      <c r="W93" s="17">
        <v>1499.3300999999999</v>
      </c>
    </row>
    <row r="94" spans="7:25" x14ac:dyDescent="0.15">
      <c r="G94" s="11">
        <v>93</v>
      </c>
      <c r="H94" s="10" t="s">
        <v>164</v>
      </c>
      <c r="I94" t="s">
        <v>212</v>
      </c>
      <c r="J94" t="s">
        <v>185</v>
      </c>
      <c r="K94" s="43">
        <v>0</v>
      </c>
      <c r="L94" s="39">
        <v>-1.9099999999999999E-2</v>
      </c>
      <c r="M94" s="39">
        <v>-3.2300000000000002E-2</v>
      </c>
      <c r="N94" s="43">
        <v>-5.11E-2</v>
      </c>
      <c r="O94" s="39">
        <v>-9.3200000000000005E-2</v>
      </c>
      <c r="P94" s="39">
        <v>-0.13039999999999999</v>
      </c>
      <c r="Q94" s="39">
        <v>-8.6900000000000005E-2</v>
      </c>
      <c r="R94" s="39">
        <v>-5.3900000000000003E-2</v>
      </c>
      <c r="S94" s="39">
        <v>-0.2331</v>
      </c>
      <c r="T94">
        <v>40.26</v>
      </c>
      <c r="U94">
        <v>29.87</v>
      </c>
      <c r="V94">
        <v>58.44</v>
      </c>
      <c r="W94" s="17">
        <v>4560.6412499999997</v>
      </c>
    </row>
    <row r="95" spans="7:25" x14ac:dyDescent="0.15">
      <c r="G95" s="11">
        <v>94</v>
      </c>
      <c r="H95" s="10" t="s">
        <v>311</v>
      </c>
      <c r="I95" t="s">
        <v>646</v>
      </c>
      <c r="J95" t="s">
        <v>321</v>
      </c>
      <c r="K95" s="43">
        <v>2.9999999999999997E-4</v>
      </c>
      <c r="L95" s="39">
        <v>-1.95E-2</v>
      </c>
      <c r="M95" s="39">
        <v>-2.6599999999999999E-2</v>
      </c>
      <c r="N95" s="43">
        <v>-3.6700000000000003E-2</v>
      </c>
      <c r="O95" s="39">
        <v>-7.3000000000000001E-3</v>
      </c>
      <c r="P95" s="39">
        <v>5.0299999999999997E-2</v>
      </c>
      <c r="Q95" s="39">
        <v>-3.9600000000000003E-2</v>
      </c>
      <c r="R95" s="39">
        <v>-4.1500000000000002E-2</v>
      </c>
      <c r="S95" s="39">
        <v>-0.23519999999999999</v>
      </c>
      <c r="T95">
        <v>39.61</v>
      </c>
      <c r="U95">
        <v>38.31</v>
      </c>
      <c r="V95">
        <v>50</v>
      </c>
      <c r="W95" s="17">
        <v>2337.5250000000001</v>
      </c>
      <c r="X95" s="83" t="s">
        <v>639</v>
      </c>
      <c r="Y95" s="81" t="s">
        <v>657</v>
      </c>
    </row>
    <row r="96" spans="7:25" x14ac:dyDescent="0.15">
      <c r="G96" s="11">
        <v>95</v>
      </c>
      <c r="H96" s="10" t="s">
        <v>126</v>
      </c>
      <c r="I96" t="s">
        <v>232</v>
      </c>
      <c r="J96" t="s">
        <v>185</v>
      </c>
      <c r="K96" s="43">
        <v>4.0000000000000002E-4</v>
      </c>
      <c r="L96" s="39">
        <v>-2.29E-2</v>
      </c>
      <c r="M96" s="39">
        <v>-1.84E-2</v>
      </c>
      <c r="N96" s="43">
        <v>-3.3300000000000003E-2</v>
      </c>
      <c r="O96" s="39">
        <v>-2.7900000000000001E-2</v>
      </c>
      <c r="P96" s="39">
        <v>-1.6000000000000001E-3</v>
      </c>
      <c r="Q96" s="39">
        <v>-0.1188</v>
      </c>
      <c r="R96" s="39">
        <v>-0.17019999999999999</v>
      </c>
      <c r="S96" s="39">
        <v>-0.36470000000000002</v>
      </c>
      <c r="T96">
        <v>38.96</v>
      </c>
      <c r="U96">
        <v>40.909999999999997</v>
      </c>
      <c r="V96">
        <v>47.4</v>
      </c>
      <c r="W96" s="17">
        <v>7706.9268439999996</v>
      </c>
      <c r="X96" s="83" t="s">
        <v>639</v>
      </c>
    </row>
    <row r="97" spans="7:25" x14ac:dyDescent="0.15">
      <c r="G97" s="11">
        <v>96</v>
      </c>
      <c r="H97" s="10" t="s">
        <v>146</v>
      </c>
      <c r="I97" t="s">
        <v>202</v>
      </c>
      <c r="J97" t="s">
        <v>185</v>
      </c>
      <c r="K97" s="43">
        <v>5.9999999999999995E-4</v>
      </c>
      <c r="L97" s="39">
        <v>-9.2999999999999992E-3</v>
      </c>
      <c r="M97" s="39">
        <v>-2.6100000000000002E-2</v>
      </c>
      <c r="N97" s="43">
        <v>-3.3099999999999997E-2</v>
      </c>
      <c r="O97" s="39">
        <v>4.6300000000000001E-2</v>
      </c>
      <c r="P97" s="39">
        <v>0.1046</v>
      </c>
      <c r="Q97" s="39">
        <v>0.14530000000000001</v>
      </c>
      <c r="R97" s="39">
        <v>0.1988</v>
      </c>
      <c r="S97" s="39">
        <v>0.25819999999999999</v>
      </c>
      <c r="T97">
        <v>38.31</v>
      </c>
      <c r="U97">
        <v>41.56</v>
      </c>
      <c r="V97">
        <v>42.21</v>
      </c>
      <c r="W97" s="17">
        <v>5459.3477000000003</v>
      </c>
    </row>
    <row r="98" spans="7:25" x14ac:dyDescent="0.15">
      <c r="G98" s="11">
        <v>97</v>
      </c>
      <c r="H98" t="s">
        <v>79</v>
      </c>
      <c r="I98" t="s">
        <v>905</v>
      </c>
      <c r="J98" t="s">
        <v>185</v>
      </c>
      <c r="K98" s="43">
        <v>-2.0000000000000001E-4</v>
      </c>
      <c r="L98" s="39">
        <v>-2.1999999999999999E-2</v>
      </c>
      <c r="M98" s="39">
        <v>-2.2599999999999999E-2</v>
      </c>
      <c r="N98" s="43">
        <v>-6.7100000000000007E-2</v>
      </c>
      <c r="O98" s="39">
        <v>-7.3400000000000007E-2</v>
      </c>
      <c r="P98" s="39">
        <v>-0.12130000000000001</v>
      </c>
      <c r="Q98" s="39">
        <v>-0.1772</v>
      </c>
      <c r="R98" s="39">
        <v>-0.1714</v>
      </c>
      <c r="S98" s="39">
        <v>-0.47989999999999999</v>
      </c>
      <c r="T98">
        <v>37.659999999999997</v>
      </c>
      <c r="U98">
        <v>13.64</v>
      </c>
      <c r="V98">
        <v>68.83</v>
      </c>
      <c r="W98" s="17">
        <v>960.60195999999996</v>
      </c>
      <c r="X98" s="83" t="s">
        <v>639</v>
      </c>
    </row>
    <row r="99" spans="7:25" x14ac:dyDescent="0.15">
      <c r="G99" s="11">
        <v>98</v>
      </c>
      <c r="H99" s="10" t="s">
        <v>406</v>
      </c>
      <c r="I99" t="s">
        <v>407</v>
      </c>
      <c r="J99" t="s">
        <v>403</v>
      </c>
      <c r="K99" s="43">
        <v>1E-3</v>
      </c>
      <c r="L99" s="39">
        <v>-0.02</v>
      </c>
      <c r="M99" s="39">
        <v>-2.2100000000000002E-2</v>
      </c>
      <c r="N99" s="43">
        <v>-2.6499999999999999E-2</v>
      </c>
      <c r="O99" s="39">
        <v>-7.3000000000000001E-3</v>
      </c>
      <c r="P99" s="39">
        <v>4.19E-2</v>
      </c>
      <c r="Q99" s="39">
        <v>-5.1400000000000001E-2</v>
      </c>
      <c r="R99" s="39">
        <v>-0.1588</v>
      </c>
      <c r="S99" s="39">
        <v>-0.1588</v>
      </c>
      <c r="T99">
        <v>37.01</v>
      </c>
      <c r="U99">
        <v>46.75</v>
      </c>
      <c r="V99">
        <v>34.42</v>
      </c>
      <c r="W99" s="17">
        <v>3643.8296</v>
      </c>
    </row>
    <row r="100" spans="7:25" x14ac:dyDescent="0.15">
      <c r="G100" s="11">
        <v>99</v>
      </c>
      <c r="H100" s="10" t="s">
        <v>129</v>
      </c>
      <c r="I100" t="s">
        <v>215</v>
      </c>
      <c r="J100" t="s">
        <v>185</v>
      </c>
      <c r="K100" s="43">
        <v>1.4E-3</v>
      </c>
      <c r="L100" s="39">
        <v>-7.6E-3</v>
      </c>
      <c r="M100" s="39">
        <v>-1.8200000000000001E-2</v>
      </c>
      <c r="N100" s="43">
        <v>-2.1899999999999999E-2</v>
      </c>
      <c r="O100" s="39">
        <v>-8.8999999999999999E-3</v>
      </c>
      <c r="P100" s="39">
        <v>3.2000000000000002E-3</v>
      </c>
      <c r="Q100" s="39">
        <v>-3.2199999999999999E-2</v>
      </c>
      <c r="R100" s="39">
        <v>2.4299999999999999E-2</v>
      </c>
      <c r="S100" s="39">
        <v>-4.9299999999999997E-2</v>
      </c>
      <c r="T100">
        <v>36.36</v>
      </c>
      <c r="U100">
        <v>51.95</v>
      </c>
      <c r="V100">
        <v>28.57</v>
      </c>
      <c r="W100" s="17">
        <v>23445.0622</v>
      </c>
      <c r="X100" s="83" t="s">
        <v>639</v>
      </c>
    </row>
    <row r="101" spans="7:25" x14ac:dyDescent="0.15">
      <c r="G101" s="11">
        <v>100</v>
      </c>
      <c r="H101" t="s">
        <v>280</v>
      </c>
      <c r="I101" t="s">
        <v>281</v>
      </c>
      <c r="J101" t="s">
        <v>321</v>
      </c>
      <c r="K101" s="43">
        <v>-5.9999999999999995E-4</v>
      </c>
      <c r="L101" s="39">
        <v>-4.4000000000000003E-3</v>
      </c>
      <c r="M101" s="39">
        <v>-3.3500000000000002E-2</v>
      </c>
      <c r="N101" s="43">
        <v>-8.6599999999999996E-2</v>
      </c>
      <c r="O101" s="39">
        <v>-0.15809999999999999</v>
      </c>
      <c r="P101" s="39">
        <v>-0.2611</v>
      </c>
      <c r="Q101" s="39">
        <v>-0.28149999999999997</v>
      </c>
      <c r="R101" s="39">
        <v>-0.12089999999999999</v>
      </c>
      <c r="S101" s="39">
        <v>-0.2135</v>
      </c>
      <c r="T101">
        <v>35.71</v>
      </c>
      <c r="U101">
        <v>3.9</v>
      </c>
      <c r="V101">
        <v>75.97</v>
      </c>
      <c r="W101" s="17">
        <v>1075.742</v>
      </c>
    </row>
    <row r="102" spans="7:25" x14ac:dyDescent="0.15">
      <c r="G102" s="11">
        <v>101</v>
      </c>
      <c r="H102" t="s">
        <v>139</v>
      </c>
      <c r="I102" t="s">
        <v>260</v>
      </c>
      <c r="J102" t="s">
        <v>185</v>
      </c>
      <c r="K102" s="43">
        <v>2E-3</v>
      </c>
      <c r="L102" s="39">
        <v>-1.84E-2</v>
      </c>
      <c r="M102" s="39">
        <v>-2.3300000000000001E-2</v>
      </c>
      <c r="N102" s="43">
        <v>-1.8499999999999999E-2</v>
      </c>
      <c r="O102" s="39">
        <v>2.12E-2</v>
      </c>
      <c r="P102" s="39">
        <v>8.8900000000000007E-2</v>
      </c>
      <c r="Q102" s="39">
        <v>-8.0000000000000002E-3</v>
      </c>
      <c r="R102" s="39">
        <v>-8.5099999999999995E-2</v>
      </c>
      <c r="S102" s="39">
        <v>-0.25659999999999999</v>
      </c>
      <c r="T102">
        <v>35.06</v>
      </c>
      <c r="U102">
        <v>58.44</v>
      </c>
      <c r="V102">
        <v>20.78</v>
      </c>
      <c r="W102" s="17">
        <v>14651.4233</v>
      </c>
    </row>
    <row r="103" spans="7:25" x14ac:dyDescent="0.15">
      <c r="G103" s="11">
        <v>102</v>
      </c>
      <c r="H103" s="10" t="s">
        <v>118</v>
      </c>
      <c r="I103" t="s">
        <v>186</v>
      </c>
      <c r="J103" t="s">
        <v>185</v>
      </c>
      <c r="K103" s="43">
        <v>2.3E-3</v>
      </c>
      <c r="L103" s="39">
        <v>-1.84E-2</v>
      </c>
      <c r="M103" s="39">
        <v>-2.93E-2</v>
      </c>
      <c r="N103" s="43">
        <v>-1.6500000000000001E-2</v>
      </c>
      <c r="O103" s="39">
        <v>3.3E-3</v>
      </c>
      <c r="P103" s="39">
        <v>4.8300000000000003E-2</v>
      </c>
      <c r="Q103" s="39">
        <v>2.5999999999999999E-2</v>
      </c>
      <c r="R103" s="39">
        <v>8.3599999999999994E-2</v>
      </c>
      <c r="S103" s="39">
        <v>-0.10920000000000001</v>
      </c>
      <c r="T103">
        <v>34.42</v>
      </c>
      <c r="U103">
        <v>61.69</v>
      </c>
      <c r="V103">
        <v>17.53</v>
      </c>
      <c r="W103" s="17">
        <v>2319.0569999999998</v>
      </c>
    </row>
    <row r="104" spans="7:25" x14ac:dyDescent="0.15">
      <c r="G104" s="11">
        <v>103</v>
      </c>
      <c r="H104" t="s">
        <v>77</v>
      </c>
      <c r="I104" t="s">
        <v>904</v>
      </c>
      <c r="J104" t="s">
        <v>185</v>
      </c>
      <c r="K104" s="43">
        <v>1E-3</v>
      </c>
      <c r="L104" s="39">
        <v>-1.46E-2</v>
      </c>
      <c r="M104" s="39">
        <v>-3.3399999999999999E-2</v>
      </c>
      <c r="N104" s="43">
        <v>-2.9399999999999999E-2</v>
      </c>
      <c r="O104" s="39">
        <v>9.7000000000000003E-3</v>
      </c>
      <c r="P104" s="39">
        <v>1.3299999999999999E-2</v>
      </c>
      <c r="Q104" s="39">
        <v>2.2200000000000001E-2</v>
      </c>
      <c r="R104" s="39">
        <v>0.17660000000000001</v>
      </c>
      <c r="S104" s="39">
        <v>0.32850000000000001</v>
      </c>
      <c r="T104">
        <v>33.770000000000003</v>
      </c>
      <c r="U104">
        <v>45.45</v>
      </c>
      <c r="V104">
        <v>33.119999999999997</v>
      </c>
      <c r="W104" s="17">
        <v>10053.452499999999</v>
      </c>
      <c r="X104" s="83" t="s">
        <v>639</v>
      </c>
      <c r="Y104" s="81" t="s">
        <v>657</v>
      </c>
    </row>
    <row r="105" spans="7:25" x14ac:dyDescent="0.15">
      <c r="G105" s="11">
        <v>104</v>
      </c>
      <c r="H105" s="10" t="s">
        <v>133</v>
      </c>
      <c r="I105" t="s">
        <v>262</v>
      </c>
      <c r="J105" t="s">
        <v>185</v>
      </c>
      <c r="K105" s="43">
        <v>8.0000000000000004E-4</v>
      </c>
      <c r="L105" s="39">
        <v>-1.2800000000000001E-2</v>
      </c>
      <c r="M105" s="39">
        <v>-1.9900000000000001E-2</v>
      </c>
      <c r="N105" s="43">
        <v>-3.7900000000000003E-2</v>
      </c>
      <c r="O105" s="39">
        <v>-3.1800000000000002E-2</v>
      </c>
      <c r="P105" s="39">
        <v>-5.9400000000000001E-2</v>
      </c>
      <c r="Q105" s="39">
        <v>-0.1268</v>
      </c>
      <c r="R105" s="39">
        <v>-7.4099999999999999E-2</v>
      </c>
      <c r="S105" s="39">
        <v>-0.15870000000000001</v>
      </c>
      <c r="T105">
        <v>33.119999999999997</v>
      </c>
      <c r="U105">
        <v>37.659999999999997</v>
      </c>
      <c r="V105">
        <v>37.659999999999997</v>
      </c>
      <c r="W105" s="17">
        <v>102463.3279</v>
      </c>
    </row>
    <row r="106" spans="7:25" x14ac:dyDescent="0.15">
      <c r="G106" s="11">
        <v>105</v>
      </c>
      <c r="H106" t="s">
        <v>1065</v>
      </c>
      <c r="I106" t="s">
        <v>1066</v>
      </c>
      <c r="J106" t="s">
        <v>321</v>
      </c>
      <c r="K106" s="43">
        <v>1.84E-2</v>
      </c>
      <c r="L106" s="39">
        <v>-1.6000000000000001E-3</v>
      </c>
      <c r="M106" s="39">
        <v>-1.6E-2</v>
      </c>
      <c r="N106" s="43">
        <v>8.9999999999999998E-4</v>
      </c>
      <c r="O106" s="39">
        <v>9.2899999999999996E-2</v>
      </c>
      <c r="P106" s="39">
        <v>9.2899999999999996E-2</v>
      </c>
      <c r="Q106" s="39">
        <v>9.2899999999999996E-2</v>
      </c>
      <c r="R106" s="39">
        <v>9.2899999999999996E-2</v>
      </c>
      <c r="S106" s="39">
        <v>9.2899999999999996E-2</v>
      </c>
      <c r="T106">
        <v>32.47</v>
      </c>
      <c r="U106">
        <v>69.48</v>
      </c>
      <c r="V106">
        <v>5.19</v>
      </c>
      <c r="W106" s="17">
        <v>2255.2892999999999</v>
      </c>
      <c r="X106" s="83" t="s">
        <v>639</v>
      </c>
      <c r="Y106" s="81" t="s">
        <v>657</v>
      </c>
    </row>
    <row r="107" spans="7:25" x14ac:dyDescent="0.15">
      <c r="G107" s="11">
        <v>106</v>
      </c>
      <c r="H107" s="10" t="s">
        <v>137</v>
      </c>
      <c r="I107" t="s">
        <v>243</v>
      </c>
      <c r="J107" t="s">
        <v>185</v>
      </c>
      <c r="K107" s="43">
        <v>8.0000000000000004E-4</v>
      </c>
      <c r="L107" s="39">
        <v>-3.7100000000000001E-2</v>
      </c>
      <c r="M107" s="39">
        <v>-5.2299999999999999E-2</v>
      </c>
      <c r="N107" s="43">
        <v>-4.6899999999999997E-2</v>
      </c>
      <c r="O107" s="39">
        <v>-8.5099999999999995E-2</v>
      </c>
      <c r="P107" s="39">
        <v>-0.1003</v>
      </c>
      <c r="Q107" s="39">
        <v>-0.26490000000000002</v>
      </c>
      <c r="R107" s="39">
        <v>-0.26019999999999999</v>
      </c>
      <c r="S107" s="39">
        <v>-0.34350000000000003</v>
      </c>
      <c r="T107">
        <v>31.82</v>
      </c>
      <c r="U107">
        <v>33.119999999999997</v>
      </c>
      <c r="V107">
        <v>38.31</v>
      </c>
      <c r="W107" s="17">
        <v>9775.1272900000004</v>
      </c>
      <c r="X107" s="83" t="s">
        <v>639</v>
      </c>
    </row>
    <row r="108" spans="7:25" x14ac:dyDescent="0.15">
      <c r="G108" s="11">
        <v>107</v>
      </c>
      <c r="H108" s="10" t="s">
        <v>119</v>
      </c>
      <c r="I108" t="s">
        <v>258</v>
      </c>
      <c r="J108" t="s">
        <v>185</v>
      </c>
      <c r="K108" s="43">
        <v>3.5999999999999999E-3</v>
      </c>
      <c r="L108" s="39">
        <v>-1.8599999999999998E-2</v>
      </c>
      <c r="M108" s="39">
        <v>-2.4199999999999999E-2</v>
      </c>
      <c r="N108" s="43">
        <v>-1.9300000000000001E-2</v>
      </c>
      <c r="O108" s="39">
        <v>2.0199999999999999E-2</v>
      </c>
      <c r="P108" s="39">
        <v>8.6699999999999999E-2</v>
      </c>
      <c r="Q108" s="39">
        <v>-1.0500000000000001E-2</v>
      </c>
      <c r="R108" s="39">
        <v>-8.6699999999999999E-2</v>
      </c>
      <c r="S108" s="39">
        <v>-0.25669999999999998</v>
      </c>
      <c r="T108">
        <v>31.17</v>
      </c>
      <c r="U108">
        <v>55.84</v>
      </c>
      <c r="V108">
        <v>14.29</v>
      </c>
      <c r="W108" s="17">
        <v>15460.551529499999</v>
      </c>
    </row>
    <row r="109" spans="7:25" x14ac:dyDescent="0.15">
      <c r="G109" s="11">
        <v>108</v>
      </c>
      <c r="H109" s="10" t="s">
        <v>127</v>
      </c>
      <c r="I109" t="s">
        <v>196</v>
      </c>
      <c r="J109" t="s">
        <v>185</v>
      </c>
      <c r="K109" s="43">
        <v>2.2000000000000001E-3</v>
      </c>
      <c r="L109" s="39">
        <v>-6.8999999999999999E-3</v>
      </c>
      <c r="M109" s="39">
        <v>3.8999999999999998E-3</v>
      </c>
      <c r="N109" s="43">
        <v>-2.1999999999999999E-2</v>
      </c>
      <c r="O109" s="39">
        <v>-0.1628</v>
      </c>
      <c r="P109" s="39">
        <v>-0.2722</v>
      </c>
      <c r="Q109" s="39">
        <v>-0.41620000000000001</v>
      </c>
      <c r="R109" s="39">
        <v>-0.15670000000000001</v>
      </c>
      <c r="S109" s="39">
        <v>-0.40689999999999998</v>
      </c>
      <c r="T109">
        <v>30.52</v>
      </c>
      <c r="U109">
        <v>51.3</v>
      </c>
      <c r="V109">
        <v>18.18</v>
      </c>
      <c r="W109" s="17">
        <v>3803.3610299999996</v>
      </c>
      <c r="X109" s="83" t="s">
        <v>639</v>
      </c>
    </row>
    <row r="110" spans="7:25" x14ac:dyDescent="0.15">
      <c r="G110" s="11">
        <v>109</v>
      </c>
      <c r="H110" s="10" t="s">
        <v>111</v>
      </c>
      <c r="I110" t="s">
        <v>241</v>
      </c>
      <c r="J110" t="s">
        <v>185</v>
      </c>
      <c r="K110" s="43">
        <v>3.7000000000000002E-3</v>
      </c>
      <c r="L110" s="39">
        <v>-7.7000000000000002E-3</v>
      </c>
      <c r="M110" s="39">
        <v>5.8999999999999999E-3</v>
      </c>
      <c r="N110" s="43">
        <v>-1.9800000000000002E-2</v>
      </c>
      <c r="O110" s="39">
        <v>-4.6199999999999998E-2</v>
      </c>
      <c r="P110" s="39">
        <v>-3.7900000000000003E-2</v>
      </c>
      <c r="Q110" s="39">
        <v>-0.2205</v>
      </c>
      <c r="R110" s="39">
        <v>-0.2802</v>
      </c>
      <c r="S110" s="39">
        <v>-0.4047</v>
      </c>
      <c r="T110">
        <v>29.87</v>
      </c>
      <c r="U110">
        <v>55.19</v>
      </c>
      <c r="V110">
        <v>13.64</v>
      </c>
      <c r="W110" s="17">
        <v>7521.1740200000004</v>
      </c>
    </row>
    <row r="111" spans="7:25" x14ac:dyDescent="0.15">
      <c r="G111" s="11">
        <v>110</v>
      </c>
      <c r="H111" s="10" t="s">
        <v>166</v>
      </c>
      <c r="I111" t="s">
        <v>275</v>
      </c>
      <c r="J111" t="s">
        <v>266</v>
      </c>
      <c r="K111" s="43">
        <v>1.9E-2</v>
      </c>
      <c r="L111" s="39">
        <v>-6.9999999999999999E-4</v>
      </c>
      <c r="M111" s="39">
        <v>-1.2200000000000001E-2</v>
      </c>
      <c r="N111" s="43">
        <v>-1.01E-2</v>
      </c>
      <c r="O111" s="39">
        <v>1.11E-2</v>
      </c>
      <c r="P111" s="39">
        <v>8.8099999999999998E-2</v>
      </c>
      <c r="Q111" s="39">
        <v>0.1668</v>
      </c>
      <c r="R111" s="39">
        <v>0.36959999999999998</v>
      </c>
      <c r="S111" s="39">
        <v>0.11459999999999999</v>
      </c>
      <c r="T111">
        <v>29.22</v>
      </c>
      <c r="U111">
        <v>63.64</v>
      </c>
      <c r="V111">
        <v>4.55</v>
      </c>
      <c r="W111" s="17">
        <v>9341.1866000000009</v>
      </c>
    </row>
    <row r="112" spans="7:25" x14ac:dyDescent="0.15">
      <c r="G112" s="11">
        <v>111</v>
      </c>
      <c r="H112" s="10" t="s">
        <v>81</v>
      </c>
      <c r="I112" t="s">
        <v>210</v>
      </c>
      <c r="J112" t="s">
        <v>185</v>
      </c>
      <c r="K112" s="43">
        <v>5.9999999999999995E-4</v>
      </c>
      <c r="L112" s="39">
        <v>-2.2100000000000002E-2</v>
      </c>
      <c r="M112" s="39">
        <v>-1.61E-2</v>
      </c>
      <c r="N112" s="43">
        <v>-5.8099999999999999E-2</v>
      </c>
      <c r="O112" s="39">
        <v>-9.5000000000000001E-2</v>
      </c>
      <c r="P112" s="39">
        <v>-0.16289999999999999</v>
      </c>
      <c r="Q112" s="39">
        <v>-0.20669999999999999</v>
      </c>
      <c r="R112" s="39">
        <v>-0.24629999999999999</v>
      </c>
      <c r="S112" s="39">
        <v>-0.57020000000000004</v>
      </c>
      <c r="T112">
        <v>28.57</v>
      </c>
      <c r="U112">
        <v>24.03</v>
      </c>
      <c r="V112">
        <v>41.56</v>
      </c>
      <c r="W112" s="17">
        <v>39148.6417</v>
      </c>
      <c r="X112" s="83" t="s">
        <v>639</v>
      </c>
    </row>
    <row r="113" spans="7:24" x14ac:dyDescent="0.15">
      <c r="G113" s="11">
        <v>112</v>
      </c>
      <c r="H113" s="10" t="s">
        <v>160</v>
      </c>
      <c r="I113" t="s">
        <v>212</v>
      </c>
      <c r="J113" t="s">
        <v>185</v>
      </c>
      <c r="K113" s="43">
        <v>8.9999999999999998E-4</v>
      </c>
      <c r="L113" s="39">
        <v>-1.9099999999999999E-2</v>
      </c>
      <c r="M113" s="39">
        <v>-3.2599999999999997E-2</v>
      </c>
      <c r="N113" s="43">
        <v>-5.1700000000000003E-2</v>
      </c>
      <c r="O113" s="39">
        <v>-9.4299999999999995E-2</v>
      </c>
      <c r="P113" s="39">
        <v>-0.1318</v>
      </c>
      <c r="Q113" s="39">
        <v>-8.8800000000000004E-2</v>
      </c>
      <c r="R113" s="39">
        <v>-5.8900000000000001E-2</v>
      </c>
      <c r="S113" s="39">
        <v>-0.24560000000000001</v>
      </c>
      <c r="T113">
        <v>27.92</v>
      </c>
      <c r="U113">
        <v>28.57</v>
      </c>
      <c r="V113">
        <v>36.36</v>
      </c>
      <c r="W113" s="17">
        <v>33654.861900000004</v>
      </c>
    </row>
    <row r="114" spans="7:24" x14ac:dyDescent="0.15">
      <c r="G114" s="11">
        <v>113</v>
      </c>
      <c r="H114" s="10" t="s">
        <v>71</v>
      </c>
      <c r="I114" t="s">
        <v>209</v>
      </c>
      <c r="J114" t="s">
        <v>185</v>
      </c>
      <c r="K114" s="43">
        <v>4.0000000000000002E-4</v>
      </c>
      <c r="L114" s="39">
        <v>-2.8000000000000001E-2</v>
      </c>
      <c r="M114" s="39">
        <v>-2.87E-2</v>
      </c>
      <c r="N114" s="43">
        <v>-6.4500000000000002E-2</v>
      </c>
      <c r="O114" s="39">
        <v>-5.4399999999999997E-2</v>
      </c>
      <c r="P114" s="39">
        <v>-5.7200000000000001E-2</v>
      </c>
      <c r="Q114" s="39">
        <v>-0.11</v>
      </c>
      <c r="R114" s="39">
        <v>-0.1736</v>
      </c>
      <c r="S114" s="39">
        <v>-0.39029999999999998</v>
      </c>
      <c r="T114">
        <v>27.27</v>
      </c>
      <c r="U114">
        <v>18.18</v>
      </c>
      <c r="V114">
        <v>46.75</v>
      </c>
      <c r="W114" s="17">
        <v>1397.807</v>
      </c>
    </row>
    <row r="115" spans="7:24" x14ac:dyDescent="0.15">
      <c r="G115" s="11">
        <v>114</v>
      </c>
      <c r="H115" s="10" t="s">
        <v>99</v>
      </c>
      <c r="I115" t="s">
        <v>209</v>
      </c>
      <c r="J115" t="s">
        <v>185</v>
      </c>
      <c r="K115" s="43">
        <v>2.0000000000000001E-4</v>
      </c>
      <c r="L115" s="39">
        <v>-4.9000000000000002E-2</v>
      </c>
      <c r="M115" s="39">
        <v>-6.2300000000000001E-2</v>
      </c>
      <c r="N115" s="43">
        <v>-7.2499999999999995E-2</v>
      </c>
      <c r="O115" s="39">
        <v>-5.0299999999999997E-2</v>
      </c>
      <c r="P115" s="39">
        <v>-4.1399999999999999E-2</v>
      </c>
      <c r="Q115" s="39">
        <v>-0.1016</v>
      </c>
      <c r="R115" s="39">
        <v>-0.16309999999999999</v>
      </c>
      <c r="S115" s="39">
        <v>-0.35470000000000002</v>
      </c>
      <c r="T115">
        <v>26.62</v>
      </c>
      <c r="U115">
        <v>11.04</v>
      </c>
      <c r="V115">
        <v>53.25</v>
      </c>
      <c r="W115" s="17">
        <v>5379.6402200000002</v>
      </c>
    </row>
    <row r="116" spans="7:24" x14ac:dyDescent="0.15">
      <c r="G116" s="11">
        <v>115</v>
      </c>
      <c r="H116" s="10" t="s">
        <v>116</v>
      </c>
      <c r="I116" t="s">
        <v>254</v>
      </c>
      <c r="J116" t="s">
        <v>185</v>
      </c>
      <c r="K116" s="43">
        <v>1.2999999999999999E-3</v>
      </c>
      <c r="L116" s="39">
        <v>-2.8799999999999999E-2</v>
      </c>
      <c r="M116" s="39">
        <v>-4.1399999999999999E-2</v>
      </c>
      <c r="N116" s="43">
        <v>-4.3799999999999999E-2</v>
      </c>
      <c r="O116" s="39">
        <v>5.8999999999999999E-3</v>
      </c>
      <c r="P116" s="39">
        <v>2.3300000000000001E-2</v>
      </c>
      <c r="Q116" s="39">
        <v>-0.1734</v>
      </c>
      <c r="R116" s="39">
        <v>-0.123</v>
      </c>
      <c r="S116" s="39">
        <v>2.1700000000000001E-2</v>
      </c>
      <c r="T116">
        <v>25.97</v>
      </c>
      <c r="U116">
        <v>35.06</v>
      </c>
      <c r="V116">
        <v>29.22</v>
      </c>
      <c r="W116" s="17">
        <v>3346.3438000000001</v>
      </c>
      <c r="X116" s="83" t="s">
        <v>639</v>
      </c>
    </row>
    <row r="117" spans="7:24" x14ac:dyDescent="0.15">
      <c r="G117" s="11">
        <v>116</v>
      </c>
      <c r="H117" t="s">
        <v>61</v>
      </c>
      <c r="I117" t="s">
        <v>233</v>
      </c>
      <c r="J117" t="s">
        <v>185</v>
      </c>
      <c r="K117" s="43">
        <v>1.1999999999999999E-3</v>
      </c>
      <c r="L117" s="39">
        <v>-6.1000000000000004E-3</v>
      </c>
      <c r="M117" s="39">
        <v>2.8999999999999998E-3</v>
      </c>
      <c r="N117" s="43">
        <v>-4.8300000000000003E-2</v>
      </c>
      <c r="O117" s="39">
        <v>-9.1600000000000001E-2</v>
      </c>
      <c r="P117" s="39">
        <v>-0.20849999999999999</v>
      </c>
      <c r="Q117" s="39">
        <v>-0.23910000000000001</v>
      </c>
      <c r="R117" s="39">
        <v>-0.27739999999999998</v>
      </c>
      <c r="S117" s="39">
        <v>-0.57430000000000003</v>
      </c>
      <c r="T117">
        <v>25.32</v>
      </c>
      <c r="U117">
        <v>32.47</v>
      </c>
      <c r="V117">
        <v>30.52</v>
      </c>
      <c r="W117" s="17">
        <v>19309.153658700001</v>
      </c>
    </row>
    <row r="118" spans="7:24" x14ac:dyDescent="0.15">
      <c r="G118" s="11">
        <v>117</v>
      </c>
      <c r="H118" t="s">
        <v>87</v>
      </c>
      <c r="I118" t="s">
        <v>189</v>
      </c>
      <c r="J118" t="s">
        <v>185</v>
      </c>
      <c r="K118" s="43">
        <v>8.0000000000000004E-4</v>
      </c>
      <c r="L118" s="39">
        <v>-3.1199999999999999E-2</v>
      </c>
      <c r="M118" s="39">
        <v>-3.9300000000000002E-2</v>
      </c>
      <c r="N118" s="43">
        <v>-5.5500000000000001E-2</v>
      </c>
      <c r="O118" s="39">
        <v>-0.1043</v>
      </c>
      <c r="P118" s="39">
        <v>-7.9899999999999999E-2</v>
      </c>
      <c r="Q118" s="39">
        <v>-0.1704</v>
      </c>
      <c r="R118" s="39">
        <v>-0.22090000000000001</v>
      </c>
      <c r="S118" s="39">
        <v>-0.46579999999999999</v>
      </c>
      <c r="T118">
        <v>24.68</v>
      </c>
      <c r="U118">
        <v>25.32</v>
      </c>
      <c r="V118">
        <v>37.01</v>
      </c>
      <c r="W118" s="17">
        <v>353.64109999999999</v>
      </c>
    </row>
    <row r="119" spans="7:24" x14ac:dyDescent="0.15">
      <c r="G119" s="11">
        <v>118</v>
      </c>
      <c r="H119" t="s">
        <v>300</v>
      </c>
      <c r="I119" t="s">
        <v>648</v>
      </c>
      <c r="J119" t="s">
        <v>321</v>
      </c>
      <c r="K119" s="43">
        <v>1.47E-2</v>
      </c>
      <c r="L119" s="39">
        <v>-1.9800000000000002E-2</v>
      </c>
      <c r="M119" s="39">
        <v>-4.7500000000000001E-2</v>
      </c>
      <c r="N119" s="43">
        <v>-2.1499999999999998E-2</v>
      </c>
      <c r="O119" s="39">
        <v>0.12330000000000001</v>
      </c>
      <c r="P119" s="39">
        <v>0.2356</v>
      </c>
      <c r="Q119" s="39">
        <v>0.2092</v>
      </c>
      <c r="R119" s="39">
        <v>0.2747</v>
      </c>
      <c r="S119" s="39">
        <v>0.30830000000000002</v>
      </c>
      <c r="T119">
        <v>24.03</v>
      </c>
      <c r="U119">
        <v>53.25</v>
      </c>
      <c r="V119">
        <v>8.44</v>
      </c>
      <c r="W119" s="17">
        <v>2757.4463000000001</v>
      </c>
      <c r="X119" s="83" t="s">
        <v>639</v>
      </c>
    </row>
    <row r="120" spans="7:24" x14ac:dyDescent="0.15">
      <c r="G120" s="11">
        <v>119</v>
      </c>
      <c r="H120" t="s">
        <v>149</v>
      </c>
      <c r="I120" t="s">
        <v>228</v>
      </c>
      <c r="J120" t="s">
        <v>185</v>
      </c>
      <c r="K120" s="43">
        <v>4.0000000000000002E-4</v>
      </c>
      <c r="L120" s="39">
        <v>-2.86E-2</v>
      </c>
      <c r="M120" s="39">
        <v>-4.1700000000000001E-2</v>
      </c>
      <c r="N120" s="43">
        <v>-6.6600000000000006E-2</v>
      </c>
      <c r="O120" s="39">
        <v>-3.0099999999999998E-2</v>
      </c>
      <c r="P120" s="39">
        <v>2.8500000000000001E-2</v>
      </c>
      <c r="Q120" s="39">
        <v>-7.7000000000000002E-3</v>
      </c>
      <c r="R120" s="39">
        <v>-2.69E-2</v>
      </c>
      <c r="S120" s="39">
        <v>-0.3402</v>
      </c>
      <c r="T120">
        <v>23.38</v>
      </c>
      <c r="U120">
        <v>15.58</v>
      </c>
      <c r="V120">
        <v>46.1</v>
      </c>
      <c r="W120" s="17">
        <v>21449.689590000002</v>
      </c>
    </row>
    <row r="121" spans="7:24" x14ac:dyDescent="0.15">
      <c r="G121" s="11">
        <v>120</v>
      </c>
      <c r="H121" s="10" t="s">
        <v>157</v>
      </c>
      <c r="I121" t="s">
        <v>240</v>
      </c>
      <c r="J121" t="s">
        <v>185</v>
      </c>
      <c r="K121" s="43">
        <v>1.1999999999999999E-3</v>
      </c>
      <c r="L121" s="39">
        <v>-1.9199999999999998E-2</v>
      </c>
      <c r="M121" s="39">
        <v>-3.27E-2</v>
      </c>
      <c r="N121" s="43">
        <v>-5.1700000000000003E-2</v>
      </c>
      <c r="O121" s="39">
        <v>-9.4299999999999995E-2</v>
      </c>
      <c r="P121" s="39">
        <v>-0.13189999999999999</v>
      </c>
      <c r="Q121" s="39">
        <v>-8.8999999999999996E-2</v>
      </c>
      <c r="R121" s="39">
        <v>-5.91E-2</v>
      </c>
      <c r="S121" s="39">
        <v>-0.24690000000000001</v>
      </c>
      <c r="T121">
        <v>22.73</v>
      </c>
      <c r="U121">
        <v>29.22</v>
      </c>
      <c r="V121">
        <v>31.17</v>
      </c>
      <c r="W121" s="17">
        <v>75069.977899999998</v>
      </c>
    </row>
    <row r="122" spans="7:24" x14ac:dyDescent="0.15">
      <c r="G122" s="11">
        <v>121</v>
      </c>
      <c r="H122" s="10" t="s">
        <v>135</v>
      </c>
      <c r="I122" t="s">
        <v>192</v>
      </c>
      <c r="J122" t="s">
        <v>185</v>
      </c>
      <c r="K122" s="43">
        <v>8.0000000000000004E-4</v>
      </c>
      <c r="L122" s="39">
        <v>-4.3299999999999998E-2</v>
      </c>
      <c r="M122" s="39">
        <v>-7.7299999999999994E-2</v>
      </c>
      <c r="N122" s="43">
        <v>-6.3299999999999995E-2</v>
      </c>
      <c r="O122" s="39">
        <v>1.66E-2</v>
      </c>
      <c r="P122" s="39">
        <v>-9.4600000000000004E-2</v>
      </c>
      <c r="Q122" s="39">
        <v>-9.6100000000000005E-2</v>
      </c>
      <c r="R122" s="39">
        <v>-0.19439999999999999</v>
      </c>
      <c r="S122" s="39">
        <v>-0.31190000000000001</v>
      </c>
      <c r="T122">
        <v>22.08</v>
      </c>
      <c r="U122">
        <v>18.829999999999998</v>
      </c>
      <c r="V122">
        <v>38.96</v>
      </c>
      <c r="W122" s="17">
        <v>18239.886709999999</v>
      </c>
      <c r="X122" s="83" t="s">
        <v>639</v>
      </c>
    </row>
    <row r="123" spans="7:24" x14ac:dyDescent="0.15">
      <c r="G123" s="11">
        <v>122</v>
      </c>
      <c r="H123" t="s">
        <v>134</v>
      </c>
      <c r="I123" t="s">
        <v>225</v>
      </c>
      <c r="J123" t="s">
        <v>185</v>
      </c>
      <c r="K123" s="43">
        <v>6.9999999999999999E-4</v>
      </c>
      <c r="L123" s="39">
        <v>-3.1699999999999999E-2</v>
      </c>
      <c r="M123" s="39">
        <v>-4.5600000000000002E-2</v>
      </c>
      <c r="N123" s="43">
        <v>-6.5199999999999994E-2</v>
      </c>
      <c r="O123" s="39">
        <v>-1.4500000000000001E-2</v>
      </c>
      <c r="P123" s="39">
        <v>5.9200000000000003E-2</v>
      </c>
      <c r="Q123" s="39">
        <v>-1.1000000000000001E-3</v>
      </c>
      <c r="R123" s="39">
        <v>-6.5799999999999997E-2</v>
      </c>
      <c r="S123" s="39">
        <v>-0.33310000000000001</v>
      </c>
      <c r="T123">
        <v>21.43</v>
      </c>
      <c r="U123">
        <v>17.53</v>
      </c>
      <c r="V123">
        <v>40.26</v>
      </c>
      <c r="W123" s="17">
        <v>2952.8191999999999</v>
      </c>
    </row>
    <row r="124" spans="7:24" x14ac:dyDescent="0.15">
      <c r="G124" s="11">
        <v>123</v>
      </c>
      <c r="H124" s="10" t="s">
        <v>294</v>
      </c>
      <c r="I124" t="s">
        <v>295</v>
      </c>
      <c r="J124" t="s">
        <v>321</v>
      </c>
      <c r="K124" s="43">
        <v>1E-4</v>
      </c>
      <c r="L124" s="39">
        <v>-4.7399999999999998E-2</v>
      </c>
      <c r="M124" s="39">
        <v>-6.4199999999999993E-2</v>
      </c>
      <c r="N124" s="43">
        <v>-8.6699999999999999E-2</v>
      </c>
      <c r="O124" s="39">
        <v>-8.4099999999999994E-2</v>
      </c>
      <c r="P124" s="39">
        <v>-9.0899999999999995E-2</v>
      </c>
      <c r="Q124" s="39">
        <v>-0.16930000000000001</v>
      </c>
      <c r="R124" s="39">
        <v>-0.19919999999999999</v>
      </c>
      <c r="S124" s="39">
        <v>-0.30009999999999998</v>
      </c>
      <c r="T124">
        <v>20.78</v>
      </c>
      <c r="U124">
        <v>3.25</v>
      </c>
      <c r="V124">
        <v>53.9</v>
      </c>
      <c r="W124" s="17">
        <v>1575.7095099999999</v>
      </c>
    </row>
    <row r="125" spans="7:24" x14ac:dyDescent="0.15">
      <c r="G125" s="11">
        <v>124</v>
      </c>
      <c r="H125" t="s">
        <v>97</v>
      </c>
      <c r="I125" t="s">
        <v>219</v>
      </c>
      <c r="J125" t="s">
        <v>185</v>
      </c>
      <c r="K125" s="43">
        <v>1E-3</v>
      </c>
      <c r="L125" s="39">
        <v>-1.52E-2</v>
      </c>
      <c r="M125" s="39">
        <v>-1.2200000000000001E-2</v>
      </c>
      <c r="N125" s="43">
        <v>-6.1699999999999998E-2</v>
      </c>
      <c r="O125" s="39">
        <v>-0.1076</v>
      </c>
      <c r="P125" s="39">
        <v>-0.1948</v>
      </c>
      <c r="Q125" s="39">
        <v>-0.29039999999999999</v>
      </c>
      <c r="R125" s="39">
        <v>-0.37009999999999998</v>
      </c>
      <c r="S125" s="39">
        <v>-0.61729999999999996</v>
      </c>
      <c r="T125">
        <v>20.13</v>
      </c>
      <c r="U125">
        <v>20.13</v>
      </c>
      <c r="V125">
        <v>35.06</v>
      </c>
      <c r="W125" s="17">
        <v>4599.3854094999997</v>
      </c>
    </row>
    <row r="126" spans="7:24" x14ac:dyDescent="0.15">
      <c r="G126" s="11">
        <v>125</v>
      </c>
      <c r="H126" t="s">
        <v>154</v>
      </c>
      <c r="I126" t="s">
        <v>249</v>
      </c>
      <c r="J126" t="s">
        <v>185</v>
      </c>
      <c r="K126" s="43">
        <v>1.9E-3</v>
      </c>
      <c r="L126" s="39">
        <v>-2.63E-2</v>
      </c>
      <c r="M126" s="39">
        <v>-7.4099999999999999E-2</v>
      </c>
      <c r="N126" s="43">
        <v>-5.0299999999999997E-2</v>
      </c>
      <c r="O126" s="39">
        <v>-0.06</v>
      </c>
      <c r="P126" s="39">
        <v>-0.17069999999999999</v>
      </c>
      <c r="Q126" s="39">
        <v>-0.23960000000000001</v>
      </c>
      <c r="R126" s="39">
        <v>-0.38619999999999999</v>
      </c>
      <c r="S126" s="39">
        <v>-0.44729999999999998</v>
      </c>
      <c r="T126">
        <v>19.48</v>
      </c>
      <c r="U126">
        <v>30.52</v>
      </c>
      <c r="V126">
        <v>22.73</v>
      </c>
      <c r="W126" s="17">
        <v>26826.444299999999</v>
      </c>
      <c r="X126" s="83" t="s">
        <v>639</v>
      </c>
    </row>
    <row r="127" spans="7:24" x14ac:dyDescent="0.15">
      <c r="G127" s="11">
        <v>126</v>
      </c>
      <c r="H127" t="s">
        <v>95</v>
      </c>
      <c r="I127" t="s">
        <v>237</v>
      </c>
      <c r="J127" t="s">
        <v>185</v>
      </c>
      <c r="K127" s="43">
        <v>1E-3</v>
      </c>
      <c r="L127" s="39">
        <v>-2.1899999999999999E-2</v>
      </c>
      <c r="M127" s="39">
        <v>-5.7500000000000002E-2</v>
      </c>
      <c r="N127" s="43">
        <v>-6.6000000000000003E-2</v>
      </c>
      <c r="O127" s="39">
        <v>-4.3200000000000002E-2</v>
      </c>
      <c r="P127" s="39">
        <v>-6.6699999999999995E-2</v>
      </c>
      <c r="Q127" s="39">
        <v>-7.0099999999999996E-2</v>
      </c>
      <c r="R127" s="39">
        <v>-0.17330000000000001</v>
      </c>
      <c r="S127" s="39">
        <v>-0.2419</v>
      </c>
      <c r="T127">
        <v>18.829999999999998</v>
      </c>
      <c r="U127">
        <v>16.23</v>
      </c>
      <c r="V127">
        <v>35.71</v>
      </c>
      <c r="W127" s="17">
        <v>2574.7941000000001</v>
      </c>
    </row>
    <row r="128" spans="7:24" x14ac:dyDescent="0.15">
      <c r="G128" s="11">
        <v>127</v>
      </c>
      <c r="H128" s="10" t="s">
        <v>83</v>
      </c>
      <c r="I128" t="s">
        <v>229</v>
      </c>
      <c r="J128" t="s">
        <v>185</v>
      </c>
      <c r="K128" s="43">
        <v>6.9999999999999999E-4</v>
      </c>
      <c r="L128" s="39">
        <v>-1.78E-2</v>
      </c>
      <c r="M128" s="39">
        <v>-6.7000000000000004E-2</v>
      </c>
      <c r="N128" s="43">
        <v>-7.0999999999999994E-2</v>
      </c>
      <c r="O128" s="39">
        <v>-5.4399999999999997E-2</v>
      </c>
      <c r="P128" s="39">
        <v>-9.3600000000000003E-2</v>
      </c>
      <c r="Q128" s="39">
        <v>-0.1943</v>
      </c>
      <c r="R128" s="39">
        <v>-0.26750000000000002</v>
      </c>
      <c r="S128" s="39">
        <v>-8.4699999999999998E-2</v>
      </c>
      <c r="T128">
        <v>18.18</v>
      </c>
      <c r="U128">
        <v>11.69</v>
      </c>
      <c r="V128">
        <v>39.61</v>
      </c>
      <c r="W128" s="17">
        <v>2477.4812000000002</v>
      </c>
      <c r="X128" s="83" t="s">
        <v>639</v>
      </c>
    </row>
    <row r="129" spans="7:25" x14ac:dyDescent="0.15">
      <c r="G129" s="11">
        <v>128</v>
      </c>
      <c r="H129" s="10" t="s">
        <v>123</v>
      </c>
      <c r="I129" t="s">
        <v>226</v>
      </c>
      <c r="J129" t="s">
        <v>185</v>
      </c>
      <c r="K129" s="43">
        <v>4.0000000000000002E-4</v>
      </c>
      <c r="L129" s="39">
        <v>-4.99E-2</v>
      </c>
      <c r="M129" s="39">
        <v>-8.09E-2</v>
      </c>
      <c r="N129" s="43">
        <v>-0.09</v>
      </c>
      <c r="O129" s="39">
        <v>-7.5899999999999995E-2</v>
      </c>
      <c r="P129" s="39">
        <v>-0.11550000000000001</v>
      </c>
      <c r="Q129" s="39">
        <v>-0.19700000000000001</v>
      </c>
      <c r="R129" s="39">
        <v>-0.36659999999999998</v>
      </c>
      <c r="S129" s="39">
        <v>-0.45219999999999999</v>
      </c>
      <c r="T129">
        <v>17.53</v>
      </c>
      <c r="U129">
        <v>1.95</v>
      </c>
      <c r="V129">
        <v>48.05</v>
      </c>
      <c r="W129" s="17">
        <v>3795.0958200000005</v>
      </c>
      <c r="X129" s="83" t="s">
        <v>639</v>
      </c>
    </row>
    <row r="130" spans="7:25" x14ac:dyDescent="0.15">
      <c r="G130" s="11">
        <v>129</v>
      </c>
      <c r="H130" s="10" t="s">
        <v>316</v>
      </c>
      <c r="I130" t="s">
        <v>317</v>
      </c>
      <c r="J130" t="s">
        <v>321</v>
      </c>
      <c r="K130" s="43">
        <v>1.5E-3</v>
      </c>
      <c r="L130" s="39">
        <v>-8.3000000000000001E-3</v>
      </c>
      <c r="M130" s="39">
        <v>-1.52E-2</v>
      </c>
      <c r="N130" s="43">
        <v>-6.0900000000000003E-2</v>
      </c>
      <c r="O130" s="39">
        <v>5.0999999999999997E-2</v>
      </c>
      <c r="P130" s="39">
        <v>0.14380000000000001</v>
      </c>
      <c r="Q130" s="39">
        <v>0.14990000000000001</v>
      </c>
      <c r="R130" s="39">
        <v>0.2215</v>
      </c>
      <c r="S130" s="39">
        <v>0.2281</v>
      </c>
      <c r="T130">
        <v>16.88</v>
      </c>
      <c r="U130">
        <v>22.73</v>
      </c>
      <c r="V130">
        <v>25.32</v>
      </c>
      <c r="W130" s="17">
        <v>2849.2152999999998</v>
      </c>
    </row>
    <row r="131" spans="7:25" x14ac:dyDescent="0.15">
      <c r="G131" s="11">
        <v>130</v>
      </c>
      <c r="H131" t="s">
        <v>162</v>
      </c>
      <c r="I131" t="s">
        <v>277</v>
      </c>
      <c r="J131" t="s">
        <v>276</v>
      </c>
      <c r="K131" s="43">
        <v>1.61E-2</v>
      </c>
      <c r="L131" s="39">
        <v>-9.2999999999999992E-3</v>
      </c>
      <c r="M131" s="39">
        <v>-1.1299999999999999E-2</v>
      </c>
      <c r="N131" s="43">
        <v>-3.4099999999999998E-2</v>
      </c>
      <c r="O131" s="39">
        <v>9.8500000000000004E-2</v>
      </c>
      <c r="P131" s="39">
        <v>0.1366</v>
      </c>
      <c r="Q131" s="39">
        <v>3.1699999999999999E-2</v>
      </c>
      <c r="R131" s="39">
        <v>2.23E-2</v>
      </c>
      <c r="S131" s="39">
        <v>-0.20910000000000001</v>
      </c>
      <c r="T131">
        <v>16.23</v>
      </c>
      <c r="U131">
        <v>39.61</v>
      </c>
      <c r="V131">
        <v>7.14</v>
      </c>
      <c r="W131" s="17">
        <v>10910.7371</v>
      </c>
    </row>
    <row r="132" spans="7:25" x14ac:dyDescent="0.15">
      <c r="G132" s="11">
        <v>131</v>
      </c>
      <c r="H132" t="s">
        <v>153</v>
      </c>
      <c r="I132" t="s">
        <v>268</v>
      </c>
      <c r="J132" t="s">
        <v>266</v>
      </c>
      <c r="K132" s="43">
        <v>1.5E-3</v>
      </c>
      <c r="L132" s="39">
        <v>-1.2E-2</v>
      </c>
      <c r="M132" s="39">
        <v>-3.4599999999999999E-2</v>
      </c>
      <c r="N132" s="43">
        <v>-6.1800000000000001E-2</v>
      </c>
      <c r="O132" s="39">
        <v>7.1900000000000006E-2</v>
      </c>
      <c r="P132" s="39">
        <v>9.7299999999999998E-2</v>
      </c>
      <c r="Q132" s="39">
        <v>0.16389999999999999</v>
      </c>
      <c r="R132" s="39">
        <v>0.22739999999999999</v>
      </c>
      <c r="S132" s="39">
        <v>-0.42380000000000001</v>
      </c>
      <c r="T132">
        <v>15.58</v>
      </c>
      <c r="U132">
        <v>19.48</v>
      </c>
      <c r="V132">
        <v>26.62</v>
      </c>
      <c r="W132" s="17">
        <v>791.33912850000002</v>
      </c>
    </row>
    <row r="133" spans="7:25" x14ac:dyDescent="0.15">
      <c r="G133" s="11">
        <v>132</v>
      </c>
      <c r="H133" t="s">
        <v>165</v>
      </c>
      <c r="I133" t="s">
        <v>257</v>
      </c>
      <c r="J133" t="s">
        <v>276</v>
      </c>
      <c r="K133" s="43">
        <v>1.7299999999999999E-2</v>
      </c>
      <c r="L133" s="39">
        <v>-1.0999999999999999E-2</v>
      </c>
      <c r="M133" s="39">
        <v>-1.21E-2</v>
      </c>
      <c r="N133" s="43">
        <v>-3.6499999999999998E-2</v>
      </c>
      <c r="O133" s="39">
        <v>8.8900000000000007E-2</v>
      </c>
      <c r="P133" s="39">
        <v>0.1389</v>
      </c>
      <c r="Q133" s="39">
        <v>7.2800000000000004E-2</v>
      </c>
      <c r="R133" s="39">
        <v>4.2299999999999997E-2</v>
      </c>
      <c r="S133" s="39">
        <v>-0.26829999999999998</v>
      </c>
      <c r="T133">
        <v>14.94</v>
      </c>
      <c r="U133">
        <v>38.96</v>
      </c>
      <c r="V133">
        <v>5.84</v>
      </c>
      <c r="W133" s="17">
        <v>37124.310700000002</v>
      </c>
    </row>
    <row r="134" spans="7:25" x14ac:dyDescent="0.15">
      <c r="G134" s="11">
        <v>133</v>
      </c>
      <c r="H134" t="s">
        <v>408</v>
      </c>
      <c r="I134" t="s">
        <v>409</v>
      </c>
      <c r="J134" t="s">
        <v>403</v>
      </c>
      <c r="K134" s="43">
        <v>1E-3</v>
      </c>
      <c r="L134" s="39">
        <v>-3.0800000000000001E-2</v>
      </c>
      <c r="M134" s="39">
        <v>-3.27E-2</v>
      </c>
      <c r="N134" s="43">
        <v>-7.6700000000000004E-2</v>
      </c>
      <c r="O134" s="39">
        <v>-2.6800000000000001E-2</v>
      </c>
      <c r="P134" s="39">
        <v>-6.9500000000000006E-2</v>
      </c>
      <c r="Q134" s="39">
        <v>-0.1719</v>
      </c>
      <c r="R134" s="39">
        <v>1.9E-2</v>
      </c>
      <c r="S134" s="39">
        <v>1.9E-2</v>
      </c>
      <c r="T134">
        <v>14.29</v>
      </c>
      <c r="U134">
        <v>7.79</v>
      </c>
      <c r="V134">
        <v>33.770000000000003</v>
      </c>
      <c r="W134" s="17">
        <v>4904.1308499999996</v>
      </c>
    </row>
    <row r="135" spans="7:25" x14ac:dyDescent="0.15">
      <c r="G135" s="11">
        <v>134</v>
      </c>
      <c r="H135" s="10" t="s">
        <v>158</v>
      </c>
      <c r="I135" t="s">
        <v>200</v>
      </c>
      <c r="J135" t="s">
        <v>185</v>
      </c>
      <c r="K135" s="43">
        <v>1.8E-3</v>
      </c>
      <c r="L135" s="39">
        <v>-2.3999999999999998E-3</v>
      </c>
      <c r="M135" s="39">
        <v>-1.54E-2</v>
      </c>
      <c r="N135" s="43">
        <v>-6.59E-2</v>
      </c>
      <c r="O135" s="39">
        <v>-0.1487</v>
      </c>
      <c r="P135" s="39">
        <v>-0.2064</v>
      </c>
      <c r="Q135" s="39">
        <v>-0.29780000000000001</v>
      </c>
      <c r="R135" s="39">
        <v>0.10249999999999999</v>
      </c>
      <c r="S135" s="39">
        <v>-0.1361</v>
      </c>
      <c r="T135">
        <v>13.64</v>
      </c>
      <c r="U135">
        <v>16.88</v>
      </c>
      <c r="V135">
        <v>24.03</v>
      </c>
      <c r="W135" s="17">
        <v>2331.9469300000001</v>
      </c>
    </row>
    <row r="136" spans="7:25" x14ac:dyDescent="0.15">
      <c r="G136" s="11">
        <v>135</v>
      </c>
      <c r="H136" s="10" t="s">
        <v>141</v>
      </c>
      <c r="I136" t="s">
        <v>200</v>
      </c>
      <c r="J136" t="s">
        <v>185</v>
      </c>
      <c r="K136" s="43">
        <v>1.5E-3</v>
      </c>
      <c r="L136" s="39">
        <v>-2.2000000000000001E-3</v>
      </c>
      <c r="M136" s="39">
        <v>-1.61E-2</v>
      </c>
      <c r="N136" s="43">
        <v>-6.6799999999999998E-2</v>
      </c>
      <c r="O136" s="39">
        <v>-0.15040000000000001</v>
      </c>
      <c r="P136" s="39">
        <v>-0.21029999999999999</v>
      </c>
      <c r="Q136" s="39">
        <v>-0.30659999999999998</v>
      </c>
      <c r="R136" s="39">
        <v>8.4500000000000006E-2</v>
      </c>
      <c r="S136" s="39">
        <v>-0.19370000000000001</v>
      </c>
      <c r="T136">
        <v>12.99</v>
      </c>
      <c r="U136">
        <v>14.29</v>
      </c>
      <c r="V136">
        <v>25.97</v>
      </c>
      <c r="W136" s="17">
        <v>6588.2318999999998</v>
      </c>
    </row>
    <row r="137" spans="7:25" x14ac:dyDescent="0.15">
      <c r="G137" s="11">
        <v>136</v>
      </c>
      <c r="H137" t="s">
        <v>173</v>
      </c>
      <c r="I137" t="s">
        <v>936</v>
      </c>
      <c r="J137" t="s">
        <v>266</v>
      </c>
      <c r="K137" s="43">
        <v>2.0899999999999998E-2</v>
      </c>
      <c r="L137" s="39">
        <v>-2.0899999999999998E-2</v>
      </c>
      <c r="M137" s="39">
        <v>-3.1E-2</v>
      </c>
      <c r="N137" s="43">
        <v>-4.0300000000000002E-2</v>
      </c>
      <c r="O137" s="39">
        <v>-2.6599999999999999E-2</v>
      </c>
      <c r="P137" s="39">
        <v>4.8800000000000003E-2</v>
      </c>
      <c r="Q137" s="39">
        <v>0.1222</v>
      </c>
      <c r="R137" s="39">
        <v>0.39040000000000002</v>
      </c>
      <c r="S137" s="39">
        <v>0.2707</v>
      </c>
      <c r="T137">
        <v>12.34</v>
      </c>
      <c r="U137">
        <v>37.01</v>
      </c>
      <c r="V137">
        <v>3.25</v>
      </c>
      <c r="W137" s="17">
        <v>4149.3059000000003</v>
      </c>
      <c r="X137" s="83" t="s">
        <v>639</v>
      </c>
    </row>
    <row r="138" spans="7:25" x14ac:dyDescent="0.15">
      <c r="G138" s="11">
        <v>137</v>
      </c>
      <c r="H138" s="10" t="s">
        <v>173</v>
      </c>
      <c r="I138" t="s">
        <v>271</v>
      </c>
      <c r="J138" t="s">
        <v>266</v>
      </c>
      <c r="K138" s="43">
        <v>2.0899999999999998E-2</v>
      </c>
      <c r="L138" s="39">
        <v>-2.0899999999999998E-2</v>
      </c>
      <c r="M138" s="39">
        <v>-3.1E-2</v>
      </c>
      <c r="N138" s="43">
        <v>-4.0300000000000002E-2</v>
      </c>
      <c r="O138" s="39">
        <v>-2.6599999999999999E-2</v>
      </c>
      <c r="P138" s="39">
        <v>4.8800000000000003E-2</v>
      </c>
      <c r="Q138" s="39">
        <v>0.1222</v>
      </c>
      <c r="R138" s="39">
        <v>0.39040000000000002</v>
      </c>
      <c r="S138" s="39">
        <v>0.2707</v>
      </c>
      <c r="T138">
        <v>11.69</v>
      </c>
      <c r="U138">
        <v>36.36</v>
      </c>
      <c r="V138">
        <v>3.9</v>
      </c>
      <c r="W138" s="17">
        <v>4149.3059000000003</v>
      </c>
      <c r="X138" s="83" t="s">
        <v>639</v>
      </c>
      <c r="Y138" s="81" t="s">
        <v>657</v>
      </c>
    </row>
    <row r="139" spans="7:25" x14ac:dyDescent="0.15">
      <c r="G139" s="11">
        <v>138</v>
      </c>
      <c r="H139" s="10" t="s">
        <v>170</v>
      </c>
      <c r="I139" t="s">
        <v>267</v>
      </c>
      <c r="J139" t="s">
        <v>266</v>
      </c>
      <c r="K139" s="43">
        <v>4.1000000000000003E-3</v>
      </c>
      <c r="L139" s="39">
        <v>-8.8999999999999999E-3</v>
      </c>
      <c r="M139" s="39">
        <v>-3.3599999999999998E-2</v>
      </c>
      <c r="N139" s="43">
        <v>-5.7000000000000002E-2</v>
      </c>
      <c r="O139" s="39">
        <v>0.1166</v>
      </c>
      <c r="P139" s="39">
        <v>0.1263</v>
      </c>
      <c r="Q139" s="39">
        <v>0.19500000000000001</v>
      </c>
      <c r="R139" s="39">
        <v>0.21249999999999999</v>
      </c>
      <c r="S139" s="39">
        <v>-0.1794</v>
      </c>
      <c r="T139">
        <v>11.04</v>
      </c>
      <c r="U139">
        <v>24.68</v>
      </c>
      <c r="V139">
        <v>12.34</v>
      </c>
      <c r="W139" s="17">
        <v>60878.57935</v>
      </c>
    </row>
    <row r="140" spans="7:25" x14ac:dyDescent="0.15">
      <c r="G140" s="11">
        <v>139</v>
      </c>
      <c r="H140" t="s">
        <v>70</v>
      </c>
      <c r="I140" t="s">
        <v>236</v>
      </c>
      <c r="J140" t="s">
        <v>185</v>
      </c>
      <c r="K140" s="43">
        <v>1.4E-3</v>
      </c>
      <c r="L140" s="39">
        <v>-1.9900000000000001E-2</v>
      </c>
      <c r="M140" s="39">
        <v>-8.2400000000000001E-2</v>
      </c>
      <c r="N140" s="43">
        <v>-7.4800000000000005E-2</v>
      </c>
      <c r="O140" s="39">
        <v>2.8199999999999999E-2</v>
      </c>
      <c r="P140" s="39">
        <v>0.10929999999999999</v>
      </c>
      <c r="Q140" s="39">
        <v>-2.01E-2</v>
      </c>
      <c r="R140" s="39">
        <v>-0.1328</v>
      </c>
      <c r="S140" s="39">
        <v>-9.1499999999999998E-2</v>
      </c>
      <c r="T140">
        <v>10.39</v>
      </c>
      <c r="U140">
        <v>9.09</v>
      </c>
      <c r="V140">
        <v>27.92</v>
      </c>
      <c r="W140" s="17">
        <v>18698.602599999998</v>
      </c>
      <c r="X140" s="83" t="s">
        <v>639</v>
      </c>
    </row>
    <row r="141" spans="7:25" x14ac:dyDescent="0.15">
      <c r="G141" s="11">
        <v>140</v>
      </c>
      <c r="H141" s="10" t="s">
        <v>977</v>
      </c>
      <c r="I141" t="s">
        <v>978</v>
      </c>
      <c r="J141" t="s">
        <v>185</v>
      </c>
      <c r="K141" s="43">
        <v>6.6E-3</v>
      </c>
      <c r="L141" s="39">
        <v>-7.9000000000000008E-3</v>
      </c>
      <c r="M141" s="39">
        <v>-3.0800000000000001E-2</v>
      </c>
      <c r="N141" s="43">
        <v>-5.3699999999999998E-2</v>
      </c>
      <c r="O141" s="39">
        <v>0.1198</v>
      </c>
      <c r="P141" s="39">
        <v>0.12970000000000001</v>
      </c>
      <c r="Q141" s="39">
        <v>0.18920000000000001</v>
      </c>
      <c r="R141" s="39">
        <v>0.2024</v>
      </c>
      <c r="S141" s="39">
        <v>-0.18240000000000001</v>
      </c>
      <c r="T141">
        <v>9.74</v>
      </c>
      <c r="U141">
        <v>25.97</v>
      </c>
      <c r="V141">
        <v>11.04</v>
      </c>
      <c r="W141" s="17">
        <v>18465.446802000002</v>
      </c>
      <c r="X141" s="83" t="s">
        <v>639</v>
      </c>
    </row>
    <row r="142" spans="7:25" x14ac:dyDescent="0.15">
      <c r="G142" s="11">
        <v>141</v>
      </c>
      <c r="H142" s="10" t="s">
        <v>108</v>
      </c>
      <c r="I142" t="s">
        <v>231</v>
      </c>
      <c r="J142" t="s">
        <v>185</v>
      </c>
      <c r="K142" s="43">
        <v>1.1000000000000001E-3</v>
      </c>
      <c r="L142" s="39">
        <v>-4.87E-2</v>
      </c>
      <c r="M142" s="39">
        <v>-6.3E-2</v>
      </c>
      <c r="N142" s="43">
        <v>-8.1900000000000001E-2</v>
      </c>
      <c r="O142" s="39">
        <v>-7.9500000000000001E-2</v>
      </c>
      <c r="P142" s="39">
        <v>-6.4799999999999996E-2</v>
      </c>
      <c r="Q142" s="39">
        <v>-0.13850000000000001</v>
      </c>
      <c r="R142" s="39">
        <v>-0.14580000000000001</v>
      </c>
      <c r="S142" s="39">
        <v>-0.32119999999999999</v>
      </c>
      <c r="T142">
        <v>9.09</v>
      </c>
      <c r="U142">
        <v>5.19</v>
      </c>
      <c r="V142">
        <v>31.82</v>
      </c>
      <c r="W142" s="17">
        <v>869.42606999999998</v>
      </c>
    </row>
    <row r="143" spans="7:25" x14ac:dyDescent="0.15">
      <c r="G143" s="11">
        <v>142</v>
      </c>
      <c r="H143" t="s">
        <v>122</v>
      </c>
      <c r="I143" t="s">
        <v>231</v>
      </c>
      <c r="J143" t="s">
        <v>185</v>
      </c>
      <c r="K143" s="43">
        <v>1.2999999999999999E-3</v>
      </c>
      <c r="L143" s="39">
        <v>-4.7699999999999999E-2</v>
      </c>
      <c r="M143" s="39">
        <v>-6.1499999999999999E-2</v>
      </c>
      <c r="N143" s="43">
        <v>-8.0399999999999999E-2</v>
      </c>
      <c r="O143" s="39">
        <v>-7.5399999999999995E-2</v>
      </c>
      <c r="P143" s="39">
        <v>-5.9499999999999997E-2</v>
      </c>
      <c r="Q143" s="39">
        <v>-0.1326</v>
      </c>
      <c r="R143" s="39">
        <v>-0.153</v>
      </c>
      <c r="S143" s="39">
        <v>-0.3508</v>
      </c>
      <c r="T143">
        <v>8.44</v>
      </c>
      <c r="U143">
        <v>6.49</v>
      </c>
      <c r="V143">
        <v>29.87</v>
      </c>
      <c r="W143" s="17">
        <v>1177.9109000000001</v>
      </c>
    </row>
    <row r="144" spans="7:25" x14ac:dyDescent="0.15">
      <c r="G144" s="11">
        <v>143</v>
      </c>
      <c r="H144" t="s">
        <v>143</v>
      </c>
      <c r="I144" t="s">
        <v>239</v>
      </c>
      <c r="J144" t="s">
        <v>185</v>
      </c>
      <c r="K144" s="43">
        <v>3.0999999999999999E-3</v>
      </c>
      <c r="L144" s="39">
        <v>-8.5000000000000006E-3</v>
      </c>
      <c r="M144" s="39">
        <v>-1.5599999999999999E-2</v>
      </c>
      <c r="N144" s="43">
        <v>-6.1699999999999998E-2</v>
      </c>
      <c r="O144" s="39">
        <v>4.9099999999999998E-2</v>
      </c>
      <c r="P144" s="39">
        <v>0.13919999999999999</v>
      </c>
      <c r="Q144" s="39">
        <v>0.14130000000000001</v>
      </c>
      <c r="R144" s="39">
        <v>0.20430000000000001</v>
      </c>
      <c r="S144" s="39">
        <v>-0.13300000000000001</v>
      </c>
      <c r="T144">
        <v>7.79</v>
      </c>
      <c r="U144">
        <v>20.78</v>
      </c>
      <c r="V144">
        <v>14.94</v>
      </c>
      <c r="W144" s="17">
        <v>10893.167826500001</v>
      </c>
    </row>
    <row r="145" spans="7:24" x14ac:dyDescent="0.15">
      <c r="G145" s="11">
        <v>144</v>
      </c>
      <c r="H145" t="s">
        <v>115</v>
      </c>
      <c r="I145" t="s">
        <v>253</v>
      </c>
      <c r="J145" t="s">
        <v>185</v>
      </c>
      <c r="K145" s="43">
        <v>1.9E-3</v>
      </c>
      <c r="L145" s="39">
        <v>-3.85E-2</v>
      </c>
      <c r="M145" s="39">
        <v>-0.05</v>
      </c>
      <c r="N145" s="43">
        <v>-6.7100000000000007E-2</v>
      </c>
      <c r="O145" s="39">
        <v>-6.6199999999999995E-2</v>
      </c>
      <c r="P145" s="39">
        <v>-6.4799999999999996E-2</v>
      </c>
      <c r="Q145" s="39">
        <v>-0.11840000000000001</v>
      </c>
      <c r="R145" s="39">
        <v>-0.1124</v>
      </c>
      <c r="S145" s="39">
        <v>-0.27239999999999998</v>
      </c>
      <c r="T145">
        <v>7.14</v>
      </c>
      <c r="U145">
        <v>12.99</v>
      </c>
      <c r="V145">
        <v>22.08</v>
      </c>
      <c r="W145" s="17">
        <v>34247.793100000003</v>
      </c>
      <c r="X145" s="83" t="s">
        <v>639</v>
      </c>
    </row>
    <row r="146" spans="7:24" x14ac:dyDescent="0.15">
      <c r="G146" s="11">
        <v>145</v>
      </c>
      <c r="H146" s="10" t="s">
        <v>106</v>
      </c>
      <c r="I146" t="s">
        <v>195</v>
      </c>
      <c r="J146" t="s">
        <v>185</v>
      </c>
      <c r="K146" s="43">
        <v>2.2000000000000001E-3</v>
      </c>
      <c r="L146" s="39">
        <v>-4.65E-2</v>
      </c>
      <c r="M146" s="39">
        <v>-7.0800000000000002E-2</v>
      </c>
      <c r="N146" s="43">
        <v>-6.6799999999999998E-2</v>
      </c>
      <c r="O146" s="39">
        <v>1.17E-2</v>
      </c>
      <c r="P146" s="39">
        <v>-7.22E-2</v>
      </c>
      <c r="Q146" s="39">
        <v>-6.7100000000000007E-2</v>
      </c>
      <c r="R146" s="39">
        <v>-0.24690000000000001</v>
      </c>
      <c r="S146" s="39">
        <v>-0.31730000000000003</v>
      </c>
      <c r="T146">
        <v>6.49</v>
      </c>
      <c r="U146">
        <v>14.94</v>
      </c>
      <c r="V146">
        <v>18.829999999999998</v>
      </c>
      <c r="W146" s="17">
        <v>6782.8979200000003</v>
      </c>
      <c r="X146" s="83" t="s">
        <v>639</v>
      </c>
    </row>
    <row r="147" spans="7:24" x14ac:dyDescent="0.15">
      <c r="G147" s="11">
        <v>146</v>
      </c>
      <c r="H147" s="10" t="s">
        <v>286</v>
      </c>
      <c r="I147" t="s">
        <v>287</v>
      </c>
      <c r="J147" t="s">
        <v>321</v>
      </c>
      <c r="K147" s="43">
        <v>1.5E-3</v>
      </c>
      <c r="L147" s="39">
        <v>-5.0099999999999999E-2</v>
      </c>
      <c r="M147" s="39">
        <v>-8.1100000000000005E-2</v>
      </c>
      <c r="N147" s="43">
        <v>-9.0899999999999995E-2</v>
      </c>
      <c r="O147" s="39">
        <v>-7.7899999999999997E-2</v>
      </c>
      <c r="P147" s="39">
        <v>-0.1176</v>
      </c>
      <c r="Q147" s="39">
        <v>-0.1993</v>
      </c>
      <c r="R147" s="39">
        <v>-0.37769999999999998</v>
      </c>
      <c r="S147" s="39">
        <v>-0.39389999999999997</v>
      </c>
      <c r="T147">
        <v>5.84</v>
      </c>
      <c r="U147">
        <v>1.3</v>
      </c>
      <c r="V147">
        <v>27.27</v>
      </c>
      <c r="W147" s="17">
        <v>1379.2850000000001</v>
      </c>
    </row>
    <row r="148" spans="7:24" x14ac:dyDescent="0.15">
      <c r="G148" s="11">
        <v>147</v>
      </c>
      <c r="H148" t="s">
        <v>159</v>
      </c>
      <c r="I148" t="s">
        <v>222</v>
      </c>
      <c r="J148" t="s">
        <v>185</v>
      </c>
      <c r="K148" s="43">
        <v>2E-3</v>
      </c>
      <c r="L148" s="39">
        <v>4.0000000000000002E-4</v>
      </c>
      <c r="M148" s="39">
        <v>-2.06E-2</v>
      </c>
      <c r="N148" s="43">
        <v>-7.6600000000000001E-2</v>
      </c>
      <c r="O148" s="39">
        <v>-0.2054</v>
      </c>
      <c r="P148" s="39">
        <v>-0.2843</v>
      </c>
      <c r="Q148" s="39">
        <v>-0.44450000000000001</v>
      </c>
      <c r="R148" s="39">
        <v>0.10340000000000001</v>
      </c>
      <c r="S148" s="39">
        <v>-0.1017</v>
      </c>
      <c r="T148">
        <v>5.19</v>
      </c>
      <c r="U148">
        <v>8.44</v>
      </c>
      <c r="V148">
        <v>20.13</v>
      </c>
      <c r="W148" s="17">
        <v>21028.09189</v>
      </c>
      <c r="X148" s="83" t="s">
        <v>639</v>
      </c>
    </row>
    <row r="149" spans="7:24" x14ac:dyDescent="0.15">
      <c r="G149" s="11">
        <v>148</v>
      </c>
      <c r="H149" t="s">
        <v>114</v>
      </c>
      <c r="I149" t="s">
        <v>231</v>
      </c>
      <c r="J149" t="s">
        <v>185</v>
      </c>
      <c r="K149" s="43">
        <v>1.9E-3</v>
      </c>
      <c r="L149" s="39">
        <v>-4.9000000000000002E-2</v>
      </c>
      <c r="M149" s="39">
        <v>-6.3100000000000003E-2</v>
      </c>
      <c r="N149" s="43">
        <v>-8.2199999999999995E-2</v>
      </c>
      <c r="O149" s="39">
        <v>-7.8100000000000003E-2</v>
      </c>
      <c r="P149" s="39">
        <v>-6.3100000000000003E-2</v>
      </c>
      <c r="Q149" s="39">
        <v>-0.1419</v>
      </c>
      <c r="R149" s="39">
        <v>-0.16600000000000001</v>
      </c>
      <c r="S149" s="39">
        <v>-0.37119999999999997</v>
      </c>
      <c r="T149">
        <v>4.55</v>
      </c>
      <c r="U149">
        <v>4.55</v>
      </c>
      <c r="V149">
        <v>21.43</v>
      </c>
      <c r="W149" s="17">
        <v>5679.4121999999998</v>
      </c>
    </row>
    <row r="150" spans="7:24" x14ac:dyDescent="0.15">
      <c r="G150" s="11">
        <v>149</v>
      </c>
      <c r="H150" t="s">
        <v>169</v>
      </c>
      <c r="I150" t="s">
        <v>279</v>
      </c>
      <c r="J150" t="s">
        <v>276</v>
      </c>
      <c r="K150" s="43">
        <v>4.0000000000000001E-3</v>
      </c>
      <c r="L150" s="39">
        <v>-1.14E-2</v>
      </c>
      <c r="M150" s="39">
        <v>1.2999999999999999E-3</v>
      </c>
      <c r="N150" s="43">
        <v>-7.2700000000000001E-2</v>
      </c>
      <c r="O150" s="39">
        <v>7.0699999999999999E-2</v>
      </c>
      <c r="P150" s="39">
        <v>4.6100000000000002E-2</v>
      </c>
      <c r="Q150" s="39">
        <v>-4.2200000000000001E-2</v>
      </c>
      <c r="R150" s="39">
        <v>-0.1464</v>
      </c>
      <c r="S150" s="39">
        <v>-0.51929999999999998</v>
      </c>
      <c r="T150">
        <v>3.9</v>
      </c>
      <c r="U150">
        <v>10.39</v>
      </c>
      <c r="V150">
        <v>12.99</v>
      </c>
      <c r="W150" s="17">
        <v>188759.63149999999</v>
      </c>
    </row>
    <row r="151" spans="7:24" x14ac:dyDescent="0.15">
      <c r="G151" s="11">
        <v>150</v>
      </c>
      <c r="H151" t="s">
        <v>1068</v>
      </c>
      <c r="I151" t="s">
        <v>1069</v>
      </c>
      <c r="J151" t="s">
        <v>321</v>
      </c>
      <c r="K151" s="43">
        <v>2.7000000000000001E-3</v>
      </c>
      <c r="L151" s="39">
        <v>-5.8999999999999999E-3</v>
      </c>
      <c r="M151" s="39">
        <v>-2.5600000000000001E-2</v>
      </c>
      <c r="N151" s="43">
        <v>-8.1299999999999997E-2</v>
      </c>
      <c r="O151" s="39">
        <v>3.2500000000000001E-2</v>
      </c>
      <c r="P151" s="39">
        <v>0.1149</v>
      </c>
      <c r="Q151" s="39">
        <v>9.9000000000000005E-2</v>
      </c>
      <c r="R151" s="39">
        <v>9.9000000000000005E-2</v>
      </c>
      <c r="S151" s="39">
        <v>9.9000000000000005E-2</v>
      </c>
      <c r="T151">
        <v>3.25</v>
      </c>
      <c r="U151">
        <v>5.84</v>
      </c>
      <c r="V151">
        <v>16.88</v>
      </c>
      <c r="W151" s="17">
        <v>1485.6228000000001</v>
      </c>
      <c r="X151" s="83" t="s">
        <v>639</v>
      </c>
    </row>
    <row r="152" spans="7:24" x14ac:dyDescent="0.15">
      <c r="G152" s="11">
        <v>151</v>
      </c>
      <c r="H152" t="s">
        <v>395</v>
      </c>
      <c r="I152" t="s">
        <v>410</v>
      </c>
      <c r="J152" t="s">
        <v>403</v>
      </c>
      <c r="K152" s="43">
        <v>1.4E-2</v>
      </c>
      <c r="L152" s="39">
        <v>1.2999999999999999E-3</v>
      </c>
      <c r="M152" s="39">
        <v>4.3400000000000001E-2</v>
      </c>
      <c r="N152" s="43">
        <v>-7.0099999999999996E-2</v>
      </c>
      <c r="O152" s="39">
        <v>-9.69E-2</v>
      </c>
      <c r="P152" s="39">
        <v>-0.18890000000000001</v>
      </c>
      <c r="Q152" s="39">
        <v>-0.23619999999999999</v>
      </c>
      <c r="R152" s="39">
        <v>-0.36599999999999999</v>
      </c>
      <c r="S152" s="39">
        <v>-0.36599999999999999</v>
      </c>
      <c r="T152">
        <v>2.6</v>
      </c>
      <c r="U152">
        <v>12.34</v>
      </c>
      <c r="V152">
        <v>9.09</v>
      </c>
      <c r="W152" s="17">
        <v>77854.043300000005</v>
      </c>
      <c r="X152" s="83" t="s">
        <v>639</v>
      </c>
    </row>
    <row r="153" spans="7:24" x14ac:dyDescent="0.15">
      <c r="G153" s="11">
        <v>152</v>
      </c>
      <c r="H153" t="s">
        <v>117</v>
      </c>
      <c r="I153" t="s">
        <v>278</v>
      </c>
      <c r="J153" t="s">
        <v>276</v>
      </c>
      <c r="K153" s="43">
        <v>5.7999999999999996E-3</v>
      </c>
      <c r="L153" s="39">
        <v>-4.1000000000000003E-3</v>
      </c>
      <c r="M153" s="39">
        <v>2.46E-2</v>
      </c>
      <c r="N153" s="43">
        <v>-7.4200000000000002E-2</v>
      </c>
      <c r="O153" s="39">
        <v>-9.0499999999999997E-2</v>
      </c>
      <c r="P153" s="39">
        <v>-0.19220000000000001</v>
      </c>
      <c r="Q153" s="39">
        <v>-0.27529999999999999</v>
      </c>
      <c r="R153" s="39">
        <v>-0.2344</v>
      </c>
      <c r="S153" s="39">
        <v>-0.66749999999999998</v>
      </c>
      <c r="T153">
        <v>1.95</v>
      </c>
      <c r="U153">
        <v>9.74</v>
      </c>
      <c r="V153">
        <v>11.69</v>
      </c>
      <c r="W153" s="17">
        <v>86748.955600000001</v>
      </c>
    </row>
    <row r="154" spans="7:24" x14ac:dyDescent="0.15">
      <c r="G154" s="11">
        <v>153</v>
      </c>
      <c r="H154" t="s">
        <v>167</v>
      </c>
      <c r="I154" t="s">
        <v>252</v>
      </c>
      <c r="J154" t="s">
        <v>185</v>
      </c>
      <c r="K154" s="43">
        <v>1.24E-2</v>
      </c>
      <c r="L154" s="39">
        <v>-2.5899999999999999E-2</v>
      </c>
      <c r="M154" s="39">
        <v>-4.3400000000000001E-2</v>
      </c>
      <c r="N154" s="43">
        <v>-8.8900000000000007E-2</v>
      </c>
      <c r="O154" s="39">
        <v>-5.3499999999999999E-2</v>
      </c>
      <c r="P154" s="39">
        <v>-8.1500000000000003E-2</v>
      </c>
      <c r="Q154" s="39">
        <v>-0.1333</v>
      </c>
      <c r="R154" s="39">
        <v>-8.2199999999999995E-2</v>
      </c>
      <c r="S154" s="39">
        <v>-0.2581</v>
      </c>
      <c r="T154">
        <v>1.3</v>
      </c>
      <c r="U154">
        <v>2.6</v>
      </c>
      <c r="V154">
        <v>9.74</v>
      </c>
      <c r="W154" s="17">
        <v>46335.485699999997</v>
      </c>
      <c r="X154" s="83" t="s">
        <v>639</v>
      </c>
    </row>
    <row r="155" spans="7:24" x14ac:dyDescent="0.15">
      <c r="G155" s="11">
        <v>154</v>
      </c>
      <c r="H155" t="s">
        <v>171</v>
      </c>
      <c r="I155" t="s">
        <v>272</v>
      </c>
      <c r="J155" t="s">
        <v>266</v>
      </c>
      <c r="K155" s="43">
        <v>4.9799999999999997E-2</v>
      </c>
      <c r="L155" s="39">
        <v>-2.8400000000000002E-2</v>
      </c>
      <c r="M155" s="39">
        <v>-6.3799999999999996E-2</v>
      </c>
      <c r="N155" s="43">
        <v>-0.1489</v>
      </c>
      <c r="O155" s="39">
        <v>-0.18229999999999999</v>
      </c>
      <c r="P155" s="39">
        <v>-0.21110000000000001</v>
      </c>
      <c r="Q155" s="39">
        <v>-4.3200000000000002E-2</v>
      </c>
      <c r="R155" s="39">
        <v>0.63380000000000003</v>
      </c>
      <c r="S155" s="39">
        <v>-0.49990000000000001</v>
      </c>
      <c r="T155">
        <v>0.65</v>
      </c>
      <c r="U155">
        <v>0.65</v>
      </c>
      <c r="V155">
        <v>0.65</v>
      </c>
      <c r="W155" s="17">
        <v>3712.1471999999999</v>
      </c>
      <c r="X155" s="83" t="s">
        <v>639</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2"/>
  <sheetViews>
    <sheetView topLeftCell="D1" workbookViewId="0">
      <pane ySplit="1" topLeftCell="A8" activePane="bottomLeft" state="frozen"/>
      <selection pane="bottomLeft" activeCell="M29" sqref="M29"/>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52</v>
      </c>
      <c r="B1" s="19" t="s">
        <v>33</v>
      </c>
      <c r="C1" s="19" t="s">
        <v>32</v>
      </c>
      <c r="D1" s="19" t="s">
        <v>323</v>
      </c>
      <c r="E1" s="22"/>
      <c r="F1" s="23" t="s">
        <v>322</v>
      </c>
      <c r="G1" s="20"/>
      <c r="H1" s="19" t="s">
        <v>33</v>
      </c>
      <c r="I1" s="19" t="s">
        <v>32</v>
      </c>
      <c r="J1" s="19" t="s">
        <v>31</v>
      </c>
      <c r="K1" s="42" t="s">
        <v>29</v>
      </c>
      <c r="L1" s="41" t="s">
        <v>382</v>
      </c>
      <c r="M1" s="41" t="s">
        <v>383</v>
      </c>
      <c r="N1" s="42" t="s">
        <v>30</v>
      </c>
      <c r="O1" s="41" t="s">
        <v>399</v>
      </c>
      <c r="P1" s="41" t="s">
        <v>400</v>
      </c>
      <c r="Q1" s="41" t="s">
        <v>401</v>
      </c>
      <c r="R1" s="41" t="s">
        <v>402</v>
      </c>
      <c r="S1" s="41" t="s">
        <v>417</v>
      </c>
      <c r="T1" s="19" t="s">
        <v>28</v>
      </c>
      <c r="U1" s="19" t="s">
        <v>318</v>
      </c>
      <c r="V1" s="19" t="s">
        <v>319</v>
      </c>
      <c r="W1" s="21" t="s">
        <v>320</v>
      </c>
      <c r="X1" s="82" t="s">
        <v>638</v>
      </c>
      <c r="Y1" s="80" t="s">
        <v>656</v>
      </c>
      <c r="AA1" s="36" t="s">
        <v>377</v>
      </c>
    </row>
    <row r="2" spans="1:28" x14ac:dyDescent="0.15">
      <c r="A2">
        <v>1</v>
      </c>
      <c r="B2">
        <v>159980</v>
      </c>
      <c r="C2" t="s">
        <v>182</v>
      </c>
      <c r="D2">
        <f t="shared" ref="D2:D8" si="0">MATCH(IF(B2&lt;499999,"SZ"&amp;B2,"SH"&amp;B2),$H$2:$H$2848,0)</f>
        <v>13</v>
      </c>
      <c r="G2" s="11">
        <v>1</v>
      </c>
      <c r="H2" t="s">
        <v>351</v>
      </c>
      <c r="I2" t="s">
        <v>352</v>
      </c>
      <c r="J2" t="s">
        <v>326</v>
      </c>
      <c r="K2" s="43">
        <v>-5.5999999999999999E-3</v>
      </c>
      <c r="L2" s="39">
        <v>5.0000000000000001E-4</v>
      </c>
      <c r="M2" s="39">
        <v>-6.8400000000000002E-2</v>
      </c>
      <c r="N2" s="43">
        <v>5.2200000000000003E-2</v>
      </c>
      <c r="O2" s="39">
        <v>0.23419999999999999</v>
      </c>
      <c r="P2" s="39">
        <v>0.28220000000000001</v>
      </c>
      <c r="Q2" s="39">
        <v>0.32040000000000002</v>
      </c>
      <c r="R2" s="39">
        <v>0.3876</v>
      </c>
      <c r="S2" s="39">
        <v>5.57E-2</v>
      </c>
      <c r="T2">
        <v>100</v>
      </c>
      <c r="U2">
        <v>97.56</v>
      </c>
      <c r="V2">
        <v>95.12</v>
      </c>
      <c r="W2" s="17">
        <v>5212.7768999999998</v>
      </c>
      <c r="AA2" s="9"/>
      <c r="AB2" s="9"/>
    </row>
    <row r="3" spans="1:28" x14ac:dyDescent="0.15">
      <c r="A3">
        <v>2</v>
      </c>
      <c r="B3">
        <v>159981</v>
      </c>
      <c r="C3" t="s">
        <v>183</v>
      </c>
      <c r="D3">
        <f t="shared" si="0"/>
        <v>2</v>
      </c>
      <c r="G3" s="11">
        <v>2</v>
      </c>
      <c r="H3" t="s">
        <v>54</v>
      </c>
      <c r="I3" t="s">
        <v>914</v>
      </c>
      <c r="J3" t="s">
        <v>326</v>
      </c>
      <c r="K3" s="43">
        <v>-5.1000000000000004E-3</v>
      </c>
      <c r="L3" s="39">
        <v>1.4E-3</v>
      </c>
      <c r="M3" s="39">
        <v>-1.54E-2</v>
      </c>
      <c r="N3" s="43">
        <v>1.72E-2</v>
      </c>
      <c r="O3" s="39">
        <v>3.2000000000000001E-2</v>
      </c>
      <c r="P3" s="39">
        <v>2.9899999999999999E-2</v>
      </c>
      <c r="Q3" s="39">
        <v>0.18429999999999999</v>
      </c>
      <c r="R3" s="39">
        <v>-2.7900000000000001E-2</v>
      </c>
      <c r="S3" s="39">
        <v>0.27110000000000001</v>
      </c>
      <c r="T3">
        <v>97.56</v>
      </c>
      <c r="U3">
        <v>85.37</v>
      </c>
      <c r="V3">
        <v>92.68</v>
      </c>
      <c r="W3" s="17">
        <v>1802.9080199999999</v>
      </c>
      <c r="X3" s="83" t="s">
        <v>639</v>
      </c>
      <c r="AA3" s="9"/>
      <c r="AB3" s="9"/>
    </row>
    <row r="4" spans="1:28" x14ac:dyDescent="0.15">
      <c r="A4">
        <v>3</v>
      </c>
      <c r="B4">
        <v>160216</v>
      </c>
      <c r="C4" t="s">
        <v>22</v>
      </c>
      <c r="D4" t="e">
        <f t="shared" si="0"/>
        <v>#N/A</v>
      </c>
      <c r="G4" s="11">
        <v>3</v>
      </c>
      <c r="H4" t="s">
        <v>59</v>
      </c>
      <c r="I4" t="s">
        <v>327</v>
      </c>
      <c r="J4" t="s">
        <v>325</v>
      </c>
      <c r="K4" s="43">
        <v>-2.8E-3</v>
      </c>
      <c r="L4" s="39">
        <v>1.6000000000000001E-3</v>
      </c>
      <c r="M4" s="39">
        <v>4.5999999999999999E-3</v>
      </c>
      <c r="N4" s="43">
        <v>5.5999999999999999E-3</v>
      </c>
      <c r="O4" s="39">
        <v>1.5299999999999999E-2</v>
      </c>
      <c r="P4" s="39">
        <v>4.4299999999999999E-2</v>
      </c>
      <c r="Q4" s="39">
        <v>5.4800000000000001E-2</v>
      </c>
      <c r="R4" s="39">
        <v>9.1999999999999998E-2</v>
      </c>
      <c r="S4" s="39">
        <v>0.15529999999999999</v>
      </c>
      <c r="T4">
        <v>95.12</v>
      </c>
      <c r="U4">
        <v>78.05</v>
      </c>
      <c r="V4">
        <v>85.37</v>
      </c>
      <c r="W4" s="17">
        <v>36541.033600000002</v>
      </c>
      <c r="X4" s="83" t="s">
        <v>639</v>
      </c>
      <c r="AA4" s="9"/>
      <c r="AB4" s="9"/>
    </row>
    <row r="5" spans="1:28" x14ac:dyDescent="0.15">
      <c r="A5">
        <v>4</v>
      </c>
      <c r="B5">
        <v>161815</v>
      </c>
      <c r="C5" t="s">
        <v>17</v>
      </c>
      <c r="D5" t="e">
        <f t="shared" si="0"/>
        <v>#N/A</v>
      </c>
      <c r="G5" s="11">
        <v>4</v>
      </c>
      <c r="H5" t="s">
        <v>177</v>
      </c>
      <c r="I5" t="s">
        <v>342</v>
      </c>
      <c r="J5" t="s">
        <v>15</v>
      </c>
      <c r="K5" s="43">
        <v>-1.41E-2</v>
      </c>
      <c r="L5" s="39">
        <v>5.5899999999999998E-2</v>
      </c>
      <c r="M5" s="39">
        <v>-1.0999999999999999E-2</v>
      </c>
      <c r="N5" s="43">
        <v>3.5999999999999999E-3</v>
      </c>
      <c r="O5" s="39">
        <v>2.69E-2</v>
      </c>
      <c r="P5" s="39">
        <v>9.69E-2</v>
      </c>
      <c r="Q5" s="39">
        <v>0.20280000000000001</v>
      </c>
      <c r="R5" s="39">
        <v>-4.3200000000000002E-2</v>
      </c>
      <c r="S5" s="39">
        <v>0.68869999999999998</v>
      </c>
      <c r="T5">
        <v>92.68</v>
      </c>
      <c r="U5">
        <v>63.41</v>
      </c>
      <c r="V5">
        <v>100</v>
      </c>
      <c r="W5" s="17">
        <v>1265.2891999999999</v>
      </c>
      <c r="X5" s="83" t="s">
        <v>639</v>
      </c>
      <c r="AA5" s="9"/>
      <c r="AB5" s="9"/>
    </row>
    <row r="6" spans="1:28" x14ac:dyDescent="0.15">
      <c r="A6">
        <v>5</v>
      </c>
      <c r="B6">
        <v>163208</v>
      </c>
      <c r="C6" t="s">
        <v>18</v>
      </c>
      <c r="D6" t="e">
        <f t="shared" si="0"/>
        <v>#N/A</v>
      </c>
      <c r="G6" s="11">
        <v>5</v>
      </c>
      <c r="H6" t="s">
        <v>62</v>
      </c>
      <c r="I6" t="s">
        <v>328</v>
      </c>
      <c r="J6" t="s">
        <v>325</v>
      </c>
      <c r="K6" s="43">
        <v>-2.0999999999999999E-3</v>
      </c>
      <c r="L6" s="39">
        <v>1.6000000000000001E-3</v>
      </c>
      <c r="M6" s="39">
        <v>3.0000000000000001E-3</v>
      </c>
      <c r="N6" s="43">
        <v>4.1000000000000003E-3</v>
      </c>
      <c r="O6" s="39">
        <v>1.35E-2</v>
      </c>
      <c r="P6" s="39">
        <v>3.1099999999999999E-2</v>
      </c>
      <c r="Q6" s="39">
        <v>4.0899999999999999E-2</v>
      </c>
      <c r="R6" s="39">
        <v>7.0000000000000007E-2</v>
      </c>
      <c r="S6" s="39">
        <v>0.12039999999999999</v>
      </c>
      <c r="T6">
        <v>90.24</v>
      </c>
      <c r="U6">
        <v>70.73</v>
      </c>
      <c r="V6">
        <v>82.93</v>
      </c>
      <c r="W6" s="17">
        <v>13555.8048</v>
      </c>
      <c r="AA6" t="s">
        <v>1077</v>
      </c>
    </row>
    <row r="7" spans="1:28" x14ac:dyDescent="0.15">
      <c r="A7">
        <v>6</v>
      </c>
      <c r="B7">
        <v>165513</v>
      </c>
      <c r="C7" t="s">
        <v>20</v>
      </c>
      <c r="D7" t="e">
        <f t="shared" si="0"/>
        <v>#N/A</v>
      </c>
      <c r="G7" s="11">
        <v>6</v>
      </c>
      <c r="H7" t="s">
        <v>56</v>
      </c>
      <c r="I7" t="s">
        <v>329</v>
      </c>
      <c r="J7" t="s">
        <v>325</v>
      </c>
      <c r="K7" s="43">
        <v>-5.0000000000000001E-4</v>
      </c>
      <c r="L7" s="39">
        <v>1.2999999999999999E-3</v>
      </c>
      <c r="M7" s="39">
        <v>2.3999999999999998E-3</v>
      </c>
      <c r="N7" s="43">
        <v>4.3E-3</v>
      </c>
      <c r="O7" s="39">
        <v>1.3299999999999999E-2</v>
      </c>
      <c r="P7" s="39">
        <v>3.4700000000000002E-2</v>
      </c>
      <c r="Q7" s="39">
        <v>4.7199999999999999E-2</v>
      </c>
      <c r="R7" s="39">
        <v>8.0699999999999994E-2</v>
      </c>
      <c r="S7" s="39">
        <v>0.13289999999999999</v>
      </c>
      <c r="T7">
        <v>87.8</v>
      </c>
      <c r="U7">
        <v>73.17</v>
      </c>
      <c r="V7">
        <v>75.61</v>
      </c>
      <c r="W7" s="17">
        <v>4703.3434700000007</v>
      </c>
      <c r="X7" s="83" t="s">
        <v>639</v>
      </c>
    </row>
    <row r="8" spans="1:28" x14ac:dyDescent="0.15">
      <c r="A8">
        <v>7</v>
      </c>
      <c r="B8">
        <v>513130</v>
      </c>
      <c r="C8" t="s">
        <v>184</v>
      </c>
      <c r="D8" t="e">
        <f t="shared" si="0"/>
        <v>#N/A</v>
      </c>
      <c r="G8" s="11">
        <v>7</v>
      </c>
      <c r="H8" t="s">
        <v>57</v>
      </c>
      <c r="I8" t="s">
        <v>331</v>
      </c>
      <c r="J8" t="s">
        <v>325</v>
      </c>
      <c r="K8" s="43">
        <v>-5.9999999999999995E-4</v>
      </c>
      <c r="L8" s="39">
        <v>1.4E-3</v>
      </c>
      <c r="M8" s="39">
        <v>2.3999999999999998E-3</v>
      </c>
      <c r="N8" s="43">
        <v>3.8999999999999998E-3</v>
      </c>
      <c r="O8" s="39">
        <v>1.0500000000000001E-2</v>
      </c>
      <c r="P8" s="39">
        <v>2.5499999999999998E-2</v>
      </c>
      <c r="Q8" s="39">
        <v>3.7600000000000001E-2</v>
      </c>
      <c r="R8" s="39">
        <v>6.3700000000000007E-2</v>
      </c>
      <c r="S8" s="39">
        <v>9.9599999999999994E-2</v>
      </c>
      <c r="T8">
        <v>85.37</v>
      </c>
      <c r="U8">
        <v>68.290000000000006</v>
      </c>
      <c r="V8">
        <v>78.05</v>
      </c>
      <c r="W8" s="17">
        <v>6071.6041799999994</v>
      </c>
      <c r="X8" s="83" t="s">
        <v>639</v>
      </c>
    </row>
    <row r="9" spans="1:28" x14ac:dyDescent="0.15">
      <c r="G9" s="11">
        <v>8</v>
      </c>
      <c r="H9" t="s">
        <v>63</v>
      </c>
      <c r="I9" t="s">
        <v>330</v>
      </c>
      <c r="J9" t="s">
        <v>325</v>
      </c>
      <c r="K9" s="43">
        <v>-2.9999999999999997E-4</v>
      </c>
      <c r="L9" s="39">
        <v>1.6000000000000001E-3</v>
      </c>
      <c r="M9" s="39">
        <v>3.0999999999999999E-3</v>
      </c>
      <c r="N9" s="43">
        <v>4.7000000000000002E-3</v>
      </c>
      <c r="O9" s="39">
        <v>1.34E-2</v>
      </c>
      <c r="P9" s="39">
        <v>3.7199999999999997E-2</v>
      </c>
      <c r="Q9" s="39">
        <v>5.3400000000000003E-2</v>
      </c>
      <c r="R9" s="39">
        <v>8.8200000000000001E-2</v>
      </c>
      <c r="S9" s="39">
        <v>0.14349999999999999</v>
      </c>
      <c r="T9">
        <v>82.93</v>
      </c>
      <c r="U9">
        <v>75.61</v>
      </c>
      <c r="V9">
        <v>70.73</v>
      </c>
      <c r="W9" s="17">
        <v>33367.616999999998</v>
      </c>
      <c r="X9" s="83" t="s">
        <v>639</v>
      </c>
    </row>
    <row r="10" spans="1:28" x14ac:dyDescent="0.15">
      <c r="G10" s="11">
        <v>9</v>
      </c>
      <c r="H10" t="s">
        <v>174</v>
      </c>
      <c r="I10" t="s">
        <v>354</v>
      </c>
      <c r="J10" t="s">
        <v>15</v>
      </c>
      <c r="K10" s="43">
        <v>1.6999999999999999E-3</v>
      </c>
      <c r="L10" s="39">
        <v>0.06</v>
      </c>
      <c r="M10" s="39">
        <v>1.95E-2</v>
      </c>
      <c r="N10" s="43">
        <v>4.41E-2</v>
      </c>
      <c r="O10" s="39">
        <v>5.0200000000000002E-2</v>
      </c>
      <c r="P10" s="39">
        <v>0.1174</v>
      </c>
      <c r="Q10" s="39">
        <v>0.25719999999999998</v>
      </c>
      <c r="R10" s="39">
        <v>0.37109999999999999</v>
      </c>
      <c r="S10" s="39">
        <v>0.43059999999999998</v>
      </c>
      <c r="T10">
        <v>80.489999999999995</v>
      </c>
      <c r="U10">
        <v>92.68</v>
      </c>
      <c r="V10">
        <v>51.22</v>
      </c>
      <c r="W10" s="17">
        <v>17493.770788599999</v>
      </c>
      <c r="X10" s="83" t="s">
        <v>639</v>
      </c>
      <c r="Y10" s="81" t="s">
        <v>657</v>
      </c>
    </row>
    <row r="11" spans="1:28" x14ac:dyDescent="0.15">
      <c r="G11" s="11">
        <v>10</v>
      </c>
      <c r="H11" t="s">
        <v>979</v>
      </c>
      <c r="I11" t="s">
        <v>980</v>
      </c>
      <c r="J11" t="s">
        <v>655</v>
      </c>
      <c r="K11" s="43">
        <v>0</v>
      </c>
      <c r="L11" s="39">
        <v>5.0000000000000001E-3</v>
      </c>
      <c r="M11" s="39">
        <v>4.3E-3</v>
      </c>
      <c r="N11" s="43">
        <v>9.7000000000000003E-3</v>
      </c>
      <c r="O11" s="39">
        <v>1.46E-2</v>
      </c>
      <c r="P11" s="39">
        <v>0.10100000000000001</v>
      </c>
      <c r="Q11" s="39">
        <v>0.13969999999999999</v>
      </c>
      <c r="R11" s="39">
        <v>0.13969999999999999</v>
      </c>
      <c r="S11" s="39">
        <v>0.13969999999999999</v>
      </c>
      <c r="T11">
        <v>78.05</v>
      </c>
      <c r="U11">
        <v>82.93</v>
      </c>
      <c r="V11">
        <v>58.54</v>
      </c>
      <c r="W11" s="17">
        <v>45294.699699999997</v>
      </c>
      <c r="X11" s="83" t="s">
        <v>639</v>
      </c>
    </row>
    <row r="12" spans="1:28" x14ac:dyDescent="0.15">
      <c r="G12" s="11">
        <v>11</v>
      </c>
      <c r="H12" t="s">
        <v>73</v>
      </c>
      <c r="I12" t="s">
        <v>24</v>
      </c>
      <c r="J12" t="s">
        <v>326</v>
      </c>
      <c r="K12" s="43">
        <v>-1.15E-2</v>
      </c>
      <c r="L12" s="39">
        <v>-5.7999999999999996E-3</v>
      </c>
      <c r="M12" s="39">
        <v>-1.21E-2</v>
      </c>
      <c r="N12" s="43">
        <v>-2.46E-2</v>
      </c>
      <c r="O12" s="39">
        <v>5.3199999999999997E-2</v>
      </c>
      <c r="P12" s="39">
        <v>-1.38E-2</v>
      </c>
      <c r="Q12" s="39">
        <v>0.29770000000000002</v>
      </c>
      <c r="R12" s="39">
        <v>0.38269999999999998</v>
      </c>
      <c r="S12" s="39">
        <v>0.72519999999999996</v>
      </c>
      <c r="T12">
        <v>75.61</v>
      </c>
      <c r="U12">
        <v>34.15</v>
      </c>
      <c r="V12">
        <v>97.56</v>
      </c>
      <c r="W12" s="17">
        <v>17584.381271999999</v>
      </c>
      <c r="X12" s="83" t="s">
        <v>639</v>
      </c>
    </row>
    <row r="13" spans="1:28" x14ac:dyDescent="0.15">
      <c r="G13" s="11">
        <v>12</v>
      </c>
      <c r="H13" t="s">
        <v>68</v>
      </c>
      <c r="I13" t="s">
        <v>334</v>
      </c>
      <c r="J13" t="s">
        <v>325</v>
      </c>
      <c r="K13" s="43">
        <v>-1E-4</v>
      </c>
      <c r="L13" s="39">
        <v>0</v>
      </c>
      <c r="M13" s="39">
        <v>1.5E-3</v>
      </c>
      <c r="N13" s="43">
        <v>3.5999999999999999E-3</v>
      </c>
      <c r="O13" s="39">
        <v>1.2500000000000001E-2</v>
      </c>
      <c r="P13" s="39">
        <v>2.8400000000000002E-2</v>
      </c>
      <c r="Q13" s="39">
        <v>3.6200000000000003E-2</v>
      </c>
      <c r="R13" s="39">
        <v>6.4199999999999993E-2</v>
      </c>
      <c r="S13" s="39">
        <v>0.1062</v>
      </c>
      <c r="T13">
        <v>73.17</v>
      </c>
      <c r="U13">
        <v>60.98</v>
      </c>
      <c r="V13">
        <v>68.290000000000006</v>
      </c>
      <c r="W13" s="17">
        <v>38301.586199999998</v>
      </c>
    </row>
    <row r="14" spans="1:28" x14ac:dyDescent="0.15">
      <c r="G14" s="11">
        <v>13</v>
      </c>
      <c r="H14" t="s">
        <v>55</v>
      </c>
      <c r="I14" t="s">
        <v>23</v>
      </c>
      <c r="J14" t="s">
        <v>326</v>
      </c>
      <c r="K14" s="43">
        <v>-3.3999999999999998E-3</v>
      </c>
      <c r="L14" s="39">
        <v>-1.0200000000000001E-2</v>
      </c>
      <c r="M14" s="39">
        <v>-5.45E-2</v>
      </c>
      <c r="N14" s="43">
        <v>-1.46E-2</v>
      </c>
      <c r="O14" s="39">
        <v>0.1193</v>
      </c>
      <c r="P14" s="39">
        <v>0.1678</v>
      </c>
      <c r="Q14" s="39">
        <v>0.20100000000000001</v>
      </c>
      <c r="R14" s="39">
        <v>0.1101</v>
      </c>
      <c r="S14" s="39">
        <v>0.27439999999999998</v>
      </c>
      <c r="T14">
        <v>70.73</v>
      </c>
      <c r="U14">
        <v>41.46</v>
      </c>
      <c r="V14">
        <v>87.8</v>
      </c>
      <c r="W14" s="17">
        <v>11808.3674656</v>
      </c>
      <c r="X14" s="83" t="s">
        <v>639</v>
      </c>
    </row>
    <row r="15" spans="1:28" x14ac:dyDescent="0.15">
      <c r="G15" s="11">
        <v>14</v>
      </c>
      <c r="H15" t="s">
        <v>89</v>
      </c>
      <c r="I15" t="s">
        <v>344</v>
      </c>
      <c r="J15" t="s">
        <v>325</v>
      </c>
      <c r="K15" s="43">
        <v>-2.9999999999999997E-4</v>
      </c>
      <c r="L15" s="39">
        <v>8.0000000000000004E-4</v>
      </c>
      <c r="M15" s="39">
        <v>1.6000000000000001E-3</v>
      </c>
      <c r="N15" s="43">
        <v>2.8E-3</v>
      </c>
      <c r="O15" s="39">
        <v>1.0200000000000001E-2</v>
      </c>
      <c r="P15" s="39">
        <v>2.41E-2</v>
      </c>
      <c r="Q15" s="39">
        <v>2.8000000000000001E-2</v>
      </c>
      <c r="R15" s="39">
        <v>4.3700000000000003E-2</v>
      </c>
      <c r="S15" s="39">
        <v>7.4999999999999997E-2</v>
      </c>
      <c r="T15">
        <v>68.290000000000006</v>
      </c>
      <c r="U15">
        <v>53.66</v>
      </c>
      <c r="V15">
        <v>73.17</v>
      </c>
      <c r="W15" s="17">
        <v>41950.311999999998</v>
      </c>
      <c r="X15" s="83" t="s">
        <v>639</v>
      </c>
    </row>
    <row r="16" spans="1:28" x14ac:dyDescent="0.15">
      <c r="G16" s="11">
        <v>15</v>
      </c>
      <c r="H16" t="s">
        <v>68</v>
      </c>
      <c r="I16" t="s">
        <v>238</v>
      </c>
      <c r="J16" t="s">
        <v>655</v>
      </c>
      <c r="K16" s="43">
        <v>-1E-4</v>
      </c>
      <c r="L16" s="39">
        <v>0</v>
      </c>
      <c r="M16" s="39">
        <v>1.5E-3</v>
      </c>
      <c r="N16" s="43">
        <v>3.5999999999999999E-3</v>
      </c>
      <c r="O16" s="39">
        <v>1.2500000000000001E-2</v>
      </c>
      <c r="P16" s="39">
        <v>2.8400000000000002E-2</v>
      </c>
      <c r="Q16" s="39">
        <v>3.6200000000000003E-2</v>
      </c>
      <c r="R16" s="39">
        <v>6.4199999999999993E-2</v>
      </c>
      <c r="S16" s="39">
        <v>0.1062</v>
      </c>
      <c r="T16">
        <v>65.849999999999994</v>
      </c>
      <c r="U16">
        <v>65.849999999999994</v>
      </c>
      <c r="V16">
        <v>60.98</v>
      </c>
      <c r="W16" s="17">
        <v>38301.586199999998</v>
      </c>
      <c r="X16" s="83" t="s">
        <v>639</v>
      </c>
    </row>
    <row r="17" spans="7:25" x14ac:dyDescent="0.15">
      <c r="G17" s="11">
        <v>16</v>
      </c>
      <c r="H17" t="s">
        <v>176</v>
      </c>
      <c r="I17" t="s">
        <v>355</v>
      </c>
      <c r="J17" t="s">
        <v>15</v>
      </c>
      <c r="K17" s="43">
        <v>1.0800000000000001E-2</v>
      </c>
      <c r="L17" s="39">
        <v>2.8199999999999999E-2</v>
      </c>
      <c r="M17" s="39">
        <v>4.7699999999999999E-2</v>
      </c>
      <c r="N17" s="43">
        <v>3.15E-2</v>
      </c>
      <c r="O17" s="39">
        <v>-2.2599999999999999E-2</v>
      </c>
      <c r="P17" s="39">
        <v>0.1721</v>
      </c>
      <c r="Q17" s="39">
        <v>0.106</v>
      </c>
      <c r="R17" s="39">
        <v>0.42730000000000001</v>
      </c>
      <c r="S17" s="39">
        <v>-0.1656</v>
      </c>
      <c r="T17">
        <v>63.41</v>
      </c>
      <c r="U17">
        <v>87.8</v>
      </c>
      <c r="V17">
        <v>34.15</v>
      </c>
      <c r="W17" s="17">
        <v>380.71047190000002</v>
      </c>
      <c r="X17" s="83" t="s">
        <v>639</v>
      </c>
    </row>
    <row r="18" spans="7:25" x14ac:dyDescent="0.15">
      <c r="G18" s="11">
        <v>17</v>
      </c>
      <c r="H18" t="s">
        <v>53</v>
      </c>
      <c r="I18" t="s">
        <v>21</v>
      </c>
      <c r="J18" t="s">
        <v>15</v>
      </c>
      <c r="K18" s="43">
        <v>-4.1999999999999997E-3</v>
      </c>
      <c r="L18" s="39">
        <v>1.3899999999999999E-2</v>
      </c>
      <c r="M18" s="39">
        <v>-2.2100000000000002E-2</v>
      </c>
      <c r="N18" s="43">
        <v>-2.46E-2</v>
      </c>
      <c r="O18" s="39">
        <v>2.6800000000000001E-2</v>
      </c>
      <c r="P18" s="39">
        <v>0.11559999999999999</v>
      </c>
      <c r="Q18" s="39">
        <v>0.25640000000000002</v>
      </c>
      <c r="R18" s="39">
        <v>0.15260000000000001</v>
      </c>
      <c r="S18" s="39">
        <v>1.0402</v>
      </c>
      <c r="T18">
        <v>60.98</v>
      </c>
      <c r="U18">
        <v>31.71</v>
      </c>
      <c r="V18">
        <v>90.24</v>
      </c>
      <c r="W18" s="17">
        <v>4042.8938982</v>
      </c>
      <c r="X18" s="83" t="s">
        <v>639</v>
      </c>
    </row>
    <row r="19" spans="7:25" x14ac:dyDescent="0.15">
      <c r="G19" s="11">
        <v>18</v>
      </c>
      <c r="H19" t="s">
        <v>345</v>
      </c>
      <c r="I19" t="s">
        <v>346</v>
      </c>
      <c r="J19" t="s">
        <v>325</v>
      </c>
      <c r="K19" s="43">
        <v>-1E-4</v>
      </c>
      <c r="L19" s="39">
        <v>8.9999999999999998E-4</v>
      </c>
      <c r="M19" s="39">
        <v>1.9E-3</v>
      </c>
      <c r="N19" s="43">
        <v>3.3E-3</v>
      </c>
      <c r="O19" s="39">
        <v>1.06E-2</v>
      </c>
      <c r="P19" s="39">
        <v>2.98E-2</v>
      </c>
      <c r="Q19" s="39">
        <v>4.3799999999999999E-2</v>
      </c>
      <c r="R19" s="39">
        <v>7.5600000000000001E-2</v>
      </c>
      <c r="S19" s="39">
        <v>0.13089999999999999</v>
      </c>
      <c r="T19">
        <v>58.54</v>
      </c>
      <c r="U19">
        <v>58.54</v>
      </c>
      <c r="V19">
        <v>63.41</v>
      </c>
      <c r="W19" s="17">
        <v>5861.3413200000005</v>
      </c>
      <c r="X19" s="83" t="s">
        <v>639</v>
      </c>
      <c r="Y19" s="81" t="s">
        <v>657</v>
      </c>
    </row>
    <row r="20" spans="7:25" x14ac:dyDescent="0.15">
      <c r="G20" s="11">
        <v>19</v>
      </c>
      <c r="H20" t="s">
        <v>69</v>
      </c>
      <c r="I20" t="s">
        <v>336</v>
      </c>
      <c r="J20" t="s">
        <v>335</v>
      </c>
      <c r="K20" s="43">
        <v>-5.9999999999999995E-4</v>
      </c>
      <c r="L20" s="39">
        <v>-7.4000000000000003E-3</v>
      </c>
      <c r="M20" s="39">
        <v>-1.7299999999999999E-2</v>
      </c>
      <c r="N20" s="43">
        <v>-1.7999999999999999E-2</v>
      </c>
      <c r="O20" s="39">
        <v>8.0399999999999999E-2</v>
      </c>
      <c r="P20" s="39">
        <v>0.16489999999999999</v>
      </c>
      <c r="Q20" s="39">
        <v>0.20979999999999999</v>
      </c>
      <c r="R20" s="39">
        <v>0.35499999999999998</v>
      </c>
      <c r="S20" s="39">
        <v>0.41199999999999998</v>
      </c>
      <c r="T20">
        <v>56.1</v>
      </c>
      <c r="U20">
        <v>39.020000000000003</v>
      </c>
      <c r="V20">
        <v>80.489999999999995</v>
      </c>
      <c r="W20" s="17">
        <v>94805.050499999998</v>
      </c>
      <c r="X20" s="83" t="s">
        <v>639</v>
      </c>
      <c r="Y20" s="81" t="s">
        <v>657</v>
      </c>
    </row>
    <row r="21" spans="7:25" x14ac:dyDescent="0.15">
      <c r="G21" s="11">
        <v>20</v>
      </c>
      <c r="H21" t="s">
        <v>78</v>
      </c>
      <c r="I21" t="s">
        <v>297</v>
      </c>
      <c r="J21" t="s">
        <v>325</v>
      </c>
      <c r="K21" s="43">
        <v>-1E-4</v>
      </c>
      <c r="L21" s="39">
        <v>5.0000000000000001E-4</v>
      </c>
      <c r="M21" s="39">
        <v>8.0000000000000004E-4</v>
      </c>
      <c r="N21" s="43">
        <v>1.5E-3</v>
      </c>
      <c r="O21" s="39">
        <v>6.0000000000000001E-3</v>
      </c>
      <c r="P21" s="39">
        <v>1.37E-2</v>
      </c>
      <c r="Q21" s="39">
        <v>2.4E-2</v>
      </c>
      <c r="R21" s="39">
        <v>4.5999999999999999E-2</v>
      </c>
      <c r="S21" s="39">
        <v>7.6100000000000001E-2</v>
      </c>
      <c r="T21">
        <v>53.66</v>
      </c>
      <c r="U21">
        <v>51.22</v>
      </c>
      <c r="V21">
        <v>65.849999999999994</v>
      </c>
      <c r="W21" s="17">
        <v>990273.31889999995</v>
      </c>
      <c r="X21" s="83" t="s">
        <v>639</v>
      </c>
    </row>
    <row r="22" spans="7:25" x14ac:dyDescent="0.15">
      <c r="G22" s="11">
        <v>21</v>
      </c>
      <c r="H22" t="s">
        <v>96</v>
      </c>
      <c r="I22" t="s">
        <v>340</v>
      </c>
      <c r="J22" t="s">
        <v>325</v>
      </c>
      <c r="K22" s="43">
        <v>4.0000000000000002E-4</v>
      </c>
      <c r="L22" s="39">
        <v>8.0000000000000004E-4</v>
      </c>
      <c r="M22" s="39">
        <v>1.6000000000000001E-3</v>
      </c>
      <c r="N22" s="43">
        <v>2.8999999999999998E-3</v>
      </c>
      <c r="O22" s="39">
        <v>1.03E-2</v>
      </c>
      <c r="P22" s="39">
        <v>2.2800000000000001E-2</v>
      </c>
      <c r="Q22" s="39">
        <v>3.5200000000000002E-2</v>
      </c>
      <c r="R22" s="39">
        <v>5.6500000000000002E-2</v>
      </c>
      <c r="S22" s="39">
        <v>9.8299999999999998E-2</v>
      </c>
      <c r="T22">
        <v>51.22</v>
      </c>
      <c r="U22">
        <v>56.1</v>
      </c>
      <c r="V22">
        <v>56.1</v>
      </c>
      <c r="W22" s="17">
        <v>30862.435399999998</v>
      </c>
      <c r="X22" s="83" t="s">
        <v>639</v>
      </c>
    </row>
    <row r="23" spans="7:25" x14ac:dyDescent="0.15">
      <c r="G23" s="11">
        <v>22</v>
      </c>
      <c r="H23" t="s">
        <v>128</v>
      </c>
      <c r="I23" t="s">
        <v>353</v>
      </c>
      <c r="J23" t="s">
        <v>15</v>
      </c>
      <c r="K23" s="43">
        <v>2.86E-2</v>
      </c>
      <c r="L23" s="39">
        <v>4.4200000000000003E-2</v>
      </c>
      <c r="M23" s="39">
        <v>3.2099999999999997E-2</v>
      </c>
      <c r="N23" s="43">
        <v>6.4000000000000001E-2</v>
      </c>
      <c r="O23" s="39">
        <v>7.1300000000000002E-2</v>
      </c>
      <c r="P23" s="39">
        <v>0.19839999999999999</v>
      </c>
      <c r="Q23" s="39">
        <v>0.36330000000000001</v>
      </c>
      <c r="R23" s="39">
        <v>0.74139999999999995</v>
      </c>
      <c r="S23" s="39">
        <v>0.60340000000000005</v>
      </c>
      <c r="T23">
        <v>48.78</v>
      </c>
      <c r="U23">
        <v>100</v>
      </c>
      <c r="V23">
        <v>7.32</v>
      </c>
      <c r="W23" s="17">
        <v>64999.163804200005</v>
      </c>
      <c r="X23" s="83" t="s">
        <v>639</v>
      </c>
      <c r="Y23" s="81" t="s">
        <v>657</v>
      </c>
    </row>
    <row r="24" spans="7:25" x14ac:dyDescent="0.15">
      <c r="G24" s="11">
        <v>23</v>
      </c>
      <c r="H24" t="s">
        <v>957</v>
      </c>
      <c r="I24" t="s">
        <v>956</v>
      </c>
      <c r="J24" t="s">
        <v>15</v>
      </c>
      <c r="K24" s="43">
        <v>2.75E-2</v>
      </c>
      <c r="L24" s="39">
        <v>2.58E-2</v>
      </c>
      <c r="M24" s="39">
        <v>1.72E-2</v>
      </c>
      <c r="N24" s="43">
        <v>4.5600000000000002E-2</v>
      </c>
      <c r="O24" s="39">
        <v>4.87E-2</v>
      </c>
      <c r="P24" s="39">
        <v>7.2499999999999995E-2</v>
      </c>
      <c r="Q24" s="39">
        <v>7.7399999999999997E-2</v>
      </c>
      <c r="R24" s="39">
        <v>7.7399999999999997E-2</v>
      </c>
      <c r="S24" s="39">
        <v>7.7399999999999997E-2</v>
      </c>
      <c r="T24">
        <v>46.34</v>
      </c>
      <c r="U24">
        <v>95.12</v>
      </c>
      <c r="V24">
        <v>9.76</v>
      </c>
      <c r="W24" s="17">
        <v>2310.8368999999998</v>
      </c>
      <c r="X24" s="83" t="s">
        <v>639</v>
      </c>
    </row>
    <row r="25" spans="7:25" x14ac:dyDescent="0.15">
      <c r="G25" s="11">
        <v>24</v>
      </c>
      <c r="H25" t="s">
        <v>109</v>
      </c>
      <c r="I25" t="s">
        <v>16</v>
      </c>
      <c r="J25" t="s">
        <v>325</v>
      </c>
      <c r="K25" s="43">
        <v>5.0000000000000001E-4</v>
      </c>
      <c r="L25" s="39">
        <v>-1.2999999999999999E-3</v>
      </c>
      <c r="M25" s="39">
        <v>-0.01</v>
      </c>
      <c r="N25" s="43">
        <v>-9.5999999999999992E-3</v>
      </c>
      <c r="O25" s="39">
        <v>3.0099999999999998E-2</v>
      </c>
      <c r="P25" s="39">
        <v>2.1399999999999999E-2</v>
      </c>
      <c r="Q25" s="39">
        <v>-7.4999999999999997E-3</v>
      </c>
      <c r="R25" s="39">
        <v>-2.8999999999999998E-3</v>
      </c>
      <c r="S25" s="39">
        <v>5.79E-2</v>
      </c>
      <c r="T25">
        <v>43.9</v>
      </c>
      <c r="U25">
        <v>46.34</v>
      </c>
      <c r="V25">
        <v>53.66</v>
      </c>
      <c r="W25" s="17">
        <v>143829.0024</v>
      </c>
      <c r="X25" s="83" t="s">
        <v>639</v>
      </c>
    </row>
    <row r="26" spans="7:25" x14ac:dyDescent="0.15">
      <c r="G26" s="11">
        <v>25</v>
      </c>
      <c r="H26" t="s">
        <v>163</v>
      </c>
      <c r="I26" t="s">
        <v>333</v>
      </c>
      <c r="J26" t="s">
        <v>15</v>
      </c>
      <c r="K26" s="43">
        <v>1.4800000000000001E-2</v>
      </c>
      <c r="L26" s="39">
        <v>-2.0999999999999999E-3</v>
      </c>
      <c r="M26" s="39">
        <v>6.0000000000000001E-3</v>
      </c>
      <c r="N26" s="43">
        <v>7.3000000000000001E-3</v>
      </c>
      <c r="O26" s="39">
        <v>-4.5900000000000003E-2</v>
      </c>
      <c r="P26" s="39">
        <v>0.1106</v>
      </c>
      <c r="Q26" s="39">
        <v>0.13980000000000001</v>
      </c>
      <c r="R26" s="39">
        <v>0.30470000000000003</v>
      </c>
      <c r="S26" s="39">
        <v>0.11940000000000001</v>
      </c>
      <c r="T26">
        <v>41.46</v>
      </c>
      <c r="U26">
        <v>80.489999999999995</v>
      </c>
      <c r="V26">
        <v>19.510000000000002</v>
      </c>
      <c r="W26" s="17">
        <v>4714.7897000000003</v>
      </c>
      <c r="X26" s="83" t="s">
        <v>639</v>
      </c>
      <c r="Y26" s="81" t="s">
        <v>657</v>
      </c>
    </row>
    <row r="27" spans="7:25" x14ac:dyDescent="0.15">
      <c r="G27" s="11">
        <v>26</v>
      </c>
      <c r="H27" t="s">
        <v>140</v>
      </c>
      <c r="I27" t="s">
        <v>350</v>
      </c>
      <c r="J27" t="s">
        <v>15</v>
      </c>
      <c r="K27" s="43">
        <v>4.8300000000000003E-2</v>
      </c>
      <c r="L27" s="39">
        <v>2.5499999999999998E-2</v>
      </c>
      <c r="M27" s="39">
        <v>2.2499999999999999E-2</v>
      </c>
      <c r="N27" s="43">
        <v>3.5099999999999999E-2</v>
      </c>
      <c r="O27" s="39">
        <v>5.0099999999999999E-2</v>
      </c>
      <c r="P27" s="39">
        <v>0.1734</v>
      </c>
      <c r="Q27" s="39">
        <v>0.3054</v>
      </c>
      <c r="R27" s="39">
        <v>0.46829999999999999</v>
      </c>
      <c r="S27" s="39">
        <v>0.4229</v>
      </c>
      <c r="T27">
        <v>39.020000000000003</v>
      </c>
      <c r="U27">
        <v>90.24</v>
      </c>
      <c r="V27">
        <v>4.88</v>
      </c>
      <c r="W27" s="17">
        <v>15626.251200000001</v>
      </c>
      <c r="X27" s="83" t="s">
        <v>639</v>
      </c>
      <c r="Y27" s="81" t="s">
        <v>657</v>
      </c>
    </row>
    <row r="28" spans="7:25" x14ac:dyDescent="0.15">
      <c r="G28" s="11">
        <v>27</v>
      </c>
      <c r="H28" t="s">
        <v>175</v>
      </c>
      <c r="I28" t="s">
        <v>338</v>
      </c>
      <c r="J28" t="s">
        <v>15</v>
      </c>
      <c r="K28" s="43">
        <v>2.5000000000000001E-3</v>
      </c>
      <c r="L28" s="39">
        <v>4.5999999999999999E-3</v>
      </c>
      <c r="M28" s="39">
        <v>-3.1800000000000002E-2</v>
      </c>
      <c r="N28" s="43">
        <v>-3.7499999999999999E-2</v>
      </c>
      <c r="O28" s="39">
        <v>7.4999999999999997E-3</v>
      </c>
      <c r="P28" s="39">
        <v>9.5899999999999999E-2</v>
      </c>
      <c r="Q28" s="39">
        <v>0.2631</v>
      </c>
      <c r="R28" s="39">
        <v>0.23130000000000001</v>
      </c>
      <c r="S28" s="39">
        <v>1.2432000000000001</v>
      </c>
      <c r="T28">
        <v>36.590000000000003</v>
      </c>
      <c r="U28">
        <v>26.83</v>
      </c>
      <c r="V28">
        <v>48.78</v>
      </c>
      <c r="W28" s="17">
        <v>581.51828030000001</v>
      </c>
    </row>
    <row r="29" spans="7:25" x14ac:dyDescent="0.15">
      <c r="G29" s="11">
        <v>28</v>
      </c>
      <c r="H29" t="s">
        <v>172</v>
      </c>
      <c r="I29" t="s">
        <v>349</v>
      </c>
      <c r="J29" t="s">
        <v>15</v>
      </c>
      <c r="K29" s="43">
        <v>2.5000000000000001E-3</v>
      </c>
      <c r="L29" s="39">
        <v>-1.83E-2</v>
      </c>
      <c r="M29" s="39">
        <v>-3.4700000000000002E-2</v>
      </c>
      <c r="N29" s="43">
        <v>-4.3299999999999998E-2</v>
      </c>
      <c r="O29" s="39">
        <v>6.4100000000000004E-2</v>
      </c>
      <c r="P29" s="39">
        <v>-3.0700000000000002E-2</v>
      </c>
      <c r="Q29" s="39">
        <v>-9.2399999999999996E-2</v>
      </c>
      <c r="R29" s="39">
        <v>-0.1241</v>
      </c>
      <c r="S29" s="39">
        <v>-0.48580000000000001</v>
      </c>
      <c r="T29">
        <v>34.15</v>
      </c>
      <c r="U29">
        <v>19.510000000000002</v>
      </c>
      <c r="V29">
        <v>46.34</v>
      </c>
      <c r="W29" s="17">
        <v>148.12606680000002</v>
      </c>
      <c r="X29" s="83" t="s">
        <v>639</v>
      </c>
    </row>
    <row r="30" spans="7:25" x14ac:dyDescent="0.15">
      <c r="G30" s="11">
        <v>29</v>
      </c>
      <c r="H30" t="s">
        <v>1065</v>
      </c>
      <c r="I30" t="s">
        <v>1066</v>
      </c>
      <c r="J30" t="s">
        <v>15</v>
      </c>
      <c r="K30" s="43">
        <v>1.84E-2</v>
      </c>
      <c r="L30" s="39">
        <v>-1.6000000000000001E-3</v>
      </c>
      <c r="M30" s="39">
        <v>-1.6E-2</v>
      </c>
      <c r="N30" s="43">
        <v>8.9999999999999998E-4</v>
      </c>
      <c r="O30" s="39">
        <v>9.2899999999999996E-2</v>
      </c>
      <c r="P30" s="39">
        <v>9.2899999999999996E-2</v>
      </c>
      <c r="Q30" s="39">
        <v>9.2899999999999996E-2</v>
      </c>
      <c r="R30" s="39">
        <v>9.2899999999999996E-2</v>
      </c>
      <c r="S30" s="39">
        <v>9.2899999999999996E-2</v>
      </c>
      <c r="T30">
        <v>31.71</v>
      </c>
      <c r="U30">
        <v>48.78</v>
      </c>
      <c r="V30">
        <v>17.07</v>
      </c>
      <c r="W30" s="17">
        <v>2255.2892999999999</v>
      </c>
      <c r="X30" s="83" t="s">
        <v>639</v>
      </c>
      <c r="Y30" s="81" t="s">
        <v>657</v>
      </c>
    </row>
    <row r="31" spans="7:25" x14ac:dyDescent="0.15">
      <c r="G31" s="11">
        <v>30</v>
      </c>
      <c r="H31" t="s">
        <v>300</v>
      </c>
      <c r="I31" t="s">
        <v>648</v>
      </c>
      <c r="J31" t="s">
        <v>15</v>
      </c>
      <c r="K31" s="43">
        <v>1.47E-2</v>
      </c>
      <c r="L31" s="39">
        <v>-1.9800000000000002E-2</v>
      </c>
      <c r="M31" s="39">
        <v>-4.7500000000000001E-2</v>
      </c>
      <c r="N31" s="43">
        <v>-2.1499999999999998E-2</v>
      </c>
      <c r="O31" s="39">
        <v>0.12330000000000001</v>
      </c>
      <c r="P31" s="39">
        <v>0.2356</v>
      </c>
      <c r="Q31" s="39">
        <v>0.2092</v>
      </c>
      <c r="R31" s="39">
        <v>0.2747</v>
      </c>
      <c r="S31" s="39">
        <v>0.30830000000000002</v>
      </c>
      <c r="T31">
        <v>29.27</v>
      </c>
      <c r="U31">
        <v>36.590000000000003</v>
      </c>
      <c r="V31">
        <v>21.95</v>
      </c>
      <c r="W31" s="17">
        <v>2757.4463000000001</v>
      </c>
      <c r="X31" s="83" t="s">
        <v>639</v>
      </c>
    </row>
    <row r="32" spans="7:25" x14ac:dyDescent="0.15">
      <c r="G32" s="11">
        <v>31</v>
      </c>
      <c r="H32" t="s">
        <v>155</v>
      </c>
      <c r="I32" t="s">
        <v>341</v>
      </c>
      <c r="J32" t="s">
        <v>15</v>
      </c>
      <c r="K32" s="43">
        <v>1.38E-2</v>
      </c>
      <c r="L32" s="39">
        <v>-8.8999999999999999E-3</v>
      </c>
      <c r="M32" s="39">
        <v>-1.1599999999999999E-2</v>
      </c>
      <c r="N32" s="43">
        <v>-3.1399999999999997E-2</v>
      </c>
      <c r="O32" s="39">
        <v>8.8300000000000003E-2</v>
      </c>
      <c r="P32" s="39">
        <v>0.1328</v>
      </c>
      <c r="Q32" s="39">
        <v>4.6699999999999998E-2</v>
      </c>
      <c r="R32" s="39">
        <v>3.8800000000000001E-2</v>
      </c>
      <c r="S32" s="39">
        <v>-0.1835</v>
      </c>
      <c r="T32">
        <v>26.83</v>
      </c>
      <c r="U32">
        <v>29.27</v>
      </c>
      <c r="V32">
        <v>29.27</v>
      </c>
      <c r="W32" s="17">
        <v>11380.234200000001</v>
      </c>
    </row>
    <row r="33" spans="7:25" x14ac:dyDescent="0.15">
      <c r="G33" s="11">
        <v>32</v>
      </c>
      <c r="H33" t="s">
        <v>166</v>
      </c>
      <c r="I33" t="s">
        <v>348</v>
      </c>
      <c r="J33" t="s">
        <v>15</v>
      </c>
      <c r="K33" s="43">
        <v>1.9E-2</v>
      </c>
      <c r="L33" s="39">
        <v>-6.9999999999999999E-4</v>
      </c>
      <c r="M33" s="39">
        <v>-1.2200000000000001E-2</v>
      </c>
      <c r="N33" s="43">
        <v>-1.01E-2</v>
      </c>
      <c r="O33" s="39">
        <v>1.11E-2</v>
      </c>
      <c r="P33" s="39">
        <v>8.8099999999999998E-2</v>
      </c>
      <c r="Q33" s="39">
        <v>0.1668</v>
      </c>
      <c r="R33" s="39">
        <v>0.36959999999999998</v>
      </c>
      <c r="S33" s="39">
        <v>0.11459999999999999</v>
      </c>
      <c r="T33">
        <v>24.39</v>
      </c>
      <c r="U33">
        <v>43.9</v>
      </c>
      <c r="V33">
        <v>14.63</v>
      </c>
      <c r="W33" s="17">
        <v>9341.1866000000009</v>
      </c>
    </row>
    <row r="34" spans="7:25" x14ac:dyDescent="0.15">
      <c r="G34" s="11">
        <v>33</v>
      </c>
      <c r="H34" t="s">
        <v>977</v>
      </c>
      <c r="I34" t="s">
        <v>978</v>
      </c>
      <c r="J34" t="s">
        <v>185</v>
      </c>
      <c r="K34" s="43">
        <v>6.6E-3</v>
      </c>
      <c r="L34" s="39">
        <v>-7.9000000000000008E-3</v>
      </c>
      <c r="M34" s="39">
        <v>-3.0800000000000001E-2</v>
      </c>
      <c r="N34" s="43">
        <v>-5.3699999999999998E-2</v>
      </c>
      <c r="O34" s="39">
        <v>0.1198</v>
      </c>
      <c r="P34" s="39">
        <v>0.12970000000000001</v>
      </c>
      <c r="Q34" s="39">
        <v>0.18920000000000001</v>
      </c>
      <c r="R34" s="39">
        <v>0.2024</v>
      </c>
      <c r="S34" s="39">
        <v>-0.18240000000000001</v>
      </c>
      <c r="T34">
        <v>21.95</v>
      </c>
      <c r="U34">
        <v>17.07</v>
      </c>
      <c r="V34">
        <v>39.020000000000003</v>
      </c>
      <c r="W34" s="17">
        <v>18465.446802000002</v>
      </c>
      <c r="X34" s="83" t="s">
        <v>639</v>
      </c>
    </row>
    <row r="35" spans="7:25" x14ac:dyDescent="0.15">
      <c r="G35" s="11">
        <v>34</v>
      </c>
      <c r="H35" t="s">
        <v>169</v>
      </c>
      <c r="I35" t="s">
        <v>339</v>
      </c>
      <c r="J35" t="s">
        <v>15</v>
      </c>
      <c r="K35" s="43">
        <v>4.0000000000000001E-3</v>
      </c>
      <c r="L35" s="39">
        <v>-1.14E-2</v>
      </c>
      <c r="M35" s="39">
        <v>1.2999999999999999E-3</v>
      </c>
      <c r="N35" s="43">
        <v>-7.2700000000000001E-2</v>
      </c>
      <c r="O35" s="39">
        <v>7.0699999999999999E-2</v>
      </c>
      <c r="P35" s="39">
        <v>4.6100000000000002E-2</v>
      </c>
      <c r="Q35" s="39">
        <v>-4.2200000000000001E-2</v>
      </c>
      <c r="R35" s="39">
        <v>-0.1464</v>
      </c>
      <c r="S35" s="39">
        <v>-0.51929999999999998</v>
      </c>
      <c r="T35">
        <v>19.510000000000002</v>
      </c>
      <c r="U35">
        <v>9.76</v>
      </c>
      <c r="V35">
        <v>43.9</v>
      </c>
      <c r="W35" s="17">
        <v>188759.63149999999</v>
      </c>
    </row>
    <row r="36" spans="7:25" x14ac:dyDescent="0.15">
      <c r="G36" s="11">
        <v>35</v>
      </c>
      <c r="H36" t="s">
        <v>168</v>
      </c>
      <c r="I36" t="s">
        <v>337</v>
      </c>
      <c r="J36" t="s">
        <v>15</v>
      </c>
      <c r="K36" s="43">
        <v>7.4999999999999997E-3</v>
      </c>
      <c r="L36" s="39">
        <v>-1.4800000000000001E-2</v>
      </c>
      <c r="M36" s="39">
        <v>-3.8E-3</v>
      </c>
      <c r="N36" s="43">
        <v>-6.9599999999999995E-2</v>
      </c>
      <c r="O36" s="39">
        <v>3.49E-2</v>
      </c>
      <c r="P36" s="39">
        <v>4.4000000000000003E-3</v>
      </c>
      <c r="Q36" s="39">
        <v>3.3599999999999998E-2</v>
      </c>
      <c r="R36" s="39">
        <v>-2.0799999999999999E-2</v>
      </c>
      <c r="S36" s="39">
        <v>-0.49580000000000002</v>
      </c>
      <c r="T36">
        <v>17.07</v>
      </c>
      <c r="U36">
        <v>14.63</v>
      </c>
      <c r="V36">
        <v>36.590000000000003</v>
      </c>
      <c r="W36" s="17">
        <v>191868.07519999999</v>
      </c>
    </row>
    <row r="37" spans="7:25" x14ac:dyDescent="0.15">
      <c r="G37" s="11">
        <v>36</v>
      </c>
      <c r="H37" t="s">
        <v>117</v>
      </c>
      <c r="I37" t="s">
        <v>913</v>
      </c>
      <c r="J37" t="s">
        <v>15</v>
      </c>
      <c r="K37" s="43">
        <v>5.7999999999999996E-3</v>
      </c>
      <c r="L37" s="39">
        <v>-4.1000000000000003E-3</v>
      </c>
      <c r="M37" s="39">
        <v>2.46E-2</v>
      </c>
      <c r="N37" s="43">
        <v>-7.4200000000000002E-2</v>
      </c>
      <c r="O37" s="39">
        <v>-9.0499999999999997E-2</v>
      </c>
      <c r="P37" s="39">
        <v>-0.19220000000000001</v>
      </c>
      <c r="Q37" s="39">
        <v>-0.27529999999999999</v>
      </c>
      <c r="R37" s="39">
        <v>-0.2344</v>
      </c>
      <c r="S37" s="39">
        <v>-0.66749999999999998</v>
      </c>
      <c r="T37">
        <v>14.63</v>
      </c>
      <c r="U37">
        <v>7.32</v>
      </c>
      <c r="V37">
        <v>41.46</v>
      </c>
      <c r="W37" s="17">
        <v>86748.955600000001</v>
      </c>
    </row>
    <row r="38" spans="7:25" x14ac:dyDescent="0.15">
      <c r="G38" s="11">
        <v>37</v>
      </c>
      <c r="H38" t="s">
        <v>161</v>
      </c>
      <c r="I38" t="s">
        <v>332</v>
      </c>
      <c r="J38" t="s">
        <v>15</v>
      </c>
      <c r="K38" s="43">
        <v>1.4500000000000001E-2</v>
      </c>
      <c r="L38" s="39">
        <v>-1.0800000000000001E-2</v>
      </c>
      <c r="M38" s="39">
        <v>-1.2999999999999999E-2</v>
      </c>
      <c r="N38" s="43">
        <v>-3.9100000000000003E-2</v>
      </c>
      <c r="O38" s="39">
        <v>6.9900000000000004E-2</v>
      </c>
      <c r="P38" s="39">
        <v>0.10879999999999999</v>
      </c>
      <c r="Q38" s="39">
        <v>2.53E-2</v>
      </c>
      <c r="R38" s="39">
        <v>-1.2999999999999999E-3</v>
      </c>
      <c r="S38" s="39">
        <v>-0.24560000000000001</v>
      </c>
      <c r="T38">
        <v>12.2</v>
      </c>
      <c r="U38">
        <v>24.39</v>
      </c>
      <c r="V38">
        <v>24.39</v>
      </c>
      <c r="W38" s="17">
        <v>59852.045960000003</v>
      </c>
    </row>
    <row r="39" spans="7:25" x14ac:dyDescent="0.15">
      <c r="G39" s="11">
        <v>38</v>
      </c>
      <c r="H39" t="s">
        <v>395</v>
      </c>
      <c r="I39" t="s">
        <v>396</v>
      </c>
      <c r="J39" t="s">
        <v>15</v>
      </c>
      <c r="K39" s="43">
        <v>1.4E-2</v>
      </c>
      <c r="L39" s="39">
        <v>1.2999999999999999E-3</v>
      </c>
      <c r="M39" s="39">
        <v>4.3400000000000001E-2</v>
      </c>
      <c r="N39" s="43">
        <v>-7.0099999999999996E-2</v>
      </c>
      <c r="O39" s="39">
        <v>-9.69E-2</v>
      </c>
      <c r="P39" s="39">
        <v>-0.18890000000000001</v>
      </c>
      <c r="Q39" s="39">
        <v>-0.23619999999999999</v>
      </c>
      <c r="R39" s="39">
        <v>-0.36599999999999999</v>
      </c>
      <c r="S39" s="39">
        <v>-0.36599999999999999</v>
      </c>
      <c r="T39">
        <v>9.76</v>
      </c>
      <c r="U39">
        <v>12.2</v>
      </c>
      <c r="V39">
        <v>26.83</v>
      </c>
      <c r="W39" s="17">
        <v>77854.043300000005</v>
      </c>
      <c r="X39" s="83" t="s">
        <v>639</v>
      </c>
    </row>
    <row r="40" spans="7:25" x14ac:dyDescent="0.15">
      <c r="G40" s="11">
        <v>39</v>
      </c>
      <c r="H40" t="s">
        <v>397</v>
      </c>
      <c r="I40" t="s">
        <v>398</v>
      </c>
      <c r="J40" t="s">
        <v>15</v>
      </c>
      <c r="K40" s="43">
        <v>1.2699999999999999E-2</v>
      </c>
      <c r="L40" s="39">
        <v>-2.9999999999999997E-4</v>
      </c>
      <c r="M40" s="39">
        <v>3.3799999999999997E-2</v>
      </c>
      <c r="N40" s="43">
        <v>-7.4700000000000003E-2</v>
      </c>
      <c r="O40" s="39">
        <v>-0.1014</v>
      </c>
      <c r="P40" s="39">
        <v>-0.19600000000000001</v>
      </c>
      <c r="Q40" s="39">
        <v>-0.26960000000000001</v>
      </c>
      <c r="R40" s="39">
        <v>-0.37690000000000001</v>
      </c>
      <c r="S40" s="39">
        <v>-0.37690000000000001</v>
      </c>
      <c r="T40">
        <v>7.32</v>
      </c>
      <c r="U40">
        <v>4.88</v>
      </c>
      <c r="V40">
        <v>31.71</v>
      </c>
      <c r="W40" s="17">
        <v>4868.5253299999995</v>
      </c>
      <c r="X40" s="83" t="s">
        <v>639</v>
      </c>
    </row>
    <row r="41" spans="7:25" x14ac:dyDescent="0.15">
      <c r="G41" s="11">
        <v>40</v>
      </c>
      <c r="H41" t="s">
        <v>173</v>
      </c>
      <c r="I41" t="s">
        <v>347</v>
      </c>
      <c r="J41" t="s">
        <v>15</v>
      </c>
      <c r="K41" s="43">
        <v>2.0899999999999998E-2</v>
      </c>
      <c r="L41" s="39">
        <v>-2.0899999999999998E-2</v>
      </c>
      <c r="M41" s="39">
        <v>-3.1E-2</v>
      </c>
      <c r="N41" s="43">
        <v>-4.0300000000000002E-2</v>
      </c>
      <c r="O41" s="39">
        <v>-2.6599999999999999E-2</v>
      </c>
      <c r="P41" s="39">
        <v>4.8800000000000003E-2</v>
      </c>
      <c r="Q41" s="39">
        <v>0.1222</v>
      </c>
      <c r="R41" s="39">
        <v>0.39040000000000002</v>
      </c>
      <c r="S41" s="39">
        <v>0.2707</v>
      </c>
      <c r="T41">
        <v>4.88</v>
      </c>
      <c r="U41">
        <v>21.95</v>
      </c>
      <c r="V41">
        <v>12.2</v>
      </c>
      <c r="W41" s="17">
        <v>4149.3059000000003</v>
      </c>
      <c r="X41" s="83" t="s">
        <v>639</v>
      </c>
      <c r="Y41" s="81" t="s">
        <v>657</v>
      </c>
    </row>
    <row r="42" spans="7:25" x14ac:dyDescent="0.15">
      <c r="G42" s="11">
        <v>41</v>
      </c>
      <c r="H42" t="s">
        <v>171</v>
      </c>
      <c r="I42" t="s">
        <v>343</v>
      </c>
      <c r="J42" t="s">
        <v>15</v>
      </c>
      <c r="K42" s="43">
        <v>4.9799999999999997E-2</v>
      </c>
      <c r="L42" s="39">
        <v>-2.8400000000000002E-2</v>
      </c>
      <c r="M42" s="39">
        <v>-6.3799999999999996E-2</v>
      </c>
      <c r="N42" s="43">
        <v>-0.1489</v>
      </c>
      <c r="O42" s="39">
        <v>-0.18229999999999999</v>
      </c>
      <c r="P42" s="39">
        <v>-0.21110000000000001</v>
      </c>
      <c r="Q42" s="39">
        <v>-4.3200000000000002E-2</v>
      </c>
      <c r="R42" s="39">
        <v>0.63380000000000003</v>
      </c>
      <c r="S42" s="39">
        <v>-0.49990000000000001</v>
      </c>
      <c r="T42">
        <v>2.44</v>
      </c>
      <c r="U42">
        <v>2.44</v>
      </c>
      <c r="V42">
        <v>2.44</v>
      </c>
      <c r="W42" s="17">
        <v>3712.1471999999999</v>
      </c>
      <c r="X42" s="83" t="s">
        <v>639</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
  <sheetViews>
    <sheetView workbookViewId="0">
      <selection activeCell="H11" sqref="H11:I11"/>
    </sheetView>
  </sheetViews>
  <sheetFormatPr defaultRowHeight="14.25" x14ac:dyDescent="0.15"/>
  <cols>
    <col min="5" max="5" width="9" style="39"/>
  </cols>
  <sheetData>
    <row r="1" spans="1:23" x14ac:dyDescent="0.15">
      <c r="A1" s="91"/>
      <c r="B1" s="91" t="s">
        <v>420</v>
      </c>
      <c r="C1" s="91" t="s">
        <v>1073</v>
      </c>
      <c r="D1" s="91" t="s">
        <v>356</v>
      </c>
      <c r="E1" s="51" t="s">
        <v>365</v>
      </c>
    </row>
    <row r="2" spans="1:23" x14ac:dyDescent="0.15">
      <c r="A2" s="92">
        <v>0</v>
      </c>
      <c r="B2" s="93" t="s">
        <v>1070</v>
      </c>
      <c r="C2" s="93" t="s">
        <v>1071</v>
      </c>
      <c r="D2" s="93">
        <v>144.1</v>
      </c>
      <c r="E2" s="34">
        <v>-1.23E-2</v>
      </c>
    </row>
    <row r="3" spans="1:23" x14ac:dyDescent="0.15">
      <c r="A3" s="94">
        <v>1</v>
      </c>
      <c r="B3" s="94" t="s">
        <v>1072</v>
      </c>
      <c r="C3" s="94"/>
      <c r="D3" s="94"/>
      <c r="W3" t="s">
        <v>1078</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N14" sqref="N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52</v>
      </c>
      <c r="B1" s="19" t="s">
        <v>421</v>
      </c>
      <c r="C1" s="19" t="s">
        <v>422</v>
      </c>
      <c r="D1" s="19" t="s">
        <v>323</v>
      </c>
      <c r="E1" s="22"/>
      <c r="F1" s="23" t="s">
        <v>178</v>
      </c>
      <c r="G1" s="20"/>
      <c r="H1" s="45" t="s">
        <v>420</v>
      </c>
      <c r="I1" s="19" t="s">
        <v>423</v>
      </c>
      <c r="J1" s="18" t="s">
        <v>424</v>
      </c>
      <c r="K1" s="18" t="s">
        <v>425</v>
      </c>
      <c r="L1" s="18" t="s">
        <v>426</v>
      </c>
      <c r="M1" s="18" t="s">
        <v>427</v>
      </c>
      <c r="N1" s="46" t="s">
        <v>428</v>
      </c>
      <c r="O1" s="18" t="s">
        <v>429</v>
      </c>
      <c r="P1" s="46" t="s">
        <v>430</v>
      </c>
      <c r="Q1" s="18" t="s">
        <v>431</v>
      </c>
      <c r="R1" s="46" t="s">
        <v>432</v>
      </c>
      <c r="S1" s="18" t="s">
        <v>433</v>
      </c>
      <c r="T1" s="18" t="s">
        <v>434</v>
      </c>
      <c r="U1" s="46" t="s">
        <v>435</v>
      </c>
      <c r="V1" s="18" t="s">
        <v>436</v>
      </c>
      <c r="W1" s="46" t="s">
        <v>437</v>
      </c>
      <c r="X1" s="18" t="s">
        <v>28</v>
      </c>
      <c r="Y1" s="18" t="s">
        <v>438</v>
      </c>
      <c r="Z1" s="18" t="s">
        <v>439</v>
      </c>
      <c r="AA1" s="18" t="s">
        <v>440</v>
      </c>
      <c r="AB1" s="18" t="s">
        <v>441</v>
      </c>
      <c r="AC1" s="18" t="s">
        <v>442</v>
      </c>
      <c r="AE1" s="87" t="s">
        <v>604</v>
      </c>
    </row>
    <row r="2" spans="1:31" x14ac:dyDescent="0.15">
      <c r="A2">
        <v>1</v>
      </c>
      <c r="B2">
        <v>14</v>
      </c>
      <c r="C2" t="s">
        <v>573</v>
      </c>
      <c r="D2">
        <f>MATCH(B2,$H$2:$H$4000,0)</f>
        <v>77</v>
      </c>
      <c r="G2" s="11">
        <v>1</v>
      </c>
      <c r="H2" s="44">
        <v>600455</v>
      </c>
      <c r="I2" t="s">
        <v>443</v>
      </c>
      <c r="J2" s="17" t="s">
        <v>444</v>
      </c>
      <c r="K2" t="s">
        <v>445</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603</v>
      </c>
      <c r="D3">
        <f t="shared" ref="D3:D11" si="0">MATCH(B3,$H$2:$H$4000,0)</f>
        <v>38</v>
      </c>
      <c r="G3" s="11">
        <v>2</v>
      </c>
      <c r="H3" s="44">
        <v>603860</v>
      </c>
      <c r="I3" t="s">
        <v>446</v>
      </c>
      <c r="J3" s="17" t="s">
        <v>447</v>
      </c>
      <c r="K3" t="s">
        <v>448</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572</v>
      </c>
      <c r="D4">
        <f t="shared" si="0"/>
        <v>76</v>
      </c>
      <c r="G4" s="11">
        <v>3</v>
      </c>
      <c r="H4" s="44">
        <v>300789</v>
      </c>
      <c r="I4" t="s">
        <v>449</v>
      </c>
      <c r="J4" s="17" t="s">
        <v>197</v>
      </c>
      <c r="K4" t="s">
        <v>450</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544</v>
      </c>
      <c r="D5">
        <f t="shared" si="0"/>
        <v>56</v>
      </c>
      <c r="G5" s="11">
        <v>4</v>
      </c>
      <c r="H5" s="44">
        <v>300899</v>
      </c>
      <c r="I5" t="s">
        <v>451</v>
      </c>
      <c r="J5" s="17" t="s">
        <v>452</v>
      </c>
      <c r="K5" t="s">
        <v>453</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449</v>
      </c>
      <c r="D6">
        <f t="shared" si="0"/>
        <v>3</v>
      </c>
      <c r="G6" s="11">
        <v>5</v>
      </c>
      <c r="H6" s="44">
        <v>300929</v>
      </c>
      <c r="I6" t="s">
        <v>454</v>
      </c>
      <c r="J6" s="17" t="s">
        <v>452</v>
      </c>
      <c r="K6" t="s">
        <v>455</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473</v>
      </c>
      <c r="D7">
        <f t="shared" si="0"/>
        <v>13</v>
      </c>
      <c r="G7" s="11">
        <v>6</v>
      </c>
      <c r="H7" s="44">
        <v>603813</v>
      </c>
      <c r="I7" t="s">
        <v>456</v>
      </c>
      <c r="J7" s="17" t="s">
        <v>457</v>
      </c>
      <c r="K7" t="s">
        <v>458</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487</v>
      </c>
      <c r="D8">
        <f t="shared" si="0"/>
        <v>18</v>
      </c>
      <c r="G8" s="11">
        <v>7</v>
      </c>
      <c r="H8" s="44">
        <v>603269</v>
      </c>
      <c r="I8" t="s">
        <v>459</v>
      </c>
      <c r="J8" s="17" t="s">
        <v>460</v>
      </c>
      <c r="K8" t="s">
        <v>461</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595</v>
      </c>
      <c r="D9">
        <f t="shared" si="0"/>
        <v>95</v>
      </c>
      <c r="G9" s="11">
        <v>8</v>
      </c>
      <c r="H9" s="44">
        <v>1211</v>
      </c>
      <c r="I9" t="s">
        <v>462</v>
      </c>
      <c r="J9" s="17" t="s">
        <v>463</v>
      </c>
      <c r="K9" t="s">
        <v>464</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443</v>
      </c>
      <c r="D10">
        <f t="shared" si="0"/>
        <v>1</v>
      </c>
      <c r="G10" s="11">
        <v>9</v>
      </c>
      <c r="H10" s="44">
        <v>2830</v>
      </c>
      <c r="I10" t="s">
        <v>465</v>
      </c>
      <c r="J10" s="17" t="s">
        <v>447</v>
      </c>
      <c r="K10" t="s">
        <v>466</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467</v>
      </c>
      <c r="D11">
        <f t="shared" si="0"/>
        <v>10</v>
      </c>
      <c r="G11" s="11">
        <v>10</v>
      </c>
      <c r="H11" s="44">
        <v>603037</v>
      </c>
      <c r="I11" t="s">
        <v>467</v>
      </c>
      <c r="J11" s="17" t="s">
        <v>468</v>
      </c>
      <c r="K11" t="s">
        <v>469</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470</v>
      </c>
      <c r="J12" s="17" t="s">
        <v>460</v>
      </c>
      <c r="K12" t="s">
        <v>471</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472</v>
      </c>
      <c r="J13" s="17" t="s">
        <v>460</v>
      </c>
      <c r="K13" t="s">
        <v>461</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473</v>
      </c>
      <c r="J14" s="17" t="s">
        <v>474</v>
      </c>
      <c r="K14" t="s">
        <v>475</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476</v>
      </c>
      <c r="J15" s="17" t="s">
        <v>477</v>
      </c>
      <c r="K15" t="s">
        <v>478</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479</v>
      </c>
      <c r="J16" s="17" t="s">
        <v>460</v>
      </c>
      <c r="K16" t="s">
        <v>480</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481</v>
      </c>
      <c r="J17" s="17" t="s">
        <v>482</v>
      </c>
      <c r="K17" t="s">
        <v>483</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484</v>
      </c>
      <c r="J18" s="17" t="s">
        <v>485</v>
      </c>
      <c r="K18" t="s">
        <v>486</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487</v>
      </c>
      <c r="J19" s="17" t="s">
        <v>488</v>
      </c>
      <c r="K19" t="s">
        <v>488</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489</v>
      </c>
      <c r="J20" s="17" t="s">
        <v>447</v>
      </c>
      <c r="K20" t="s">
        <v>490</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491</v>
      </c>
      <c r="J21" s="17" t="s">
        <v>492</v>
      </c>
      <c r="K21" t="s">
        <v>493</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494</v>
      </c>
      <c r="J22" s="17" t="s">
        <v>452</v>
      </c>
      <c r="K22" t="s">
        <v>453</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495</v>
      </c>
      <c r="J23" s="17" t="s">
        <v>496</v>
      </c>
      <c r="K23" t="s">
        <v>497</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498</v>
      </c>
      <c r="J24" s="17" t="s">
        <v>499</v>
      </c>
      <c r="K24" t="s">
        <v>500</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501</v>
      </c>
      <c r="J25" s="17" t="s">
        <v>460</v>
      </c>
      <c r="K25" t="s">
        <v>471</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502</v>
      </c>
      <c r="J26" s="17" t="s">
        <v>496</v>
      </c>
      <c r="K26" t="s">
        <v>497</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503</v>
      </c>
      <c r="J27" s="17" t="s">
        <v>492</v>
      </c>
      <c r="K27" t="s">
        <v>504</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505</v>
      </c>
      <c r="J28" s="17" t="s">
        <v>492</v>
      </c>
      <c r="K28" t="s">
        <v>493</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506</v>
      </c>
      <c r="J29" s="17" t="s">
        <v>492</v>
      </c>
      <c r="K29" t="s">
        <v>504</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507</v>
      </c>
      <c r="J30" s="17" t="s">
        <v>447</v>
      </c>
      <c r="K30" t="s">
        <v>508</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509</v>
      </c>
      <c r="J31" s="17" t="s">
        <v>460</v>
      </c>
      <c r="K31" t="s">
        <v>461</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510</v>
      </c>
      <c r="J32" s="17" t="s">
        <v>474</v>
      </c>
      <c r="K32" t="s">
        <v>511</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512</v>
      </c>
      <c r="J33" s="17" t="s">
        <v>499</v>
      </c>
      <c r="K33" t="s">
        <v>513</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514</v>
      </c>
      <c r="J34" s="17" t="s">
        <v>474</v>
      </c>
      <c r="K34" t="s">
        <v>515</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516</v>
      </c>
      <c r="J35" s="17" t="s">
        <v>463</v>
      </c>
      <c r="K35" t="s">
        <v>464</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517</v>
      </c>
      <c r="J36" s="17" t="s">
        <v>447</v>
      </c>
      <c r="K36" t="s">
        <v>508</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518</v>
      </c>
      <c r="J37" s="17" t="s">
        <v>460</v>
      </c>
      <c r="K37" t="s">
        <v>461</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519</v>
      </c>
      <c r="J38" s="17" t="s">
        <v>460</v>
      </c>
      <c r="K38" t="s">
        <v>461</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520</v>
      </c>
      <c r="J39" s="17" t="s">
        <v>463</v>
      </c>
      <c r="K39" t="s">
        <v>521</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522</v>
      </c>
      <c r="J40" s="17" t="s">
        <v>499</v>
      </c>
      <c r="K40" t="s">
        <v>513</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523</v>
      </c>
      <c r="J41" s="17" t="s">
        <v>457</v>
      </c>
      <c r="K41" t="s">
        <v>524</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525</v>
      </c>
      <c r="J42" s="17" t="s">
        <v>499</v>
      </c>
      <c r="K42" t="s">
        <v>513</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526</v>
      </c>
      <c r="J43" s="17" t="s">
        <v>460</v>
      </c>
      <c r="K43" t="s">
        <v>461</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527</v>
      </c>
      <c r="J44" s="17" t="s">
        <v>460</v>
      </c>
      <c r="K44" t="s">
        <v>480</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528</v>
      </c>
      <c r="J45" s="17" t="s">
        <v>460</v>
      </c>
      <c r="K45" t="s">
        <v>529</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530</v>
      </c>
      <c r="J46" s="17" t="s">
        <v>447</v>
      </c>
      <c r="K46" t="s">
        <v>508</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531</v>
      </c>
      <c r="J47" s="17" t="s">
        <v>447</v>
      </c>
      <c r="K47" t="s">
        <v>508</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532</v>
      </c>
      <c r="J48" s="17" t="s">
        <v>460</v>
      </c>
      <c r="K48" t="s">
        <v>461</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533</v>
      </c>
      <c r="J49" s="17" t="s">
        <v>197</v>
      </c>
      <c r="K49" t="s">
        <v>534</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535</v>
      </c>
      <c r="J50" s="17" t="s">
        <v>463</v>
      </c>
      <c r="K50" t="s">
        <v>464</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536</v>
      </c>
      <c r="J51" s="17" t="s">
        <v>460</v>
      </c>
      <c r="K51" t="s">
        <v>461</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537</v>
      </c>
      <c r="J52" s="17" t="s">
        <v>492</v>
      </c>
      <c r="K52" t="s">
        <v>504</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538</v>
      </c>
      <c r="J53" s="17" t="s">
        <v>496</v>
      </c>
      <c r="K53" t="s">
        <v>539</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540</v>
      </c>
      <c r="J54" s="17" t="s">
        <v>499</v>
      </c>
      <c r="K54" t="s">
        <v>500</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541</v>
      </c>
      <c r="J55" s="17" t="s">
        <v>452</v>
      </c>
      <c r="K55" t="s">
        <v>542</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543</v>
      </c>
      <c r="J56" s="17" t="s">
        <v>460</v>
      </c>
      <c r="K56" t="s">
        <v>471</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544</v>
      </c>
      <c r="J57" s="17" t="s">
        <v>447</v>
      </c>
      <c r="K57" t="s">
        <v>545</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546</v>
      </c>
      <c r="J58" s="17" t="s">
        <v>197</v>
      </c>
      <c r="K58" t="s">
        <v>534</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547</v>
      </c>
      <c r="J59" s="17" t="s">
        <v>452</v>
      </c>
      <c r="K59" t="s">
        <v>548</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549</v>
      </c>
      <c r="J60" s="17" t="s">
        <v>468</v>
      </c>
      <c r="K60" t="s">
        <v>469</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550</v>
      </c>
      <c r="J61" s="17" t="s">
        <v>496</v>
      </c>
      <c r="K61" t="s">
        <v>551</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552</v>
      </c>
      <c r="J62" s="17" t="s">
        <v>447</v>
      </c>
      <c r="K62" t="s">
        <v>545</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553</v>
      </c>
      <c r="J63" s="17" t="s">
        <v>499</v>
      </c>
      <c r="K63" t="s">
        <v>500</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554</v>
      </c>
      <c r="J64" s="17" t="s">
        <v>555</v>
      </c>
      <c r="K64" t="s">
        <v>556</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557</v>
      </c>
      <c r="J65" s="17" t="s">
        <v>499</v>
      </c>
      <c r="K65" t="s">
        <v>500</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558</v>
      </c>
      <c r="J66" s="17" t="s">
        <v>492</v>
      </c>
      <c r="K66" t="s">
        <v>493</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559</v>
      </c>
      <c r="J67" s="17" t="s">
        <v>499</v>
      </c>
      <c r="K67" t="s">
        <v>500</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560</v>
      </c>
      <c r="J68" s="17" t="s">
        <v>468</v>
      </c>
      <c r="K68" t="s">
        <v>469</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561</v>
      </c>
      <c r="J69" s="17" t="s">
        <v>447</v>
      </c>
      <c r="K69" t="s">
        <v>466</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562</v>
      </c>
      <c r="J70" s="17" t="s">
        <v>444</v>
      </c>
      <c r="K70" t="s">
        <v>445</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563</v>
      </c>
      <c r="J71" s="17" t="s">
        <v>499</v>
      </c>
      <c r="K71" t="s">
        <v>500</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564</v>
      </c>
      <c r="J72" s="17" t="s">
        <v>468</v>
      </c>
      <c r="K72" t="s">
        <v>469</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565</v>
      </c>
      <c r="J73" s="17" t="s">
        <v>460</v>
      </c>
      <c r="K73" t="s">
        <v>471</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566</v>
      </c>
      <c r="J74" s="17" t="s">
        <v>567</v>
      </c>
      <c r="K74" t="s">
        <v>568</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569</v>
      </c>
      <c r="J75" s="17" t="s">
        <v>477</v>
      </c>
      <c r="K75" t="s">
        <v>570</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571</v>
      </c>
      <c r="J76" s="17" t="s">
        <v>444</v>
      </c>
      <c r="K76" t="s">
        <v>445</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572</v>
      </c>
      <c r="J77" s="17" t="s">
        <v>460</v>
      </c>
      <c r="K77" t="s">
        <v>529</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573</v>
      </c>
      <c r="J78" s="17" t="s">
        <v>485</v>
      </c>
      <c r="K78" t="s">
        <v>486</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574</v>
      </c>
      <c r="J79" s="17" t="s">
        <v>188</v>
      </c>
      <c r="K79" t="s">
        <v>575</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576</v>
      </c>
      <c r="J80" s="17" t="s">
        <v>460</v>
      </c>
      <c r="K80" t="s">
        <v>480</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577</v>
      </c>
      <c r="J81" s="17" t="s">
        <v>477</v>
      </c>
      <c r="K81" t="s">
        <v>570</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578</v>
      </c>
      <c r="J82" s="17" t="s">
        <v>492</v>
      </c>
      <c r="K82" t="s">
        <v>493</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579</v>
      </c>
      <c r="J83" s="17" t="s">
        <v>447</v>
      </c>
      <c r="K83" t="s">
        <v>490</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580</v>
      </c>
      <c r="J84" s="17" t="s">
        <v>555</v>
      </c>
      <c r="K84" t="s">
        <v>581</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582</v>
      </c>
      <c r="J85" s="17" t="s">
        <v>447</v>
      </c>
      <c r="K85" t="s">
        <v>545</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583</v>
      </c>
      <c r="J86" s="17" t="s">
        <v>499</v>
      </c>
      <c r="K86" t="s">
        <v>513</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584</v>
      </c>
      <c r="J87" s="17" t="s">
        <v>499</v>
      </c>
      <c r="K87" t="s">
        <v>513</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585</v>
      </c>
      <c r="J88" s="17" t="s">
        <v>567</v>
      </c>
      <c r="K88" t="s">
        <v>568</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586</v>
      </c>
      <c r="J89" s="17" t="s">
        <v>447</v>
      </c>
      <c r="K89" t="s">
        <v>490</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587</v>
      </c>
      <c r="J90" s="17" t="s">
        <v>474</v>
      </c>
      <c r="K90" t="s">
        <v>475</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588</v>
      </c>
      <c r="J91" s="17" t="s">
        <v>499</v>
      </c>
      <c r="K91" t="s">
        <v>589</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590</v>
      </c>
      <c r="J92" s="17" t="s">
        <v>499</v>
      </c>
      <c r="K92" t="s">
        <v>500</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591</v>
      </c>
      <c r="J93" s="17" t="s">
        <v>567</v>
      </c>
      <c r="K93" t="s">
        <v>592</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593</v>
      </c>
      <c r="J94" s="17" t="s">
        <v>468</v>
      </c>
      <c r="K94" t="s">
        <v>469</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594</v>
      </c>
      <c r="J95" s="17" t="s">
        <v>460</v>
      </c>
      <c r="K95" t="s">
        <v>480</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595</v>
      </c>
      <c r="J96" s="17" t="s">
        <v>499</v>
      </c>
      <c r="K96" t="s">
        <v>589</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596</v>
      </c>
      <c r="J97" s="17" t="s">
        <v>567</v>
      </c>
      <c r="K97" t="s">
        <v>597</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598</v>
      </c>
      <c r="J98" s="17" t="s">
        <v>482</v>
      </c>
      <c r="K98" t="s">
        <v>483</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599</v>
      </c>
      <c r="J99" s="17" t="s">
        <v>567</v>
      </c>
      <c r="K99" t="s">
        <v>568</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600</v>
      </c>
      <c r="J100" s="17" t="s">
        <v>555</v>
      </c>
      <c r="K100" t="s">
        <v>601</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602</v>
      </c>
      <c r="J101" s="17" t="s">
        <v>452</v>
      </c>
      <c r="K101" t="s">
        <v>548</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N17" sqref="N1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52</v>
      </c>
      <c r="B1" s="19" t="s">
        <v>421</v>
      </c>
      <c r="C1" s="19" t="s">
        <v>422</v>
      </c>
      <c r="D1" s="19" t="s">
        <v>323</v>
      </c>
      <c r="E1" s="22"/>
      <c r="F1" s="23" t="s">
        <v>178</v>
      </c>
      <c r="G1" s="20"/>
      <c r="H1" s="86" t="s">
        <v>420</v>
      </c>
      <c r="I1" s="86" t="s">
        <v>423</v>
      </c>
      <c r="J1" s="86" t="s">
        <v>424</v>
      </c>
      <c r="K1" s="86" t="s">
        <v>425</v>
      </c>
      <c r="L1" s="86" t="s">
        <v>426</v>
      </c>
      <c r="M1" s="86" t="s">
        <v>427</v>
      </c>
      <c r="N1" s="86" t="s">
        <v>428</v>
      </c>
      <c r="O1" s="86" t="s">
        <v>659</v>
      </c>
      <c r="P1" s="86" t="s">
        <v>660</v>
      </c>
      <c r="Q1" s="86" t="s">
        <v>434</v>
      </c>
      <c r="R1" s="86" t="s">
        <v>661</v>
      </c>
      <c r="S1" s="86" t="s">
        <v>662</v>
      </c>
      <c r="T1" s="86" t="s">
        <v>663</v>
      </c>
      <c r="U1" s="86" t="s">
        <v>664</v>
      </c>
      <c r="V1" s="86" t="s">
        <v>28</v>
      </c>
      <c r="W1" s="86" t="s">
        <v>665</v>
      </c>
      <c r="X1" s="86" t="s">
        <v>666</v>
      </c>
      <c r="Y1" s="18" t="s">
        <v>442</v>
      </c>
      <c r="AA1" s="87" t="s">
        <v>658</v>
      </c>
    </row>
    <row r="2" spans="1:27" x14ac:dyDescent="0.15">
      <c r="A2">
        <v>1</v>
      </c>
      <c r="B2">
        <v>600704</v>
      </c>
      <c r="C2" t="s">
        <v>811</v>
      </c>
      <c r="D2" t="e">
        <f t="shared" ref="D2:D11" si="0">MATCH(B2,$H$2:$H$3898,0)</f>
        <v>#N/A</v>
      </c>
      <c r="G2" s="11">
        <v>1</v>
      </c>
      <c r="H2" s="84">
        <v>603071</v>
      </c>
      <c r="I2" s="84" t="s">
        <v>667</v>
      </c>
      <c r="J2" s="84" t="s">
        <v>452</v>
      </c>
      <c r="K2" s="84" t="s">
        <v>548</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684</v>
      </c>
      <c r="D3">
        <f t="shared" si="0"/>
        <v>13</v>
      </c>
      <c r="G3" s="11">
        <v>2</v>
      </c>
      <c r="H3" s="84">
        <v>600998</v>
      </c>
      <c r="I3" s="84" t="s">
        <v>668</v>
      </c>
      <c r="J3" s="84" t="s">
        <v>669</v>
      </c>
      <c r="K3" s="84" t="s">
        <v>670</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679</v>
      </c>
      <c r="D4">
        <f t="shared" si="0"/>
        <v>8</v>
      </c>
      <c r="G4" s="11">
        <v>3</v>
      </c>
      <c r="H4" s="84">
        <v>600073</v>
      </c>
      <c r="I4" s="84" t="s">
        <v>671</v>
      </c>
      <c r="J4" s="84" t="s">
        <v>672</v>
      </c>
      <c r="K4" s="84" t="s">
        <v>673</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680</v>
      </c>
      <c r="D5">
        <f t="shared" si="0"/>
        <v>9</v>
      </c>
      <c r="G5" s="11">
        <v>4</v>
      </c>
      <c r="H5" s="84">
        <v>600362</v>
      </c>
      <c r="I5" s="84" t="s">
        <v>674</v>
      </c>
      <c r="J5" s="84" t="s">
        <v>188</v>
      </c>
      <c r="K5" s="84" t="s">
        <v>575</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674</v>
      </c>
      <c r="D6">
        <f t="shared" si="0"/>
        <v>4</v>
      </c>
      <c r="G6" s="11">
        <v>5</v>
      </c>
      <c r="H6" s="84">
        <v>600820</v>
      </c>
      <c r="I6" s="84" t="s">
        <v>675</v>
      </c>
      <c r="J6" s="84" t="s">
        <v>447</v>
      </c>
      <c r="K6" s="84" t="s">
        <v>448</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812</v>
      </c>
      <c r="D7" t="e">
        <f t="shared" si="0"/>
        <v>#N/A</v>
      </c>
      <c r="G7" s="11">
        <v>6</v>
      </c>
      <c r="H7" s="84">
        <v>601607</v>
      </c>
      <c r="I7" s="84" t="s">
        <v>676</v>
      </c>
      <c r="J7" s="84" t="s">
        <v>669</v>
      </c>
      <c r="K7" s="84" t="s">
        <v>670</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681</v>
      </c>
      <c r="D8">
        <f t="shared" si="0"/>
        <v>10</v>
      </c>
      <c r="G8" s="11">
        <v>7</v>
      </c>
      <c r="H8" s="84">
        <v>600755</v>
      </c>
      <c r="I8" s="84" t="s">
        <v>677</v>
      </c>
      <c r="J8" s="84" t="s">
        <v>555</v>
      </c>
      <c r="K8" s="84" t="s">
        <v>678</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699</v>
      </c>
      <c r="D9">
        <f t="shared" si="0"/>
        <v>23</v>
      </c>
      <c r="G9" s="11">
        <v>8</v>
      </c>
      <c r="H9" s="84">
        <v>601618</v>
      </c>
      <c r="I9" s="84" t="s">
        <v>679</v>
      </c>
      <c r="J9" s="84" t="s">
        <v>447</v>
      </c>
      <c r="K9" s="84" t="s">
        <v>490</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667</v>
      </c>
      <c r="D10">
        <f t="shared" si="0"/>
        <v>1</v>
      </c>
      <c r="G10" s="11">
        <v>9</v>
      </c>
      <c r="H10" s="84">
        <v>600713</v>
      </c>
      <c r="I10" s="84" t="s">
        <v>680</v>
      </c>
      <c r="J10" s="84" t="s">
        <v>669</v>
      </c>
      <c r="K10" s="84" t="s">
        <v>670</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675</v>
      </c>
      <c r="D11">
        <f t="shared" si="0"/>
        <v>5</v>
      </c>
      <c r="G11" s="11">
        <v>10</v>
      </c>
      <c r="H11" s="84">
        <v>600710</v>
      </c>
      <c r="I11" s="84" t="s">
        <v>681</v>
      </c>
      <c r="J11" s="84" t="s">
        <v>555</v>
      </c>
      <c r="K11" s="84" t="s">
        <v>678</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682</v>
      </c>
      <c r="J12" s="84" t="s">
        <v>447</v>
      </c>
      <c r="K12" s="84" t="s">
        <v>448</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683</v>
      </c>
      <c r="J13" s="84" t="s">
        <v>669</v>
      </c>
      <c r="K13" s="84" t="s">
        <v>670</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684</v>
      </c>
      <c r="J14" s="84" t="s">
        <v>685</v>
      </c>
      <c r="K14" s="84" t="s">
        <v>686</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687</v>
      </c>
      <c r="J15" s="84" t="s">
        <v>468</v>
      </c>
      <c r="K15" s="84" t="s">
        <v>469</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688</v>
      </c>
      <c r="J16" s="84" t="s">
        <v>188</v>
      </c>
      <c r="K16" s="84" t="s">
        <v>575</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689</v>
      </c>
      <c r="J17" s="84" t="s">
        <v>457</v>
      </c>
      <c r="K17" s="84" t="s">
        <v>458</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690</v>
      </c>
      <c r="J18" s="84" t="s">
        <v>463</v>
      </c>
      <c r="K18" s="84" t="s">
        <v>464</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691</v>
      </c>
      <c r="J19" s="84" t="s">
        <v>692</v>
      </c>
      <c r="K19" s="84" t="s">
        <v>693</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694</v>
      </c>
      <c r="J20" s="84" t="s">
        <v>457</v>
      </c>
      <c r="K20" s="84" t="s">
        <v>458</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695</v>
      </c>
      <c r="J21" s="84" t="s">
        <v>460</v>
      </c>
      <c r="K21" s="84" t="s">
        <v>480</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696</v>
      </c>
      <c r="J22" s="84" t="s">
        <v>697</v>
      </c>
      <c r="K22" s="84" t="s">
        <v>697</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698</v>
      </c>
      <c r="J23" s="84" t="s">
        <v>697</v>
      </c>
      <c r="K23" s="84" t="s">
        <v>697</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699</v>
      </c>
      <c r="J24" s="84" t="s">
        <v>447</v>
      </c>
      <c r="K24" s="84" t="s">
        <v>448</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700</v>
      </c>
      <c r="J25" s="84" t="s">
        <v>452</v>
      </c>
      <c r="K25" s="84" t="s">
        <v>548</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701</v>
      </c>
      <c r="J26" s="84" t="s">
        <v>463</v>
      </c>
      <c r="K26" s="84" t="s">
        <v>464</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702</v>
      </c>
      <c r="J27" s="84" t="s">
        <v>555</v>
      </c>
      <c r="K27" s="84" t="s">
        <v>678</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703</v>
      </c>
      <c r="J28" s="84" t="s">
        <v>460</v>
      </c>
      <c r="K28" s="84" t="s">
        <v>471</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704</v>
      </c>
      <c r="J29" s="84" t="s">
        <v>457</v>
      </c>
      <c r="K29" s="84" t="s">
        <v>458</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705</v>
      </c>
      <c r="J30" s="84" t="s">
        <v>706</v>
      </c>
      <c r="K30" s="84" t="s">
        <v>707</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708</v>
      </c>
      <c r="J31" s="84" t="s">
        <v>474</v>
      </c>
      <c r="K31" s="84" t="s">
        <v>511</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709</v>
      </c>
      <c r="J32" s="84" t="s">
        <v>567</v>
      </c>
      <c r="K32" s="84" t="s">
        <v>568</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710</v>
      </c>
      <c r="J33" s="84" t="s">
        <v>697</v>
      </c>
      <c r="K33" s="84" t="s">
        <v>697</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711</v>
      </c>
      <c r="J34" s="84" t="s">
        <v>452</v>
      </c>
      <c r="K34" s="84" t="s">
        <v>455</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712</v>
      </c>
      <c r="J35" s="84" t="s">
        <v>555</v>
      </c>
      <c r="K35" s="84" t="s">
        <v>556</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713</v>
      </c>
      <c r="J36" s="84" t="s">
        <v>499</v>
      </c>
      <c r="K36" s="84" t="s">
        <v>513</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714</v>
      </c>
      <c r="J37" s="84" t="s">
        <v>457</v>
      </c>
      <c r="K37" s="84" t="s">
        <v>458</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715</v>
      </c>
      <c r="J38" s="84" t="s">
        <v>447</v>
      </c>
      <c r="K38" s="84" t="s">
        <v>448</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716</v>
      </c>
      <c r="J39" s="84" t="s">
        <v>460</v>
      </c>
      <c r="K39" s="84" t="s">
        <v>471</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717</v>
      </c>
      <c r="J40" s="84" t="s">
        <v>452</v>
      </c>
      <c r="K40" s="84" t="s">
        <v>542</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718</v>
      </c>
      <c r="J41" s="84" t="s">
        <v>447</v>
      </c>
      <c r="K41" s="84" t="s">
        <v>448</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719</v>
      </c>
      <c r="J42" s="84" t="s">
        <v>706</v>
      </c>
      <c r="K42" s="84" t="s">
        <v>720</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721</v>
      </c>
      <c r="J43" s="84" t="s">
        <v>447</v>
      </c>
      <c r="K43" s="84" t="s">
        <v>466</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722</v>
      </c>
      <c r="J44" s="84" t="s">
        <v>499</v>
      </c>
      <c r="K44" s="84" t="s">
        <v>500</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723</v>
      </c>
      <c r="J45" s="84" t="s">
        <v>669</v>
      </c>
      <c r="K45" s="84" t="s">
        <v>670</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724</v>
      </c>
      <c r="J46" s="84" t="s">
        <v>452</v>
      </c>
      <c r="K46" s="84" t="s">
        <v>453</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725</v>
      </c>
      <c r="J47" s="84" t="s">
        <v>685</v>
      </c>
      <c r="K47" s="84" t="s">
        <v>686</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726</v>
      </c>
      <c r="J48" s="84" t="s">
        <v>697</v>
      </c>
      <c r="K48" s="84" t="s">
        <v>697</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727</v>
      </c>
      <c r="J49" s="84" t="s">
        <v>697</v>
      </c>
      <c r="K49" s="84" t="s">
        <v>697</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728</v>
      </c>
      <c r="J50" s="84" t="s">
        <v>452</v>
      </c>
      <c r="K50" s="84" t="s">
        <v>548</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729</v>
      </c>
      <c r="J51" s="84" t="s">
        <v>452</v>
      </c>
      <c r="K51" s="84" t="s">
        <v>455</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730</v>
      </c>
      <c r="J52" s="84" t="s">
        <v>452</v>
      </c>
      <c r="K52" s="84" t="s">
        <v>548</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731</v>
      </c>
      <c r="J53" s="84" t="s">
        <v>697</v>
      </c>
      <c r="K53" s="84" t="s">
        <v>697</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732</v>
      </c>
      <c r="J54" s="84" t="s">
        <v>463</v>
      </c>
      <c r="K54" s="84" t="s">
        <v>464</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733</v>
      </c>
      <c r="J55" s="84" t="s">
        <v>447</v>
      </c>
      <c r="K55" s="84" t="s">
        <v>448</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734</v>
      </c>
      <c r="J56" s="84" t="s">
        <v>672</v>
      </c>
      <c r="K56" s="84" t="s">
        <v>673</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735</v>
      </c>
      <c r="J57" s="84" t="s">
        <v>496</v>
      </c>
      <c r="K57" s="84" t="s">
        <v>497</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736</v>
      </c>
      <c r="J58" s="84" t="s">
        <v>697</v>
      </c>
      <c r="K58" s="84" t="s">
        <v>697</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737</v>
      </c>
      <c r="J59" s="84" t="s">
        <v>492</v>
      </c>
      <c r="K59" s="84" t="s">
        <v>504</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738</v>
      </c>
      <c r="J60" s="84" t="s">
        <v>697</v>
      </c>
      <c r="K60" s="84" t="s">
        <v>697</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739</v>
      </c>
      <c r="J61" s="84" t="s">
        <v>697</v>
      </c>
      <c r="K61" s="84" t="s">
        <v>697</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740</v>
      </c>
      <c r="J62" s="84" t="s">
        <v>463</v>
      </c>
      <c r="K62" s="84" t="s">
        <v>464</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741</v>
      </c>
      <c r="J63" s="84" t="s">
        <v>499</v>
      </c>
      <c r="K63" s="84" t="s">
        <v>742</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743</v>
      </c>
      <c r="J64" s="84" t="s">
        <v>447</v>
      </c>
      <c r="K64" s="84" t="s">
        <v>490</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744</v>
      </c>
      <c r="J65" s="84" t="s">
        <v>496</v>
      </c>
      <c r="K65" s="84" t="s">
        <v>539</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745</v>
      </c>
      <c r="J66" s="84" t="s">
        <v>706</v>
      </c>
      <c r="K66" s="84" t="s">
        <v>746</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747</v>
      </c>
      <c r="J67" s="84" t="s">
        <v>669</v>
      </c>
      <c r="K67" s="84" t="s">
        <v>204</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748</v>
      </c>
      <c r="J68" s="84" t="s">
        <v>452</v>
      </c>
      <c r="K68" s="84" t="s">
        <v>542</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749</v>
      </c>
      <c r="J69" s="84" t="s">
        <v>447</v>
      </c>
      <c r="K69" s="84" t="s">
        <v>448</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750</v>
      </c>
      <c r="J70" s="84" t="s">
        <v>496</v>
      </c>
      <c r="K70" s="84" t="s">
        <v>539</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751</v>
      </c>
      <c r="J71" s="84" t="s">
        <v>447</v>
      </c>
      <c r="K71" s="84" t="s">
        <v>448</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752</v>
      </c>
      <c r="J72" s="84" t="s">
        <v>447</v>
      </c>
      <c r="K72" s="84" t="s">
        <v>448</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753</v>
      </c>
      <c r="J73" s="84" t="s">
        <v>499</v>
      </c>
      <c r="K73" s="84" t="s">
        <v>513</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754</v>
      </c>
      <c r="J74" s="84" t="s">
        <v>485</v>
      </c>
      <c r="K74" s="84" t="s">
        <v>486</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755</v>
      </c>
      <c r="J75" s="84" t="s">
        <v>463</v>
      </c>
      <c r="K75" s="84" t="s">
        <v>756</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757</v>
      </c>
      <c r="J76" s="84" t="s">
        <v>567</v>
      </c>
      <c r="K76" s="84" t="s">
        <v>592</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758</v>
      </c>
      <c r="J77" s="84" t="s">
        <v>463</v>
      </c>
      <c r="K77" s="84" t="s">
        <v>521</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759</v>
      </c>
      <c r="J78" s="84" t="s">
        <v>474</v>
      </c>
      <c r="K78" s="84" t="s">
        <v>760</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761</v>
      </c>
      <c r="J79" s="84" t="s">
        <v>188</v>
      </c>
      <c r="K79" s="84" t="s">
        <v>575</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762</v>
      </c>
      <c r="J80" s="84" t="s">
        <v>499</v>
      </c>
      <c r="K80" s="84" t="s">
        <v>513</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763</v>
      </c>
      <c r="J81" s="84" t="s">
        <v>697</v>
      </c>
      <c r="K81" s="84" t="s">
        <v>697</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764</v>
      </c>
      <c r="J82" s="84" t="s">
        <v>669</v>
      </c>
      <c r="K82" s="84" t="s">
        <v>765</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766</v>
      </c>
      <c r="J83" s="84" t="s">
        <v>499</v>
      </c>
      <c r="K83" s="84" t="s">
        <v>742</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767</v>
      </c>
      <c r="J84" s="84" t="s">
        <v>768</v>
      </c>
      <c r="K84" s="84" t="s">
        <v>769</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770</v>
      </c>
      <c r="J85" s="84" t="s">
        <v>706</v>
      </c>
      <c r="K85" s="84" t="s">
        <v>720</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771</v>
      </c>
      <c r="J86" s="84" t="s">
        <v>697</v>
      </c>
      <c r="K86" s="84" t="s">
        <v>697</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772</v>
      </c>
      <c r="J87" s="84" t="s">
        <v>697</v>
      </c>
      <c r="K87" s="84" t="s">
        <v>697</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773</v>
      </c>
      <c r="J88" s="84" t="s">
        <v>697</v>
      </c>
      <c r="K88" s="84" t="s">
        <v>697</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774</v>
      </c>
      <c r="J89" s="84" t="s">
        <v>669</v>
      </c>
      <c r="K89" s="84" t="s">
        <v>204</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775</v>
      </c>
      <c r="J90" s="84" t="s">
        <v>474</v>
      </c>
      <c r="K90" s="84" t="s">
        <v>760</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776</v>
      </c>
      <c r="J91" s="84" t="s">
        <v>444</v>
      </c>
      <c r="K91" s="84" t="s">
        <v>445</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777</v>
      </c>
      <c r="J92" s="84" t="s">
        <v>496</v>
      </c>
      <c r="K92" s="84" t="s">
        <v>539</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778</v>
      </c>
      <c r="J93" s="84" t="s">
        <v>452</v>
      </c>
      <c r="K93" s="84" t="s">
        <v>542</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779</v>
      </c>
      <c r="J94" s="84" t="s">
        <v>482</v>
      </c>
      <c r="K94" s="84" t="s">
        <v>780</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781</v>
      </c>
      <c r="J95" s="84" t="s">
        <v>499</v>
      </c>
      <c r="K95" s="84" t="s">
        <v>513</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782</v>
      </c>
      <c r="J96" s="84" t="s">
        <v>492</v>
      </c>
      <c r="K96" s="84" t="s">
        <v>504</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783</v>
      </c>
      <c r="J97" s="84" t="s">
        <v>567</v>
      </c>
      <c r="K97" s="84" t="s">
        <v>568</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784</v>
      </c>
      <c r="J98" s="84" t="s">
        <v>492</v>
      </c>
      <c r="K98" s="84" t="s">
        <v>493</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785</v>
      </c>
      <c r="J99" s="84" t="s">
        <v>460</v>
      </c>
      <c r="K99" s="84" t="s">
        <v>471</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786</v>
      </c>
      <c r="J100" s="84" t="s">
        <v>460</v>
      </c>
      <c r="K100" s="84" t="s">
        <v>471</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787</v>
      </c>
      <c r="J101" s="84" t="s">
        <v>697</v>
      </c>
      <c r="K101" s="84" t="s">
        <v>697</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P14" sqref="P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52</v>
      </c>
      <c r="B1" s="19" t="s">
        <v>421</v>
      </c>
      <c r="C1" s="19" t="s">
        <v>422</v>
      </c>
      <c r="D1" s="19" t="s">
        <v>323</v>
      </c>
      <c r="E1" s="22"/>
      <c r="F1" s="23" t="s">
        <v>178</v>
      </c>
      <c r="G1" s="20"/>
      <c r="H1" s="86" t="s">
        <v>420</v>
      </c>
      <c r="I1" s="86" t="s">
        <v>423</v>
      </c>
      <c r="J1" s="86" t="s">
        <v>424</v>
      </c>
      <c r="K1" s="86" t="s">
        <v>425</v>
      </c>
      <c r="L1" s="86" t="s">
        <v>426</v>
      </c>
      <c r="M1" s="86" t="s">
        <v>427</v>
      </c>
      <c r="N1" s="86" t="s">
        <v>428</v>
      </c>
      <c r="O1" s="86" t="s">
        <v>814</v>
      </c>
      <c r="P1" s="86" t="s">
        <v>815</v>
      </c>
      <c r="Q1" s="86" t="s">
        <v>816</v>
      </c>
      <c r="R1" s="86" t="s">
        <v>817</v>
      </c>
      <c r="S1" s="86" t="s">
        <v>818</v>
      </c>
      <c r="T1" s="86" t="s">
        <v>664</v>
      </c>
      <c r="U1" s="86" t="s">
        <v>819</v>
      </c>
      <c r="V1" s="86" t="s">
        <v>28</v>
      </c>
      <c r="W1" s="86" t="s">
        <v>666</v>
      </c>
      <c r="X1" s="86" t="s">
        <v>820</v>
      </c>
      <c r="Y1" s="18" t="s">
        <v>442</v>
      </c>
      <c r="AA1" s="87" t="s">
        <v>813</v>
      </c>
    </row>
    <row r="2" spans="1:27" x14ac:dyDescent="0.15">
      <c r="A2">
        <v>1</v>
      </c>
      <c r="B2">
        <v>895</v>
      </c>
      <c r="C2" t="s">
        <v>734</v>
      </c>
      <c r="D2">
        <f t="shared" ref="D2:D11" si="0">MATCH(B2,$H$2:$H$3879,0)</f>
        <v>1</v>
      </c>
      <c r="G2" s="11">
        <v>1</v>
      </c>
      <c r="H2" s="85">
        <v>895</v>
      </c>
      <c r="I2" s="85" t="s">
        <v>734</v>
      </c>
      <c r="J2" s="85" t="s">
        <v>672</v>
      </c>
      <c r="K2" s="85" t="s">
        <v>673</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842</v>
      </c>
      <c r="D3">
        <f t="shared" si="0"/>
        <v>31</v>
      </c>
      <c r="G3" s="11">
        <v>2</v>
      </c>
      <c r="H3" s="85">
        <v>601156</v>
      </c>
      <c r="I3" s="85" t="s">
        <v>821</v>
      </c>
      <c r="J3" s="85" t="s">
        <v>457</v>
      </c>
      <c r="K3" s="85" t="s">
        <v>458</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701</v>
      </c>
      <c r="D4">
        <f t="shared" si="0"/>
        <v>88</v>
      </c>
      <c r="G4" s="11">
        <v>3</v>
      </c>
      <c r="H4" s="85">
        <v>429</v>
      </c>
      <c r="I4" s="85" t="s">
        <v>822</v>
      </c>
      <c r="J4" s="85" t="s">
        <v>457</v>
      </c>
      <c r="K4" s="85" t="s">
        <v>823</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849</v>
      </c>
      <c r="D5">
        <f t="shared" si="0"/>
        <v>47</v>
      </c>
      <c r="G5" s="11">
        <v>4</v>
      </c>
      <c r="H5" s="85">
        <v>600179</v>
      </c>
      <c r="I5" s="85" t="s">
        <v>824</v>
      </c>
      <c r="J5" s="85" t="s">
        <v>457</v>
      </c>
      <c r="K5" s="85" t="s">
        <v>458</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801</v>
      </c>
      <c r="D6">
        <f t="shared" si="0"/>
        <v>23</v>
      </c>
      <c r="G6" s="11">
        <v>5</v>
      </c>
      <c r="H6" s="85">
        <v>603071</v>
      </c>
      <c r="I6" s="85" t="s">
        <v>667</v>
      </c>
      <c r="J6" s="85" t="s">
        <v>452</v>
      </c>
      <c r="K6" s="85" t="s">
        <v>548</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822</v>
      </c>
      <c r="D7">
        <f t="shared" si="0"/>
        <v>3</v>
      </c>
      <c r="G7" s="11">
        <v>6</v>
      </c>
      <c r="H7" s="85">
        <v>600519</v>
      </c>
      <c r="I7" s="85" t="s">
        <v>825</v>
      </c>
      <c r="J7" s="85" t="s">
        <v>672</v>
      </c>
      <c r="K7" s="85" t="s">
        <v>805</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825</v>
      </c>
      <c r="D8">
        <f t="shared" si="0"/>
        <v>6</v>
      </c>
      <c r="G8" s="11">
        <v>7</v>
      </c>
      <c r="H8" s="85">
        <v>600039</v>
      </c>
      <c r="I8" s="85" t="s">
        <v>751</v>
      </c>
      <c r="J8" s="85" t="s">
        <v>447</v>
      </c>
      <c r="K8" s="85" t="s">
        <v>448</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845</v>
      </c>
      <c r="D9">
        <f t="shared" si="0"/>
        <v>37</v>
      </c>
      <c r="G9" s="11">
        <v>8</v>
      </c>
      <c r="H9" s="85">
        <v>600064</v>
      </c>
      <c r="I9" s="85" t="s">
        <v>826</v>
      </c>
      <c r="J9" s="85" t="s">
        <v>485</v>
      </c>
      <c r="K9" s="85" t="s">
        <v>827</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824</v>
      </c>
      <c r="D10">
        <f t="shared" si="0"/>
        <v>4</v>
      </c>
      <c r="G10" s="11">
        <v>9</v>
      </c>
      <c r="H10" s="85">
        <v>600461</v>
      </c>
      <c r="I10" s="85" t="s">
        <v>828</v>
      </c>
      <c r="J10" s="85" t="s">
        <v>452</v>
      </c>
      <c r="K10" s="85" t="s">
        <v>455</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740</v>
      </c>
      <c r="D11">
        <f t="shared" si="0"/>
        <v>24</v>
      </c>
      <c r="G11" s="11">
        <v>10</v>
      </c>
      <c r="H11" s="85">
        <v>600598</v>
      </c>
      <c r="I11" s="85" t="s">
        <v>829</v>
      </c>
      <c r="J11" s="85" t="s">
        <v>474</v>
      </c>
      <c r="K11" s="85" t="s">
        <v>475</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830</v>
      </c>
      <c r="J12" s="85" t="s">
        <v>457</v>
      </c>
      <c r="K12" s="85" t="s">
        <v>831</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799</v>
      </c>
      <c r="J13" s="85" t="s">
        <v>697</v>
      </c>
      <c r="K13" s="85" t="s">
        <v>697</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807</v>
      </c>
      <c r="J14" s="85" t="s">
        <v>452</v>
      </c>
      <c r="K14" s="85" t="s">
        <v>453</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832</v>
      </c>
      <c r="J15" s="85" t="s">
        <v>555</v>
      </c>
      <c r="K15" s="85" t="s">
        <v>581</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833</v>
      </c>
      <c r="J16" s="85" t="s">
        <v>555</v>
      </c>
      <c r="K16" s="85" t="s">
        <v>601</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834</v>
      </c>
      <c r="J17" s="85" t="s">
        <v>474</v>
      </c>
      <c r="K17" s="85" t="s">
        <v>760</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835</v>
      </c>
      <c r="J18" s="85" t="s">
        <v>697</v>
      </c>
      <c r="K18" s="85" t="s">
        <v>697</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789</v>
      </c>
      <c r="J19" s="85" t="s">
        <v>697</v>
      </c>
      <c r="K19" s="85" t="s">
        <v>697</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800</v>
      </c>
      <c r="J20" s="85" t="s">
        <v>499</v>
      </c>
      <c r="K20" s="85" t="s">
        <v>513</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690</v>
      </c>
      <c r="J21" s="85" t="s">
        <v>463</v>
      </c>
      <c r="K21" s="85" t="s">
        <v>464</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786</v>
      </c>
      <c r="J22" s="85" t="s">
        <v>460</v>
      </c>
      <c r="K22" s="85" t="s">
        <v>471</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797</v>
      </c>
      <c r="J23" s="85" t="s">
        <v>697</v>
      </c>
      <c r="K23" s="85" t="s">
        <v>697</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801</v>
      </c>
      <c r="J24" s="85" t="s">
        <v>768</v>
      </c>
      <c r="K24" s="85" t="s">
        <v>788</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740</v>
      </c>
      <c r="J25" s="85" t="s">
        <v>463</v>
      </c>
      <c r="K25" s="85" t="s">
        <v>464</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836</v>
      </c>
      <c r="J26" s="85" t="s">
        <v>452</v>
      </c>
      <c r="K26" s="85" t="s">
        <v>455</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837</v>
      </c>
      <c r="J27" s="85" t="s">
        <v>452</v>
      </c>
      <c r="K27" s="85" t="s">
        <v>453</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791</v>
      </c>
      <c r="J28" s="85" t="s">
        <v>672</v>
      </c>
      <c r="K28" s="85" t="s">
        <v>673</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838</v>
      </c>
      <c r="J29" s="85" t="s">
        <v>499</v>
      </c>
      <c r="K29" s="85" t="s">
        <v>513</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839</v>
      </c>
      <c r="J30" s="85" t="s">
        <v>499</v>
      </c>
      <c r="K30" s="85" t="s">
        <v>513</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840</v>
      </c>
      <c r="J31" s="85" t="s">
        <v>457</v>
      </c>
      <c r="K31" s="85" t="s">
        <v>841</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842</v>
      </c>
      <c r="J32" s="85" t="s">
        <v>669</v>
      </c>
      <c r="K32" s="85" t="s">
        <v>843</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798</v>
      </c>
      <c r="J33" s="85" t="s">
        <v>697</v>
      </c>
      <c r="K33" s="85" t="s">
        <v>697</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811</v>
      </c>
      <c r="J34" s="85" t="s">
        <v>457</v>
      </c>
      <c r="K34" s="85" t="s">
        <v>458</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793</v>
      </c>
      <c r="J35" s="85" t="s">
        <v>697</v>
      </c>
      <c r="K35" s="85" t="s">
        <v>697</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844</v>
      </c>
      <c r="J36" s="85" t="s">
        <v>457</v>
      </c>
      <c r="K36" s="85" t="s">
        <v>831</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710</v>
      </c>
      <c r="J37" s="85" t="s">
        <v>697</v>
      </c>
      <c r="K37" s="85" t="s">
        <v>697</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845</v>
      </c>
      <c r="J38" s="85" t="s">
        <v>669</v>
      </c>
      <c r="K38" s="85" t="s">
        <v>204</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711</v>
      </c>
      <c r="J39" s="85" t="s">
        <v>452</v>
      </c>
      <c r="K39" s="85" t="s">
        <v>455</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846</v>
      </c>
      <c r="J40" s="85" t="s">
        <v>672</v>
      </c>
      <c r="K40" s="85" t="s">
        <v>805</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808</v>
      </c>
      <c r="J41" s="85" t="s">
        <v>685</v>
      </c>
      <c r="K41" s="85" t="s">
        <v>809</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847</v>
      </c>
      <c r="J42" s="85" t="s">
        <v>452</v>
      </c>
      <c r="K42" s="85" t="s">
        <v>455</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726</v>
      </c>
      <c r="J43" s="85" t="s">
        <v>697</v>
      </c>
      <c r="K43" s="85" t="s">
        <v>697</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736</v>
      </c>
      <c r="J44" s="85" t="s">
        <v>697</v>
      </c>
      <c r="K44" s="85" t="s">
        <v>697</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787</v>
      </c>
      <c r="J45" s="85" t="s">
        <v>697</v>
      </c>
      <c r="K45" s="85" t="s">
        <v>697</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778</v>
      </c>
      <c r="J46" s="85" t="s">
        <v>452</v>
      </c>
      <c r="K46" s="85" t="s">
        <v>542</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848</v>
      </c>
      <c r="J47" s="85" t="s">
        <v>697</v>
      </c>
      <c r="K47" s="85" t="s">
        <v>697</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849</v>
      </c>
      <c r="J48" s="85" t="s">
        <v>485</v>
      </c>
      <c r="K48" s="85" t="s">
        <v>486</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850</v>
      </c>
      <c r="J49" s="85" t="s">
        <v>452</v>
      </c>
      <c r="K49" s="85" t="s">
        <v>548</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851</v>
      </c>
      <c r="J50" s="85" t="s">
        <v>768</v>
      </c>
      <c r="K50" s="85" t="s">
        <v>788</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852</v>
      </c>
      <c r="J51" s="85" t="s">
        <v>468</v>
      </c>
      <c r="K51" s="85" t="s">
        <v>469</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853</v>
      </c>
      <c r="J52" s="85" t="s">
        <v>452</v>
      </c>
      <c r="K52" s="85" t="s">
        <v>453</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803</v>
      </c>
      <c r="J53" s="85" t="s">
        <v>697</v>
      </c>
      <c r="K53" s="85" t="s">
        <v>697</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854</v>
      </c>
      <c r="J54" s="85" t="s">
        <v>457</v>
      </c>
      <c r="K54" s="85" t="s">
        <v>823</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792</v>
      </c>
      <c r="J55" s="85" t="s">
        <v>697</v>
      </c>
      <c r="K55" s="85" t="s">
        <v>697</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763</v>
      </c>
      <c r="J56" s="85" t="s">
        <v>697</v>
      </c>
      <c r="K56" s="85" t="s">
        <v>697</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855</v>
      </c>
      <c r="J57" s="85" t="s">
        <v>452</v>
      </c>
      <c r="K57" s="85" t="s">
        <v>548</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856</v>
      </c>
      <c r="J58" s="85" t="s">
        <v>768</v>
      </c>
      <c r="K58" s="85" t="s">
        <v>788</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857</v>
      </c>
      <c r="J59" s="85" t="s">
        <v>452</v>
      </c>
      <c r="K59" s="85" t="s">
        <v>548</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804</v>
      </c>
      <c r="J60" s="85" t="s">
        <v>672</v>
      </c>
      <c r="K60" s="85" t="s">
        <v>805</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810</v>
      </c>
      <c r="J61" s="85" t="s">
        <v>697</v>
      </c>
      <c r="K61" s="85" t="s">
        <v>697</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772</v>
      </c>
      <c r="J62" s="85" t="s">
        <v>697</v>
      </c>
      <c r="K62" s="85" t="s">
        <v>697</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858</v>
      </c>
      <c r="J63" s="85" t="s">
        <v>492</v>
      </c>
      <c r="K63" s="85" t="s">
        <v>504</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859</v>
      </c>
      <c r="J64" s="85" t="s">
        <v>452</v>
      </c>
      <c r="K64" s="85" t="s">
        <v>542</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790</v>
      </c>
      <c r="J65" s="85" t="s">
        <v>697</v>
      </c>
      <c r="K65" s="85" t="s">
        <v>697</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860</v>
      </c>
      <c r="J66" s="85" t="s">
        <v>706</v>
      </c>
      <c r="K66" s="85" t="s">
        <v>720</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796</v>
      </c>
      <c r="J67" s="85" t="s">
        <v>697</v>
      </c>
      <c r="K67" s="85" t="s">
        <v>697</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861</v>
      </c>
      <c r="J68" s="85" t="s">
        <v>555</v>
      </c>
      <c r="K68" s="85" t="s">
        <v>601</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862</v>
      </c>
      <c r="J69" s="85" t="s">
        <v>457</v>
      </c>
      <c r="K69" s="85" t="s">
        <v>863</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738</v>
      </c>
      <c r="J70" s="85" t="s">
        <v>697</v>
      </c>
      <c r="K70" s="85" t="s">
        <v>697</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864</v>
      </c>
      <c r="J71" s="85" t="s">
        <v>452</v>
      </c>
      <c r="K71" s="85" t="s">
        <v>548</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794</v>
      </c>
      <c r="J72" s="85" t="s">
        <v>697</v>
      </c>
      <c r="K72" s="85" t="s">
        <v>697</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773</v>
      </c>
      <c r="J73" s="85" t="s">
        <v>697</v>
      </c>
      <c r="K73" s="85" t="s">
        <v>697</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865</v>
      </c>
      <c r="J74" s="85" t="s">
        <v>452</v>
      </c>
      <c r="K74" s="85" t="s">
        <v>548</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866</v>
      </c>
      <c r="J75" s="85" t="s">
        <v>499</v>
      </c>
      <c r="K75" s="85" t="s">
        <v>513</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795</v>
      </c>
      <c r="J76" s="85" t="s">
        <v>697</v>
      </c>
      <c r="K76" s="85" t="s">
        <v>697</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867</v>
      </c>
      <c r="J77" s="85" t="s">
        <v>692</v>
      </c>
      <c r="K77" s="85" t="s">
        <v>868</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869</v>
      </c>
      <c r="J78" s="85" t="s">
        <v>463</v>
      </c>
      <c r="K78" s="85" t="s">
        <v>521</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870</v>
      </c>
      <c r="J79" s="85" t="s">
        <v>452</v>
      </c>
      <c r="K79" s="85" t="s">
        <v>548</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871</v>
      </c>
      <c r="J80" s="85" t="s">
        <v>485</v>
      </c>
      <c r="K80" s="85" t="s">
        <v>486</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872</v>
      </c>
      <c r="J81" s="85" t="s">
        <v>492</v>
      </c>
      <c r="K81" s="85" t="s">
        <v>504</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873</v>
      </c>
      <c r="J82" s="85" t="s">
        <v>463</v>
      </c>
      <c r="K82" s="85" t="s">
        <v>464</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874</v>
      </c>
      <c r="J83" s="85" t="s">
        <v>697</v>
      </c>
      <c r="K83" s="85" t="s">
        <v>697</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762</v>
      </c>
      <c r="J84" s="85" t="s">
        <v>499</v>
      </c>
      <c r="K84" s="85" t="s">
        <v>513</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731</v>
      </c>
      <c r="J85" s="85" t="s">
        <v>697</v>
      </c>
      <c r="K85" s="85" t="s">
        <v>697</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684</v>
      </c>
      <c r="J86" s="85" t="s">
        <v>685</v>
      </c>
      <c r="K86" s="85" t="s">
        <v>686</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875</v>
      </c>
      <c r="J87" s="85" t="s">
        <v>457</v>
      </c>
      <c r="K87" s="85" t="s">
        <v>823</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876</v>
      </c>
      <c r="J88" s="85" t="s">
        <v>499</v>
      </c>
      <c r="K88" s="85" t="s">
        <v>513</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701</v>
      </c>
      <c r="J89" s="85" t="s">
        <v>463</v>
      </c>
      <c r="K89" s="85" t="s">
        <v>464</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698</v>
      </c>
      <c r="J90" s="85" t="s">
        <v>697</v>
      </c>
      <c r="K90" s="85" t="s">
        <v>697</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877</v>
      </c>
      <c r="J91" s="85" t="s">
        <v>452</v>
      </c>
      <c r="K91" s="85" t="s">
        <v>548</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878</v>
      </c>
      <c r="J92" s="85" t="s">
        <v>492</v>
      </c>
      <c r="K92" s="85" t="s">
        <v>504</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879</v>
      </c>
      <c r="J93" s="85" t="s">
        <v>452</v>
      </c>
      <c r="K93" s="85" t="s">
        <v>453</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880</v>
      </c>
      <c r="J94" s="85" t="s">
        <v>499</v>
      </c>
      <c r="K94" s="85" t="s">
        <v>513</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881</v>
      </c>
      <c r="J95" s="85" t="s">
        <v>485</v>
      </c>
      <c r="K95" s="85" t="s">
        <v>486</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802</v>
      </c>
      <c r="J96" s="85" t="s">
        <v>499</v>
      </c>
      <c r="K96" s="85" t="s">
        <v>513</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476</v>
      </c>
      <c r="J97" s="85" t="s">
        <v>477</v>
      </c>
      <c r="K97" s="85" t="s">
        <v>478</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882</v>
      </c>
      <c r="J98" s="85" t="s">
        <v>883</v>
      </c>
      <c r="K98" s="85" t="s">
        <v>883</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771</v>
      </c>
      <c r="J99" s="85" t="s">
        <v>697</v>
      </c>
      <c r="K99" s="85" t="s">
        <v>697</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884</v>
      </c>
      <c r="J100" s="85" t="s">
        <v>452</v>
      </c>
      <c r="K100" s="85" t="s">
        <v>548</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806</v>
      </c>
      <c r="J101" s="85" t="s">
        <v>452</v>
      </c>
      <c r="K101" s="85" t="s">
        <v>455</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股票实时数据</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2024-06-14T23:47:47Z</dcterms:modified>
</cp:coreProperties>
</file>