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bb\UniversalRotation\"/>
    </mc:Choice>
  </mc:AlternateContent>
  <bookViews>
    <workbookView xWindow="-105" yWindow="-105" windowWidth="12810" windowHeight="5460" tabRatio="733" activeTab="4"/>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_xlwings.conf" sheetId="2" r:id="rId7"/>
  </sheets>
  <functionGroups builtInGroupCount="18">
    <functionGroup name="Commands"/>
    <functionGroup name="xlwings"/>
  </functionGroups>
  <definedNames>
    <definedName name="_xlnm._FilterDatabase" localSheetId="4" hidden="1">'20天净值增长率和溢价率轮动LOF、ETF和封基'!$A$1:$V$704</definedName>
    <definedName name="_xlnm._FilterDatabase" localSheetId="5" hidden="1">'20天净值增长率和溢价率轮动债券和境外基金'!$F$1:$V$116</definedName>
    <definedName name="_xlnm._FilterDatabase" localSheetId="2" hidden="1">低溢价可转债轮动!$A$2:$U$402</definedName>
    <definedName name="_xlnm._FilterDatabase" localSheetId="1" hidden="1">可转债实时数据!$A$1:$R$411</definedName>
    <definedName name="_xlnm._FilterDatabase" localSheetId="3" hidden="1">双低可转债轮动!$A$2:$V$750</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D3" i="3" l="1"/>
  <c r="D4" i="3"/>
  <c r="D5" i="3"/>
  <c r="D6" i="3"/>
  <c r="D7" i="3"/>
  <c r="D8" i="3"/>
  <c r="D2" i="3"/>
  <c r="O413" i="9" l="1"/>
  <c r="O414" i="9"/>
  <c r="O415" i="9"/>
  <c r="O416" i="9"/>
  <c r="N413" i="6"/>
  <c r="N414" i="6"/>
  <c r="N415" i="6"/>
  <c r="N416" i="6"/>
  <c r="O287" i="9" l="1"/>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N293" i="6" l="1"/>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D3" i="4" l="1"/>
  <c r="D4" i="4"/>
  <c r="D5" i="4"/>
  <c r="D6" i="4"/>
  <c r="D7" i="4"/>
  <c r="D8" i="4"/>
  <c r="D9" i="4"/>
  <c r="D10" i="4"/>
  <c r="D11" i="4"/>
  <c r="D2" i="4"/>
  <c r="V4" i="9" l="1"/>
  <c r="V5" i="9"/>
  <c r="V6" i="9"/>
  <c r="V7" i="9"/>
  <c r="V8" i="9"/>
  <c r="V9" i="9"/>
  <c r="V10" i="9"/>
  <c r="V11" i="9"/>
  <c r="V12" i="9"/>
  <c r="V13" i="9"/>
  <c r="V14" i="9"/>
  <c r="V15" i="9"/>
  <c r="V16" i="9"/>
  <c r="V17" i="9"/>
  <c r="V18" i="9"/>
  <c r="V19" i="9"/>
  <c r="V20" i="9"/>
  <c r="V21" i="9"/>
  <c r="V22" i="9"/>
  <c r="V23" i="9"/>
  <c r="V24" i="9"/>
  <c r="V25" i="9"/>
  <c r="V26" i="9"/>
  <c r="V27" i="9"/>
  <c r="V28" i="9"/>
  <c r="V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3" i="9"/>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3" i="6"/>
  <c r="D4" i="9" l="1"/>
  <c r="D5" i="9"/>
  <c r="D6" i="9"/>
  <c r="D7" i="9"/>
  <c r="D8" i="9"/>
  <c r="D9" i="9"/>
  <c r="D10" i="9"/>
  <c r="D11" i="9"/>
  <c r="D12" i="9"/>
  <c r="D13" i="9"/>
  <c r="D14" i="9"/>
  <c r="D15" i="9"/>
  <c r="D16" i="9"/>
  <c r="C4" i="9" l="1"/>
  <c r="C5" i="9"/>
  <c r="C6" i="9"/>
  <c r="C7" i="9"/>
  <c r="C8" i="9"/>
  <c r="C9" i="9"/>
  <c r="C10" i="9"/>
  <c r="C11" i="9"/>
  <c r="C12" i="9"/>
  <c r="C13" i="9"/>
  <c r="C14" i="9"/>
  <c r="C15" i="9"/>
  <c r="C16" i="9"/>
  <c r="C3" i="9"/>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U4" i="9" l="1"/>
  <c r="U5" i="9"/>
  <c r="U6" i="9"/>
  <c r="U7" i="9"/>
  <c r="U8" i="9"/>
  <c r="U9" i="9"/>
  <c r="U10" i="9"/>
  <c r="U11" i="9"/>
  <c r="U12" i="9"/>
  <c r="U13" i="9"/>
  <c r="U14" i="9"/>
  <c r="U15" i="9"/>
  <c r="U16" i="9"/>
  <c r="U17" i="9"/>
  <c r="U18" i="9"/>
  <c r="U19" i="9"/>
  <c r="U20" i="9"/>
  <c r="U21" i="9"/>
  <c r="U22" i="9"/>
  <c r="U23" i="9"/>
  <c r="U24" i="9"/>
  <c r="U25" i="9"/>
  <c r="U26" i="9"/>
  <c r="U27" i="9"/>
  <c r="U28" i="9"/>
  <c r="D3" i="9"/>
  <c r="T4" i="6" l="1"/>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 i="6"/>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U4" i="6" l="1"/>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 i="6"/>
  <c r="U3" i="9" l="1"/>
</calcChain>
</file>

<file path=xl/sharedStrings.xml><?xml version="1.0" encoding="utf-8"?>
<sst xmlns="http://schemas.openxmlformats.org/spreadsheetml/2006/main" count="4087" uniqueCount="2144">
  <si>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</si>
  <si>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</si>
  <si>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</si>
  <si>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</si>
  <si>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</si>
  <si>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</si>
  <si>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</si>
  <si>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</si>
  <si>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</si>
  <si>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</si>
  <si>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</si>
  <si>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</si>
  <si>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</si>
  <si>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</si>
  <si>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</si>
  <si>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</si>
  <si>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</si>
  <si>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</si>
  <si>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</si>
  <si>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</si>
  <si>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</si>
  <si>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天弘上海金ETF</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</si>
  <si>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</si>
  <si>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</si>
  <si>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</si>
  <si>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</si>
  <si>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</si>
  <si>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</si>
  <si>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</si>
  <si>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</si>
  <si>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</si>
  <si>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</si>
  <si>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</si>
  <si>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</si>
  <si>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</si>
  <si>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</si>
  <si>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</si>
  <si>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</si>
  <si>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</si>
  <si>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</si>
  <si>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</si>
  <si>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</si>
  <si>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百达转债</t>
  </si>
  <si>
    <t>君禾转债</t>
  </si>
  <si>
    <t>荣晟转债</t>
  </si>
  <si>
    <t>嘉泽转债</t>
  </si>
  <si>
    <t>华钰转债</t>
  </si>
  <si>
    <t>宏川转债</t>
  </si>
  <si>
    <t>搜特转债</t>
  </si>
  <si>
    <t>华通转债</t>
  </si>
  <si>
    <t>特一转债</t>
  </si>
  <si>
    <t>兄弟转债</t>
  </si>
  <si>
    <t>洪涛转债</t>
  </si>
  <si>
    <t>海印转债</t>
  </si>
  <si>
    <t>海波转债</t>
  </si>
  <si>
    <t>凯发转债</t>
  </si>
  <si>
    <t>万顺转债</t>
  </si>
  <si>
    <t>现价</t>
  </si>
  <si>
    <t>证券名称</t>
  </si>
  <si>
    <t>证券代码</t>
  </si>
  <si>
    <t>沪工转债</t>
  </si>
  <si>
    <t>尚荣转债</t>
  </si>
  <si>
    <t>英特转债</t>
  </si>
  <si>
    <t>正丹转债</t>
  </si>
  <si>
    <t>塞力转债</t>
  </si>
  <si>
    <t>威派转债</t>
  </si>
  <si>
    <t>精测转债</t>
  </si>
  <si>
    <t>聚飞转债</t>
  </si>
  <si>
    <t>迪龙转债</t>
  </si>
  <si>
    <t>贝斯转债</t>
  </si>
  <si>
    <t>设研转债</t>
  </si>
  <si>
    <t>明电转债</t>
  </si>
  <si>
    <t>岩土转债</t>
  </si>
  <si>
    <t>联得转债</t>
  </si>
  <si>
    <t>北陆转债</t>
  </si>
  <si>
    <t>淳中转债</t>
  </si>
  <si>
    <t>溢利转债</t>
  </si>
  <si>
    <t>永鼎转债</t>
  </si>
  <si>
    <t>今飞转债</t>
  </si>
  <si>
    <t>泉峰转债</t>
  </si>
  <si>
    <t>国祯转债</t>
  </si>
  <si>
    <t>思特转债</t>
  </si>
  <si>
    <t>永安转债</t>
  </si>
  <si>
    <t>起帆转债</t>
  </si>
  <si>
    <t>金能转债</t>
  </si>
  <si>
    <t>正裕转债</t>
  </si>
  <si>
    <t>迪贝转债</t>
  </si>
  <si>
    <t>合兴转债</t>
  </si>
  <si>
    <t>凌钢转债</t>
  </si>
  <si>
    <t>利群转债</t>
  </si>
  <si>
    <t>大禹转债</t>
  </si>
  <si>
    <t>海亮转债</t>
  </si>
  <si>
    <t>嘉美转债</t>
  </si>
  <si>
    <t>英联转债</t>
  </si>
  <si>
    <t>航新转债</t>
  </si>
  <si>
    <t>东风转债</t>
  </si>
  <si>
    <t>哈尔转债</t>
  </si>
  <si>
    <t>亚泰转债</t>
  </si>
  <si>
    <t>白电转债</t>
  </si>
  <si>
    <t>法兰转债</t>
  </si>
  <si>
    <t>济川转债</t>
  </si>
  <si>
    <t>三超转债</t>
  </si>
  <si>
    <t>朗科转债</t>
  </si>
  <si>
    <t>景兴转债</t>
  </si>
  <si>
    <t>九典转债</t>
  </si>
  <si>
    <t>健友转债</t>
  </si>
  <si>
    <t>雷迪转债</t>
  </si>
  <si>
    <t>吉视转债</t>
  </si>
  <si>
    <t>奥佳转债</t>
  </si>
  <si>
    <t>灵康转债</t>
  </si>
  <si>
    <t>朗新转债</t>
  </si>
  <si>
    <t>耐普转债</t>
  </si>
  <si>
    <t>春秋转债</t>
  </si>
  <si>
    <t>联诚转债</t>
  </si>
  <si>
    <t>锋龙转债</t>
  </si>
  <si>
    <t>维格转债</t>
  </si>
  <si>
    <t>三力转债</t>
  </si>
  <si>
    <t>孚日转债</t>
  </si>
  <si>
    <t>汽模转2</t>
  </si>
  <si>
    <t>宏辉转债</t>
  </si>
  <si>
    <t>利德转债</t>
  </si>
  <si>
    <t>远东转债</t>
  </si>
  <si>
    <t>万讯转债</t>
  </si>
  <si>
    <t>艾华转债</t>
  </si>
  <si>
    <t>小康转债</t>
  </si>
  <si>
    <t>金轮转债</t>
  </si>
  <si>
    <t>岭南转债</t>
  </si>
  <si>
    <t>新春转债</t>
  </si>
  <si>
    <t>嘉澳转债</t>
  </si>
  <si>
    <t>台华转债</t>
  </si>
  <si>
    <t>盛路转债</t>
  </si>
  <si>
    <t>广电转债</t>
  </si>
  <si>
    <t>花王转债</t>
  </si>
  <si>
    <t>万孚转债</t>
  </si>
  <si>
    <t>金陵转债</t>
  </si>
  <si>
    <t>联泰转债</t>
  </si>
  <si>
    <t>纵横转债</t>
  </si>
  <si>
    <t>天创转债</t>
  </si>
  <si>
    <t>健帆转债</t>
  </si>
  <si>
    <t>侨银转债</t>
  </si>
  <si>
    <t>华阳转债</t>
  </si>
  <si>
    <t>江山转债</t>
  </si>
  <si>
    <t>拓斯转债</t>
  </si>
  <si>
    <t>瀛通转债</t>
  </si>
  <si>
    <t>道恩转债</t>
  </si>
  <si>
    <t>翔鹭转债</t>
  </si>
  <si>
    <t>佳力转债</t>
  </si>
  <si>
    <t>雪榕转债</t>
  </si>
  <si>
    <t>众信转债</t>
  </si>
  <si>
    <t>交建转债</t>
  </si>
  <si>
    <t>强力转债</t>
  </si>
  <si>
    <t>多伦转债</t>
  </si>
  <si>
    <t>久其转债</t>
  </si>
  <si>
    <t>国光转债</t>
  </si>
  <si>
    <t>智能转债</t>
  </si>
  <si>
    <t>柳药转债</t>
  </si>
  <si>
    <t>希望转债</t>
  </si>
  <si>
    <t>红相转债</t>
  </si>
  <si>
    <t>科华转债</t>
  </si>
  <si>
    <t>德尔转债</t>
  </si>
  <si>
    <t>华森转债</t>
  </si>
  <si>
    <t>长久转债</t>
  </si>
  <si>
    <t>全筑转债</t>
  </si>
  <si>
    <t>国城转债</t>
  </si>
  <si>
    <t>富瀚转债</t>
  </si>
  <si>
    <t>好客转债</t>
  </si>
  <si>
    <t>卫宁转债</t>
  </si>
  <si>
    <t>正川转债</t>
  </si>
  <si>
    <t>铁汉转债</t>
  </si>
  <si>
    <t>金农转债</t>
  </si>
  <si>
    <t>三诺转债</t>
  </si>
  <si>
    <t>瑞丰转债</t>
  </si>
  <si>
    <t>瑞达转债</t>
  </si>
  <si>
    <t>长集转债</t>
  </si>
  <si>
    <t>洋丰转债</t>
  </si>
  <si>
    <t>永东转债</t>
  </si>
  <si>
    <t>新北转债</t>
  </si>
  <si>
    <t>大丰转债</t>
  </si>
  <si>
    <t>众兴转债</t>
  </si>
  <si>
    <t>维尔转债</t>
  </si>
  <si>
    <t>翔港转债</t>
  </si>
  <si>
    <t>万青转债</t>
  </si>
  <si>
    <t>博世转债</t>
  </si>
  <si>
    <t>晶瑞转2</t>
  </si>
  <si>
    <t>弘亚转债</t>
  </si>
  <si>
    <t>新乳转债</t>
  </si>
  <si>
    <t>海环转债</t>
  </si>
  <si>
    <t>兴森转债</t>
  </si>
  <si>
    <t>绿茵转债</t>
  </si>
  <si>
    <t>华源转债</t>
  </si>
  <si>
    <t>未来转债</t>
  </si>
  <si>
    <t>凯中转债</t>
  </si>
  <si>
    <t>游族转债</t>
  </si>
  <si>
    <t>迪森转债</t>
  </si>
  <si>
    <t>思创转债</t>
  </si>
  <si>
    <t>银信转债</t>
  </si>
  <si>
    <t>荣泰转债</t>
  </si>
  <si>
    <t>万兴转债</t>
  </si>
  <si>
    <t>亚太转债</t>
  </si>
  <si>
    <t>天路转债</t>
  </si>
  <si>
    <t>汉得转债</t>
  </si>
  <si>
    <t>大业转债</t>
  </si>
  <si>
    <t>文科转债</t>
  </si>
  <si>
    <t>润达转债</t>
  </si>
  <si>
    <t>特发转2</t>
  </si>
  <si>
    <t>奇精转债</t>
  </si>
  <si>
    <t>山玻转债</t>
  </si>
  <si>
    <t>皖天转债</t>
  </si>
  <si>
    <t>元力转债</t>
  </si>
  <si>
    <t>奇正转债</t>
  </si>
  <si>
    <t>利民转债</t>
  </si>
  <si>
    <t>濮耐转债</t>
  </si>
  <si>
    <t>晨丰转债</t>
  </si>
  <si>
    <t>世运转债</t>
  </si>
  <si>
    <t>北方转债</t>
  </si>
  <si>
    <t>东湖转债</t>
  </si>
  <si>
    <t>银轮转债</t>
  </si>
  <si>
    <t>超声转债</t>
  </si>
  <si>
    <t>应急转债</t>
  </si>
  <si>
    <t>威唐转债</t>
  </si>
  <si>
    <t>隆华转债</t>
  </si>
  <si>
    <t>靖远转债</t>
  </si>
  <si>
    <t>惠城转债</t>
  </si>
  <si>
    <t>杭电转债</t>
  </si>
  <si>
    <t>金博转债</t>
  </si>
  <si>
    <t>长海转债</t>
  </si>
  <si>
    <t>普利转债</t>
  </si>
  <si>
    <t>龙大转债</t>
  </si>
  <si>
    <t>锦鸡转债</t>
  </si>
  <si>
    <t>彤程转债</t>
  </si>
  <si>
    <t>特纸转债</t>
  </si>
  <si>
    <t>奥飞转债</t>
  </si>
  <si>
    <t>甬金转债</t>
  </si>
  <si>
    <t>珀莱转债</t>
  </si>
  <si>
    <t>华兴转债</t>
  </si>
  <si>
    <t>回盛转债</t>
  </si>
  <si>
    <t>博杰转债</t>
  </si>
  <si>
    <t>是否已买</t>
  </si>
  <si>
    <t>建信港股通ETF</t>
  </si>
  <si>
    <t>中融煤炭</t>
  </si>
  <si>
    <t>银华内需</t>
  </si>
  <si>
    <t>永赢沪深300ETF</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</si>
  <si>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</si>
  <si>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</si>
  <si>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</si>
  <si>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</si>
  <si>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</si>
  <si>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</si>
  <si>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</si>
  <si>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</si>
  <si>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</si>
  <si>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</si>
  <si>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</si>
  <si>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</si>
  <si>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华翔转债</t>
  </si>
  <si>
    <t>城市转债</t>
  </si>
  <si>
    <t>新星转债</t>
  </si>
  <si>
    <t>贵燃转债</t>
  </si>
  <si>
    <t>台21转债</t>
  </si>
  <si>
    <t>佩蒂转债</t>
  </si>
  <si>
    <t>博瑞转债</t>
  </si>
  <si>
    <t>卡倍转债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</si>
  <si>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</si>
  <si>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</si>
  <si>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</si>
  <si>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</si>
  <si>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</si>
  <si>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</si>
  <si>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</si>
  <si>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</si>
  <si>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</si>
  <si>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SH501081</t>
  </si>
  <si>
    <t>SH506003</t>
  </si>
  <si>
    <t>SZ168204</t>
  </si>
  <si>
    <t>SH506005</t>
  </si>
  <si>
    <t>SZ162720</t>
  </si>
  <si>
    <t>SH501078</t>
  </si>
  <si>
    <t>SH506001</t>
  </si>
  <si>
    <t>SZ161724</t>
  </si>
  <si>
    <t>SZ159981</t>
  </si>
  <si>
    <t>SH501073</t>
  </si>
  <si>
    <t>SZ161032</t>
  </si>
  <si>
    <t>SH501075</t>
  </si>
  <si>
    <t>SZ159980</t>
  </si>
  <si>
    <t>SH501080</t>
  </si>
  <si>
    <t>SH501011</t>
  </si>
  <si>
    <t>SH506000</t>
  </si>
  <si>
    <t>SZ161726</t>
  </si>
  <si>
    <t>SZ159891</t>
  </si>
  <si>
    <t>SH516090</t>
  </si>
  <si>
    <t>SZ161914</t>
  </si>
  <si>
    <t>SH501012</t>
  </si>
  <si>
    <t>SH516080</t>
  </si>
  <si>
    <t>SH501076</t>
  </si>
  <si>
    <t>SZ159972</t>
  </si>
  <si>
    <t>SH501082</t>
  </si>
  <si>
    <t>SZ159816</t>
  </si>
  <si>
    <t>SH515950</t>
  </si>
  <si>
    <t>SZ160529</t>
  </si>
  <si>
    <t>SH501009</t>
  </si>
  <si>
    <t>SZ161911</t>
  </si>
  <si>
    <t>SH501079</t>
  </si>
  <si>
    <t>SH511020</t>
  </si>
  <si>
    <t>SH516650</t>
  </si>
  <si>
    <t>SZ163210</t>
  </si>
  <si>
    <t>SH511270</t>
  </si>
  <si>
    <t>SZ160926</t>
  </si>
  <si>
    <t>SH515220</t>
  </si>
  <si>
    <t>SZ159992</t>
  </si>
  <si>
    <t>SZ163418</t>
  </si>
  <si>
    <t>SZ159812</t>
  </si>
  <si>
    <t>SH511060</t>
  </si>
  <si>
    <t>SZ159849</t>
  </si>
  <si>
    <t>SZ159858</t>
  </si>
  <si>
    <t>SZ161912</t>
  </si>
  <si>
    <t>SH588300</t>
  </si>
  <si>
    <t>SH511260</t>
  </si>
  <si>
    <t>SZ160630</t>
  </si>
  <si>
    <t>SH516180</t>
  </si>
  <si>
    <t>SH588380</t>
  </si>
  <si>
    <t>SH516610</t>
  </si>
  <si>
    <t>SZ161903</t>
  </si>
  <si>
    <t>SH516070</t>
  </si>
  <si>
    <t>SZ159863</t>
  </si>
  <si>
    <t>SZ160325</t>
  </si>
  <si>
    <t>SH515120</t>
  </si>
  <si>
    <t>SZ159839</t>
  </si>
  <si>
    <t>SH517120</t>
  </si>
  <si>
    <t>SH501202</t>
  </si>
  <si>
    <t>SH516820</t>
  </si>
  <si>
    <t>SZ159938</t>
  </si>
  <si>
    <t>SH501046</t>
  </si>
  <si>
    <t>SH501085</t>
  </si>
  <si>
    <t>SH501083</t>
  </si>
  <si>
    <t>SZ161024</t>
  </si>
  <si>
    <t>SZ159830</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</si>
  <si>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</si>
  <si>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</si>
  <si>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</si>
  <si>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</si>
  <si>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</si>
  <si>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</si>
  <si>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</si>
  <si>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</si>
  <si>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</si>
  <si>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</si>
  <si>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</si>
  <si>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</si>
  <si>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</si>
  <si>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</si>
  <si>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</si>
  <si>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</si>
  <si>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SH515590</t>
  </si>
  <si>
    <t>SH515790</t>
  </si>
  <si>
    <t>SZ159885</t>
  </si>
  <si>
    <t>SH518800</t>
  </si>
  <si>
    <t>SZ159861</t>
  </si>
  <si>
    <t>SZ160632</t>
  </si>
  <si>
    <t>SZ159783</t>
  </si>
  <si>
    <t>SZ159838</t>
  </si>
  <si>
    <t>SZ161022</t>
  </si>
  <si>
    <t>SH510170</t>
  </si>
  <si>
    <t>SH511010</t>
  </si>
  <si>
    <t>SH515610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</si>
  <si>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</si>
  <si>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</si>
  <si>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</si>
  <si>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</si>
  <si>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</si>
  <si>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</si>
  <si>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</si>
  <si>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</si>
  <si>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</si>
  <si>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</si>
  <si>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</si>
  <si>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</si>
  <si>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</si>
  <si>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</si>
  <si>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</si>
  <si>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</si>
  <si>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</si>
  <si>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</si>
  <si>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</si>
  <si>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</si>
  <si>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</si>
  <si>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</si>
  <si>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</si>
  <si>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</si>
  <si>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</si>
  <si>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</si>
  <si>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</si>
  <si>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</si>
  <si>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</si>
  <si>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</si>
  <si>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</si>
  <si>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</si>
  <si>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</si>
  <si>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SZ159955</t>
  </si>
  <si>
    <t>SH510880</t>
  </si>
  <si>
    <t>SH516660</t>
  </si>
  <si>
    <t>SH516300</t>
  </si>
  <si>
    <t>SZ159824</t>
  </si>
  <si>
    <t>SH501207</t>
  </si>
  <si>
    <t>SH515100</t>
  </si>
  <si>
    <t>SH511880</t>
  </si>
  <si>
    <t>SH516880</t>
  </si>
  <si>
    <t>SH515150</t>
  </si>
  <si>
    <t>SZ159003</t>
  </si>
  <si>
    <t>SH511360</t>
  </si>
  <si>
    <t>SZ159871</t>
  </si>
  <si>
    <t>SZ159005</t>
  </si>
  <si>
    <t>SZ159898</t>
  </si>
  <si>
    <t>SH510530</t>
  </si>
  <si>
    <t>SH511690</t>
  </si>
  <si>
    <t>SH511850</t>
  </si>
  <si>
    <t>SH501077</t>
  </si>
  <si>
    <t>SH510410</t>
  </si>
  <si>
    <t>SZ159903</t>
  </si>
  <si>
    <t>SZ159001</t>
  </si>
  <si>
    <t>SH511660</t>
  </si>
  <si>
    <t>SZ163415</t>
  </si>
  <si>
    <t>SH501054</t>
  </si>
  <si>
    <t>SH512010</t>
  </si>
  <si>
    <t>SH512660</t>
  </si>
  <si>
    <t>SH511990</t>
  </si>
  <si>
    <t>SH516150</t>
  </si>
  <si>
    <t>SH516000</t>
  </si>
  <si>
    <t>SZ159702</t>
  </si>
  <si>
    <t>SH511700</t>
  </si>
  <si>
    <t>SZ167508</t>
  </si>
  <si>
    <t>SZ159957</t>
  </si>
  <si>
    <t>SH512100</t>
  </si>
  <si>
    <t>SZ159886</t>
  </si>
  <si>
    <t>SZ166027</t>
  </si>
  <si>
    <t>SH511810</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</si>
  <si>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</si>
  <si>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</si>
  <si>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</si>
  <si>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</si>
  <si>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</si>
  <si>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</si>
  <si>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</si>
  <si>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</si>
  <si>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</si>
  <si>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</si>
  <si>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</si>
  <si>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</si>
  <si>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</si>
  <si>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</si>
  <si>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</si>
  <si>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</si>
  <si>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</si>
  <si>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</si>
  <si>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</si>
  <si>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</si>
  <si>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</si>
  <si>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</si>
  <si>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</si>
  <si>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</si>
  <si>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</si>
  <si>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</si>
  <si>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</si>
  <si>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</si>
  <si>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</si>
  <si>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</si>
  <si>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SZ159872</t>
  </si>
  <si>
    <t>SH516320</t>
  </si>
  <si>
    <t>SH512580</t>
  </si>
  <si>
    <t>SZ161834</t>
  </si>
  <si>
    <t>SZ159974</t>
  </si>
  <si>
    <t>SH515820</t>
  </si>
  <si>
    <t>SZ159995</t>
  </si>
  <si>
    <t>SH516160</t>
  </si>
  <si>
    <t>SH512760</t>
  </si>
  <si>
    <t>SH512280</t>
  </si>
  <si>
    <t>SZ159857</t>
  </si>
  <si>
    <t>SH515210</t>
  </si>
  <si>
    <t>SH512650</t>
  </si>
  <si>
    <t>SZ159781</t>
  </si>
  <si>
    <t>SH516800</t>
  </si>
  <si>
    <t>SH511220</t>
  </si>
  <si>
    <t>SZ159780</t>
  </si>
  <si>
    <t>SH515890</t>
  </si>
  <si>
    <t>SZ162415</t>
  </si>
  <si>
    <t>SH516630</t>
  </si>
  <si>
    <t>SH515500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</si>
  <si>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</si>
  <si>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</si>
  <si>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</si>
  <si>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</si>
  <si>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</si>
  <si>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</si>
  <si>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</si>
  <si>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</si>
  <si>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</si>
  <si>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</si>
  <si>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</si>
  <si>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</si>
  <si>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</si>
  <si>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</si>
  <si>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</si>
  <si>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</si>
  <si>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</si>
  <si>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</si>
  <si>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</si>
  <si>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</si>
  <si>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</si>
  <si>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</si>
  <si>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</si>
  <si>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</si>
  <si>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</si>
  <si>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</si>
  <si>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</si>
  <si>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</si>
  <si>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</si>
  <si>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</si>
  <si>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</si>
  <si>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</si>
  <si>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</si>
  <si>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</si>
  <si>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</si>
  <si>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</si>
  <si>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</si>
  <si>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</si>
  <si>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</si>
  <si>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</si>
  <si>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</si>
  <si>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</si>
  <si>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</si>
  <si>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</si>
  <si>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</si>
  <si>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</si>
  <si>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</si>
  <si>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</si>
  <si>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</si>
  <si>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</si>
  <si>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</si>
  <si>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</si>
  <si>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</si>
  <si>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</si>
  <si>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</si>
  <si>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</si>
  <si>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</si>
  <si>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</si>
  <si>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</si>
  <si>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</si>
  <si>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</si>
  <si>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</si>
  <si>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</si>
  <si>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</si>
  <si>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</si>
  <si>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</si>
  <si>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</si>
  <si>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</si>
  <si>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</si>
  <si>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</si>
  <si>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</si>
  <si>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SH516680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</si>
  <si>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</si>
  <si>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</si>
  <si>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</si>
  <si>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</si>
  <si>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</si>
  <si>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</si>
  <si>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</si>
  <si>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</si>
  <si>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</si>
  <si>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</si>
  <si>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</si>
  <si>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</si>
  <si>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</si>
  <si>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</si>
  <si>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</si>
  <si>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</si>
  <si>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</si>
  <si>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</si>
  <si>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</si>
  <si>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</si>
  <si>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</si>
  <si>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</si>
  <si>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</si>
  <si>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</si>
  <si>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</si>
  <si>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</si>
  <si>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</si>
  <si>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</si>
  <si>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</si>
  <si>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</si>
  <si>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</si>
  <si>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</si>
  <si>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</si>
  <si>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</si>
  <si>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</si>
  <si>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</si>
  <si>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</si>
  <si>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</si>
  <si>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</si>
  <si>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</si>
  <si>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</si>
  <si>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</si>
  <si>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</si>
  <si>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</si>
  <si>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</si>
  <si>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</si>
  <si>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</si>
  <si>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</si>
  <si>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</si>
  <si>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</si>
  <si>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</si>
  <si>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</si>
  <si>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</si>
  <si>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</si>
  <si>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</si>
  <si>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</si>
  <si>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</si>
  <si>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</si>
  <si>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</si>
  <si>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</si>
  <si>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</si>
  <si>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</si>
  <si>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SH515930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</si>
  <si>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</si>
  <si>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</si>
  <si>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</si>
  <si>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</si>
  <si>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</si>
  <si>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</si>
  <si>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</si>
  <si>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</si>
  <si>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</si>
  <si>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</si>
  <si>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</si>
  <si>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</si>
  <si>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</si>
  <si>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</si>
  <si>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</si>
  <si>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</si>
  <si>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</si>
  <si>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</si>
  <si>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</si>
  <si>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</si>
  <si>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</si>
  <si>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</si>
  <si>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</si>
  <si>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</si>
  <si>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</si>
  <si>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</si>
  <si>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</si>
  <si>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</si>
  <si>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</si>
  <si>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</si>
  <si>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</si>
  <si>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</si>
  <si>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</si>
  <si>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</si>
  <si>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</si>
  <si>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</si>
  <si>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</si>
  <si>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</si>
  <si>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</si>
  <si>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</si>
  <si>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</si>
  <si>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</si>
  <si>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</si>
  <si>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</si>
  <si>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</si>
  <si>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</si>
  <si>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</si>
  <si>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</si>
  <si>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</si>
  <si>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</si>
  <si>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</si>
  <si>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</si>
  <si>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</si>
  <si>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</si>
  <si>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</si>
  <si>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</si>
  <si>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</si>
  <si>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</si>
  <si>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</si>
  <si>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</si>
  <si>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</si>
  <si>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</si>
  <si>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</si>
  <si>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</si>
  <si>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</si>
  <si>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</si>
  <si>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</si>
  <si>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</si>
  <si>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</si>
  <si>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</si>
  <si>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</si>
  <si>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</si>
  <si>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</si>
  <si>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</si>
  <si>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</si>
  <si>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</si>
  <si>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</si>
  <si>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</si>
  <si>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</si>
  <si>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</si>
  <si>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</si>
  <si>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</si>
  <si>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</si>
  <si>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</si>
  <si>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</si>
  <si>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</si>
  <si>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</si>
  <si>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</si>
  <si>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</si>
  <si>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</si>
  <si>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</si>
  <si>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</si>
  <si>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</si>
  <si>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</si>
  <si>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</si>
  <si>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</si>
  <si>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</si>
  <si>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</si>
  <si>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</si>
  <si>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</si>
  <si>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</si>
  <si>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</si>
  <si>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</si>
  <si>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</si>
  <si>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</si>
  <si>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</si>
  <si>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</si>
  <si>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</si>
  <si>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</si>
  <si>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</si>
  <si>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</si>
  <si>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</si>
  <si>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</si>
  <si>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SZ159936</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</si>
  <si>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</si>
  <si>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</si>
  <si>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</si>
  <si>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</si>
  <si>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</si>
  <si>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</si>
  <si>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</si>
  <si>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</si>
  <si>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</si>
  <si>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</si>
  <si>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</si>
  <si>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</si>
  <si>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</si>
  <si>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</si>
  <si>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</si>
  <si>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</si>
  <si>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</si>
  <si>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</si>
  <si>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</si>
  <si>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</si>
  <si>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</si>
  <si>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</si>
  <si>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</si>
  <si>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</si>
  <si>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</si>
  <si>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</si>
  <si>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盘龙转债</t>
  </si>
  <si>
    <t>精装转债</t>
  </si>
  <si>
    <t>申昊转债</t>
  </si>
  <si>
    <t>盛虹转债</t>
  </si>
  <si>
    <t>苏利转债</t>
  </si>
  <si>
    <t>双箭转债</t>
  </si>
  <si>
    <t>锦浪转债</t>
  </si>
  <si>
    <t>天奈转债</t>
  </si>
  <si>
    <t>铂科转债</t>
  </si>
  <si>
    <t>丝路转债</t>
  </si>
  <si>
    <t>宏丰转债</t>
  </si>
  <si>
    <t>天地转债</t>
  </si>
  <si>
    <t>华正转债</t>
  </si>
  <si>
    <t>豪美转债</t>
  </si>
  <si>
    <t>飞鹿转债</t>
  </si>
  <si>
    <t>美联转债</t>
  </si>
  <si>
    <t>斯莱转债</t>
  </si>
  <si>
    <t>同和转债</t>
  </si>
  <si>
    <t>九洲转2</t>
  </si>
  <si>
    <t>太阳转债</t>
  </si>
  <si>
    <t>利尔转债</t>
  </si>
  <si>
    <t>鸿达转债</t>
  </si>
  <si>
    <t>新天转债</t>
  </si>
  <si>
    <t>华统转债</t>
  </si>
  <si>
    <t>最新VIP排名</t>
    <phoneticPr fontId="2" type="noConversion"/>
  </si>
  <si>
    <t>南方上海金ETF</t>
  </si>
  <si>
    <t>SZ159834</t>
  </si>
  <si>
    <t>最新双低排名</t>
    <phoneticPr fontId="2" type="noConversion"/>
  </si>
  <si>
    <t>湖广转债</t>
  </si>
  <si>
    <t>寿仙转债</t>
  </si>
  <si>
    <t>阿拉转债</t>
  </si>
  <si>
    <t>日经ETF</t>
  </si>
  <si>
    <t>有色ETF</t>
  </si>
  <si>
    <t>能源化工</t>
  </si>
  <si>
    <t>恒生科技</t>
  </si>
  <si>
    <t>最新VIP可转债排名</t>
    <phoneticPr fontId="2" type="noConversion"/>
  </si>
  <si>
    <t>明新转债</t>
  </si>
  <si>
    <t>风语转债</t>
  </si>
  <si>
    <t>震安转债</t>
  </si>
  <si>
    <t>山石转债</t>
  </si>
  <si>
    <t>胜蓝转债</t>
  </si>
  <si>
    <t>聚合转债</t>
  </si>
  <si>
    <t>文灿转债</t>
  </si>
  <si>
    <t>石英转债</t>
  </si>
  <si>
    <t>天铁转债</t>
  </si>
  <si>
    <t>中矿转债</t>
  </si>
  <si>
    <t>金禾转债</t>
  </si>
  <si>
    <t>苏试转债</t>
  </si>
  <si>
    <t>鼎胜转债</t>
  </si>
  <si>
    <t>齐翔转2</t>
  </si>
  <si>
    <t>伊力转债</t>
  </si>
  <si>
    <t>大成上海金ETF</t>
  </si>
  <si>
    <t>SZ159833</t>
  </si>
  <si>
    <t>封闭股基</t>
  </si>
  <si>
    <t>科创华泰</t>
  </si>
  <si>
    <t>科创中金</t>
  </si>
  <si>
    <t>SH506008</t>
  </si>
  <si>
    <t>科创长城</t>
  </si>
  <si>
    <t>SZ184801</t>
  </si>
  <si>
    <t>鹏华前海</t>
  </si>
  <si>
    <t>中欧创业</t>
  </si>
  <si>
    <t>科创基金</t>
  </si>
  <si>
    <t>安信价值</t>
  </si>
  <si>
    <t>创业大成</t>
  </si>
  <si>
    <t>BOCI科创</t>
  </si>
  <si>
    <t>科创中欧</t>
  </si>
  <si>
    <t>兴全合兴</t>
  </si>
  <si>
    <t>科创混合</t>
  </si>
  <si>
    <t>科创主题</t>
  </si>
  <si>
    <t>富国科创</t>
  </si>
  <si>
    <t>创业博时</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</si>
  <si>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</si>
  <si>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</si>
  <si>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</si>
  <si>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</si>
  <si>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</si>
  <si>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</si>
  <si>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</si>
  <si>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</si>
  <si>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</si>
  <si>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</si>
  <si>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</si>
  <si>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</si>
  <si>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</si>
  <si>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</si>
  <si>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</si>
  <si>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华夏创业</t>
  </si>
  <si>
    <t>科创财通</t>
  </si>
  <si>
    <t>封闭债基</t>
  </si>
  <si>
    <t>诺安纯债</t>
  </si>
  <si>
    <t>指数ETF</t>
  </si>
  <si>
    <t>AIETF</t>
  </si>
  <si>
    <t>A800ETF</t>
  </si>
  <si>
    <t>中银中证800ETF</t>
  </si>
  <si>
    <t>中证500低波ETF</t>
  </si>
  <si>
    <t>可选消费</t>
  </si>
  <si>
    <t>金融ETF</t>
  </si>
  <si>
    <t>申万上证50ETF</t>
  </si>
  <si>
    <t>央视50</t>
  </si>
  <si>
    <t>500等权ETF</t>
  </si>
  <si>
    <t>MSCIETF</t>
  </si>
  <si>
    <t>生物ETF</t>
  </si>
  <si>
    <t>创业板E</t>
  </si>
  <si>
    <t>深成ETF</t>
  </si>
  <si>
    <t>有色ETF基金</t>
  </si>
  <si>
    <t>上证50ETF基金</t>
  </si>
  <si>
    <t>线上消费</t>
  </si>
  <si>
    <t>沪深300添富ETF</t>
  </si>
  <si>
    <t>战略新兴ETF</t>
  </si>
  <si>
    <t>大数据50ETF</t>
  </si>
  <si>
    <t>医疗</t>
  </si>
  <si>
    <t>深证ETF</t>
  </si>
  <si>
    <t>大数据产业ETF</t>
  </si>
  <si>
    <t>深100ET</t>
  </si>
  <si>
    <t>央调ETF</t>
  </si>
  <si>
    <t>价值ETF</t>
  </si>
  <si>
    <t>中证长三角领先</t>
  </si>
  <si>
    <t>长三角ETF</t>
  </si>
  <si>
    <t>一带一路ETF</t>
  </si>
  <si>
    <t>南方300</t>
  </si>
  <si>
    <t>漂亮50ETF</t>
  </si>
  <si>
    <t>车联网</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</si>
  <si>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</si>
  <si>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</si>
  <si>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</si>
  <si>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</si>
  <si>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</si>
  <si>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</si>
  <si>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</si>
  <si>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</si>
  <si>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</si>
  <si>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</si>
  <si>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</si>
  <si>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</si>
  <si>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</si>
  <si>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</si>
  <si>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</si>
  <si>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</si>
  <si>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</si>
  <si>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</si>
  <si>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</si>
  <si>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</si>
  <si>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</si>
  <si>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</si>
  <si>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</si>
  <si>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</si>
  <si>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</si>
  <si>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</si>
  <si>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</si>
  <si>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</si>
  <si>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</si>
  <si>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</si>
  <si>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</si>
  <si>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</si>
  <si>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</si>
  <si>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</si>
  <si>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</si>
  <si>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</si>
  <si>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</si>
  <si>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</si>
  <si>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</si>
  <si>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</si>
  <si>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</si>
  <si>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</si>
  <si>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</si>
  <si>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</si>
  <si>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</si>
  <si>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</si>
  <si>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</si>
  <si>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</si>
  <si>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</si>
  <si>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</si>
  <si>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</si>
  <si>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</si>
  <si>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</si>
  <si>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</si>
  <si>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</si>
  <si>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</si>
  <si>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</si>
  <si>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</si>
  <si>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</si>
  <si>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</si>
  <si>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</si>
  <si>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</si>
  <si>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</si>
  <si>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</si>
  <si>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</si>
  <si>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</si>
  <si>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</si>
  <si>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</si>
  <si>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</si>
  <si>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</si>
  <si>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</si>
  <si>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</si>
  <si>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</si>
  <si>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</si>
  <si>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</si>
  <si>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</si>
  <si>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</si>
  <si>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</si>
  <si>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</si>
  <si>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</si>
  <si>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</si>
  <si>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</si>
  <si>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</si>
  <si>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</si>
  <si>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</si>
  <si>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</si>
  <si>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</si>
  <si>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</si>
  <si>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</si>
  <si>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</si>
  <si>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</si>
  <si>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</si>
  <si>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</si>
  <si>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</si>
  <si>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</si>
  <si>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</si>
  <si>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</si>
  <si>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</si>
  <si>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</si>
  <si>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</si>
  <si>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</si>
  <si>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</si>
  <si>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</si>
  <si>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</si>
  <si>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</si>
  <si>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</si>
  <si>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</si>
  <si>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</si>
  <si>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</si>
  <si>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</si>
  <si>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</si>
  <si>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</si>
  <si>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</si>
  <si>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</si>
  <si>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</si>
  <si>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</si>
  <si>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</si>
  <si>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</si>
  <si>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</si>
  <si>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</si>
  <si>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</si>
  <si>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</si>
  <si>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</si>
  <si>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</si>
  <si>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</si>
  <si>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</si>
  <si>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</si>
  <si>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</si>
  <si>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</si>
  <si>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</si>
  <si>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</si>
  <si>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</si>
  <si>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</si>
  <si>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</si>
  <si>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</si>
  <si>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</si>
  <si>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</si>
  <si>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</si>
  <si>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</si>
  <si>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</si>
  <si>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</si>
  <si>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</si>
  <si>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</si>
  <si>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</si>
  <si>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</si>
  <si>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</si>
  <si>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</si>
  <si>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</si>
  <si>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</si>
  <si>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</si>
  <si>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</si>
  <si>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</si>
  <si>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</si>
  <si>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</si>
  <si>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</si>
  <si>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</si>
  <si>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</si>
  <si>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</si>
  <si>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</si>
  <si>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</si>
  <si>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</si>
  <si>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</si>
  <si>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</si>
  <si>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</si>
  <si>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</si>
  <si>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</si>
  <si>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</si>
  <si>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</si>
  <si>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</si>
  <si>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</si>
  <si>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</si>
  <si>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</si>
  <si>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</si>
  <si>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</si>
  <si>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</si>
  <si>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</si>
  <si>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</si>
  <si>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</si>
  <si>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</si>
  <si>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</si>
  <si>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</si>
  <si>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</si>
  <si>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</si>
  <si>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</si>
  <si>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</si>
  <si>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</si>
  <si>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</si>
  <si>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</si>
  <si>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</si>
  <si>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</si>
  <si>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</si>
  <si>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</si>
  <si>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</si>
  <si>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</si>
  <si>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</si>
  <si>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</si>
  <si>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</si>
  <si>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</si>
  <si>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</si>
  <si>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</si>
  <si>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</si>
  <si>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</si>
  <si>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</si>
  <si>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</si>
  <si>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</si>
  <si>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</si>
  <si>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</si>
  <si>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</si>
  <si>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</si>
  <si>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</si>
  <si>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</si>
  <si>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</si>
  <si>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</si>
  <si>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</si>
  <si>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</si>
  <si>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</si>
  <si>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</si>
  <si>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</si>
  <si>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</si>
  <si>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</si>
  <si>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</si>
  <si>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</si>
  <si>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</si>
  <si>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</si>
  <si>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</si>
  <si>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</si>
  <si>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</si>
  <si>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</si>
  <si>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</si>
  <si>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</si>
  <si>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</si>
  <si>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</si>
  <si>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</si>
  <si>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</si>
  <si>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</si>
  <si>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</si>
  <si>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</si>
  <si>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</si>
  <si>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</si>
  <si>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</si>
  <si>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</si>
  <si>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</si>
  <si>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</si>
  <si>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</si>
  <si>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</si>
  <si>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</si>
  <si>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</si>
  <si>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</si>
  <si>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</si>
  <si>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</si>
  <si>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</si>
  <si>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</si>
  <si>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</si>
  <si>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</si>
  <si>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</si>
  <si>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</si>
  <si>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</si>
  <si>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</si>
  <si>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</si>
  <si>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</si>
  <si>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</si>
  <si>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</si>
  <si>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</si>
  <si>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</si>
  <si>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</si>
  <si>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</si>
  <si>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</si>
  <si>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</si>
  <si>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</si>
  <si>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</si>
  <si>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</si>
  <si>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</si>
  <si>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</si>
  <si>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</si>
  <si>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</si>
  <si>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</si>
  <si>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</si>
  <si>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</si>
  <si>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</si>
  <si>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</si>
  <si>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</si>
  <si>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</si>
  <si>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</si>
  <si>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添富快钱</t>
  </si>
  <si>
    <t>场内货币</t>
  </si>
  <si>
    <t>交易货币</t>
  </si>
  <si>
    <t>招商快线</t>
  </si>
  <si>
    <t>理财金H</t>
  </si>
  <si>
    <t>保证金</t>
  </si>
  <si>
    <t>建信添益</t>
  </si>
  <si>
    <t>财富宝E</t>
  </si>
  <si>
    <t>银华日利</t>
  </si>
  <si>
    <t>华宝添益</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</si>
  <si>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</si>
  <si>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</si>
  <si>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</si>
  <si>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</si>
  <si>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</si>
  <si>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</si>
  <si>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</si>
  <si>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</si>
  <si>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</si>
  <si>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</si>
  <si>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</si>
  <si>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</si>
  <si>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</si>
  <si>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</si>
  <si>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</si>
  <si>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</si>
  <si>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</si>
  <si>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</si>
  <si>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</si>
  <si>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</si>
  <si>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</si>
  <si>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SH508099</t>
  </si>
  <si>
    <t>中关村</t>
  </si>
  <si>
    <t>REITs</t>
  </si>
  <si>
    <t>SH508056</t>
  </si>
  <si>
    <t>普洛斯</t>
  </si>
  <si>
    <t>SH508027</t>
  </si>
  <si>
    <t>东吴苏园</t>
  </si>
  <si>
    <t>SH508018</t>
  </si>
  <si>
    <t>中交REIT</t>
  </si>
  <si>
    <t>SH508006</t>
  </si>
  <si>
    <t>首创水务</t>
  </si>
  <si>
    <t>SH508001</t>
  </si>
  <si>
    <t>浙江杭徽</t>
  </si>
  <si>
    <t>SH508000</t>
  </si>
  <si>
    <t>张江REIT</t>
  </si>
  <si>
    <t>首钢绿能</t>
  </si>
  <si>
    <t>SZ180301</t>
  </si>
  <si>
    <t>盐港REIT</t>
  </si>
  <si>
    <t>SZ180202</t>
  </si>
  <si>
    <t>华夏越秀高速REIT</t>
  </si>
  <si>
    <t>SZ180201</t>
  </si>
  <si>
    <t>广州广河</t>
  </si>
  <si>
    <t>SZ180101</t>
  </si>
  <si>
    <t>蛇口产园</t>
  </si>
  <si>
    <t>股票LOF</t>
  </si>
  <si>
    <t>华夏创新</t>
  </si>
  <si>
    <t>鹏华创新</t>
  </si>
  <si>
    <t>中欧创新</t>
  </si>
  <si>
    <t>银华鑫锐</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</si>
  <si>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</si>
  <si>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</si>
  <si>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</si>
  <si>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</si>
  <si>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</si>
  <si>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</si>
  <si>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</si>
  <si>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</si>
  <si>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</si>
  <si>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</si>
  <si>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</si>
  <si>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</si>
  <si>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</si>
  <si>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</si>
  <si>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</si>
  <si>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</si>
  <si>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</si>
  <si>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</si>
  <si>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</si>
  <si>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</si>
  <si>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</si>
  <si>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</si>
  <si>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</si>
  <si>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</si>
  <si>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</si>
  <si>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</si>
  <si>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</si>
  <si>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</si>
  <si>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</si>
  <si>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</si>
  <si>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</si>
  <si>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</si>
  <si>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</si>
  <si>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</si>
  <si>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</si>
  <si>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</si>
  <si>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</si>
  <si>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</si>
  <si>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</si>
  <si>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</si>
  <si>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</si>
  <si>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</si>
  <si>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</si>
  <si>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</si>
  <si>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</si>
  <si>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</si>
  <si>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</si>
  <si>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</si>
  <si>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</si>
  <si>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</si>
  <si>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</si>
  <si>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</si>
  <si>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</si>
  <si>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</si>
  <si>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</si>
  <si>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</si>
  <si>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</si>
  <si>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</si>
  <si>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</si>
  <si>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</si>
  <si>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</si>
  <si>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</si>
  <si>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</si>
  <si>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</si>
  <si>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</si>
  <si>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</si>
  <si>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SZ169106</t>
  </si>
  <si>
    <t>东证创优</t>
  </si>
  <si>
    <t>SH515300</t>
  </si>
  <si>
    <t>红利低波ETF基金</t>
  </si>
  <si>
    <t>货币</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</si>
  <si>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</si>
  <si>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</si>
  <si>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</si>
  <si>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</si>
  <si>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</si>
  <si>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</si>
  <si>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</si>
  <si>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</si>
  <si>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</si>
  <si>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</si>
  <si>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</si>
  <si>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SZ159956</t>
  </si>
  <si>
    <t>建信创业板ETF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</si>
  <si>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</si>
  <si>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</si>
  <si>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</si>
  <si>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</si>
  <si>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</si>
  <si>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</si>
  <si>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</si>
  <si>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</si>
  <si>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</si>
  <si>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</si>
  <si>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</si>
  <si>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</si>
  <si>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</si>
  <si>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</si>
  <si>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</si>
  <si>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</si>
  <si>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</si>
  <si>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</si>
  <si>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</si>
  <si>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</si>
  <si>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</si>
  <si>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</si>
  <si>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</si>
  <si>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</si>
  <si>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</si>
  <si>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</si>
  <si>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</si>
  <si>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</si>
  <si>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</si>
  <si>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</si>
  <si>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</si>
  <si>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</si>
  <si>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</si>
  <si>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</si>
  <si>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</si>
  <si>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</si>
  <si>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</si>
  <si>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</si>
  <si>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</si>
  <si>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</si>
  <si>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</si>
  <si>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</si>
  <si>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</si>
  <si>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</si>
  <si>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</si>
  <si>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</si>
  <si>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</si>
  <si>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</si>
  <si>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</si>
  <si>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</si>
  <si>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</si>
  <si>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</si>
  <si>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</si>
  <si>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</si>
  <si>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</si>
  <si>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</si>
  <si>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</si>
  <si>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</si>
  <si>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</si>
  <si>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</si>
  <si>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</si>
  <si>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</si>
  <si>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</si>
  <si>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</si>
  <si>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</si>
  <si>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</si>
  <si>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</si>
  <si>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</si>
  <si>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</si>
  <si>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</si>
  <si>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</si>
  <si>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</si>
  <si>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</si>
  <si>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</si>
  <si>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</si>
  <si>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</si>
  <si>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</si>
  <si>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</si>
  <si>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</si>
  <si>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</si>
  <si>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</si>
  <si>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</si>
  <si>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</si>
  <si>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</si>
  <si>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</si>
  <si>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</si>
  <si>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</si>
  <si>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</si>
  <si>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</si>
  <si>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</si>
  <si>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</si>
  <si>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</si>
  <si>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</si>
  <si>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</si>
  <si>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</si>
  <si>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</si>
  <si>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</si>
  <si>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</si>
  <si>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</si>
  <si>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</si>
  <si>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</si>
  <si>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</si>
  <si>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</si>
  <si>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</si>
  <si>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</si>
  <si>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</si>
  <si>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</si>
  <si>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</si>
  <si>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</si>
  <si>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</si>
  <si>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</si>
  <si>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</si>
  <si>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</si>
  <si>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</si>
  <si>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</si>
  <si>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</si>
  <si>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</si>
  <si>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</si>
  <si>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</si>
  <si>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</si>
  <si>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</si>
  <si>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</si>
  <si>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</si>
  <si>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</si>
  <si>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</si>
  <si>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</si>
  <si>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</si>
  <si>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</si>
  <si>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</si>
  <si>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</si>
  <si>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</si>
  <si>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</si>
  <si>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</si>
  <si>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</si>
  <si>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</si>
  <si>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</si>
  <si>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</si>
  <si>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</si>
  <si>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</si>
  <si>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</si>
  <si>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</si>
  <si>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</si>
  <si>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</si>
  <si>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</si>
  <si>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</si>
  <si>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</si>
  <si>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</si>
  <si>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</si>
  <si>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</si>
  <si>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SH510440</t>
  </si>
  <si>
    <t>大成中证500沪市ETF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</si>
  <si>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</si>
  <si>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</si>
  <si>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</si>
  <si>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</si>
  <si>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</si>
  <si>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</si>
  <si>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</si>
  <si>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</si>
  <si>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</si>
  <si>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</si>
  <si>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</si>
  <si>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</si>
  <si>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</si>
  <si>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</si>
  <si>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</si>
  <si>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</si>
  <si>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</si>
  <si>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</si>
  <si>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</si>
  <si>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</si>
  <si>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前海开源黄金ETF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</si>
  <si>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</si>
  <si>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</si>
  <si>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</si>
  <si>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</si>
  <si>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</si>
  <si>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</si>
  <si>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</si>
  <si>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</si>
  <si>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</si>
  <si>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</si>
  <si>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</si>
  <si>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</si>
  <si>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</si>
  <si>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</si>
  <si>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</si>
  <si>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</si>
  <si>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</si>
  <si>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</si>
  <si>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</si>
  <si>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</si>
  <si>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</si>
  <si>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</si>
  <si>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</si>
  <si>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</si>
  <si>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</si>
  <si>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</si>
  <si>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</si>
  <si>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</si>
  <si>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</si>
  <si>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</si>
  <si>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</si>
  <si>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</si>
  <si>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</si>
  <si>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</si>
  <si>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</si>
  <si>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SH517960</t>
  </si>
  <si>
    <t>上投摩根中证沪港深科技100ETF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</si>
  <si>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</si>
  <si>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</si>
  <si>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</si>
  <si>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</si>
  <si>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</si>
  <si>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</si>
  <si>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</si>
  <si>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</si>
  <si>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</si>
  <si>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</si>
  <si>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</si>
  <si>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</si>
  <si>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SH517170</t>
  </si>
  <si>
    <t>华夏中证沪港深500ETF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</si>
  <si>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</si>
  <si>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</si>
  <si>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</si>
  <si>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</si>
  <si>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</si>
  <si>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</si>
  <si>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</si>
  <si>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</si>
  <si>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</si>
  <si>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</si>
  <si>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</si>
  <si>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</si>
  <si>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</si>
  <si>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</si>
  <si>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</si>
  <si>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</si>
  <si>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</si>
  <si>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</si>
  <si>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</si>
  <si>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</si>
  <si>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SZ159821</t>
  </si>
  <si>
    <t>中银证券创业板ETF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</si>
  <si>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</si>
  <si>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</si>
  <si>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</si>
  <si>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</si>
  <si>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</si>
  <si>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</si>
  <si>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</si>
  <si>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</si>
  <si>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</si>
  <si>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</si>
  <si>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</si>
  <si>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</si>
  <si>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</si>
  <si>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</si>
  <si>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</si>
  <si>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</si>
  <si>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</si>
  <si>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</si>
  <si>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</si>
  <si>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</si>
  <si>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</si>
  <si>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</si>
  <si>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</si>
  <si>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</si>
  <si>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</si>
  <si>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</si>
  <si>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</si>
  <si>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</si>
  <si>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</si>
  <si>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</si>
  <si>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</si>
  <si>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</si>
  <si>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</si>
  <si>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</si>
  <si>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</si>
  <si>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</si>
  <si>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</si>
  <si>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</si>
  <si>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</si>
  <si>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</si>
  <si>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</si>
  <si>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</si>
  <si>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</si>
  <si>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</si>
  <si>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</si>
  <si>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</si>
  <si>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</si>
  <si>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</si>
  <si>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</si>
  <si>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</si>
  <si>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</si>
  <si>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</si>
  <si>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</si>
  <si>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</si>
  <si>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</si>
  <si>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</si>
  <si>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</si>
  <si>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</si>
  <si>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</si>
  <si>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</si>
  <si>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</si>
  <si>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</si>
  <si>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</si>
  <si>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</si>
  <si>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</si>
  <si>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</si>
  <si>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</si>
  <si>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</si>
  <si>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</si>
  <si>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</si>
  <si>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</si>
  <si>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</si>
  <si>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</si>
  <si>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</si>
  <si>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</si>
  <si>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</si>
  <si>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</si>
  <si>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</si>
  <si>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</si>
  <si>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</si>
  <si>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</si>
  <si>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</si>
  <si>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</si>
  <si>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</si>
  <si>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</si>
  <si>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</si>
  <si>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</si>
  <si>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</si>
  <si>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</si>
  <si>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</si>
  <si>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</si>
  <si>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</si>
  <si>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</si>
  <si>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</si>
  <si>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</si>
  <si>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</si>
  <si>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</si>
  <si>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</si>
  <si>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</si>
  <si>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</si>
  <si>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</si>
  <si>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</si>
  <si>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</si>
  <si>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</si>
  <si>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</si>
  <si>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</si>
  <si>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</si>
  <si>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</si>
  <si>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</si>
  <si>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</si>
  <si>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</si>
  <si>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</si>
  <si>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</si>
  <si>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</si>
  <si>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</si>
  <si>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</si>
  <si>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</si>
  <si>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</si>
  <si>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</si>
  <si>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</si>
  <si>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</si>
  <si>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</si>
  <si>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</si>
  <si>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</si>
  <si>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</si>
  <si>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</si>
  <si>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</si>
  <si>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</si>
  <si>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大成添益E</t>
  </si>
  <si>
    <t>货币型</t>
  </si>
  <si>
    <t>海富通10年地债ETF</t>
  </si>
  <si>
    <t>华夏恒生香港ETF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</si>
  <si>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</si>
  <si>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</si>
  <si>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</si>
  <si>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</si>
  <si>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</si>
  <si>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</si>
  <si>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</si>
  <si>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</si>
  <si>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</si>
  <si>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</si>
  <si>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</si>
  <si>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</si>
  <si>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汇添富快钱A</t>
  </si>
  <si>
    <t>华安恒生科技ETF</t>
  </si>
  <si>
    <t>华夏225ETF</t>
  </si>
  <si>
    <t>国泰国债ETF</t>
  </si>
  <si>
    <t>易方达黄金ETF</t>
  </si>
  <si>
    <t>黄金</t>
  </si>
  <si>
    <t>华安黄金易ETF</t>
  </si>
  <si>
    <t>华夏恒生科技ETF</t>
  </si>
  <si>
    <t>博时黄金ETF</t>
  </si>
  <si>
    <t>国泰黄金ETF</t>
  </si>
  <si>
    <t>华安石油A</t>
  </si>
  <si>
    <t>SH511600</t>
  </si>
  <si>
    <t>华安日日鑫H</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</si>
  <si>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</si>
  <si>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</si>
  <si>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</si>
  <si>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</si>
  <si>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</si>
  <si>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</si>
  <si>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</si>
  <si>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</si>
  <si>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</si>
  <si>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</si>
  <si>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</si>
  <si>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</si>
  <si>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</si>
  <si>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</si>
  <si>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</si>
  <si>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</si>
  <si>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SZ160618</t>
  </si>
  <si>
    <t>鹏华丰泽</t>
  </si>
  <si>
    <t>SZ160513</t>
  </si>
  <si>
    <t>博时稳健A</t>
  </si>
  <si>
    <t>平安中债ETF</t>
  </si>
  <si>
    <t>易方达互联50ETF</t>
  </si>
  <si>
    <t>SH511900</t>
  </si>
  <si>
    <t>富国收益宝H</t>
  </si>
  <si>
    <t>工银黄金ETF</t>
  </si>
  <si>
    <t>SZ161716</t>
  </si>
  <si>
    <t>招商双债C</t>
  </si>
  <si>
    <t>SH511650</t>
  </si>
  <si>
    <t>华夏快线ETF</t>
  </si>
  <si>
    <t>海富通中证ETF</t>
  </si>
  <si>
    <t>华安法国ETF</t>
  </si>
  <si>
    <t>招商财富宝E</t>
  </si>
  <si>
    <t>华安德国30ETF</t>
  </si>
  <si>
    <t>银华日利A</t>
  </si>
  <si>
    <t>南方理财金H</t>
  </si>
  <si>
    <t>平安交易货币E</t>
  </si>
  <si>
    <t>银华新经济ETF</t>
  </si>
  <si>
    <t>招商快线A</t>
  </si>
  <si>
    <t>建信添益H</t>
  </si>
  <si>
    <t>华宝添益A</t>
  </si>
  <si>
    <t>易方达保证金A</t>
  </si>
  <si>
    <t>SH511620</t>
  </si>
  <si>
    <t>国泰瞬利A</t>
  </si>
  <si>
    <t>SH511800</t>
  </si>
  <si>
    <t>易方达货币E</t>
  </si>
  <si>
    <t>SH511860</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</si>
  <si>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</si>
  <si>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</si>
  <si>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</si>
  <si>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</si>
  <si>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</si>
  <si>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</si>
  <si>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</si>
  <si>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</si>
  <si>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</si>
  <si>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</si>
  <si>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</si>
  <si>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</si>
  <si>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</si>
  <si>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</si>
  <si>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</si>
  <si>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</si>
  <si>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</si>
  <si>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无锡转债</t>
  </si>
  <si>
    <t>国泰转债</t>
  </si>
  <si>
    <t>洪城转债</t>
  </si>
  <si>
    <t>苏银转债</t>
  </si>
  <si>
    <t>龙净转债</t>
  </si>
  <si>
    <t>南银转债</t>
  </si>
  <si>
    <t>正邦转债</t>
  </si>
  <si>
    <t>张行转债</t>
  </si>
  <si>
    <t>建工转债</t>
  </si>
  <si>
    <t>中钢转债</t>
  </si>
  <si>
    <t>通22转债</t>
  </si>
  <si>
    <t>成银转债</t>
  </si>
  <si>
    <t>杭银转债</t>
  </si>
  <si>
    <t>大秦转债</t>
  </si>
  <si>
    <t>科伦转债</t>
  </si>
  <si>
    <t>江银转债</t>
  </si>
  <si>
    <t>光大转债</t>
  </si>
  <si>
    <t>苏租转债</t>
  </si>
  <si>
    <t>牧原转债</t>
  </si>
  <si>
    <t>北港转债</t>
  </si>
  <si>
    <t>中环转2</t>
  </si>
  <si>
    <t>美诺转债</t>
  </si>
  <si>
    <t>希望转2</t>
  </si>
  <si>
    <t>现代转债</t>
  </si>
  <si>
    <t>苏农转债</t>
  </si>
  <si>
    <t>本钢转债</t>
  </si>
  <si>
    <t>南航转债</t>
  </si>
  <si>
    <t>中金转债</t>
  </si>
  <si>
    <t>贵广转债</t>
  </si>
  <si>
    <t>招路转债</t>
  </si>
  <si>
    <t>鹰19转债</t>
  </si>
  <si>
    <t>中银转债</t>
  </si>
  <si>
    <t>中装转2</t>
  </si>
  <si>
    <t>精工转债</t>
  </si>
  <si>
    <t>晶科转债</t>
  </si>
  <si>
    <t>山鹰转债</t>
  </si>
  <si>
    <t>苏行转债</t>
  </si>
  <si>
    <t>鸿路转债</t>
  </si>
  <si>
    <t>长汽转债</t>
  </si>
  <si>
    <t>友发转债</t>
  </si>
  <si>
    <t>隆22转债</t>
  </si>
  <si>
    <t>鲁泰转债</t>
  </si>
  <si>
    <t>核建转债</t>
  </si>
  <si>
    <t>洽洽转债</t>
  </si>
  <si>
    <t>恒逸转债</t>
  </si>
  <si>
    <t>旗滨转债</t>
  </si>
  <si>
    <t>禾丰转债</t>
  </si>
  <si>
    <t>青农转债</t>
  </si>
  <si>
    <t>国君转债</t>
  </si>
  <si>
    <t>兴业转债</t>
  </si>
  <si>
    <t>长信转债</t>
  </si>
  <si>
    <t>长证转债</t>
  </si>
  <si>
    <t>上22转债</t>
  </si>
  <si>
    <t>药石转债</t>
  </si>
  <si>
    <t>冀东转债</t>
  </si>
  <si>
    <t>绿动转债</t>
  </si>
  <si>
    <t>景20转债</t>
  </si>
  <si>
    <t>华友转债</t>
  </si>
  <si>
    <t>紫银转债</t>
  </si>
  <si>
    <t>裕兴转债</t>
  </si>
  <si>
    <t>广汇转债</t>
  </si>
  <si>
    <t>重银转债</t>
  </si>
  <si>
    <t>中特转债</t>
  </si>
  <si>
    <t>海澜转债</t>
  </si>
  <si>
    <t>亨通转债</t>
  </si>
  <si>
    <t>帝欧转债</t>
  </si>
  <si>
    <t>敖东转债</t>
  </si>
  <si>
    <t>巨星转债</t>
  </si>
  <si>
    <t>艾迪转债</t>
  </si>
  <si>
    <t>麒麟转债</t>
  </si>
  <si>
    <t>华安转债</t>
  </si>
  <si>
    <t>中信转债</t>
  </si>
  <si>
    <t>金田转债</t>
  </si>
  <si>
    <t>捷捷转债</t>
  </si>
  <si>
    <t>升21转债</t>
  </si>
  <si>
    <t>凤21转债</t>
  </si>
  <si>
    <t>宏发转债</t>
  </si>
  <si>
    <t>国投转债</t>
  </si>
  <si>
    <t>财通转债</t>
  </si>
  <si>
    <t>上银转债</t>
  </si>
  <si>
    <t>环旭转债</t>
  </si>
  <si>
    <t>垒知转债</t>
  </si>
  <si>
    <t>永东转2</t>
  </si>
  <si>
    <t>闻泰转债</t>
  </si>
  <si>
    <t>烽火转债</t>
  </si>
  <si>
    <t>韦尔转债</t>
  </si>
  <si>
    <t>浦发转债</t>
  </si>
  <si>
    <t>杭叉转债</t>
  </si>
  <si>
    <t>盈峰转债</t>
  </si>
  <si>
    <t>乐普转2</t>
  </si>
  <si>
    <t>首华转债</t>
  </si>
  <si>
    <t>崇达转2</t>
  </si>
  <si>
    <t>大族转债</t>
  </si>
  <si>
    <t>华海转债</t>
  </si>
  <si>
    <t>康泰转2</t>
  </si>
  <si>
    <t>科沃转债</t>
  </si>
  <si>
    <t>立讯转债</t>
  </si>
  <si>
    <t>蓝帆转债</t>
  </si>
  <si>
    <t>蒙娜转债</t>
  </si>
  <si>
    <t>鹤21转债</t>
  </si>
  <si>
    <t>大参转债</t>
  </si>
  <si>
    <t>西子转债</t>
  </si>
  <si>
    <t>百润转债</t>
  </si>
  <si>
    <t>仙乐转债</t>
  </si>
  <si>
    <t>永吉转债</t>
  </si>
  <si>
    <t>泰林转债</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</si>
  <si>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</si>
  <si>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</si>
  <si>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</si>
  <si>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</si>
  <si>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</si>
  <si>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</si>
  <si>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</si>
  <si>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SZ180801</t>
  </si>
  <si>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</si>
  <si>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</si>
  <si>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</si>
  <si>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</si>
  <si>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</si>
  <si>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</si>
  <si>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</si>
  <si>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</si>
  <si>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</si>
  <si>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</si>
  <si>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</si>
  <si>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</si>
  <si>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</si>
  <si>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</si>
  <si>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</si>
  <si>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</si>
  <si>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3. 分别点击《低溢价可转债轮动》和《双低可转债轮动》里面的“点击更新”按钮，如果有其他任何自定义排名也可以手动更新”最新VIP可转债排名“。</t>
  </si>
  <si>
    <t xml:space="preserve">1. 这里以"低溢价可转债策略"、"双低可转债策略"为例子，我做了2个轮动的sheet表格：《低溢价可转债轮动》和《双低可转债轮动》。 </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</si>
  <si>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</si>
  <si>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</si>
  <si>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</si>
  <si>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</si>
  <si>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</si>
  <si>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</si>
  <si>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</si>
  <si>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</si>
  <si>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使用电脑浏览器Chrome/Firefox/Opera/Edge/Chromium访问任意一个雪球网站以便获取token，不需要登录雪球账号。</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</si>
  <si>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</si>
  <si>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</si>
  <si>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</si>
  <si>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</si>
  <si>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注2：作为一个Android程序员，从2022.2月份开始边学边练第一次写Python项目进行量化投资，语法格式肯定不完美，勿喷，仅仅是为了解放调仓的苦恼而写的小玩意，分享出来仅用于学习研究，不可用于商业用途！</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</si>
  <si>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</si>
  <si>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</si>
  <si>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</si>
  <si>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注4：每个sheet页我都做了双排名（即自定义的”最新VIP可转债排名“），满足用户自定义的需求。</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</si>
  <si>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</si>
  <si>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</si>
  <si>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</si>
  <si>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</si>
  <si>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中矿转债!</t>
  </si>
  <si>
    <t>海兰转债!</t>
  </si>
  <si>
    <t>利尔转债!</t>
  </si>
  <si>
    <t>华统转债!</t>
  </si>
  <si>
    <t>傲农转债!</t>
  </si>
  <si>
    <t>靖远转债!</t>
  </si>
  <si>
    <t>鼎胜转债!</t>
  </si>
  <si>
    <t>万顺转2!</t>
  </si>
  <si>
    <t>齐翔转2!</t>
  </si>
  <si>
    <t>天壕转债!</t>
  </si>
  <si>
    <t>川恒转债!</t>
  </si>
  <si>
    <t>文灿转债!</t>
  </si>
  <si>
    <t>明泰转债!</t>
  </si>
  <si>
    <t>金诚转债!</t>
  </si>
  <si>
    <t>川投转债!</t>
  </si>
  <si>
    <t>精达转债!</t>
  </si>
  <si>
    <t>万顺转债!</t>
  </si>
  <si>
    <t>恩捷转债!</t>
  </si>
  <si>
    <t>台华转债!</t>
  </si>
  <si>
    <t>太阳转债!</t>
  </si>
  <si>
    <t>金禾转债!</t>
  </si>
  <si>
    <t>三角转债!</t>
  </si>
  <si>
    <t>寿仙转债!</t>
  </si>
  <si>
    <t>天能转债!</t>
  </si>
  <si>
    <t>斯莱转债!</t>
  </si>
  <si>
    <t>飞凯转债!</t>
  </si>
  <si>
    <t>艾华转债!</t>
  </si>
  <si>
    <t>苏试转债!</t>
  </si>
  <si>
    <t>润建转债!</t>
  </si>
  <si>
    <t>伊力转债!</t>
  </si>
  <si>
    <t>华通转债!</t>
  </si>
  <si>
    <t>华钰转债!</t>
  </si>
  <si>
    <t>节能转债!</t>
  </si>
  <si>
    <t>福能转债!</t>
  </si>
  <si>
    <t>火炬转债!</t>
  </si>
  <si>
    <t>楚江转债!</t>
  </si>
  <si>
    <t>蓝晓转债!</t>
  </si>
  <si>
    <t>国微转债!</t>
  </si>
  <si>
    <t>鸿达转债!</t>
  </si>
  <si>
    <t>君禾转债!</t>
  </si>
  <si>
    <t>贵轮转债</t>
  </si>
  <si>
    <t>天铁转债!</t>
  </si>
  <si>
    <t>美锦转债</t>
  </si>
  <si>
    <t>小康转债!</t>
  </si>
  <si>
    <t>飞鹿转债!</t>
  </si>
  <si>
    <t>湘佳转债</t>
  </si>
  <si>
    <t>中辰转债</t>
  </si>
  <si>
    <t>华锋转债!</t>
  </si>
  <si>
    <t>福莱转债</t>
  </si>
  <si>
    <t>晶瑞转债!</t>
  </si>
  <si>
    <t>新天转债!</t>
  </si>
  <si>
    <t>天康转债!</t>
  </si>
  <si>
    <t>昌红转债</t>
  </si>
  <si>
    <t>通光转债!</t>
  </si>
  <si>
    <t>wbb低溢价可转债ZH3128720</t>
  </si>
  <si>
    <t>1. 安装Python3：https://www.python.org/ftp/python/3.8.7/python-3.8.7-amd64.exe</t>
    <phoneticPr fontId="2" type="noConversion"/>
  </si>
  <si>
    <t>2. 打开cmd窗口输入：pip install schedule xlwings pandas requests pysnowball browser-cookie3</t>
    <phoneticPr fontId="2" type="noConversion"/>
  </si>
  <si>
    <t>高澜转债!</t>
  </si>
  <si>
    <t>美力转债!</t>
  </si>
  <si>
    <t>雷迪转债!</t>
  </si>
  <si>
    <t>伯特转债</t>
  </si>
  <si>
    <t>中大转债!</t>
  </si>
  <si>
    <t>拓尔转债!</t>
  </si>
  <si>
    <t>帝尔转债!</t>
  </si>
  <si>
    <t>美联转债!</t>
  </si>
  <si>
    <t>旺能转债!</t>
  </si>
  <si>
    <t>温氏转债!</t>
  </si>
  <si>
    <t>九洲转2!</t>
  </si>
  <si>
    <t>嘉泽转债!</t>
  </si>
  <si>
    <t>江丰转债!</t>
  </si>
  <si>
    <t>三花转债!</t>
  </si>
  <si>
    <t>盛虹转债!</t>
  </si>
  <si>
    <t>朗新转债!</t>
  </si>
  <si>
    <t>上能转债</t>
  </si>
  <si>
    <t>日丰转债!</t>
  </si>
  <si>
    <t>丰山转债</t>
  </si>
  <si>
    <t>浙22转债</t>
  </si>
  <si>
    <t>一品转债</t>
  </si>
  <si>
    <t>瑞鹄转债</t>
  </si>
  <si>
    <t>九强转债</t>
  </si>
  <si>
    <t>润禾转债</t>
  </si>
  <si>
    <t>通裕转债</t>
  </si>
  <si>
    <t>微芯转债</t>
  </si>
  <si>
    <t>拓普转债</t>
  </si>
  <si>
    <t>联创转债</t>
  </si>
  <si>
    <t>康医转债</t>
  </si>
  <si>
    <t>天业转债</t>
  </si>
  <si>
    <t>道通转债</t>
  </si>
  <si>
    <t>杭氧转债</t>
  </si>
  <si>
    <t>海优转债</t>
  </si>
  <si>
    <t>洁美转债</t>
  </si>
  <si>
    <t>嘉元转债</t>
  </si>
  <si>
    <t>银微转债</t>
  </si>
  <si>
    <t>博22转债</t>
  </si>
  <si>
    <t>高测转债</t>
  </si>
  <si>
    <t>太极转债</t>
  </si>
  <si>
    <t>华锐转债</t>
  </si>
  <si>
    <t>富春转债</t>
  </si>
  <si>
    <t>科利转债</t>
  </si>
  <si>
    <t>洁特转债</t>
  </si>
  <si>
    <t>伟22转债</t>
  </si>
  <si>
    <t>英力转债</t>
  </si>
  <si>
    <t>如果想讨论该tool的用法或者新需求，以及量化轮动策略等相关的内容，可以联系微信小助手wangbabaodzsf加入用户交流群，共同学习和进步！</t>
    <phoneticPr fontId="2" type="noConversion"/>
  </si>
  <si>
    <t>SH513800</t>
  </si>
  <si>
    <t>南方顶峰ETF</t>
  </si>
  <si>
    <t>SZ164701</t>
  </si>
  <si>
    <t>汇添富贵金</t>
  </si>
  <si>
    <t>国泰标普500ETF</t>
  </si>
  <si>
    <t>广发恒生科技ETF</t>
  </si>
  <si>
    <t>SZ161126</t>
  </si>
  <si>
    <t>易方达标普医疗A</t>
  </si>
  <si>
    <t>SH513120</t>
  </si>
  <si>
    <t>广发香港创新药ETF</t>
  </si>
  <si>
    <t>SH513280</t>
  </si>
  <si>
    <t>汇添富港股生物ETF</t>
  </si>
  <si>
    <t>SH511980</t>
  </si>
  <si>
    <t>汇添富添富通E</t>
  </si>
  <si>
    <t>华泰高股息ETF</t>
  </si>
  <si>
    <t>博时保证金A</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</si>
  <si>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</si>
  <si>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</si>
  <si>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</si>
  <si>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</si>
  <si>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</si>
  <si>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</si>
  <si>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</si>
  <si>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</si>
  <si>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</si>
  <si>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</si>
  <si>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</si>
  <si>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</si>
  <si>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</si>
  <si>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</si>
  <si>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</si>
  <si>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</si>
  <si>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</si>
  <si>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</si>
  <si>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</si>
  <si>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</si>
  <si>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</si>
  <si>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SH517780</t>
  </si>
  <si>
    <t>浦银安盛中华交易服务沪深港300ETF</t>
  </si>
  <si>
    <t>SZ159959</t>
  </si>
  <si>
    <t>银华中证央企结构调整ETF</t>
  </si>
  <si>
    <t>SZ159617</t>
  </si>
  <si>
    <t>华夏中证智选500价值稳健策略ETF</t>
  </si>
  <si>
    <t>SH562530</t>
  </si>
  <si>
    <t>华夏中证智选1000价值稳健策略ETF</t>
  </si>
  <si>
    <t>SH515760</t>
  </si>
  <si>
    <t>华夏中证浙江国资创新发展ETF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</si>
  <si>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</si>
  <si>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</si>
  <si>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</si>
  <si>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</si>
  <si>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</si>
  <si>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</si>
  <si>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</si>
  <si>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</si>
  <si>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</si>
  <si>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</si>
  <si>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</si>
  <si>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</si>
  <si>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</si>
  <si>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</si>
  <si>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SH561150</t>
  </si>
  <si>
    <t>富国中证500ESG基准ETF</t>
  </si>
  <si>
    <t>汇添富恒生香港上市生物科技ETF(QDII)</t>
  </si>
  <si>
    <t>南方恒生香港上市生物科技ETF(QDII)</t>
  </si>
  <si>
    <t>广发中证香港创新药ETF(QDII)</t>
  </si>
  <si>
    <t>SZ159628</t>
  </si>
  <si>
    <t>万家国证2000ETF</t>
  </si>
  <si>
    <t>SZ159620</t>
  </si>
  <si>
    <t>华夏中证智选500成长创新策略ETF</t>
  </si>
  <si>
    <t>SZ159629</t>
  </si>
  <si>
    <t>富国中证1000ETF</t>
  </si>
  <si>
    <t>SH560110</t>
  </si>
  <si>
    <t>汇添富中证1000ETF</t>
  </si>
  <si>
    <t>SH560010</t>
  </si>
  <si>
    <t>广发中证1000ETF</t>
  </si>
  <si>
    <t>SZ159804</t>
  </si>
  <si>
    <t>国寿安保创精选88ETF</t>
  </si>
  <si>
    <t>SZ159633</t>
  </si>
  <si>
    <t>易方达中证1000ETF</t>
  </si>
  <si>
    <t>SZ159642</t>
  </si>
  <si>
    <t>大成中证上海环交所碳中和ETF</t>
  </si>
  <si>
    <t>SZ159641</t>
  </si>
  <si>
    <t>招商中证上海环交所碳中和ETF</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</si>
  <si>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</si>
  <si>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</si>
  <si>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</si>
  <si>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</si>
  <si>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</si>
  <si>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</si>
  <si>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</si>
  <si>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</si>
  <si>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</si>
  <si>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</si>
  <si>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</si>
  <si>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南方中证上海环交所碳中和ETF</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</si>
  <si>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</si>
  <si>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</si>
  <si>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</si>
  <si>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</si>
  <si>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</si>
  <si>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</si>
  <si>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</si>
  <si>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</si>
  <si>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</si>
  <si>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</si>
  <si>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</si>
  <si>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</si>
  <si>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</si>
  <si>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更新时间:2022-08-21__20-46-49</t>
    <phoneticPr fontId="2" type="noConversion"/>
  </si>
  <si>
    <t>更新时间:2022-08-21__20-55-38</t>
    <phoneticPr fontId="2" type="noConversion"/>
  </si>
  <si>
    <t>更新时间:2022-08-21__20-57-16</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</si>
</sst>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_ "/>
    <numFmt numFmtId="177" formatCode="[$-F400]h:mm:ss\ AM/PM"/>
    <numFmt numFmtId="178" formatCode="0.00_);[Red]\(0.00\)"/>
  </numFmts>
  <fonts count="18"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s>
  <fills count="8">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6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5" fillId="3" borderId="0" xfId="0" applyFont="1" applyFill="1" applyBorder="1"/>
    <xf numFmtId="0" fontId="4" fillId="4" borderId="0" xfId="0" applyFont="1" applyFill="1" applyBorder="1"/>
    <xf numFmtId="0" fontId="6" fillId="0" borderId="0" xfId="1" applyFont="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0" fontId="16" fillId="2" borderId="0" xfId="0" applyFont="1" applyFill="1" applyBorder="1"/>
    <xf numFmtId="0" fontId="16" fillId="6" borderId="0" xfId="0" applyFont="1" applyFill="1" applyBorder="1"/>
    <xf numFmtId="0" fontId="15" fillId="2" borderId="0" xfId="4" applyNumberFormat="1" applyFont="1" applyFill="1" applyBorder="1" applyAlignment="1">
      <alignment horizontal="center" vertical="center" wrapText="1"/>
    </xf>
    <xf numFmtId="0" fontId="15" fillId="2" borderId="0" xfId="4" applyNumberFormat="1" applyFont="1" applyFill="1" applyBorder="1" applyAlignment="1">
      <alignment horizontal="center" vertical="center"/>
    </xf>
    <xf numFmtId="176" fontId="15" fillId="2" borderId="0" xfId="4" applyNumberFormat="1" applyFont="1" applyFill="1" applyBorder="1" applyAlignment="1">
      <alignment horizontal="center" vertical="center" wrapText="1"/>
    </xf>
    <xf numFmtId="178" fontId="15" fillId="2" borderId="0" xfId="4" applyNumberFormat="1" applyFont="1" applyFill="1" applyBorder="1" applyAlignment="1">
      <alignment horizontal="center" vertical="center" wrapText="1"/>
    </xf>
    <xf numFmtId="176" fontId="16" fillId="2" borderId="0" xfId="0" applyNumberFormat="1" applyFont="1" applyFill="1" applyBorder="1"/>
    <xf numFmtId="176" fontId="15" fillId="2" borderId="0" xfId="3" applyNumberFormat="1" applyFont="1" applyFill="1" applyBorder="1" applyAlignment="1">
      <alignment horizontal="center" vertical="center"/>
    </xf>
    <xf numFmtId="10" fontId="15" fillId="2" borderId="0" xfId="4" applyNumberFormat="1" applyFont="1" applyFill="1" applyBorder="1" applyAlignment="1">
      <alignment horizontal="center" vertical="center" wrapText="1"/>
    </xf>
    <xf numFmtId="10" fontId="15" fillId="2" borderId="0" xfId="3" applyNumberFormat="1" applyFont="1" applyFill="1" applyBorder="1" applyAlignment="1">
      <alignment horizontal="center" vertical="center"/>
    </xf>
    <xf numFmtId="178" fontId="0" fillId="0" borderId="0" xfId="0" applyNumberFormat="1" applyBorder="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xf numFmtId="10" fontId="16" fillId="2" borderId="0" xfId="0" applyNumberFormat="1" applyFont="1" applyFill="1" applyBorder="1"/>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2</xdr:row>
      <xdr:rowOff>114300</xdr:rowOff>
    </xdr:from>
    <xdr:to>
      <xdr:col>4</xdr:col>
      <xdr:colOff>533400</xdr:colOff>
      <xdr:row>20</xdr:row>
      <xdr:rowOff>28575</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4762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209550</xdr:colOff>
          <xdr:row>2</xdr:row>
          <xdr:rowOff>47625</xdr:rowOff>
        </xdr:from>
        <xdr:to>
          <xdr:col>20</xdr:col>
          <xdr:colOff>514350</xdr:colOff>
          <xdr:row>4</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123825</xdr:colOff>
          <xdr:row>1</xdr:row>
          <xdr:rowOff>123825</xdr:rowOff>
        </xdr:from>
        <xdr:to>
          <xdr:col>24</xdr:col>
          <xdr:colOff>542925</xdr:colOff>
          <xdr:row>4</xdr:row>
          <xdr:rowOff>57150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171450</xdr:colOff>
          <xdr:row>1</xdr:row>
          <xdr:rowOff>133350</xdr:rowOff>
        </xdr:from>
        <xdr:to>
          <xdr:col>24</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55"/>
  <sheetViews>
    <sheetView workbookViewId="0">
      <selection activeCell="N18" sqref="N18"/>
    </sheetView>
  </sheetViews>
  <sheetFormatPr defaultRowHeight="14.25" x14ac:dyDescent="0.15"/>
  <sheetData>
    <row r="1" spans="1:10" x14ac:dyDescent="0.15">
      <c r="A1" s="51" t="s">
        <v>1904</v>
      </c>
    </row>
    <row r="2" spans="1:10" s="53" customFormat="1" x14ac:dyDescent="0.15">
      <c r="A2" s="52" t="s">
        <v>2031</v>
      </c>
      <c r="B2" s="52"/>
      <c r="C2" s="52"/>
      <c r="D2" s="52"/>
      <c r="E2" s="52"/>
      <c r="F2" s="52"/>
      <c r="G2" s="52"/>
      <c r="H2" s="52"/>
      <c r="I2" s="52"/>
      <c r="J2" s="52"/>
    </row>
    <row r="23" spans="1:1" s="51" customFormat="1" x14ac:dyDescent="0.15">
      <c r="A23" s="51" t="s">
        <v>1911</v>
      </c>
    </row>
    <row r="24" spans="1:1" x14ac:dyDescent="0.15">
      <c r="A24" s="52" t="s">
        <v>1984</v>
      </c>
    </row>
    <row r="25" spans="1:1" x14ac:dyDescent="0.15">
      <c r="A25" t="s">
        <v>1985</v>
      </c>
    </row>
    <row r="26" spans="1:1" x14ac:dyDescent="0.15">
      <c r="A26" t="s">
        <v>1912</v>
      </c>
    </row>
    <row r="27" spans="1:1" x14ac:dyDescent="0.15">
      <c r="A27" t="s">
        <v>1913</v>
      </c>
    </row>
    <row r="28" spans="1:1" x14ac:dyDescent="0.15">
      <c r="A28" t="s">
        <v>1914</v>
      </c>
    </row>
    <row r="29" spans="1:1" x14ac:dyDescent="0.15">
      <c r="A29" t="s">
        <v>1915</v>
      </c>
    </row>
    <row r="31" spans="1:1" x14ac:dyDescent="0.15">
      <c r="A31" t="s">
        <v>1916</v>
      </c>
    </row>
    <row r="32" spans="1:1" x14ac:dyDescent="0.15">
      <c r="A32" t="s">
        <v>1917</v>
      </c>
    </row>
    <row r="33" spans="1:1" x14ac:dyDescent="0.15">
      <c r="A33" t="s">
        <v>1918</v>
      </c>
    </row>
    <row r="34" spans="1:1" x14ac:dyDescent="0.15">
      <c r="A34" t="s">
        <v>1919</v>
      </c>
    </row>
    <row r="36" spans="1:1" x14ac:dyDescent="0.15">
      <c r="A36" t="s">
        <v>1920</v>
      </c>
    </row>
    <row r="37" spans="1:1" s="51" customFormat="1" x14ac:dyDescent="0.15"/>
    <row r="39" spans="1:1" s="51" customFormat="1" x14ac:dyDescent="0.15">
      <c r="A39" s="51" t="s">
        <v>1921</v>
      </c>
    </row>
    <row r="40" spans="1:1" x14ac:dyDescent="0.15">
      <c r="A40" t="s">
        <v>1906</v>
      </c>
    </row>
    <row r="41" spans="1:1" x14ac:dyDescent="0.15">
      <c r="A41" t="s">
        <v>1907</v>
      </c>
    </row>
    <row r="42" spans="1:1" x14ac:dyDescent="0.15">
      <c r="A42" t="s">
        <v>1905</v>
      </c>
    </row>
    <row r="43" spans="1:1" x14ac:dyDescent="0.15">
      <c r="A43" t="s">
        <v>1922</v>
      </c>
    </row>
    <row r="45" spans="1:1" x14ac:dyDescent="0.15">
      <c r="A45" t="s">
        <v>1923</v>
      </c>
    </row>
    <row r="47" spans="1:1" x14ac:dyDescent="0.15">
      <c r="A47" t="s">
        <v>1924</v>
      </c>
    </row>
    <row r="49" spans="1:1" x14ac:dyDescent="0.15">
      <c r="A49" t="s">
        <v>1925</v>
      </c>
    </row>
    <row r="50" spans="1:1" x14ac:dyDescent="0.15">
      <c r="A50" t="s">
        <v>1908</v>
      </c>
    </row>
    <row r="53" spans="1:1" s="51" customFormat="1" x14ac:dyDescent="0.15">
      <c r="A53" s="51" t="s">
        <v>1928</v>
      </c>
    </row>
    <row r="54" spans="1:1" x14ac:dyDescent="0.15">
      <c r="A54" t="s">
        <v>1926</v>
      </c>
    </row>
    <row r="55" spans="1:1" x14ac:dyDescent="0.15">
      <c r="A55" t="s">
        <v>1927</v>
      </c>
    </row>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15"/>
  <sheetViews>
    <sheetView workbookViewId="0">
      <pane ySplit="1" topLeftCell="A401" activePane="bottomLeft" state="frozen"/>
      <selection pane="bottomLeft" activeCell="L413" sqref="L413"/>
    </sheetView>
  </sheetViews>
  <sheetFormatPr defaultRowHeight="14.25" x14ac:dyDescent="0.15"/>
  <cols>
    <col min="1" max="1" width="5.75" style="29" customWidth="1"/>
    <col min="2" max="3" width="10.75" style="28" customWidth="1"/>
    <col min="4" max="4" width="9" style="28"/>
    <col min="5" max="5" width="9.5" style="48" bestFit="1" customWidth="1"/>
    <col min="6" max="6" width="9" style="28"/>
    <col min="7" max="7" width="10.75" style="28" customWidth="1"/>
    <col min="8" max="8" width="9" style="48"/>
    <col min="9" max="9" width="9.5" style="45" bestFit="1" customWidth="1"/>
    <col min="10" max="10" width="11.125" style="28" customWidth="1"/>
    <col min="11" max="12" width="10.75" style="47" customWidth="1"/>
    <col min="13" max="13" width="11.625" style="47" bestFit="1" customWidth="1"/>
    <col min="14" max="14" width="9" style="48" customWidth="1"/>
    <col min="15" max="15" width="10.75" style="48" customWidth="1"/>
    <col min="16" max="17" width="9" style="28"/>
    <col min="18" max="18" width="9" style="48"/>
    <col min="19" max="16384" width="9" style="28"/>
  </cols>
  <sheetData>
    <row r="1" spans="1:21" s="35" customFormat="1" x14ac:dyDescent="0.15">
      <c r="A1" s="36"/>
      <c r="B1" s="37" t="s">
        <v>1881</v>
      </c>
      <c r="C1" s="38" t="s">
        <v>1882</v>
      </c>
      <c r="D1" s="39" t="s">
        <v>1774</v>
      </c>
      <c r="E1" s="44" t="s">
        <v>1890</v>
      </c>
      <c r="F1" s="35" t="s">
        <v>1891</v>
      </c>
      <c r="G1" s="35" t="s">
        <v>1892</v>
      </c>
      <c r="H1" s="43" t="s">
        <v>35</v>
      </c>
      <c r="I1" s="40" t="s">
        <v>1883</v>
      </c>
      <c r="J1" s="35" t="s">
        <v>1893</v>
      </c>
      <c r="K1" s="41" t="s">
        <v>1894</v>
      </c>
      <c r="L1" s="42" t="s">
        <v>1884</v>
      </c>
      <c r="M1" s="39" t="s">
        <v>1895</v>
      </c>
      <c r="N1" s="43" t="s">
        <v>1896</v>
      </c>
      <c r="O1" s="54" t="s">
        <v>1897</v>
      </c>
      <c r="P1" s="39" t="s">
        <v>1898</v>
      </c>
      <c r="Q1" s="39" t="s">
        <v>1899</v>
      </c>
      <c r="R1" s="44" t="s">
        <v>1900</v>
      </c>
    </row>
    <row r="2" spans="1:21" x14ac:dyDescent="0.15">
      <c r="A2" s="29">
        <v>1</v>
      </c>
      <c r="B2" s="28">
        <v>123086</v>
      </c>
      <c r="C2" s="28" t="s">
        <v>1930</v>
      </c>
      <c r="D2" s="28">
        <v>169.7</v>
      </c>
      <c r="E2" s="48">
        <v>-1.6200000000000003E-2</v>
      </c>
      <c r="F2" s="28">
        <v>7.27</v>
      </c>
      <c r="G2" s="28">
        <v>171.53</v>
      </c>
      <c r="H2" s="48">
        <v>-1.0700000000000001E-2</v>
      </c>
      <c r="I2" s="45">
        <v>168.63</v>
      </c>
      <c r="J2" s="46">
        <v>46367</v>
      </c>
      <c r="K2" s="47">
        <v>4.3120000000000003</v>
      </c>
      <c r="L2" s="47">
        <v>1.091539</v>
      </c>
      <c r="M2" s="47">
        <v>12457.219994499999</v>
      </c>
      <c r="N2" s="48">
        <v>0.67251199434893894</v>
      </c>
      <c r="O2" s="48">
        <v>-7.2954999999999992E-2</v>
      </c>
      <c r="P2" s="28">
        <v>175.29</v>
      </c>
      <c r="Q2" s="28">
        <v>168.828</v>
      </c>
      <c r="R2" s="48">
        <v>3.8275641481270814E-2</v>
      </c>
    </row>
    <row r="3" spans="1:21" x14ac:dyDescent="0.15">
      <c r="A3" s="29">
        <v>2</v>
      </c>
      <c r="B3" s="28">
        <v>123045</v>
      </c>
      <c r="C3" s="28" t="s">
        <v>1988</v>
      </c>
      <c r="D3" s="28">
        <v>164.386</v>
      </c>
      <c r="E3" s="48">
        <v>-5.3099999999999994E-2</v>
      </c>
      <c r="F3" s="28">
        <v>19.329999999999998</v>
      </c>
      <c r="G3" s="28">
        <v>165.7</v>
      </c>
      <c r="H3" s="48">
        <v>-7.9000000000000008E-3</v>
      </c>
      <c r="I3" s="45">
        <v>163.596</v>
      </c>
      <c r="J3" s="46">
        <v>46093</v>
      </c>
      <c r="K3" s="47">
        <v>3.5619999999999998</v>
      </c>
      <c r="L3" s="47">
        <v>0.86870000000000003</v>
      </c>
      <c r="M3" s="47">
        <v>32346.908799500001</v>
      </c>
      <c r="N3" s="48">
        <v>2.2651560920263716</v>
      </c>
      <c r="O3" s="48">
        <v>-9.0130000000000002E-2</v>
      </c>
      <c r="P3" s="28">
        <v>176.59800000000001</v>
      </c>
      <c r="Q3" s="28">
        <v>162.5</v>
      </c>
      <c r="R3" s="48">
        <v>8.6756923076923162E-2</v>
      </c>
      <c r="T3" s="30"/>
      <c r="U3" s="30"/>
    </row>
    <row r="4" spans="1:21" x14ac:dyDescent="0.15">
      <c r="A4" s="29">
        <v>3</v>
      </c>
      <c r="B4" s="28">
        <v>123084</v>
      </c>
      <c r="C4" s="28" t="s">
        <v>1986</v>
      </c>
      <c r="D4" s="28">
        <v>154</v>
      </c>
      <c r="E4" s="48">
        <v>-1.47E-2</v>
      </c>
      <c r="F4" s="28">
        <v>9.01</v>
      </c>
      <c r="G4" s="28">
        <v>154.94</v>
      </c>
      <c r="H4" s="48">
        <v>-6.0999999999999995E-3</v>
      </c>
      <c r="I4" s="45">
        <v>153.38999999999999</v>
      </c>
      <c r="J4" s="46">
        <v>46366</v>
      </c>
      <c r="K4" s="47">
        <v>4.3099999999999996</v>
      </c>
      <c r="L4" s="47">
        <v>0.70291099999999995</v>
      </c>
      <c r="M4" s="47">
        <v>25232.657091699999</v>
      </c>
      <c r="N4" s="48">
        <v>2.3309981302522882</v>
      </c>
      <c r="O4" s="48">
        <v>-5.4896E-2</v>
      </c>
      <c r="P4" s="28">
        <v>158.37</v>
      </c>
      <c r="Q4" s="28">
        <v>149.001</v>
      </c>
      <c r="R4" s="48">
        <v>6.2878772625687071E-2</v>
      </c>
      <c r="T4" s="30"/>
      <c r="U4" s="30"/>
    </row>
    <row r="5" spans="1:21" x14ac:dyDescent="0.15">
      <c r="A5" s="29">
        <v>4</v>
      </c>
      <c r="B5" s="28">
        <v>113620</v>
      </c>
      <c r="C5" s="28" t="s">
        <v>1933</v>
      </c>
      <c r="D5" s="28">
        <v>140.93100000000001</v>
      </c>
      <c r="E5" s="48">
        <v>2.0400000000000001E-2</v>
      </c>
      <c r="F5" s="28">
        <v>14.11</v>
      </c>
      <c r="G5" s="28">
        <v>141.66999999999999</v>
      </c>
      <c r="H5" s="48">
        <v>-5.1999999999999998E-3</v>
      </c>
      <c r="I5" s="45">
        <v>140.411</v>
      </c>
      <c r="J5" s="46">
        <v>46456</v>
      </c>
      <c r="K5" s="47">
        <v>4.556</v>
      </c>
      <c r="L5" s="47">
        <v>2.4529800000000002</v>
      </c>
      <c r="M5" s="47">
        <v>112639.7378</v>
      </c>
      <c r="N5" s="48">
        <v>3.2583001622577261</v>
      </c>
      <c r="O5" s="48">
        <v>-3.3812000000000002E-2</v>
      </c>
      <c r="P5" s="28">
        <v>146.18600000000001</v>
      </c>
      <c r="Q5" s="28">
        <v>136.56</v>
      </c>
      <c r="R5" s="48">
        <v>7.0489162272993594E-2</v>
      </c>
      <c r="T5" s="30"/>
      <c r="U5" s="30"/>
    </row>
    <row r="6" spans="1:21" x14ac:dyDescent="0.15">
      <c r="A6" s="29">
        <v>5</v>
      </c>
      <c r="B6" s="28">
        <v>127048</v>
      </c>
      <c r="C6" s="28" t="s">
        <v>1990</v>
      </c>
      <c r="D6" s="28">
        <v>218</v>
      </c>
      <c r="E6" s="48">
        <v>-1.7100000000000001E-2</v>
      </c>
      <c r="F6" s="28">
        <v>16.77</v>
      </c>
      <c r="G6" s="28">
        <v>217.83</v>
      </c>
      <c r="H6" s="48">
        <v>8.0000000000000004E-4</v>
      </c>
      <c r="I6" s="45">
        <v>218.08</v>
      </c>
      <c r="J6" s="46">
        <v>46686</v>
      </c>
      <c r="K6" s="47">
        <v>5.1859999999999999</v>
      </c>
      <c r="L6" s="47">
        <v>1.901635</v>
      </c>
      <c r="M6" s="47">
        <v>165343.08416610002</v>
      </c>
      <c r="N6" s="48">
        <v>3.9884337137431451</v>
      </c>
      <c r="O6" s="48">
        <v>-0.108333</v>
      </c>
      <c r="P6" s="28">
        <v>226.452</v>
      </c>
      <c r="Q6" s="28">
        <v>213.47300000000001</v>
      </c>
      <c r="R6" s="48">
        <v>6.0799257985787357E-2</v>
      </c>
      <c r="T6" s="28" t="s">
        <v>2143</v>
      </c>
    </row>
    <row r="7" spans="1:21" x14ac:dyDescent="0.15">
      <c r="A7" s="29">
        <v>6</v>
      </c>
      <c r="B7" s="28">
        <v>123097</v>
      </c>
      <c r="C7" s="28" t="s">
        <v>1987</v>
      </c>
      <c r="D7" s="28">
        <v>140.608</v>
      </c>
      <c r="E7" s="48">
        <v>-4.8899999999999999E-2</v>
      </c>
      <c r="F7" s="28">
        <v>9.23</v>
      </c>
      <c r="G7" s="28">
        <v>140.19999999999999</v>
      </c>
      <c r="H7" s="48">
        <v>2.8999999999999998E-3</v>
      </c>
      <c r="I7" s="45">
        <v>140.898</v>
      </c>
      <c r="J7" s="46">
        <v>46414</v>
      </c>
      <c r="K7" s="47">
        <v>4.4409999999999998</v>
      </c>
      <c r="L7" s="47">
        <v>1.443425</v>
      </c>
      <c r="M7" s="47">
        <v>27067.475687000002</v>
      </c>
      <c r="N7" s="48">
        <v>1.3336550121637922</v>
      </c>
      <c r="O7" s="48">
        <v>-3.3786000000000004E-2</v>
      </c>
      <c r="P7" s="28">
        <v>149.5</v>
      </c>
      <c r="Q7" s="28">
        <v>140.126</v>
      </c>
      <c r="R7" s="48">
        <v>6.6896935615089234E-2</v>
      </c>
    </row>
    <row r="8" spans="1:21" x14ac:dyDescent="0.15">
      <c r="A8" s="29">
        <v>7</v>
      </c>
      <c r="B8" s="28">
        <v>123023</v>
      </c>
      <c r="C8" s="28" t="s">
        <v>193</v>
      </c>
      <c r="D8" s="28">
        <v>149.13999999999999</v>
      </c>
      <c r="E8" s="48">
        <v>-2.5899999999999999E-2</v>
      </c>
      <c r="F8" s="28">
        <v>4.58</v>
      </c>
      <c r="G8" s="28">
        <v>148.69</v>
      </c>
      <c r="H8" s="48">
        <v>3.0000000000000001E-3</v>
      </c>
      <c r="I8" s="45">
        <v>149.44</v>
      </c>
      <c r="J8" s="46">
        <v>45736</v>
      </c>
      <c r="K8" s="47">
        <v>2.5840000000000001</v>
      </c>
      <c r="L8" s="47">
        <v>5.293596</v>
      </c>
      <c r="M8" s="47">
        <v>174468.48236910001</v>
      </c>
      <c r="N8" s="48">
        <v>2.2098970955051516</v>
      </c>
      <c r="O8" s="48">
        <v>-0.10228</v>
      </c>
      <c r="P8" s="28">
        <v>160.19999999999999</v>
      </c>
      <c r="Q8" s="28">
        <v>147.40799999999999</v>
      </c>
      <c r="R8" s="48">
        <v>8.6779550634972336E-2</v>
      </c>
    </row>
    <row r="9" spans="1:21" x14ac:dyDescent="0.15">
      <c r="A9" s="29">
        <v>8</v>
      </c>
      <c r="B9" s="28">
        <v>123027</v>
      </c>
      <c r="C9" s="28" t="s">
        <v>1965</v>
      </c>
      <c r="D9" s="28">
        <v>464.40100000000001</v>
      </c>
      <c r="E9" s="48">
        <v>-3.4000000000000002E-3</v>
      </c>
      <c r="F9" s="28">
        <v>19.07</v>
      </c>
      <c r="G9" s="28">
        <v>456.21</v>
      </c>
      <c r="H9" s="48">
        <v>1.8000000000000002E-2</v>
      </c>
      <c r="I9" s="45">
        <v>466.20100000000002</v>
      </c>
      <c r="J9" s="46">
        <v>45819</v>
      </c>
      <c r="K9" s="47">
        <v>2.8109999999999999</v>
      </c>
      <c r="L9" s="47">
        <v>1.0660290000000001</v>
      </c>
      <c r="M9" s="47">
        <v>28633.079871800001</v>
      </c>
      <c r="N9" s="48">
        <v>0.57837018796523232</v>
      </c>
      <c r="O9" s="48">
        <v>-0.39058700000000002</v>
      </c>
      <c r="P9" s="28">
        <v>466.69600000000003</v>
      </c>
      <c r="Q9" s="28">
        <v>454.11399999999998</v>
      </c>
      <c r="R9" s="48">
        <v>2.7706699198879688E-2</v>
      </c>
    </row>
    <row r="10" spans="1:21" x14ac:dyDescent="0.15">
      <c r="A10" s="29">
        <v>9</v>
      </c>
      <c r="B10" s="28">
        <v>113626</v>
      </c>
      <c r="C10" s="28" t="s">
        <v>1989</v>
      </c>
      <c r="D10" s="28">
        <v>278.25599999999997</v>
      </c>
      <c r="E10" s="48">
        <v>-2.2599999999999999E-2</v>
      </c>
      <c r="F10" s="28">
        <v>35.880000000000003</v>
      </c>
      <c r="G10" s="28">
        <v>271.95999999999998</v>
      </c>
      <c r="H10" s="48">
        <v>2.3199999999999998E-2</v>
      </c>
      <c r="I10" s="45">
        <v>280.57599999999996</v>
      </c>
      <c r="J10" s="46">
        <v>46567</v>
      </c>
      <c r="K10" s="47">
        <v>4.8600000000000003</v>
      </c>
      <c r="L10" s="47">
        <v>8.7978799999999993</v>
      </c>
      <c r="M10" s="47">
        <v>36629.900600000001</v>
      </c>
      <c r="N10" s="48">
        <v>0.14962810245071256</v>
      </c>
      <c r="O10" s="48">
        <v>-0.159665</v>
      </c>
      <c r="P10" s="28">
        <v>286.98</v>
      </c>
      <c r="Q10" s="28">
        <v>274.8</v>
      </c>
      <c r="R10" s="48">
        <v>4.4323144104803515E-2</v>
      </c>
    </row>
    <row r="11" spans="1:21" x14ac:dyDescent="0.15">
      <c r="A11" s="29">
        <v>10</v>
      </c>
      <c r="B11" s="28">
        <v>110061</v>
      </c>
      <c r="C11" s="28" t="s">
        <v>1943</v>
      </c>
      <c r="D11" s="28">
        <v>152.33000000000001</v>
      </c>
      <c r="E11" s="48">
        <v>1.83E-2</v>
      </c>
      <c r="F11" s="28">
        <v>8.8000000000000007</v>
      </c>
      <c r="G11" s="28">
        <v>148.75</v>
      </c>
      <c r="H11" s="48">
        <v>2.41E-2</v>
      </c>
      <c r="I11" s="45">
        <v>154.74</v>
      </c>
      <c r="J11" s="46">
        <v>45972</v>
      </c>
      <c r="K11" s="47">
        <v>3.23</v>
      </c>
      <c r="L11" s="47">
        <v>39.491070000000001</v>
      </c>
      <c r="M11" s="47">
        <v>31322.219300000001</v>
      </c>
      <c r="N11" s="48">
        <v>5.2067674696450413E-2</v>
      </c>
      <c r="O11" s="48">
        <v>-9.6857000000000013E-2</v>
      </c>
      <c r="P11" s="28">
        <v>153.768</v>
      </c>
      <c r="Q11" s="28">
        <v>148.03</v>
      </c>
      <c r="R11" s="48">
        <v>3.8762413024386946E-2</v>
      </c>
    </row>
    <row r="12" spans="1:21" x14ac:dyDescent="0.15">
      <c r="A12" s="29">
        <v>11</v>
      </c>
      <c r="B12" s="28">
        <v>128087</v>
      </c>
      <c r="C12" s="28" t="s">
        <v>117</v>
      </c>
      <c r="D12" s="28">
        <v>134.9</v>
      </c>
      <c r="E12" s="48">
        <v>-2.0499999999999997E-2</v>
      </c>
      <c r="F12" s="28">
        <v>4.16</v>
      </c>
      <c r="G12" s="28">
        <v>131.72999999999999</v>
      </c>
      <c r="H12" s="48">
        <v>2.41E-2</v>
      </c>
      <c r="I12" s="45">
        <v>137.31</v>
      </c>
      <c r="J12" s="46">
        <v>46008</v>
      </c>
      <c r="K12" s="47">
        <v>3.3290000000000002</v>
      </c>
      <c r="L12" s="47">
        <v>6.4905280000000003</v>
      </c>
      <c r="M12" s="47">
        <v>13345.721090800002</v>
      </c>
      <c r="N12" s="48">
        <v>0.15242284618230065</v>
      </c>
      <c r="O12" s="48">
        <v>-5.4597E-2</v>
      </c>
      <c r="P12" s="28">
        <v>137.72800000000001</v>
      </c>
      <c r="Q12" s="28">
        <v>132.65199999999999</v>
      </c>
      <c r="R12" s="48">
        <v>3.8265536893526089E-2</v>
      </c>
    </row>
    <row r="13" spans="1:21" x14ac:dyDescent="0.15">
      <c r="A13" s="29">
        <v>12</v>
      </c>
      <c r="B13" s="28">
        <v>113635</v>
      </c>
      <c r="C13" s="28" t="s">
        <v>1849</v>
      </c>
      <c r="D13" s="28">
        <v>142.69200000000001</v>
      </c>
      <c r="E13" s="48">
        <v>-2.6600000000000002E-2</v>
      </c>
      <c r="F13" s="28">
        <v>33.04</v>
      </c>
      <c r="G13" s="28">
        <v>139.22999999999999</v>
      </c>
      <c r="H13" s="48">
        <v>2.4900000000000002E-2</v>
      </c>
      <c r="I13" s="45">
        <v>145.18200000000002</v>
      </c>
      <c r="J13" s="46">
        <v>46731</v>
      </c>
      <c r="K13" s="47">
        <v>5.31</v>
      </c>
      <c r="L13" s="47">
        <v>13.49591</v>
      </c>
      <c r="M13" s="47">
        <v>45500.154399999999</v>
      </c>
      <c r="N13" s="48">
        <v>0.23627135492638615</v>
      </c>
      <c r="O13" s="48">
        <v>-3.3204999999999998E-2</v>
      </c>
      <c r="P13" s="28">
        <v>147.9</v>
      </c>
      <c r="Q13" s="28">
        <v>140.30000000000001</v>
      </c>
      <c r="R13" s="48">
        <v>5.416963649322875E-2</v>
      </c>
    </row>
    <row r="14" spans="1:21" x14ac:dyDescent="0.15">
      <c r="A14" s="29">
        <v>13</v>
      </c>
      <c r="B14" s="28">
        <v>110085</v>
      </c>
      <c r="C14" s="28" t="s">
        <v>1785</v>
      </c>
      <c r="D14" s="28">
        <v>160.505</v>
      </c>
      <c r="E14" s="48">
        <v>1.9400000000000001E-2</v>
      </c>
      <c r="F14" s="28">
        <v>38.36</v>
      </c>
      <c r="G14" s="28">
        <v>156.31</v>
      </c>
      <c r="H14" s="48">
        <v>2.6800000000000001E-2</v>
      </c>
      <c r="I14" s="45">
        <v>163.185</v>
      </c>
      <c r="J14" s="46">
        <v>46807</v>
      </c>
      <c r="K14" s="47">
        <v>5.5179999999999998</v>
      </c>
      <c r="L14" s="47">
        <v>120</v>
      </c>
      <c r="M14" s="47">
        <v>166080.35769999999</v>
      </c>
      <c r="N14" s="48">
        <v>8.6228029085282917E-2</v>
      </c>
      <c r="O14" s="48">
        <v>-6.1650000000000003E-2</v>
      </c>
      <c r="P14" s="28">
        <v>164.24799999999999</v>
      </c>
      <c r="Q14" s="28">
        <v>155.227</v>
      </c>
      <c r="R14" s="48">
        <v>5.8114889806541302E-2</v>
      </c>
    </row>
    <row r="15" spans="1:21" x14ac:dyDescent="0.15">
      <c r="A15" s="29">
        <v>14</v>
      </c>
      <c r="B15" s="28">
        <v>118001</v>
      </c>
      <c r="C15" s="28" t="s">
        <v>224</v>
      </c>
      <c r="D15" s="28">
        <v>131.63999999999999</v>
      </c>
      <c r="E15" s="48">
        <v>-1.5700000000000002E-2</v>
      </c>
      <c r="F15" s="28">
        <v>269.13</v>
      </c>
      <c r="G15" s="28">
        <v>128.16999999999999</v>
      </c>
      <c r="H15" s="48">
        <v>2.7099999999999999E-2</v>
      </c>
      <c r="I15" s="45">
        <v>134.35</v>
      </c>
      <c r="J15" s="46">
        <v>46591</v>
      </c>
      <c r="K15" s="47">
        <v>4.9260000000000002</v>
      </c>
      <c r="L15" s="47">
        <v>5.9797599999999997</v>
      </c>
      <c r="M15" s="47">
        <v>24428.217100000002</v>
      </c>
      <c r="N15" s="48">
        <v>0.31032741489180382</v>
      </c>
      <c r="O15" s="48">
        <v>-1.7135000000000001E-2</v>
      </c>
      <c r="P15" s="28">
        <v>134.80000000000001</v>
      </c>
      <c r="Q15" s="28">
        <v>128.47</v>
      </c>
      <c r="R15" s="48">
        <v>4.9272203627306083E-2</v>
      </c>
    </row>
    <row r="16" spans="1:21" x14ac:dyDescent="0.15">
      <c r="A16" s="29">
        <v>15</v>
      </c>
      <c r="B16" s="28">
        <v>123121</v>
      </c>
      <c r="C16" s="28" t="s">
        <v>1992</v>
      </c>
      <c r="D16" s="28">
        <v>204</v>
      </c>
      <c r="E16" s="48">
        <v>-2.8500000000000001E-2</v>
      </c>
      <c r="F16" s="28">
        <v>119.68</v>
      </c>
      <c r="G16" s="28">
        <v>198.49</v>
      </c>
      <c r="H16" s="48">
        <v>2.7799999999999998E-2</v>
      </c>
      <c r="I16" s="45">
        <v>206.78</v>
      </c>
      <c r="J16" s="46">
        <v>46604</v>
      </c>
      <c r="K16" s="47">
        <v>4.9619999999999997</v>
      </c>
      <c r="L16" s="47">
        <v>8.3625550000000004</v>
      </c>
      <c r="M16" s="47">
        <v>59660.857089500001</v>
      </c>
      <c r="N16" s="48">
        <v>0.34971989040583223</v>
      </c>
      <c r="O16" s="48">
        <v>-0.102025</v>
      </c>
      <c r="P16" s="28">
        <v>214.81</v>
      </c>
      <c r="Q16" s="28">
        <v>201</v>
      </c>
      <c r="R16" s="48">
        <v>6.8706467661691556E-2</v>
      </c>
    </row>
    <row r="17" spans="1:18" x14ac:dyDescent="0.15">
      <c r="A17" s="29">
        <v>16</v>
      </c>
      <c r="B17" s="28">
        <v>113537</v>
      </c>
      <c r="C17" s="28" t="s">
        <v>1940</v>
      </c>
      <c r="D17" s="28">
        <v>465.35500000000002</v>
      </c>
      <c r="E17" s="48">
        <v>-3.2500000000000001E-2</v>
      </c>
      <c r="F17" s="28">
        <v>19.13</v>
      </c>
      <c r="G17" s="28">
        <v>450.24</v>
      </c>
      <c r="H17" s="48">
        <v>3.3599999999999998E-2</v>
      </c>
      <c r="I17" s="45">
        <v>468.71500000000003</v>
      </c>
      <c r="J17" s="46">
        <v>45818</v>
      </c>
      <c r="K17" s="47">
        <v>2.8079999999999998</v>
      </c>
      <c r="L17" s="47">
        <v>1.37564</v>
      </c>
      <c r="M17" s="47">
        <v>113744.48020000001</v>
      </c>
      <c r="N17" s="48">
        <v>1.7768106568996698</v>
      </c>
      <c r="O17" s="48">
        <v>-0.38756200000000002</v>
      </c>
      <c r="P17" s="28">
        <v>485</v>
      </c>
      <c r="Q17" s="28">
        <v>450.52</v>
      </c>
      <c r="R17" s="48">
        <v>7.653378318387645E-2</v>
      </c>
    </row>
    <row r="18" spans="1:18" x14ac:dyDescent="0.15">
      <c r="A18" s="29">
        <v>17</v>
      </c>
      <c r="B18" s="28">
        <v>123137</v>
      </c>
      <c r="C18" s="28" t="s">
        <v>767</v>
      </c>
      <c r="D18" s="28">
        <v>194</v>
      </c>
      <c r="E18" s="48">
        <v>-3.0999999999999999E-3</v>
      </c>
      <c r="F18" s="28">
        <v>151.36000000000001</v>
      </c>
      <c r="G18" s="28">
        <v>187.62</v>
      </c>
      <c r="H18" s="48">
        <v>3.4000000000000002E-2</v>
      </c>
      <c r="I18" s="45">
        <v>197.4</v>
      </c>
      <c r="J18" s="46">
        <v>46793</v>
      </c>
      <c r="K18" s="47">
        <v>5.4790000000000001</v>
      </c>
      <c r="L18" s="47">
        <v>8.967231</v>
      </c>
      <c r="M18" s="47">
        <v>67437.276633400004</v>
      </c>
      <c r="N18" s="48">
        <v>0.38765013191610265</v>
      </c>
      <c r="O18" s="48">
        <v>-8.7690000000000004E-2</v>
      </c>
      <c r="P18" s="28">
        <v>198.98</v>
      </c>
      <c r="Q18" s="28">
        <v>189.40600000000001</v>
      </c>
      <c r="R18" s="48">
        <v>5.0547501135127626E-2</v>
      </c>
    </row>
    <row r="19" spans="1:18" x14ac:dyDescent="0.15">
      <c r="A19" s="29">
        <v>18</v>
      </c>
      <c r="B19" s="28">
        <v>128046</v>
      </c>
      <c r="C19" s="28" t="s">
        <v>1931</v>
      </c>
      <c r="D19" s="28">
        <v>187.99</v>
      </c>
      <c r="E19" s="48">
        <v>-6.0000000000000001E-3</v>
      </c>
      <c r="F19" s="28">
        <v>12.8</v>
      </c>
      <c r="G19" s="28">
        <v>181.72</v>
      </c>
      <c r="H19" s="48">
        <v>3.4500000000000003E-2</v>
      </c>
      <c r="I19" s="45">
        <v>191.44</v>
      </c>
      <c r="J19" s="46">
        <v>45582</v>
      </c>
      <c r="K19" s="47">
        <v>2.1619999999999999</v>
      </c>
      <c r="L19" s="47">
        <v>7.1901260000000002</v>
      </c>
      <c r="M19" s="47">
        <v>5696.0656901000002</v>
      </c>
      <c r="N19" s="48">
        <v>4.2140893565870238E-2</v>
      </c>
      <c r="O19" s="48">
        <v>-0.218275</v>
      </c>
      <c r="P19" s="28">
        <v>190.44</v>
      </c>
      <c r="Q19" s="28">
        <v>186.44</v>
      </c>
      <c r="R19" s="48">
        <v>2.1454623471358077E-2</v>
      </c>
    </row>
    <row r="20" spans="1:18" x14ac:dyDescent="0.15">
      <c r="A20" s="29">
        <v>19</v>
      </c>
      <c r="B20" s="28">
        <v>123085</v>
      </c>
      <c r="C20" s="28" t="s">
        <v>1936</v>
      </c>
      <c r="D20" s="28">
        <v>200.11500000000001</v>
      </c>
      <c r="E20" s="48">
        <v>-6.4000000000000001E-2</v>
      </c>
      <c r="F20" s="28">
        <v>6.2</v>
      </c>
      <c r="G20" s="28">
        <v>192.42</v>
      </c>
      <c r="H20" s="48">
        <v>0.04</v>
      </c>
      <c r="I20" s="45">
        <v>204.11500000000001</v>
      </c>
      <c r="J20" s="46">
        <v>46367</v>
      </c>
      <c r="K20" s="47">
        <v>4.3120000000000003</v>
      </c>
      <c r="L20" s="47">
        <v>6.599778999999999</v>
      </c>
      <c r="M20" s="47">
        <v>41124.662380000002</v>
      </c>
      <c r="N20" s="48">
        <v>0.31138186057562928</v>
      </c>
      <c r="O20" s="48">
        <v>-0.126333</v>
      </c>
      <c r="P20" s="28">
        <v>214.48</v>
      </c>
      <c r="Q20" s="28">
        <v>195.001</v>
      </c>
      <c r="R20" s="48">
        <v>9.9891795426690036E-2</v>
      </c>
    </row>
    <row r="21" spans="1:18" x14ac:dyDescent="0.15">
      <c r="A21" s="29">
        <v>20</v>
      </c>
      <c r="B21" s="28">
        <v>123057</v>
      </c>
      <c r="C21" s="28" t="s">
        <v>1993</v>
      </c>
      <c r="D21" s="28">
        <v>235.77</v>
      </c>
      <c r="E21" s="48">
        <v>-5.1399999999999994E-2</v>
      </c>
      <c r="F21" s="28">
        <v>9.5</v>
      </c>
      <c r="G21" s="28">
        <v>225.58</v>
      </c>
      <c r="H21" s="48">
        <v>4.5199999999999997E-2</v>
      </c>
      <c r="I21" s="45">
        <v>240.29000000000002</v>
      </c>
      <c r="J21" s="46">
        <v>46204</v>
      </c>
      <c r="K21" s="47">
        <v>3.8660000000000001</v>
      </c>
      <c r="L21" s="47">
        <v>2.0647899999999999</v>
      </c>
      <c r="M21" s="47">
        <v>33131.386517999999</v>
      </c>
      <c r="N21" s="48">
        <v>0.68057372683085526</v>
      </c>
      <c r="O21" s="48">
        <v>-0.16808800000000002</v>
      </c>
      <c r="P21" s="28">
        <v>249.49600000000001</v>
      </c>
      <c r="Q21" s="28">
        <v>231.18799999999999</v>
      </c>
      <c r="R21" s="48">
        <v>7.9190961468588436E-2</v>
      </c>
    </row>
    <row r="22" spans="1:18" x14ac:dyDescent="0.15">
      <c r="A22" s="29">
        <v>21</v>
      </c>
      <c r="B22" s="28">
        <v>123107</v>
      </c>
      <c r="C22" s="28" t="s">
        <v>1995</v>
      </c>
      <c r="D22" s="28">
        <v>145.601</v>
      </c>
      <c r="E22" s="48">
        <v>2.1099999999999997E-2</v>
      </c>
      <c r="F22" s="28">
        <v>17.48</v>
      </c>
      <c r="G22" s="28">
        <v>139.24</v>
      </c>
      <c r="H22" s="48">
        <v>4.5700000000000005E-2</v>
      </c>
      <c r="I22" s="45">
        <v>150.17099999999999</v>
      </c>
      <c r="J22" s="46">
        <v>46475</v>
      </c>
      <c r="K22" s="47">
        <v>4.6079999999999997</v>
      </c>
      <c r="L22" s="47">
        <v>77.390163999999999</v>
      </c>
      <c r="M22" s="47">
        <v>87364.089245900002</v>
      </c>
      <c r="N22" s="48">
        <v>7.7532328841733777E-2</v>
      </c>
      <c r="O22" s="48">
        <v>-5.4791999999999993E-2</v>
      </c>
      <c r="P22" s="28">
        <v>147.49799999999999</v>
      </c>
      <c r="Q22" s="28">
        <v>141.93</v>
      </c>
      <c r="R22" s="48">
        <v>3.9230606637074499E-2</v>
      </c>
    </row>
    <row r="23" spans="1:18" x14ac:dyDescent="0.15">
      <c r="A23" s="29">
        <v>22</v>
      </c>
      <c r="B23" s="28">
        <v>113534</v>
      </c>
      <c r="C23" s="28" t="s">
        <v>1935</v>
      </c>
      <c r="D23" s="28">
        <v>420.88299999999998</v>
      </c>
      <c r="E23" s="48">
        <v>-5.5300000000000002E-2</v>
      </c>
      <c r="F23" s="28">
        <v>14.98</v>
      </c>
      <c r="G23" s="28">
        <v>401.54</v>
      </c>
      <c r="H23" s="48">
        <v>4.82E-2</v>
      </c>
      <c r="I23" s="45">
        <v>425.70299999999997</v>
      </c>
      <c r="J23" s="46">
        <v>45756</v>
      </c>
      <c r="K23" s="47">
        <v>2.6379999999999999</v>
      </c>
      <c r="L23" s="47">
        <v>3.9336000000000002</v>
      </c>
      <c r="M23" s="47">
        <v>39889.748299999999</v>
      </c>
      <c r="N23" s="48">
        <v>0.24094044953364652</v>
      </c>
      <c r="O23" s="48">
        <v>-0.39497199999999999</v>
      </c>
      <c r="P23" s="28">
        <v>445.29500000000002</v>
      </c>
      <c r="Q23" s="28">
        <v>417.58</v>
      </c>
      <c r="R23" s="48">
        <v>6.6370515829302243E-2</v>
      </c>
    </row>
    <row r="24" spans="1:18" x14ac:dyDescent="0.15">
      <c r="A24" s="29">
        <v>23</v>
      </c>
      <c r="B24" s="28">
        <v>123105</v>
      </c>
      <c r="C24" s="28" t="s">
        <v>1991</v>
      </c>
      <c r="D24" s="28">
        <v>154.5</v>
      </c>
      <c r="E24" s="48">
        <v>-1.09E-2</v>
      </c>
      <c r="F24" s="28">
        <v>9.91</v>
      </c>
      <c r="G24" s="28">
        <v>145.11000000000001</v>
      </c>
      <c r="H24" s="48">
        <v>6.4699999999999994E-2</v>
      </c>
      <c r="I24" s="45">
        <v>160.97</v>
      </c>
      <c r="J24" s="46">
        <v>46465</v>
      </c>
      <c r="K24" s="47">
        <v>4.5810000000000004</v>
      </c>
      <c r="L24" s="47">
        <v>7.9967679999999985</v>
      </c>
      <c r="M24" s="47">
        <v>26519.281977399998</v>
      </c>
      <c r="N24" s="48">
        <v>0.2146440137333282</v>
      </c>
      <c r="O24" s="48">
        <v>-5.3417000000000006E-2</v>
      </c>
      <c r="P24" s="28">
        <v>156.99799999999999</v>
      </c>
      <c r="Q24" s="28">
        <v>152.042</v>
      </c>
      <c r="R24" s="48">
        <v>3.2596256297601905E-2</v>
      </c>
    </row>
    <row r="25" spans="1:18" x14ac:dyDescent="0.15">
      <c r="A25" s="29">
        <v>24</v>
      </c>
      <c r="B25" s="28">
        <v>123067</v>
      </c>
      <c r="C25" s="28" t="s">
        <v>1953</v>
      </c>
      <c r="D25" s="28">
        <v>297.8</v>
      </c>
      <c r="E25" s="48">
        <v>-4.5499999999999999E-2</v>
      </c>
      <c r="F25" s="28">
        <v>9.31</v>
      </c>
      <c r="G25" s="28">
        <v>279.27</v>
      </c>
      <c r="H25" s="48">
        <v>6.6400000000000001E-2</v>
      </c>
      <c r="I25" s="45">
        <v>304.44</v>
      </c>
      <c r="J25" s="46">
        <v>46282</v>
      </c>
      <c r="K25" s="47">
        <v>4.0789999999999997</v>
      </c>
      <c r="L25" s="47">
        <v>2.3972380000000002</v>
      </c>
      <c r="M25" s="47">
        <v>37695.7622003</v>
      </c>
      <c r="N25" s="48">
        <v>0.52802767128958006</v>
      </c>
      <c r="O25" s="48">
        <v>-0.201603</v>
      </c>
      <c r="P25" s="28">
        <v>314.20999999999998</v>
      </c>
      <c r="Q25" s="28">
        <v>293.43</v>
      </c>
      <c r="R25" s="48">
        <v>7.0817571482125113E-2</v>
      </c>
    </row>
    <row r="26" spans="1:18" x14ac:dyDescent="0.15">
      <c r="A26" s="29">
        <v>25</v>
      </c>
      <c r="B26" s="28">
        <v>113567</v>
      </c>
      <c r="C26" s="28" t="s">
        <v>1968</v>
      </c>
      <c r="D26" s="28">
        <v>159.803</v>
      </c>
      <c r="E26" s="48">
        <v>-5.5300000000000002E-2</v>
      </c>
      <c r="F26" s="28">
        <v>7.45</v>
      </c>
      <c r="G26" s="28">
        <v>149.26</v>
      </c>
      <c r="H26" s="48">
        <v>7.0599999999999996E-2</v>
      </c>
      <c r="I26" s="45">
        <v>166.863</v>
      </c>
      <c r="J26" s="46">
        <v>46085</v>
      </c>
      <c r="K26" s="47">
        <v>3.54</v>
      </c>
      <c r="L26" s="47">
        <v>1.9350400000000001</v>
      </c>
      <c r="M26" s="47">
        <v>11700.631100000001</v>
      </c>
      <c r="N26" s="48">
        <v>0.3783854358886341</v>
      </c>
      <c r="O26" s="48">
        <v>-8.3622999999999989E-2</v>
      </c>
      <c r="P26" s="28">
        <v>169.50299999999999</v>
      </c>
      <c r="Q26" s="28">
        <v>159.19999999999999</v>
      </c>
      <c r="R26" s="48">
        <v>6.4717336683417073E-2</v>
      </c>
    </row>
    <row r="27" spans="1:18" x14ac:dyDescent="0.15">
      <c r="A27" s="29">
        <v>26</v>
      </c>
      <c r="B27" s="28">
        <v>113025</v>
      </c>
      <c r="C27" s="28" t="s">
        <v>1941</v>
      </c>
      <c r="D27" s="28">
        <v>385.14100000000002</v>
      </c>
      <c r="E27" s="48">
        <v>-5.2900000000000003E-2</v>
      </c>
      <c r="F27" s="28">
        <v>7.66</v>
      </c>
      <c r="G27" s="28">
        <v>359.14</v>
      </c>
      <c r="H27" s="48">
        <v>7.2400000000000006E-2</v>
      </c>
      <c r="I27" s="45">
        <v>392.38100000000003</v>
      </c>
      <c r="J27" s="46">
        <v>45757</v>
      </c>
      <c r="K27" s="47">
        <v>2.641</v>
      </c>
      <c r="L27" s="47">
        <v>10.14775</v>
      </c>
      <c r="M27" s="47">
        <v>35454.828999999998</v>
      </c>
      <c r="N27" s="48">
        <v>9.0716415604019732E-2</v>
      </c>
      <c r="O27" s="48">
        <v>-0.37356099999999998</v>
      </c>
      <c r="P27" s="28">
        <v>409.03300000000002</v>
      </c>
      <c r="Q27" s="28">
        <v>382.32799999999997</v>
      </c>
      <c r="R27" s="48">
        <v>6.9848402418865585E-2</v>
      </c>
    </row>
    <row r="28" spans="1:18" x14ac:dyDescent="0.15">
      <c r="A28" s="29">
        <v>27</v>
      </c>
      <c r="B28" s="28">
        <v>110052</v>
      </c>
      <c r="C28" s="28" t="s">
        <v>1803</v>
      </c>
      <c r="D28" s="28">
        <v>131.30099999999999</v>
      </c>
      <c r="E28" s="48">
        <v>6.0000000000000001E-3</v>
      </c>
      <c r="F28" s="28">
        <v>7.94</v>
      </c>
      <c r="G28" s="28">
        <v>122.29</v>
      </c>
      <c r="H28" s="48">
        <v>7.3700000000000002E-2</v>
      </c>
      <c r="I28" s="45">
        <v>138.67099999999999</v>
      </c>
      <c r="J28" s="46">
        <v>45721</v>
      </c>
      <c r="K28" s="47">
        <v>2.5419999999999998</v>
      </c>
      <c r="L28" s="47">
        <v>9.1335700000000006</v>
      </c>
      <c r="M28" s="47">
        <v>39538.466200000003</v>
      </c>
      <c r="N28" s="48">
        <v>0.32969413586486812</v>
      </c>
      <c r="O28" s="48">
        <v>-4.6049E-2</v>
      </c>
      <c r="P28" s="28">
        <v>133.744</v>
      </c>
      <c r="Q28" s="28">
        <v>129.97300000000001</v>
      </c>
      <c r="R28" s="48">
        <v>2.9013718233786911E-2</v>
      </c>
    </row>
    <row r="29" spans="1:18" x14ac:dyDescent="0.15">
      <c r="A29" s="29">
        <v>28</v>
      </c>
      <c r="B29" s="28">
        <v>123062</v>
      </c>
      <c r="C29" s="28" t="s">
        <v>101</v>
      </c>
      <c r="D29" s="28">
        <v>203</v>
      </c>
      <c r="E29" s="48">
        <v>-6.4500000000000002E-2</v>
      </c>
      <c r="F29" s="28">
        <v>17.13</v>
      </c>
      <c r="G29" s="28">
        <v>188.56</v>
      </c>
      <c r="H29" s="48">
        <v>7.6600000000000001E-2</v>
      </c>
      <c r="I29" s="45">
        <v>210.66</v>
      </c>
      <c r="J29" s="46">
        <v>46230</v>
      </c>
      <c r="K29" s="47">
        <v>3.9369999999999998</v>
      </c>
      <c r="L29" s="47">
        <v>1.9472229999999999</v>
      </c>
      <c r="M29" s="47">
        <v>115283.75279300001</v>
      </c>
      <c r="N29" s="48">
        <v>2.9164623675051056</v>
      </c>
      <c r="O29" s="48">
        <v>-0.12986900000000001</v>
      </c>
      <c r="P29" s="28">
        <v>224</v>
      </c>
      <c r="Q29" s="28">
        <v>199.215</v>
      </c>
      <c r="R29" s="48">
        <v>0.12441332228998818</v>
      </c>
    </row>
    <row r="30" spans="1:18" x14ac:dyDescent="0.15">
      <c r="A30" s="29">
        <v>29</v>
      </c>
      <c r="B30" s="28">
        <v>128081</v>
      </c>
      <c r="C30" s="28" t="s">
        <v>91</v>
      </c>
      <c r="D30" s="28">
        <v>126.62</v>
      </c>
      <c r="E30" s="48">
        <v>-1.46E-2</v>
      </c>
      <c r="F30" s="28">
        <v>9.6199999999999992</v>
      </c>
      <c r="G30" s="28">
        <v>117.46</v>
      </c>
      <c r="H30" s="48">
        <v>7.8E-2</v>
      </c>
      <c r="I30" s="45">
        <v>134.42000000000002</v>
      </c>
      <c r="J30" s="46">
        <v>45982</v>
      </c>
      <c r="K30" s="47">
        <v>3.258</v>
      </c>
      <c r="L30" s="47">
        <v>30.054753999999999</v>
      </c>
      <c r="M30" s="47">
        <v>6971.1756636000009</v>
      </c>
      <c r="N30" s="48">
        <v>1.8318526609758717E-2</v>
      </c>
      <c r="O30" s="48">
        <v>-3.1539000000000005E-2</v>
      </c>
      <c r="P30" s="28">
        <v>129.48699999999999</v>
      </c>
      <c r="Q30" s="28">
        <v>126.501</v>
      </c>
      <c r="R30" s="48">
        <v>2.3604556485719401E-2</v>
      </c>
    </row>
    <row r="31" spans="1:18" x14ac:dyDescent="0.15">
      <c r="A31" s="29">
        <v>30</v>
      </c>
      <c r="B31" s="28">
        <v>113629</v>
      </c>
      <c r="C31" s="28" t="s">
        <v>79</v>
      </c>
      <c r="D31" s="28">
        <v>148.095</v>
      </c>
      <c r="E31" s="48">
        <v>-4.3299999999999998E-2</v>
      </c>
      <c r="F31" s="28">
        <v>22.98</v>
      </c>
      <c r="G31" s="28">
        <v>137.29</v>
      </c>
      <c r="H31" s="48">
        <v>7.8700000000000006E-2</v>
      </c>
      <c r="I31" s="45">
        <v>155.965</v>
      </c>
      <c r="J31" s="46">
        <v>46644</v>
      </c>
      <c r="K31" s="47">
        <v>5.0709999999999997</v>
      </c>
      <c r="L31" s="47">
        <v>6.1954700000000003</v>
      </c>
      <c r="M31" s="47">
        <v>21267.363300000001</v>
      </c>
      <c r="N31" s="48">
        <v>0.23179229502650514</v>
      </c>
      <c r="O31" s="48">
        <v>-3.9816999999999998E-2</v>
      </c>
      <c r="P31" s="28">
        <v>154.97999999999999</v>
      </c>
      <c r="Q31" s="28">
        <v>146.38999999999999</v>
      </c>
      <c r="R31" s="48">
        <v>5.8678871507616671E-2</v>
      </c>
    </row>
    <row r="32" spans="1:18" x14ac:dyDescent="0.15">
      <c r="A32" s="29">
        <v>31</v>
      </c>
      <c r="B32" s="28">
        <v>123089</v>
      </c>
      <c r="C32" s="28" t="s">
        <v>1996</v>
      </c>
      <c r="D32" s="28">
        <v>156.476</v>
      </c>
      <c r="E32" s="48">
        <v>-1.3899999999999999E-2</v>
      </c>
      <c r="F32" s="28">
        <v>5.63</v>
      </c>
      <c r="G32" s="28">
        <v>144.94</v>
      </c>
      <c r="H32" s="48">
        <v>7.9600000000000004E-2</v>
      </c>
      <c r="I32" s="45">
        <v>164.43600000000001</v>
      </c>
      <c r="J32" s="46">
        <v>46377</v>
      </c>
      <c r="K32" s="47">
        <v>4.34</v>
      </c>
      <c r="L32" s="47">
        <v>3.0623879999999999</v>
      </c>
      <c r="M32" s="47">
        <v>17764.3721664</v>
      </c>
      <c r="N32" s="48">
        <v>0.37071649735689732</v>
      </c>
      <c r="O32" s="48">
        <v>-5.9324000000000002E-2</v>
      </c>
      <c r="P32" s="28">
        <v>159.04400000000001</v>
      </c>
      <c r="Q32" s="28">
        <v>150.6</v>
      </c>
      <c r="R32" s="48">
        <v>5.6069057104913791E-2</v>
      </c>
    </row>
    <row r="33" spans="1:18" x14ac:dyDescent="0.15">
      <c r="A33" s="29">
        <v>32</v>
      </c>
      <c r="B33" s="28">
        <v>110053</v>
      </c>
      <c r="C33" s="28" t="s">
        <v>1778</v>
      </c>
      <c r="D33" s="28">
        <v>125.32599999999999</v>
      </c>
      <c r="E33" s="48">
        <v>2.2000000000000001E-3</v>
      </c>
      <c r="F33" s="28">
        <v>5.97</v>
      </c>
      <c r="G33" s="28">
        <v>115.75</v>
      </c>
      <c r="H33" s="48">
        <v>8.2699999999999996E-2</v>
      </c>
      <c r="I33" s="45">
        <v>133.596</v>
      </c>
      <c r="J33" s="46">
        <v>45730</v>
      </c>
      <c r="K33" s="47">
        <v>2.5670000000000002</v>
      </c>
      <c r="L33" s="47">
        <v>199.99178000000001</v>
      </c>
      <c r="M33" s="47">
        <v>19528.9542</v>
      </c>
      <c r="N33" s="48">
        <v>7.7915823025579214E-3</v>
      </c>
      <c r="O33" s="48">
        <v>-2.7768000000000001E-2</v>
      </c>
      <c r="P33" s="28">
        <v>125.86</v>
      </c>
      <c r="Q33" s="28">
        <v>124.29</v>
      </c>
      <c r="R33" s="48">
        <v>1.2631748330517284E-2</v>
      </c>
    </row>
    <row r="34" spans="1:18" x14ac:dyDescent="0.15">
      <c r="A34" s="29">
        <v>33</v>
      </c>
      <c r="B34" s="28">
        <v>123012</v>
      </c>
      <c r="C34" s="28" t="s">
        <v>1945</v>
      </c>
      <c r="D34" s="28">
        <v>245.48</v>
      </c>
      <c r="E34" s="48">
        <v>-6.8400000000000002E-2</v>
      </c>
      <c r="F34" s="28">
        <v>5.27</v>
      </c>
      <c r="G34" s="28">
        <v>226.38</v>
      </c>
      <c r="H34" s="48">
        <v>8.4399999999999989E-2</v>
      </c>
      <c r="I34" s="45">
        <v>253.92</v>
      </c>
      <c r="J34" s="46">
        <v>45493</v>
      </c>
      <c r="K34" s="47">
        <v>1.9179999999999999</v>
      </c>
      <c r="L34" s="47">
        <v>1.2237709999999999</v>
      </c>
      <c r="M34" s="47">
        <v>29245.812811</v>
      </c>
      <c r="N34" s="48">
        <v>0.97352570680426953</v>
      </c>
      <c r="O34" s="48">
        <v>-0.35050100000000001</v>
      </c>
      <c r="P34" s="28">
        <v>263.60000000000002</v>
      </c>
      <c r="Q34" s="28">
        <v>241.69399999999999</v>
      </c>
      <c r="R34" s="48">
        <v>9.0635266080250382E-2</v>
      </c>
    </row>
    <row r="35" spans="1:18" x14ac:dyDescent="0.15">
      <c r="A35" s="29">
        <v>34</v>
      </c>
      <c r="B35" s="28">
        <v>123123</v>
      </c>
      <c r="C35" s="28" t="s">
        <v>1998</v>
      </c>
      <c r="D35" s="28">
        <v>191.29</v>
      </c>
      <c r="E35" s="48">
        <v>-4.9000000000000002E-2</v>
      </c>
      <c r="F35" s="28">
        <v>51.05</v>
      </c>
      <c r="G35" s="28">
        <v>176.24</v>
      </c>
      <c r="H35" s="48">
        <v>8.539999999999999E-2</v>
      </c>
      <c r="I35" s="45">
        <v>199.82999999999998</v>
      </c>
      <c r="J35" s="46">
        <v>46611</v>
      </c>
      <c r="K35" s="47">
        <v>4.9809999999999999</v>
      </c>
      <c r="L35" s="47">
        <v>5.1594720000000001</v>
      </c>
      <c r="M35" s="47">
        <v>64677.973067700004</v>
      </c>
      <c r="N35" s="48">
        <v>0.6553282259876867</v>
      </c>
      <c r="O35" s="48">
        <v>-8.9186999999999989E-2</v>
      </c>
      <c r="P35" s="28">
        <v>204.5</v>
      </c>
      <c r="Q35" s="28">
        <v>188.70099999999999</v>
      </c>
      <c r="R35" s="48">
        <v>8.3725046502138342E-2</v>
      </c>
    </row>
    <row r="36" spans="1:18" x14ac:dyDescent="0.15">
      <c r="A36" s="29">
        <v>35</v>
      </c>
      <c r="B36" s="28">
        <v>128106</v>
      </c>
      <c r="C36" s="28" t="s">
        <v>1932</v>
      </c>
      <c r="D36" s="28">
        <v>285.5</v>
      </c>
      <c r="E36" s="48">
        <v>6.7400000000000002E-2</v>
      </c>
      <c r="F36" s="28">
        <v>8.85</v>
      </c>
      <c r="G36" s="28">
        <v>262.37</v>
      </c>
      <c r="H36" s="48">
        <v>8.8200000000000001E-2</v>
      </c>
      <c r="I36" s="45">
        <v>294.32</v>
      </c>
      <c r="J36" s="46">
        <v>46122</v>
      </c>
      <c r="K36" s="47">
        <v>3.641</v>
      </c>
      <c r="L36" s="47">
        <v>2.8909929999999999</v>
      </c>
      <c r="M36" s="47">
        <v>200882.28602320002</v>
      </c>
      <c r="N36" s="48">
        <v>2.4338201886543809</v>
      </c>
      <c r="O36" s="48">
        <v>-0.22888000000000003</v>
      </c>
      <c r="P36" s="28">
        <v>291.39999999999998</v>
      </c>
      <c r="Q36" s="28">
        <v>263.5</v>
      </c>
      <c r="R36" s="48">
        <v>0.10588235294117639</v>
      </c>
    </row>
    <row r="37" spans="1:18" x14ac:dyDescent="0.15">
      <c r="A37" s="29">
        <v>36</v>
      </c>
      <c r="B37" s="28">
        <v>128029</v>
      </c>
      <c r="C37" s="28" t="s">
        <v>1948</v>
      </c>
      <c r="D37" s="28">
        <v>150.75700000000001</v>
      </c>
      <c r="E37" s="48">
        <v>-1.26E-2</v>
      </c>
      <c r="F37" s="28">
        <v>8.25</v>
      </c>
      <c r="G37" s="28">
        <v>138.41999999999999</v>
      </c>
      <c r="H37" s="48">
        <v>8.9099999999999999E-2</v>
      </c>
      <c r="I37" s="45">
        <v>159.667</v>
      </c>
      <c r="J37" s="46">
        <v>44917</v>
      </c>
      <c r="K37" s="47">
        <v>0.34</v>
      </c>
      <c r="L37" s="47">
        <v>9.0856969999999997</v>
      </c>
      <c r="M37" s="47">
        <v>1558.057114</v>
      </c>
      <c r="N37" s="48">
        <v>1.1374901318386976E-2</v>
      </c>
      <c r="O37" s="48">
        <v>-0.64246099999999995</v>
      </c>
      <c r="P37" s="28">
        <v>153</v>
      </c>
      <c r="Q37" s="28">
        <v>150</v>
      </c>
      <c r="R37" s="48">
        <v>0.02</v>
      </c>
    </row>
    <row r="38" spans="1:18" x14ac:dyDescent="0.15">
      <c r="A38" s="29">
        <v>37</v>
      </c>
      <c r="B38" s="28">
        <v>110084</v>
      </c>
      <c r="C38" s="28" t="s">
        <v>257</v>
      </c>
      <c r="D38" s="28">
        <v>125.501</v>
      </c>
      <c r="E38" s="48">
        <v>-1.4199999999999999E-2</v>
      </c>
      <c r="F38" s="28">
        <v>7.18</v>
      </c>
      <c r="G38" s="28">
        <v>115.18</v>
      </c>
      <c r="H38" s="48">
        <v>8.9600000000000013E-2</v>
      </c>
      <c r="I38" s="45">
        <v>134.46100000000001</v>
      </c>
      <c r="J38" s="46">
        <v>46748</v>
      </c>
      <c r="K38" s="47">
        <v>5.3559999999999999</v>
      </c>
      <c r="L38" s="47">
        <v>9.9956999999999994</v>
      </c>
      <c r="M38" s="47">
        <v>8556.0082000000002</v>
      </c>
      <c r="N38" s="48">
        <v>6.8204148701703354E-2</v>
      </c>
      <c r="O38" s="48">
        <v>-1.6303999999999999E-2</v>
      </c>
      <c r="P38" s="28">
        <v>127.999</v>
      </c>
      <c r="Q38" s="28">
        <v>125.11</v>
      </c>
      <c r="R38" s="48">
        <v>2.3091679322196433E-2</v>
      </c>
    </row>
    <row r="39" spans="1:18" x14ac:dyDescent="0.15">
      <c r="A39" s="29">
        <v>38</v>
      </c>
      <c r="B39" s="28">
        <v>110077</v>
      </c>
      <c r="C39" s="28" t="s">
        <v>1777</v>
      </c>
      <c r="D39" s="28">
        <v>132.29499999999999</v>
      </c>
      <c r="E39" s="48">
        <v>-4.4000000000000003E-3</v>
      </c>
      <c r="F39" s="28">
        <v>6.21</v>
      </c>
      <c r="G39" s="28">
        <v>121.26</v>
      </c>
      <c r="H39" s="48">
        <v>9.0999999999999998E-2</v>
      </c>
      <c r="I39" s="45">
        <v>141.39499999999998</v>
      </c>
      <c r="J39" s="46">
        <v>46346</v>
      </c>
      <c r="K39" s="47">
        <v>4.2549999999999999</v>
      </c>
      <c r="L39" s="47">
        <v>17.674520000000001</v>
      </c>
      <c r="M39" s="47">
        <v>1686.4257</v>
      </c>
      <c r="N39" s="48">
        <v>7.2123393579932192E-3</v>
      </c>
      <c r="O39" s="48">
        <v>-3.6207999999999997E-2</v>
      </c>
      <c r="P39" s="28">
        <v>133.03</v>
      </c>
      <c r="Q39" s="28">
        <v>130.792</v>
      </c>
      <c r="R39" s="48">
        <v>1.7111138295920238E-2</v>
      </c>
    </row>
    <row r="40" spans="1:18" x14ac:dyDescent="0.15">
      <c r="A40" s="29">
        <v>39</v>
      </c>
      <c r="B40" s="28">
        <v>113591</v>
      </c>
      <c r="C40" s="28" t="s">
        <v>41</v>
      </c>
      <c r="D40" s="28">
        <v>135.88800000000001</v>
      </c>
      <c r="E40" s="48">
        <v>2.5000000000000001E-3</v>
      </c>
      <c r="F40" s="28">
        <v>8.74</v>
      </c>
      <c r="G40" s="28">
        <v>124.49</v>
      </c>
      <c r="H40" s="48">
        <v>9.1600000000000001E-2</v>
      </c>
      <c r="I40" s="45">
        <v>145.048</v>
      </c>
      <c r="J40" s="46">
        <v>46204</v>
      </c>
      <c r="K40" s="47">
        <v>3.8660000000000001</v>
      </c>
      <c r="L40" s="47">
        <v>4.7749600000000001</v>
      </c>
      <c r="M40" s="47">
        <v>8715.6466999999993</v>
      </c>
      <c r="N40" s="48">
        <v>0.13432250198137602</v>
      </c>
      <c r="O40" s="48">
        <v>-3.0072999999999999E-2</v>
      </c>
      <c r="P40" s="28">
        <v>136.80000000000001</v>
      </c>
      <c r="Q40" s="28">
        <v>132.87</v>
      </c>
      <c r="R40" s="48">
        <v>2.9577782795213416E-2</v>
      </c>
    </row>
    <row r="41" spans="1:18" x14ac:dyDescent="0.15">
      <c r="A41" s="29">
        <v>40</v>
      </c>
      <c r="B41" s="28">
        <v>113642</v>
      </c>
      <c r="C41" s="28" t="s">
        <v>1827</v>
      </c>
      <c r="D41" s="28">
        <v>180.45500000000001</v>
      </c>
      <c r="E41" s="48">
        <v>-7.7499999999999999E-2</v>
      </c>
      <c r="F41" s="28">
        <v>102.61</v>
      </c>
      <c r="G41" s="28">
        <v>165</v>
      </c>
      <c r="H41" s="48">
        <v>9.3699999999999992E-2</v>
      </c>
      <c r="I41" s="45">
        <v>189.82500000000002</v>
      </c>
      <c r="J41" s="46">
        <v>46813</v>
      </c>
      <c r="K41" s="47">
        <v>5.5339999999999998</v>
      </c>
      <c r="L41" s="47">
        <v>24.7</v>
      </c>
      <c r="M41" s="47">
        <v>51783.8272</v>
      </c>
      <c r="N41" s="48">
        <v>0.11617917057837493</v>
      </c>
      <c r="O41" s="48">
        <v>-7.6281000000000002E-2</v>
      </c>
      <c r="P41" s="28">
        <v>197.8</v>
      </c>
      <c r="Q41" s="28">
        <v>178.70099999999999</v>
      </c>
      <c r="R41" s="48">
        <v>0.10687685015752581</v>
      </c>
    </row>
    <row r="42" spans="1:18" x14ac:dyDescent="0.15">
      <c r="A42" s="29">
        <v>41</v>
      </c>
      <c r="B42" s="28">
        <v>128042</v>
      </c>
      <c r="C42" s="28" t="s">
        <v>191</v>
      </c>
      <c r="D42" s="28">
        <v>142.499</v>
      </c>
      <c r="E42" s="48">
        <v>-3.4799999999999998E-2</v>
      </c>
      <c r="F42" s="28">
        <v>10.08</v>
      </c>
      <c r="G42" s="28">
        <v>129.96</v>
      </c>
      <c r="H42" s="48">
        <v>9.6500000000000002E-2</v>
      </c>
      <c r="I42" s="45">
        <v>152.149</v>
      </c>
      <c r="J42" s="46">
        <v>45503</v>
      </c>
      <c r="K42" s="47">
        <v>1.9450000000000001</v>
      </c>
      <c r="L42" s="47">
        <v>4.1549820000000004</v>
      </c>
      <c r="M42" s="47">
        <v>72530.101921199996</v>
      </c>
      <c r="N42" s="48">
        <v>1.225003485487149</v>
      </c>
      <c r="O42" s="48">
        <v>-0.109833</v>
      </c>
      <c r="P42" s="28">
        <v>144.88</v>
      </c>
      <c r="Q42" s="28">
        <v>140.05000000000001</v>
      </c>
      <c r="R42" s="48">
        <v>3.4487682970367611E-2</v>
      </c>
    </row>
    <row r="43" spans="1:18" x14ac:dyDescent="0.15">
      <c r="A43" s="29">
        <v>42</v>
      </c>
      <c r="B43" s="28">
        <v>128141</v>
      </c>
      <c r="C43" s="28" t="s">
        <v>1994</v>
      </c>
      <c r="D43" s="28">
        <v>152.41399999999999</v>
      </c>
      <c r="E43" s="48">
        <v>-2.3E-2</v>
      </c>
      <c r="F43" s="28">
        <v>15.67</v>
      </c>
      <c r="G43" s="28">
        <v>138.80000000000001</v>
      </c>
      <c r="H43" s="48">
        <v>9.8100000000000007E-2</v>
      </c>
      <c r="I43" s="45">
        <v>162.22399999999999</v>
      </c>
      <c r="J43" s="46">
        <v>46373</v>
      </c>
      <c r="K43" s="47">
        <v>4.3289999999999997</v>
      </c>
      <c r="L43" s="47">
        <v>12.701485</v>
      </c>
      <c r="M43" s="47">
        <v>14598.142170699999</v>
      </c>
      <c r="N43" s="48">
        <v>7.5408139920954367E-2</v>
      </c>
      <c r="O43" s="48">
        <v>-6.4471000000000001E-2</v>
      </c>
      <c r="P43" s="28">
        <v>158.30600000000001</v>
      </c>
      <c r="Q43" s="28">
        <v>150.32</v>
      </c>
      <c r="R43" s="48">
        <v>5.3126663118680272E-2</v>
      </c>
    </row>
    <row r="44" spans="1:18" x14ac:dyDescent="0.15">
      <c r="A44" s="29">
        <v>43</v>
      </c>
      <c r="B44" s="28">
        <v>128145</v>
      </c>
      <c r="C44" s="28" t="s">
        <v>2003</v>
      </c>
      <c r="D44" s="28">
        <v>153.5</v>
      </c>
      <c r="E44" s="48">
        <v>-7.0999999999999995E-3</v>
      </c>
      <c r="F44" s="28">
        <v>10.43</v>
      </c>
      <c r="G44" s="28">
        <v>139.41</v>
      </c>
      <c r="H44" s="48">
        <v>0.1011</v>
      </c>
      <c r="I44" s="45">
        <v>163.61000000000001</v>
      </c>
      <c r="J44" s="46">
        <v>46468</v>
      </c>
      <c r="K44" s="47">
        <v>4.5890000000000004</v>
      </c>
      <c r="L44" s="47">
        <v>3.7684000000000002</v>
      </c>
      <c r="M44" s="47">
        <v>71714.309084000008</v>
      </c>
      <c r="N44" s="48">
        <v>1.2397680606808477</v>
      </c>
      <c r="O44" s="48">
        <v>-6.1866000000000004E-2</v>
      </c>
      <c r="P44" s="28">
        <v>158.88</v>
      </c>
      <c r="Q44" s="28">
        <v>150.80099999999999</v>
      </c>
      <c r="R44" s="48">
        <v>5.3573915292338965E-2</v>
      </c>
    </row>
    <row r="45" spans="1:18" x14ac:dyDescent="0.15">
      <c r="A45" s="29">
        <v>44</v>
      </c>
      <c r="B45" s="28">
        <v>127036</v>
      </c>
      <c r="C45" s="28" t="s">
        <v>1999</v>
      </c>
      <c r="D45" s="28">
        <v>151.66</v>
      </c>
      <c r="E45" s="48">
        <v>-2.9399999999999999E-2</v>
      </c>
      <c r="F45" s="28">
        <v>21.4</v>
      </c>
      <c r="G45" s="28">
        <v>137.38</v>
      </c>
      <c r="H45" s="48">
        <v>0.10390000000000001</v>
      </c>
      <c r="I45" s="45">
        <v>162.05000000000001</v>
      </c>
      <c r="J45" s="46">
        <v>46539</v>
      </c>
      <c r="K45" s="47">
        <v>4.7839999999999998</v>
      </c>
      <c r="L45" s="47">
        <v>29.987891999999999</v>
      </c>
      <c r="M45" s="47">
        <v>29653.691138999999</v>
      </c>
      <c r="N45" s="48">
        <v>6.5202128007981794E-2</v>
      </c>
      <c r="O45" s="48">
        <v>-5.8166999999999996E-2</v>
      </c>
      <c r="P45" s="28">
        <v>156.5</v>
      </c>
      <c r="Q45" s="28">
        <v>149</v>
      </c>
      <c r="R45" s="48">
        <v>5.0335570469798654E-2</v>
      </c>
    </row>
    <row r="46" spans="1:18" x14ac:dyDescent="0.15">
      <c r="A46" s="29">
        <v>45</v>
      </c>
      <c r="B46" s="28">
        <v>128111</v>
      </c>
      <c r="C46" s="28" t="s">
        <v>1929</v>
      </c>
      <c r="D46" s="28">
        <v>898.44</v>
      </c>
      <c r="E46" s="48">
        <v>-1.77E-2</v>
      </c>
      <c r="F46" s="28">
        <v>10.96</v>
      </c>
      <c r="G46" s="28">
        <v>812.14</v>
      </c>
      <c r="H46" s="48">
        <v>0.10630000000000001</v>
      </c>
      <c r="I46" s="45">
        <v>909.07</v>
      </c>
      <c r="J46" s="46">
        <v>46184</v>
      </c>
      <c r="K46" s="47">
        <v>3.8109999999999999</v>
      </c>
      <c r="L46" s="47">
        <v>1.149276</v>
      </c>
      <c r="M46" s="47">
        <v>49445.5352126</v>
      </c>
      <c r="N46" s="48">
        <v>0.47886562807345068</v>
      </c>
      <c r="O46" s="48">
        <v>-0.40969499999999998</v>
      </c>
      <c r="P46" s="28">
        <v>915.38</v>
      </c>
      <c r="Q46" s="28">
        <v>892</v>
      </c>
      <c r="R46" s="48">
        <v>2.6210762331838559E-2</v>
      </c>
    </row>
    <row r="47" spans="1:18" x14ac:dyDescent="0.15">
      <c r="A47" s="29">
        <v>46</v>
      </c>
      <c r="B47" s="28">
        <v>113039</v>
      </c>
      <c r="C47" s="28" t="s">
        <v>1997</v>
      </c>
      <c r="D47" s="28">
        <v>157.70599999999999</v>
      </c>
      <c r="E47" s="48">
        <v>1.2E-2</v>
      </c>
      <c r="F47" s="28">
        <v>3.36</v>
      </c>
      <c r="G47" s="28">
        <v>142.26</v>
      </c>
      <c r="H47" s="48">
        <v>0.10859999999999999</v>
      </c>
      <c r="I47" s="45">
        <v>168.56599999999997</v>
      </c>
      <c r="J47" s="46">
        <v>46258</v>
      </c>
      <c r="K47" s="47">
        <v>4.0140000000000002</v>
      </c>
      <c r="L47" s="47">
        <v>2.8825599999999998</v>
      </c>
      <c r="M47" s="47">
        <v>21072.216400000001</v>
      </c>
      <c r="N47" s="48">
        <v>0.46353618829067</v>
      </c>
      <c r="O47" s="48">
        <v>-8.158E-2</v>
      </c>
      <c r="P47" s="28">
        <v>159.86600000000001</v>
      </c>
      <c r="Q47" s="28">
        <v>153.19999999999999</v>
      </c>
      <c r="R47" s="48">
        <v>4.3511749347258655E-2</v>
      </c>
    </row>
    <row r="48" spans="1:18" x14ac:dyDescent="0.15">
      <c r="A48" s="29">
        <v>47</v>
      </c>
      <c r="B48" s="28">
        <v>128073</v>
      </c>
      <c r="C48" s="28" t="s">
        <v>96</v>
      </c>
      <c r="D48" s="28">
        <v>138.1</v>
      </c>
      <c r="E48" s="48">
        <v>-2.3700000000000002E-2</v>
      </c>
      <c r="F48" s="28">
        <v>5.55</v>
      </c>
      <c r="G48" s="28">
        <v>124.5</v>
      </c>
      <c r="H48" s="48">
        <v>0.10920000000000001</v>
      </c>
      <c r="I48" s="45">
        <v>149.01999999999998</v>
      </c>
      <c r="J48" s="46">
        <v>45526</v>
      </c>
      <c r="K48" s="47">
        <v>2.008</v>
      </c>
      <c r="L48" s="47">
        <v>2.987339</v>
      </c>
      <c r="M48" s="47">
        <v>6523.9701636999998</v>
      </c>
      <c r="N48" s="48">
        <v>0.15813710318013646</v>
      </c>
      <c r="O48" s="48">
        <v>-9.0200000000000002E-2</v>
      </c>
      <c r="P48" s="28">
        <v>141.5</v>
      </c>
      <c r="Q48" s="28">
        <v>135.48699999999999</v>
      </c>
      <c r="R48" s="48">
        <v>4.4380641685180168E-2</v>
      </c>
    </row>
    <row r="49" spans="1:18" x14ac:dyDescent="0.15">
      <c r="A49" s="29">
        <v>48</v>
      </c>
      <c r="B49" s="28">
        <v>118003</v>
      </c>
      <c r="C49" s="28" t="s">
        <v>234</v>
      </c>
      <c r="D49" s="28">
        <v>149.34700000000001</v>
      </c>
      <c r="E49" s="48">
        <v>-2.8399999999999998E-2</v>
      </c>
      <c r="F49" s="28">
        <v>30.79</v>
      </c>
      <c r="G49" s="28">
        <v>134.07</v>
      </c>
      <c r="H49" s="48">
        <v>0.1139</v>
      </c>
      <c r="I49" s="45">
        <v>160.73700000000002</v>
      </c>
      <c r="J49" s="46">
        <v>46720</v>
      </c>
      <c r="K49" s="47">
        <v>5.2789999999999999</v>
      </c>
      <c r="L49" s="47">
        <v>7.99892</v>
      </c>
      <c r="M49" s="47">
        <v>25864.1276</v>
      </c>
      <c r="N49" s="48">
        <v>0.21650602061527321</v>
      </c>
      <c r="O49" s="48">
        <v>-4.8944000000000001E-2</v>
      </c>
      <c r="P49" s="28">
        <v>156.29</v>
      </c>
      <c r="Q49" s="28">
        <v>147.08000000000001</v>
      </c>
      <c r="R49" s="48">
        <v>6.2618982866467082E-2</v>
      </c>
    </row>
    <row r="50" spans="1:18" x14ac:dyDescent="0.15">
      <c r="A50" s="29">
        <v>49</v>
      </c>
      <c r="B50" s="28">
        <v>127058</v>
      </c>
      <c r="C50" s="28" t="s">
        <v>1789</v>
      </c>
      <c r="D50" s="28">
        <v>146.69999999999999</v>
      </c>
      <c r="E50" s="48">
        <v>-6.4000000000000003E-3</v>
      </c>
      <c r="F50" s="28">
        <v>16.649999999999999</v>
      </c>
      <c r="G50" s="28">
        <v>131.53</v>
      </c>
      <c r="H50" s="48">
        <v>0.1153</v>
      </c>
      <c r="I50" s="45">
        <v>158.22999999999999</v>
      </c>
      <c r="J50" s="46">
        <v>46830</v>
      </c>
      <c r="K50" s="47">
        <v>5.5810000000000004</v>
      </c>
      <c r="L50" s="47">
        <v>30</v>
      </c>
      <c r="M50" s="47">
        <v>10619.482395999999</v>
      </c>
      <c r="N50" s="48">
        <v>2.412970324017269E-2</v>
      </c>
      <c r="O50" s="48">
        <v>-4.7060000000000005E-2</v>
      </c>
      <c r="P50" s="28">
        <v>148.4</v>
      </c>
      <c r="Q50" s="28">
        <v>144.16300000000001</v>
      </c>
      <c r="R50" s="48">
        <v>2.9390342875772524E-2</v>
      </c>
    </row>
    <row r="51" spans="1:18" x14ac:dyDescent="0.15">
      <c r="A51" s="29">
        <v>50</v>
      </c>
      <c r="B51" s="28">
        <v>127035</v>
      </c>
      <c r="C51" s="28" t="s">
        <v>211</v>
      </c>
      <c r="D51" s="28">
        <v>136.255</v>
      </c>
      <c r="E51" s="48">
        <v>0</v>
      </c>
      <c r="F51" s="28">
        <v>4.38</v>
      </c>
      <c r="G51" s="28">
        <v>122.15</v>
      </c>
      <c r="H51" s="48">
        <v>0.11550000000000001</v>
      </c>
      <c r="I51" s="45">
        <v>147.80500000000001</v>
      </c>
      <c r="J51" s="46">
        <v>46168</v>
      </c>
      <c r="K51" s="47">
        <v>3.7669999999999999</v>
      </c>
      <c r="L51" s="47">
        <v>6.2618859999999996</v>
      </c>
      <c r="M51" s="47">
        <v>8764.8467877000003</v>
      </c>
      <c r="N51" s="48">
        <v>0.10272750113825402</v>
      </c>
      <c r="O51" s="48">
        <v>-4.6836000000000003E-2</v>
      </c>
      <c r="P51" s="28">
        <v>138.66399999999999</v>
      </c>
      <c r="Q51" s="28">
        <v>134.39400000000001</v>
      </c>
      <c r="R51" s="48">
        <v>3.177225173742862E-2</v>
      </c>
    </row>
    <row r="52" spans="1:18" x14ac:dyDescent="0.15">
      <c r="A52" s="29">
        <v>51</v>
      </c>
      <c r="B52" s="28">
        <v>127027</v>
      </c>
      <c r="C52" s="28" t="s">
        <v>1934</v>
      </c>
      <c r="D52" s="28">
        <v>146.36699999999999</v>
      </c>
      <c r="E52" s="48">
        <v>6.7000000000000002E-3</v>
      </c>
      <c r="F52" s="28">
        <v>3.08</v>
      </c>
      <c r="G52" s="28">
        <v>131.16999999999999</v>
      </c>
      <c r="H52" s="48">
        <v>0.1159</v>
      </c>
      <c r="I52" s="45">
        <v>157.95699999999999</v>
      </c>
      <c r="J52" s="46">
        <v>46366</v>
      </c>
      <c r="K52" s="47">
        <v>4.3099999999999996</v>
      </c>
      <c r="L52" s="47">
        <v>19.473855</v>
      </c>
      <c r="M52" s="47">
        <v>12954.9473708</v>
      </c>
      <c r="N52" s="48">
        <v>4.5450697204255881E-2</v>
      </c>
      <c r="O52" s="48">
        <v>-5.5622999999999999E-2</v>
      </c>
      <c r="P52" s="28">
        <v>147.42099999999999</v>
      </c>
      <c r="Q52" s="28">
        <v>143.6</v>
      </c>
      <c r="R52" s="48">
        <v>2.6608635097493023E-2</v>
      </c>
    </row>
    <row r="53" spans="1:18" x14ac:dyDescent="0.15">
      <c r="A53" s="29">
        <v>52</v>
      </c>
      <c r="B53" s="28">
        <v>128083</v>
      </c>
      <c r="C53" s="28" t="s">
        <v>176</v>
      </c>
      <c r="D53" s="28">
        <v>135.101</v>
      </c>
      <c r="E53" s="48">
        <v>-5.6999999999999993E-3</v>
      </c>
      <c r="F53" s="28">
        <v>6.65</v>
      </c>
      <c r="G53" s="28">
        <v>121.05</v>
      </c>
      <c r="H53" s="48">
        <v>0.11609999999999999</v>
      </c>
      <c r="I53" s="45">
        <v>146.71100000000001</v>
      </c>
      <c r="J53" s="46">
        <v>46003</v>
      </c>
      <c r="K53" s="47">
        <v>3.3149999999999999</v>
      </c>
      <c r="L53" s="47">
        <v>8.768122</v>
      </c>
      <c r="M53" s="47">
        <v>6418.2380520000006</v>
      </c>
      <c r="N53" s="48">
        <v>5.4181456238133592E-2</v>
      </c>
      <c r="O53" s="48">
        <v>-5.0098999999999998E-2</v>
      </c>
      <c r="P53" s="28">
        <v>136.5</v>
      </c>
      <c r="Q53" s="28">
        <v>132.30000000000001</v>
      </c>
      <c r="R53" s="48">
        <v>3.1746031746031654E-2</v>
      </c>
    </row>
    <row r="54" spans="1:18" x14ac:dyDescent="0.15">
      <c r="A54" s="29">
        <v>53</v>
      </c>
      <c r="B54" s="28">
        <v>128128</v>
      </c>
      <c r="C54" s="28" t="s">
        <v>1937</v>
      </c>
      <c r="D54" s="28">
        <v>159.34800000000001</v>
      </c>
      <c r="E54" s="48">
        <v>-1.9400000000000001E-2</v>
      </c>
      <c r="F54" s="28">
        <v>5.69</v>
      </c>
      <c r="G54" s="28">
        <v>142.71</v>
      </c>
      <c r="H54" s="48">
        <v>0.1166</v>
      </c>
      <c r="I54" s="45">
        <v>171.00800000000001</v>
      </c>
      <c r="J54" s="46">
        <v>46254</v>
      </c>
      <c r="K54" s="47">
        <v>4.0030000000000001</v>
      </c>
      <c r="L54" s="47">
        <v>6.7980559999999999</v>
      </c>
      <c r="M54" s="47">
        <v>4053.5389267999999</v>
      </c>
      <c r="N54" s="48">
        <v>3.7419931934318154E-2</v>
      </c>
      <c r="O54" s="48">
        <v>-7.9750000000000001E-2</v>
      </c>
      <c r="P54" s="28">
        <v>162.5</v>
      </c>
      <c r="Q54" s="28">
        <v>158.148</v>
      </c>
      <c r="R54" s="48">
        <v>2.7518526949439789E-2</v>
      </c>
    </row>
    <row r="55" spans="1:18" x14ac:dyDescent="0.15">
      <c r="A55" s="29">
        <v>54</v>
      </c>
      <c r="B55" s="28">
        <v>123092</v>
      </c>
      <c r="C55" s="28" t="s">
        <v>1938</v>
      </c>
      <c r="D55" s="28">
        <v>316.80700000000002</v>
      </c>
      <c r="E55" s="48">
        <v>-3.4099999999999998E-2</v>
      </c>
      <c r="F55" s="28">
        <v>5.14</v>
      </c>
      <c r="G55" s="28">
        <v>282.49</v>
      </c>
      <c r="H55" s="48">
        <v>0.1215</v>
      </c>
      <c r="I55" s="45">
        <v>328.95699999999999</v>
      </c>
      <c r="J55" s="46">
        <v>46380</v>
      </c>
      <c r="K55" s="47">
        <v>4.3479999999999999</v>
      </c>
      <c r="L55" s="47">
        <v>4.1420130000000004</v>
      </c>
      <c r="M55" s="47">
        <v>7721.7959359999995</v>
      </c>
      <c r="N55" s="48">
        <v>5.8845342338866846E-2</v>
      </c>
      <c r="O55" s="48">
        <v>-0.201597</v>
      </c>
      <c r="P55" s="28">
        <v>328.07</v>
      </c>
      <c r="Q55" s="28">
        <v>314.14600000000002</v>
      </c>
      <c r="R55" s="48">
        <v>4.4323340103009354E-2</v>
      </c>
    </row>
    <row r="56" spans="1:18" x14ac:dyDescent="0.15">
      <c r="A56" s="29">
        <v>55</v>
      </c>
      <c r="B56" s="28">
        <v>113050</v>
      </c>
      <c r="C56" s="28" t="s">
        <v>1780</v>
      </c>
      <c r="D56" s="28">
        <v>120.60599999999999</v>
      </c>
      <c r="E56" s="48">
        <v>-1.1000000000000001E-3</v>
      </c>
      <c r="F56" s="28">
        <v>9.64</v>
      </c>
      <c r="G56" s="28">
        <v>107.47</v>
      </c>
      <c r="H56" s="48">
        <v>0.1222</v>
      </c>
      <c r="I56" s="45">
        <v>132.82599999999999</v>
      </c>
      <c r="J56" s="46">
        <v>46553</v>
      </c>
      <c r="K56" s="47">
        <v>4.8220000000000001</v>
      </c>
      <c r="L56" s="47">
        <v>169.82982000000001</v>
      </c>
      <c r="M56" s="47">
        <v>14384.1014</v>
      </c>
      <c r="N56" s="48">
        <v>7.0226313785224257E-3</v>
      </c>
      <c r="O56" s="48">
        <v>-1.7301E-2</v>
      </c>
      <c r="P56" s="28">
        <v>121.303</v>
      </c>
      <c r="Q56" s="28">
        <v>120.211</v>
      </c>
      <c r="R56" s="48">
        <v>9.0840272520817458E-3</v>
      </c>
    </row>
    <row r="57" spans="1:18" x14ac:dyDescent="0.15">
      <c r="A57" s="29">
        <v>56</v>
      </c>
      <c r="B57" s="28">
        <v>123080</v>
      </c>
      <c r="C57" s="28" t="s">
        <v>54</v>
      </c>
      <c r="D57" s="28">
        <v>141.83500000000001</v>
      </c>
      <c r="E57" s="48">
        <v>-7.9000000000000008E-3</v>
      </c>
      <c r="F57" s="28">
        <v>11.53</v>
      </c>
      <c r="G57" s="28">
        <v>126.37</v>
      </c>
      <c r="H57" s="48">
        <v>0.12240000000000001</v>
      </c>
      <c r="I57" s="45">
        <v>154.07500000000002</v>
      </c>
      <c r="J57" s="46">
        <v>46358</v>
      </c>
      <c r="K57" s="47">
        <v>4.2880000000000003</v>
      </c>
      <c r="L57" s="47">
        <v>2.4344610000000002</v>
      </c>
      <c r="M57" s="47">
        <v>5044.7587579999999</v>
      </c>
      <c r="N57" s="48">
        <v>0.14610132964619629</v>
      </c>
      <c r="O57" s="48">
        <v>-2.7833E-2</v>
      </c>
      <c r="P57" s="28">
        <v>145.114</v>
      </c>
      <c r="Q57" s="28">
        <v>140.41200000000001</v>
      </c>
      <c r="R57" s="48">
        <v>3.3487166339059328E-2</v>
      </c>
    </row>
    <row r="58" spans="1:18" x14ac:dyDescent="0.15">
      <c r="A58" s="29">
        <v>57</v>
      </c>
      <c r="B58" s="28">
        <v>128121</v>
      </c>
      <c r="C58" s="28" t="s">
        <v>47</v>
      </c>
      <c r="D58" s="28">
        <v>137.9</v>
      </c>
      <c r="E58" s="48">
        <v>8.0000000000000002E-3</v>
      </c>
      <c r="F58" s="28">
        <v>19.53</v>
      </c>
      <c r="G58" s="28">
        <v>122.32</v>
      </c>
      <c r="H58" s="48">
        <v>0.12740000000000001</v>
      </c>
      <c r="I58" s="45">
        <v>150.64000000000001</v>
      </c>
      <c r="J58" s="46">
        <v>46220</v>
      </c>
      <c r="K58" s="47">
        <v>3.91</v>
      </c>
      <c r="L58" s="47">
        <v>6.6985820000000009</v>
      </c>
      <c r="M58" s="47">
        <v>5507.4548090000008</v>
      </c>
      <c r="N58" s="48">
        <v>5.9621623535802235E-2</v>
      </c>
      <c r="O58" s="48">
        <v>-5.1986999999999998E-2</v>
      </c>
      <c r="P58" s="28">
        <v>137.94999999999999</v>
      </c>
      <c r="Q58" s="28">
        <v>133.16</v>
      </c>
      <c r="R58" s="48">
        <v>3.5971763292279905E-2</v>
      </c>
    </row>
    <row r="59" spans="1:18" x14ac:dyDescent="0.15">
      <c r="A59" s="29">
        <v>58</v>
      </c>
      <c r="B59" s="28">
        <v>127045</v>
      </c>
      <c r="C59" s="28" t="s">
        <v>1793</v>
      </c>
      <c r="D59" s="28">
        <v>138.70699999999999</v>
      </c>
      <c r="E59" s="48">
        <v>8.8000000000000005E-3</v>
      </c>
      <c r="F59" s="28">
        <v>47.46</v>
      </c>
      <c r="G59" s="28">
        <v>122.8</v>
      </c>
      <c r="H59" s="48">
        <v>0.1295</v>
      </c>
      <c r="I59" s="45">
        <v>151.65699999999998</v>
      </c>
      <c r="J59" s="46">
        <v>46615</v>
      </c>
      <c r="K59" s="47">
        <v>4.992</v>
      </c>
      <c r="L59" s="47">
        <v>95.443213</v>
      </c>
      <c r="M59" s="47">
        <v>28457.340526999997</v>
      </c>
      <c r="N59" s="48">
        <v>2.1495664792407752E-2</v>
      </c>
      <c r="O59" s="48">
        <v>-4.4394000000000003E-2</v>
      </c>
      <c r="P59" s="28">
        <v>138.88800000000001</v>
      </c>
      <c r="Q59" s="28">
        <v>136.16</v>
      </c>
      <c r="R59" s="48">
        <v>2.003525264394836E-2</v>
      </c>
    </row>
    <row r="60" spans="1:18" x14ac:dyDescent="0.15">
      <c r="A60" s="29">
        <v>59</v>
      </c>
      <c r="B60" s="28">
        <v>127029</v>
      </c>
      <c r="C60" s="28" t="s">
        <v>1784</v>
      </c>
      <c r="D60" s="28">
        <v>132.6</v>
      </c>
      <c r="E60" s="48">
        <v>2.7000000000000001E-3</v>
      </c>
      <c r="F60" s="28">
        <v>5.64</v>
      </c>
      <c r="G60" s="28">
        <v>117.38</v>
      </c>
      <c r="H60" s="48">
        <v>0.12970000000000001</v>
      </c>
      <c r="I60" s="45">
        <v>145.57</v>
      </c>
      <c r="J60" s="46">
        <v>46465</v>
      </c>
      <c r="K60" s="47">
        <v>4.5810000000000004</v>
      </c>
      <c r="L60" s="47">
        <v>8.1886150000000004</v>
      </c>
      <c r="M60" s="47">
        <v>9748.4078520999992</v>
      </c>
      <c r="N60" s="48">
        <v>8.9780023381412805E-2</v>
      </c>
      <c r="O60" s="48">
        <v>-2.6783999999999999E-2</v>
      </c>
      <c r="P60" s="28">
        <v>134.52099999999999</v>
      </c>
      <c r="Q60" s="28">
        <v>131.05500000000001</v>
      </c>
      <c r="R60" s="48">
        <v>2.6446911601999006E-2</v>
      </c>
    </row>
    <row r="61" spans="1:18" x14ac:dyDescent="0.15">
      <c r="A61" s="29">
        <v>60</v>
      </c>
      <c r="B61" s="28">
        <v>113502</v>
      </c>
      <c r="C61" s="28" t="s">
        <v>128</v>
      </c>
      <c r="D61" s="28">
        <v>161.494</v>
      </c>
      <c r="E61" s="48">
        <v>-1.09E-2</v>
      </c>
      <c r="F61" s="28">
        <v>44.36</v>
      </c>
      <c r="G61" s="28">
        <v>142.18</v>
      </c>
      <c r="H61" s="48">
        <v>0.1358</v>
      </c>
      <c r="I61" s="45">
        <v>175.07400000000001</v>
      </c>
      <c r="J61" s="46">
        <v>45240</v>
      </c>
      <c r="K61" s="47">
        <v>1.2250000000000001</v>
      </c>
      <c r="L61" s="47">
        <v>1.8424100000000001</v>
      </c>
      <c r="M61" s="47">
        <v>7142.8599000000004</v>
      </c>
      <c r="N61" s="48">
        <v>0.24006533773807273</v>
      </c>
      <c r="O61" s="48">
        <v>-0.27238000000000001</v>
      </c>
      <c r="P61" s="28">
        <v>165.2</v>
      </c>
      <c r="Q61" s="28">
        <v>157.61000000000001</v>
      </c>
      <c r="R61" s="48">
        <v>4.8156842839921159E-2</v>
      </c>
    </row>
    <row r="62" spans="1:18" x14ac:dyDescent="0.15">
      <c r="A62" s="29">
        <v>61</v>
      </c>
      <c r="B62" s="28">
        <v>127040</v>
      </c>
      <c r="C62" s="28" t="s">
        <v>1776</v>
      </c>
      <c r="D62" s="28">
        <v>126.715</v>
      </c>
      <c r="E62" s="48">
        <v>-5.7999999999999996E-3</v>
      </c>
      <c r="F62" s="28">
        <v>8.77</v>
      </c>
      <c r="G62" s="28">
        <v>111.52</v>
      </c>
      <c r="H62" s="48">
        <v>0.1363</v>
      </c>
      <c r="I62" s="45">
        <v>140.345</v>
      </c>
      <c r="J62" s="46">
        <v>46575</v>
      </c>
      <c r="K62" s="47">
        <v>4.8819999999999997</v>
      </c>
      <c r="L62" s="47">
        <v>39.873088000000003</v>
      </c>
      <c r="M62" s="47">
        <v>10120.525642800001</v>
      </c>
      <c r="N62" s="48">
        <v>2.0030655902462002E-2</v>
      </c>
      <c r="O62" s="48">
        <v>-2.4775000000000002E-2</v>
      </c>
      <c r="P62" s="28">
        <v>128.41499999999999</v>
      </c>
      <c r="Q62" s="28">
        <v>125.93</v>
      </c>
      <c r="R62" s="48">
        <v>1.973318510283479E-2</v>
      </c>
    </row>
    <row r="63" spans="1:18" x14ac:dyDescent="0.15">
      <c r="A63" s="29">
        <v>62</v>
      </c>
      <c r="B63" s="28">
        <v>128048</v>
      </c>
      <c r="C63" s="28" t="s">
        <v>1782</v>
      </c>
      <c r="D63" s="28">
        <v>125.29</v>
      </c>
      <c r="E63" s="48">
        <v>1.2999999999999999E-3</v>
      </c>
      <c r="F63" s="28">
        <v>4.53</v>
      </c>
      <c r="G63" s="28">
        <v>109.93</v>
      </c>
      <c r="H63" s="48">
        <v>0.13970000000000002</v>
      </c>
      <c r="I63" s="45">
        <v>139.26000000000002</v>
      </c>
      <c r="J63" s="46">
        <v>45608</v>
      </c>
      <c r="K63" s="47">
        <v>2.2330000000000001</v>
      </c>
      <c r="L63" s="47">
        <v>24.970385</v>
      </c>
      <c r="M63" s="47">
        <v>6079.3725770000001</v>
      </c>
      <c r="N63" s="48">
        <v>1.9431982577754837E-2</v>
      </c>
      <c r="O63" s="48">
        <v>-4.8655999999999998E-2</v>
      </c>
      <c r="P63" s="28">
        <v>125.511</v>
      </c>
      <c r="Q63" s="28">
        <v>123.90600000000001</v>
      </c>
      <c r="R63" s="48">
        <v>1.2953367875647586E-2</v>
      </c>
    </row>
    <row r="64" spans="1:18" x14ac:dyDescent="0.15">
      <c r="A64" s="29">
        <v>63</v>
      </c>
      <c r="B64" s="28">
        <v>123063</v>
      </c>
      <c r="C64" s="28" t="s">
        <v>90</v>
      </c>
      <c r="D64" s="28">
        <v>135.809</v>
      </c>
      <c r="E64" s="48">
        <v>1.7299999999999999E-2</v>
      </c>
      <c r="F64" s="28">
        <v>4.72</v>
      </c>
      <c r="G64" s="28">
        <v>119.07</v>
      </c>
      <c r="H64" s="48">
        <v>0.1406</v>
      </c>
      <c r="I64" s="45">
        <v>149.869</v>
      </c>
      <c r="J64" s="46">
        <v>46231</v>
      </c>
      <c r="K64" s="47">
        <v>3.94</v>
      </c>
      <c r="L64" s="47">
        <v>6.3456270000000004</v>
      </c>
      <c r="M64" s="47">
        <v>10415.5592667</v>
      </c>
      <c r="N64" s="48">
        <v>0.12085914085729639</v>
      </c>
      <c r="O64" s="48">
        <v>-2.0209000000000001E-2</v>
      </c>
      <c r="P64" s="28">
        <v>136</v>
      </c>
      <c r="Q64" s="28">
        <v>133.00899999999999</v>
      </c>
      <c r="R64" s="48">
        <v>2.2487200114278089E-2</v>
      </c>
    </row>
    <row r="65" spans="1:18" x14ac:dyDescent="0.15">
      <c r="A65" s="29">
        <v>64</v>
      </c>
      <c r="B65" s="28">
        <v>127043</v>
      </c>
      <c r="C65" s="28" t="s">
        <v>1939</v>
      </c>
      <c r="D65" s="28">
        <v>155.261</v>
      </c>
      <c r="E65" s="48">
        <v>-1.7299999999999999E-2</v>
      </c>
      <c r="F65" s="28">
        <v>20.7</v>
      </c>
      <c r="G65" s="28">
        <v>135.99</v>
      </c>
      <c r="H65" s="48">
        <v>0.14169999999999999</v>
      </c>
      <c r="I65" s="45">
        <v>169.43099999999998</v>
      </c>
      <c r="J65" s="46">
        <v>46611</v>
      </c>
      <c r="K65" s="47">
        <v>4.9809999999999999</v>
      </c>
      <c r="L65" s="47">
        <v>10.446543999999999</v>
      </c>
      <c r="M65" s="47">
        <v>6742.1695234999997</v>
      </c>
      <c r="N65" s="48">
        <v>4.1568528523978902E-2</v>
      </c>
      <c r="O65" s="48">
        <v>-5.0265000000000004E-2</v>
      </c>
      <c r="P65" s="28">
        <v>158.80000000000001</v>
      </c>
      <c r="Q65" s="28">
        <v>155.17699999999999</v>
      </c>
      <c r="R65" s="48">
        <v>2.3347532172938123E-2</v>
      </c>
    </row>
    <row r="66" spans="1:18" x14ac:dyDescent="0.15">
      <c r="A66" s="29">
        <v>65</v>
      </c>
      <c r="B66" s="28">
        <v>128034</v>
      </c>
      <c r="C66" s="28" t="s">
        <v>1790</v>
      </c>
      <c r="D66" s="28">
        <v>123.301</v>
      </c>
      <c r="E66" s="48">
        <v>-7.1999999999999998E-3</v>
      </c>
      <c r="F66" s="28">
        <v>4.1399999999999997</v>
      </c>
      <c r="G66" s="28">
        <v>107.97</v>
      </c>
      <c r="H66" s="48">
        <v>0.14199999999999999</v>
      </c>
      <c r="I66" s="45">
        <v>137.501</v>
      </c>
      <c r="J66" s="46">
        <v>45317</v>
      </c>
      <c r="K66" s="47">
        <v>1.4359999999999999</v>
      </c>
      <c r="L66" s="47">
        <v>17.579557000000001</v>
      </c>
      <c r="M66" s="47">
        <v>3187.7146886999999</v>
      </c>
      <c r="N66" s="48">
        <v>1.4706350690061298E-2</v>
      </c>
      <c r="O66" s="48">
        <v>-9.2825000000000005E-2</v>
      </c>
      <c r="P66" s="28">
        <v>124.40900000000001</v>
      </c>
      <c r="Q66" s="28">
        <v>122.80500000000001</v>
      </c>
      <c r="R66" s="48">
        <v>1.306135743658645E-2</v>
      </c>
    </row>
    <row r="67" spans="1:18" x14ac:dyDescent="0.15">
      <c r="A67" s="29">
        <v>66</v>
      </c>
      <c r="B67" s="28">
        <v>123120</v>
      </c>
      <c r="C67" s="28" t="s">
        <v>220</v>
      </c>
      <c r="D67" s="28">
        <v>147</v>
      </c>
      <c r="E67" s="48">
        <v>-2.3E-2</v>
      </c>
      <c r="F67" s="28">
        <v>7.75</v>
      </c>
      <c r="G67" s="28">
        <v>128.52000000000001</v>
      </c>
      <c r="H67" s="48">
        <v>0.14380000000000001</v>
      </c>
      <c r="I67" s="45">
        <v>161.38</v>
      </c>
      <c r="J67" s="46">
        <v>46598</v>
      </c>
      <c r="K67" s="47">
        <v>4.9450000000000003</v>
      </c>
      <c r="L67" s="47">
        <v>7.9838550000000001</v>
      </c>
      <c r="M67" s="47">
        <v>54465.5701558</v>
      </c>
      <c r="N67" s="48">
        <v>0.46407917314695335</v>
      </c>
      <c r="O67" s="48">
        <v>-3.9765000000000002E-2</v>
      </c>
      <c r="P67" s="28">
        <v>156.5</v>
      </c>
      <c r="Q67" s="28">
        <v>145.6</v>
      </c>
      <c r="R67" s="48">
        <v>7.4862637362637402E-2</v>
      </c>
    </row>
    <row r="68" spans="1:18" x14ac:dyDescent="0.15">
      <c r="A68" s="29">
        <v>67</v>
      </c>
      <c r="B68" s="28">
        <v>113615</v>
      </c>
      <c r="C68" s="28" t="s">
        <v>1942</v>
      </c>
      <c r="D68" s="28">
        <v>193.80799999999999</v>
      </c>
      <c r="E68" s="48">
        <v>5.62E-2</v>
      </c>
      <c r="F68" s="28">
        <v>12.55</v>
      </c>
      <c r="G68" s="28">
        <v>169.32</v>
      </c>
      <c r="H68" s="48">
        <v>0.14460000000000001</v>
      </c>
      <c r="I68" s="45">
        <v>208.268</v>
      </c>
      <c r="J68" s="46">
        <v>46379</v>
      </c>
      <c r="K68" s="47">
        <v>4.3449999999999998</v>
      </c>
      <c r="L68" s="47">
        <v>8.4797799999999999</v>
      </c>
      <c r="M68" s="47">
        <v>97894.212499999994</v>
      </c>
      <c r="N68" s="48">
        <v>0.59566314776612184</v>
      </c>
      <c r="O68" s="48">
        <v>-0.1116</v>
      </c>
      <c r="P68" s="28">
        <v>198.375</v>
      </c>
      <c r="Q68" s="28">
        <v>183.02199999999999</v>
      </c>
      <c r="R68" s="48">
        <v>8.3886090196806998E-2</v>
      </c>
    </row>
    <row r="69" spans="1:18" x14ac:dyDescent="0.15">
      <c r="A69" s="29">
        <v>68</v>
      </c>
      <c r="B69" s="28">
        <v>123112</v>
      </c>
      <c r="C69" s="28" t="s">
        <v>122</v>
      </c>
      <c r="D69" s="28">
        <v>156.59299999999999</v>
      </c>
      <c r="E69" s="48">
        <v>-4.5499999999999999E-2</v>
      </c>
      <c r="F69" s="28">
        <v>8.73</v>
      </c>
      <c r="G69" s="28">
        <v>136.77000000000001</v>
      </c>
      <c r="H69" s="48">
        <v>0.1449</v>
      </c>
      <c r="I69" s="45">
        <v>171.083</v>
      </c>
      <c r="J69" s="46">
        <v>46485</v>
      </c>
      <c r="K69" s="47">
        <v>4.6360000000000001</v>
      </c>
      <c r="L69" s="47">
        <v>2.4525509999999997</v>
      </c>
      <c r="M69" s="47">
        <v>28443.789930400002</v>
      </c>
      <c r="N69" s="48">
        <v>0.74062278867359255</v>
      </c>
      <c r="O69" s="48">
        <v>-5.0018E-2</v>
      </c>
      <c r="P69" s="28">
        <v>164.88</v>
      </c>
      <c r="Q69" s="28">
        <v>154.05000000000001</v>
      </c>
      <c r="R69" s="48">
        <v>7.0301850048685388E-2</v>
      </c>
    </row>
    <row r="70" spans="1:18" x14ac:dyDescent="0.15">
      <c r="A70" s="29">
        <v>69</v>
      </c>
      <c r="B70" s="28">
        <v>128021</v>
      </c>
      <c r="C70" s="28" t="s">
        <v>51</v>
      </c>
      <c r="D70" s="28">
        <v>142.5</v>
      </c>
      <c r="E70" s="48">
        <v>-2.2799999999999997E-2</v>
      </c>
      <c r="F70" s="28">
        <v>5.19</v>
      </c>
      <c r="G70" s="28">
        <v>124.47</v>
      </c>
      <c r="H70" s="48">
        <v>0.1449</v>
      </c>
      <c r="I70" s="45">
        <v>156.99</v>
      </c>
      <c r="J70" s="46">
        <v>45258</v>
      </c>
      <c r="K70" s="47">
        <v>1.274</v>
      </c>
      <c r="L70" s="47">
        <v>2.6517219999999999</v>
      </c>
      <c r="M70" s="47">
        <v>9728.2529586000001</v>
      </c>
      <c r="N70" s="48">
        <v>0.25744946798622498</v>
      </c>
      <c r="O70" s="48">
        <v>-0.199846</v>
      </c>
      <c r="P70" s="28">
        <v>145.83000000000001</v>
      </c>
      <c r="Q70" s="28">
        <v>140.26400000000001</v>
      </c>
      <c r="R70" s="48">
        <v>3.9682313351964885E-2</v>
      </c>
    </row>
    <row r="71" spans="1:18" x14ac:dyDescent="0.15">
      <c r="A71" s="29">
        <v>70</v>
      </c>
      <c r="B71" s="28">
        <v>128130</v>
      </c>
      <c r="C71" s="28" t="s">
        <v>103</v>
      </c>
      <c r="D71" s="28">
        <v>121.22799999999999</v>
      </c>
      <c r="E71" s="48">
        <v>-7.3000000000000001E-3</v>
      </c>
      <c r="F71" s="28">
        <v>3.4</v>
      </c>
      <c r="G71" s="28">
        <v>105.88</v>
      </c>
      <c r="H71" s="48">
        <v>0.14499999999999999</v>
      </c>
      <c r="I71" s="45">
        <v>135.72800000000001</v>
      </c>
      <c r="J71" s="46">
        <v>46265</v>
      </c>
      <c r="K71" s="47">
        <v>4.0330000000000004</v>
      </c>
      <c r="L71" s="47">
        <v>9.98672</v>
      </c>
      <c r="M71" s="47">
        <v>1989.5868664000002</v>
      </c>
      <c r="N71" s="48">
        <v>1.643376572432137E-2</v>
      </c>
      <c r="O71" s="48">
        <v>-1.3691999999999999E-2</v>
      </c>
      <c r="P71" s="28">
        <v>122.498</v>
      </c>
      <c r="Q71" s="28">
        <v>120.702</v>
      </c>
      <c r="R71" s="48">
        <v>1.4879620884492441E-2</v>
      </c>
    </row>
    <row r="72" spans="1:18" x14ac:dyDescent="0.15">
      <c r="A72" s="29">
        <v>71</v>
      </c>
      <c r="B72" s="28">
        <v>128114</v>
      </c>
      <c r="C72" s="28" t="s">
        <v>1781</v>
      </c>
      <c r="D72" s="28">
        <v>110.577</v>
      </c>
      <c r="E72" s="48">
        <v>1E-4</v>
      </c>
      <c r="F72" s="28">
        <v>6.08</v>
      </c>
      <c r="G72" s="28">
        <v>96.55</v>
      </c>
      <c r="H72" s="48">
        <v>0.14529999999999998</v>
      </c>
      <c r="I72" s="45">
        <v>125.107</v>
      </c>
      <c r="J72" s="46">
        <v>46190</v>
      </c>
      <c r="K72" s="47">
        <v>3.827</v>
      </c>
      <c r="L72" s="47">
        <v>13.331268</v>
      </c>
      <c r="M72" s="47">
        <v>8008.9103028</v>
      </c>
      <c r="N72" s="48">
        <v>5.4329682541587869E-2</v>
      </c>
      <c r="O72" s="48">
        <v>8.8430000000000002E-3</v>
      </c>
      <c r="P72" s="28">
        <v>111.258</v>
      </c>
      <c r="Q72" s="28">
        <v>110.5</v>
      </c>
      <c r="R72" s="48">
        <v>6.8597285067872899E-3</v>
      </c>
    </row>
    <row r="73" spans="1:18" x14ac:dyDescent="0.15">
      <c r="A73" s="29">
        <v>72</v>
      </c>
      <c r="B73" s="28">
        <v>113585</v>
      </c>
      <c r="C73" s="28" t="s">
        <v>1951</v>
      </c>
      <c r="D73" s="28">
        <v>176.827</v>
      </c>
      <c r="E73" s="48">
        <v>-2.23E-2</v>
      </c>
      <c r="F73" s="28">
        <v>21.64</v>
      </c>
      <c r="G73" s="28">
        <v>154.11000000000001</v>
      </c>
      <c r="H73" s="48">
        <v>0.1474</v>
      </c>
      <c r="I73" s="45">
        <v>191.56700000000001</v>
      </c>
      <c r="J73" s="46">
        <v>46182</v>
      </c>
      <c r="K73" s="47">
        <v>3.8050000000000002</v>
      </c>
      <c r="L73" s="47">
        <v>1.0025299999999999</v>
      </c>
      <c r="M73" s="47">
        <v>2538.7730000000001</v>
      </c>
      <c r="N73" s="48">
        <v>0.14321150693798221</v>
      </c>
      <c r="O73" s="48">
        <v>-0.10539300000000001</v>
      </c>
      <c r="P73" s="28">
        <v>181</v>
      </c>
      <c r="Q73" s="28">
        <v>175.624</v>
      </c>
      <c r="R73" s="48">
        <v>3.0610850453241044E-2</v>
      </c>
    </row>
    <row r="74" spans="1:18" x14ac:dyDescent="0.15">
      <c r="A74" s="29">
        <v>73</v>
      </c>
      <c r="B74" s="28">
        <v>113598</v>
      </c>
      <c r="C74" s="28" t="s">
        <v>99</v>
      </c>
      <c r="D74" s="28">
        <v>141.26</v>
      </c>
      <c r="E74" s="48">
        <v>-4.8099999999999997E-2</v>
      </c>
      <c r="F74" s="28">
        <v>9.48</v>
      </c>
      <c r="G74" s="28">
        <v>123.1</v>
      </c>
      <c r="H74" s="48">
        <v>0.14749999999999999</v>
      </c>
      <c r="I74" s="45">
        <v>156.01</v>
      </c>
      <c r="J74" s="46">
        <v>46234</v>
      </c>
      <c r="K74" s="47">
        <v>3.948</v>
      </c>
      <c r="L74" s="47">
        <v>2.7525900000000001</v>
      </c>
      <c r="M74" s="47">
        <v>5274.7825000000003</v>
      </c>
      <c r="N74" s="48">
        <v>0.13565750552506167</v>
      </c>
      <c r="O74" s="48">
        <v>-4.1139000000000002E-2</v>
      </c>
      <c r="P74" s="28">
        <v>148.30000000000001</v>
      </c>
      <c r="Q74" s="28">
        <v>140.36000000000001</v>
      </c>
      <c r="R74" s="48">
        <v>5.6568823026503255E-2</v>
      </c>
    </row>
    <row r="75" spans="1:18" x14ac:dyDescent="0.15">
      <c r="A75" s="29">
        <v>74</v>
      </c>
      <c r="B75" s="28">
        <v>113637</v>
      </c>
      <c r="C75" s="28" t="s">
        <v>254</v>
      </c>
      <c r="D75" s="28">
        <v>155.5</v>
      </c>
      <c r="E75" s="48">
        <v>-2.8500000000000001E-2</v>
      </c>
      <c r="F75" s="28">
        <v>12.75</v>
      </c>
      <c r="G75" s="28">
        <v>135.37</v>
      </c>
      <c r="H75" s="48">
        <v>0.1487</v>
      </c>
      <c r="I75" s="45">
        <v>170.37</v>
      </c>
      <c r="J75" s="46">
        <v>46743</v>
      </c>
      <c r="K75" s="47">
        <v>5.3419999999999996</v>
      </c>
      <c r="L75" s="47">
        <v>7.9980500000000001</v>
      </c>
      <c r="M75" s="47">
        <v>8268.2248999999993</v>
      </c>
      <c r="N75" s="48">
        <v>6.6481035138167027E-2</v>
      </c>
      <c r="O75" s="48">
        <v>-4.6699000000000004E-2</v>
      </c>
      <c r="P75" s="28">
        <v>160.06299999999999</v>
      </c>
      <c r="Q75" s="28">
        <v>150.624</v>
      </c>
      <c r="R75" s="48">
        <v>6.2665976205651119E-2</v>
      </c>
    </row>
    <row r="76" spans="1:18" x14ac:dyDescent="0.15">
      <c r="A76" s="29">
        <v>75</v>
      </c>
      <c r="B76" s="28">
        <v>113051</v>
      </c>
      <c r="C76" s="28" t="s">
        <v>1961</v>
      </c>
      <c r="D76" s="28">
        <v>158.91399999999999</v>
      </c>
      <c r="E76" s="48">
        <v>2.7200000000000002E-2</v>
      </c>
      <c r="F76" s="28">
        <v>4</v>
      </c>
      <c r="G76" s="28">
        <v>138.25</v>
      </c>
      <c r="H76" s="48">
        <v>0.14949999999999999</v>
      </c>
      <c r="I76" s="45">
        <v>173.86399999999998</v>
      </c>
      <c r="J76" s="46">
        <v>46559</v>
      </c>
      <c r="K76" s="47">
        <v>4.8380000000000001</v>
      </c>
      <c r="L76" s="47">
        <v>29.98903</v>
      </c>
      <c r="M76" s="47">
        <v>51405.572999999997</v>
      </c>
      <c r="N76" s="48">
        <v>0.10786626137531208</v>
      </c>
      <c r="O76" s="48">
        <v>-6.6688999999999998E-2</v>
      </c>
      <c r="P76" s="28">
        <v>160.75</v>
      </c>
      <c r="Q76" s="28">
        <v>151.47999999999999</v>
      </c>
      <c r="R76" s="48">
        <v>6.1196197517824208E-2</v>
      </c>
    </row>
    <row r="77" spans="1:18" x14ac:dyDescent="0.15">
      <c r="A77" s="29">
        <v>76</v>
      </c>
      <c r="B77" s="28">
        <v>123148</v>
      </c>
      <c r="C77" s="28" t="s">
        <v>2002</v>
      </c>
      <c r="D77" s="28">
        <v>219.298</v>
      </c>
      <c r="E77" s="48">
        <v>-6.0000000000000001E-3</v>
      </c>
      <c r="F77" s="28">
        <v>36.31</v>
      </c>
      <c r="G77" s="28">
        <v>190.28</v>
      </c>
      <c r="H77" s="48">
        <v>0.1525</v>
      </c>
      <c r="I77" s="45">
        <v>234.548</v>
      </c>
      <c r="J77" s="46">
        <v>46918</v>
      </c>
      <c r="K77" s="47">
        <v>5.8220000000000001</v>
      </c>
      <c r="L77" s="47">
        <v>4.2</v>
      </c>
      <c r="M77" s="47">
        <v>116156.4401262</v>
      </c>
      <c r="N77" s="48">
        <v>1.2611284766912081</v>
      </c>
      <c r="O77" s="48">
        <v>-0.10235900000000001</v>
      </c>
      <c r="P77" s="28">
        <v>227.952</v>
      </c>
      <c r="Q77" s="28">
        <v>214.33</v>
      </c>
      <c r="R77" s="48">
        <v>6.3556198385666896E-2</v>
      </c>
    </row>
    <row r="78" spans="1:18" x14ac:dyDescent="0.15">
      <c r="A78" s="29">
        <v>77</v>
      </c>
      <c r="B78" s="28">
        <v>123083</v>
      </c>
      <c r="C78" s="28" t="s">
        <v>2001</v>
      </c>
      <c r="D78" s="28">
        <v>221.50200000000001</v>
      </c>
      <c r="E78" s="48">
        <v>-5.1399999999999994E-2</v>
      </c>
      <c r="F78" s="28">
        <v>15.27</v>
      </c>
      <c r="G78" s="28">
        <v>192.14</v>
      </c>
      <c r="H78" s="48">
        <v>0.15279999999999999</v>
      </c>
      <c r="I78" s="45">
        <v>236.78200000000001</v>
      </c>
      <c r="J78" s="46">
        <v>46365</v>
      </c>
      <c r="K78" s="47">
        <v>4.3070000000000004</v>
      </c>
      <c r="L78" s="47">
        <v>5.482621</v>
      </c>
      <c r="M78" s="47">
        <v>28772.062163899998</v>
      </c>
      <c r="N78" s="48">
        <v>0.23692184870816388</v>
      </c>
      <c r="O78" s="48">
        <v>-0.143646</v>
      </c>
      <c r="P78" s="28">
        <v>234.5</v>
      </c>
      <c r="Q78" s="28">
        <v>218.8</v>
      </c>
      <c r="R78" s="48">
        <v>7.1755027422303413E-2</v>
      </c>
    </row>
    <row r="79" spans="1:18" x14ac:dyDescent="0.15">
      <c r="A79" s="29">
        <v>78</v>
      </c>
      <c r="B79" s="28">
        <v>110043</v>
      </c>
      <c r="C79" s="28" t="s">
        <v>1775</v>
      </c>
      <c r="D79" s="28">
        <v>123.904</v>
      </c>
      <c r="E79" s="48">
        <v>5.8999999999999999E-3</v>
      </c>
      <c r="F79" s="28">
        <v>5.43</v>
      </c>
      <c r="G79" s="28">
        <v>107.37</v>
      </c>
      <c r="H79" s="48">
        <v>0.154</v>
      </c>
      <c r="I79" s="45">
        <v>139.304</v>
      </c>
      <c r="J79" s="46">
        <v>45321</v>
      </c>
      <c r="K79" s="47">
        <v>1.4470000000000001</v>
      </c>
      <c r="L79" s="47">
        <v>29.21339</v>
      </c>
      <c r="M79" s="47">
        <v>3449.1482000000001</v>
      </c>
      <c r="N79" s="48">
        <v>9.5289395443407272E-3</v>
      </c>
      <c r="O79" s="48">
        <v>-9.5226000000000005E-2</v>
      </c>
      <c r="P79" s="28">
        <v>124.062</v>
      </c>
      <c r="Q79" s="28">
        <v>122.3</v>
      </c>
      <c r="R79" s="48">
        <v>1.440719542109567E-2</v>
      </c>
    </row>
    <row r="80" spans="1:18" x14ac:dyDescent="0.15">
      <c r="A80" s="29">
        <v>79</v>
      </c>
      <c r="B80" s="28">
        <v>127007</v>
      </c>
      <c r="C80" s="28" t="s">
        <v>789</v>
      </c>
      <c r="D80" s="28">
        <v>149.101</v>
      </c>
      <c r="E80" s="48">
        <v>-6.0000000000000001E-3</v>
      </c>
      <c r="F80" s="28">
        <v>5.58</v>
      </c>
      <c r="G80" s="28">
        <v>128.85</v>
      </c>
      <c r="H80" s="48">
        <v>0.15720000000000001</v>
      </c>
      <c r="I80" s="45">
        <v>164.821</v>
      </c>
      <c r="J80" s="46">
        <v>45471</v>
      </c>
      <c r="K80" s="47">
        <v>1.8580000000000001</v>
      </c>
      <c r="L80" s="47">
        <v>3.689994</v>
      </c>
      <c r="M80" s="47">
        <v>90454.710971000008</v>
      </c>
      <c r="N80" s="48">
        <v>1.6440876766237411</v>
      </c>
      <c r="O80" s="48">
        <v>-0.152805</v>
      </c>
      <c r="P80" s="28">
        <v>156.12</v>
      </c>
      <c r="Q80" s="28">
        <v>149</v>
      </c>
      <c r="R80" s="48">
        <v>4.7785234899328892E-2</v>
      </c>
    </row>
    <row r="81" spans="1:18" x14ac:dyDescent="0.15">
      <c r="A81" s="29">
        <v>80</v>
      </c>
      <c r="B81" s="28">
        <v>128082</v>
      </c>
      <c r="C81" s="28" t="s">
        <v>1976</v>
      </c>
      <c r="D81" s="28">
        <v>184.8</v>
      </c>
      <c r="E81" s="48">
        <v>-6.0499999999999998E-2</v>
      </c>
      <c r="F81" s="28">
        <v>9.1300000000000008</v>
      </c>
      <c r="G81" s="28">
        <v>159.36000000000001</v>
      </c>
      <c r="H81" s="48">
        <v>0.15960000000000002</v>
      </c>
      <c r="I81" s="45">
        <v>200.76000000000002</v>
      </c>
      <c r="J81" s="46">
        <v>45995</v>
      </c>
      <c r="K81" s="47">
        <v>3.2930000000000001</v>
      </c>
      <c r="L81" s="47">
        <v>2.0300029999999998</v>
      </c>
      <c r="M81" s="47">
        <v>64227.957675999998</v>
      </c>
      <c r="N81" s="48">
        <v>1.7120855660220138</v>
      </c>
      <c r="O81" s="48">
        <v>-0.124094</v>
      </c>
      <c r="P81" s="28">
        <v>194.922</v>
      </c>
      <c r="Q81" s="28">
        <v>184.339</v>
      </c>
      <c r="R81" s="48">
        <v>5.7410531683474458E-2</v>
      </c>
    </row>
    <row r="82" spans="1:18" x14ac:dyDescent="0.15">
      <c r="A82" s="29">
        <v>81</v>
      </c>
      <c r="B82" s="28">
        <v>128109</v>
      </c>
      <c r="C82" s="28" t="s">
        <v>1964</v>
      </c>
      <c r="D82" s="28">
        <v>152.07499999999999</v>
      </c>
      <c r="E82" s="48">
        <v>-1.5E-3</v>
      </c>
      <c r="F82" s="28">
        <v>8.3800000000000008</v>
      </c>
      <c r="G82" s="28">
        <v>131.03</v>
      </c>
      <c r="H82" s="48">
        <v>0.16059999999999999</v>
      </c>
      <c r="I82" s="45">
        <v>168.13499999999999</v>
      </c>
      <c r="J82" s="46">
        <v>46177</v>
      </c>
      <c r="K82" s="47">
        <v>3.7919999999999998</v>
      </c>
      <c r="L82" s="47">
        <v>18.225304999999999</v>
      </c>
      <c r="M82" s="47">
        <v>18319.7533941</v>
      </c>
      <c r="N82" s="48">
        <v>6.609779824817906E-2</v>
      </c>
      <c r="O82" s="48">
        <v>-7.3671E-2</v>
      </c>
      <c r="P82" s="28">
        <v>156.80000000000001</v>
      </c>
      <c r="Q82" s="28">
        <v>149.44999999999999</v>
      </c>
      <c r="R82" s="48">
        <v>4.9180327868852618E-2</v>
      </c>
    </row>
    <row r="83" spans="1:18" x14ac:dyDescent="0.15">
      <c r="A83" s="29">
        <v>82</v>
      </c>
      <c r="B83" s="28">
        <v>123125</v>
      </c>
      <c r="C83" s="28" t="s">
        <v>208</v>
      </c>
      <c r="D83" s="28">
        <v>135.233</v>
      </c>
      <c r="E83" s="48">
        <v>-2.9700000000000001E-2</v>
      </c>
      <c r="F83" s="28">
        <v>17.510000000000002</v>
      </c>
      <c r="G83" s="28">
        <v>116.5</v>
      </c>
      <c r="H83" s="48">
        <v>0.16079999999999997</v>
      </c>
      <c r="I83" s="45">
        <v>151.31299999999999</v>
      </c>
      <c r="J83" s="46">
        <v>46636</v>
      </c>
      <c r="K83" s="47">
        <v>5.0490000000000004</v>
      </c>
      <c r="L83" s="47">
        <v>8.9987899999999996</v>
      </c>
      <c r="M83" s="47">
        <v>8140.4247113000001</v>
      </c>
      <c r="N83" s="48">
        <v>6.689293699136821E-2</v>
      </c>
      <c r="O83" s="48">
        <v>-4.1864999999999999E-2</v>
      </c>
      <c r="P83" s="28">
        <v>139.50800000000001</v>
      </c>
      <c r="Q83" s="28">
        <v>133.5</v>
      </c>
      <c r="R83" s="48">
        <v>4.5003745318352134E-2</v>
      </c>
    </row>
    <row r="84" spans="1:18" x14ac:dyDescent="0.15">
      <c r="A84" s="29">
        <v>83</v>
      </c>
      <c r="B84" s="28">
        <v>110068</v>
      </c>
      <c r="C84" s="28" t="s">
        <v>1779</v>
      </c>
      <c r="D84" s="28">
        <v>134.661</v>
      </c>
      <c r="E84" s="48">
        <v>-6.0999999999999995E-3</v>
      </c>
      <c r="F84" s="28">
        <v>10.55</v>
      </c>
      <c r="G84" s="28">
        <v>115.73</v>
      </c>
      <c r="H84" s="48">
        <v>0.1636</v>
      </c>
      <c r="I84" s="45">
        <v>151.02100000000002</v>
      </c>
      <c r="J84" s="46">
        <v>46105</v>
      </c>
      <c r="K84" s="47">
        <v>3.5950000000000002</v>
      </c>
      <c r="L84" s="47">
        <v>19.995080000000002</v>
      </c>
      <c r="M84" s="47">
        <v>3590.6983</v>
      </c>
      <c r="N84" s="48">
        <v>1.3335642202010847E-2</v>
      </c>
      <c r="O84" s="48">
        <v>-4.5351000000000002E-2</v>
      </c>
      <c r="P84" s="28">
        <v>136.816</v>
      </c>
      <c r="Q84" s="28">
        <v>133.84899999999999</v>
      </c>
      <c r="R84" s="48">
        <v>2.2166770016959509E-2</v>
      </c>
    </row>
    <row r="85" spans="1:18" x14ac:dyDescent="0.15">
      <c r="A85" s="29">
        <v>84</v>
      </c>
      <c r="B85" s="28">
        <v>128040</v>
      </c>
      <c r="C85" s="28" t="s">
        <v>1959</v>
      </c>
      <c r="D85" s="28">
        <v>152.001</v>
      </c>
      <c r="E85" s="48">
        <v>-3.7999999999999999E-2</v>
      </c>
      <c r="F85" s="28">
        <v>9.73</v>
      </c>
      <c r="G85" s="28">
        <v>130.11000000000001</v>
      </c>
      <c r="H85" s="48">
        <v>0.16820000000000002</v>
      </c>
      <c r="I85" s="45">
        <v>168.821</v>
      </c>
      <c r="J85" s="46">
        <v>45457</v>
      </c>
      <c r="K85" s="47">
        <v>1.819</v>
      </c>
      <c r="L85" s="47">
        <v>2.0050219999999999</v>
      </c>
      <c r="M85" s="47">
        <v>12794.778068000001</v>
      </c>
      <c r="N85" s="48">
        <v>0.4198239107253755</v>
      </c>
      <c r="O85" s="48">
        <v>-0.16472600000000001</v>
      </c>
      <c r="P85" s="28">
        <v>156.78399999999999</v>
      </c>
      <c r="Q85" s="28">
        <v>151.91</v>
      </c>
      <c r="R85" s="48">
        <v>3.2084787044960802E-2</v>
      </c>
    </row>
    <row r="86" spans="1:18" x14ac:dyDescent="0.15">
      <c r="A86" s="29">
        <v>85</v>
      </c>
      <c r="B86" s="28">
        <v>110079</v>
      </c>
      <c r="C86" s="28" t="s">
        <v>1787</v>
      </c>
      <c r="D86" s="28">
        <v>122.85</v>
      </c>
      <c r="E86" s="48">
        <v>-2.5999999999999999E-3</v>
      </c>
      <c r="F86" s="28">
        <v>12.64</v>
      </c>
      <c r="G86" s="28">
        <v>105.14</v>
      </c>
      <c r="H86" s="48">
        <v>0.16839999999999999</v>
      </c>
      <c r="I86" s="45">
        <v>139.69</v>
      </c>
      <c r="J86" s="46">
        <v>46475</v>
      </c>
      <c r="K86" s="47">
        <v>4.6079999999999997</v>
      </c>
      <c r="L86" s="47">
        <v>149.99012999999999</v>
      </c>
      <c r="M86" s="47">
        <v>19140.050200000001</v>
      </c>
      <c r="N86" s="48">
        <v>1.0387361116905788E-2</v>
      </c>
      <c r="O86" s="48">
        <v>-1.9776999999999999E-2</v>
      </c>
      <c r="P86" s="28">
        <v>123.68</v>
      </c>
      <c r="Q86" s="28">
        <v>122.676</v>
      </c>
      <c r="R86" s="48">
        <v>8.1841599008771471E-3</v>
      </c>
    </row>
    <row r="87" spans="1:18" x14ac:dyDescent="0.15">
      <c r="A87" s="29">
        <v>86</v>
      </c>
      <c r="B87" s="28">
        <v>127030</v>
      </c>
      <c r="C87" s="28" t="s">
        <v>2000</v>
      </c>
      <c r="D87" s="28">
        <v>197.46600000000001</v>
      </c>
      <c r="E87" s="48">
        <v>2.3399999999999997E-2</v>
      </c>
      <c r="F87" s="28">
        <v>13.46</v>
      </c>
      <c r="G87" s="28">
        <v>168.28</v>
      </c>
      <c r="H87" s="48">
        <v>0.1734</v>
      </c>
      <c r="I87" s="45">
        <v>214.80600000000001</v>
      </c>
      <c r="J87" s="46">
        <v>46468</v>
      </c>
      <c r="K87" s="47">
        <v>4.5890000000000004</v>
      </c>
      <c r="L87" s="47">
        <v>49.981101000000002</v>
      </c>
      <c r="M87" s="47">
        <v>72644.716988</v>
      </c>
      <c r="N87" s="48">
        <v>7.3604757903356452E-2</v>
      </c>
      <c r="O87" s="48">
        <v>-0.11718400000000001</v>
      </c>
      <c r="P87" s="28">
        <v>198.8</v>
      </c>
      <c r="Q87" s="28">
        <v>185.84299999999999</v>
      </c>
      <c r="R87" s="48">
        <v>6.9720140118272003E-2</v>
      </c>
    </row>
    <row r="88" spans="1:18" x14ac:dyDescent="0.15">
      <c r="A88" s="29">
        <v>87</v>
      </c>
      <c r="B88" s="28">
        <v>110074</v>
      </c>
      <c r="C88" s="28" t="s">
        <v>1944</v>
      </c>
      <c r="D88" s="28">
        <v>195.41200000000001</v>
      </c>
      <c r="E88" s="48">
        <v>-3.0099999999999998E-2</v>
      </c>
      <c r="F88" s="28">
        <v>3.7</v>
      </c>
      <c r="G88" s="28">
        <v>166.49</v>
      </c>
      <c r="H88" s="48">
        <v>0.17370000000000002</v>
      </c>
      <c r="I88" s="45">
        <v>212.78200000000001</v>
      </c>
      <c r="J88" s="46">
        <v>46253</v>
      </c>
      <c r="K88" s="47">
        <v>4</v>
      </c>
      <c r="L88" s="47">
        <v>5.0954699999999997</v>
      </c>
      <c r="M88" s="47">
        <v>15681.9846</v>
      </c>
      <c r="N88" s="48">
        <v>0.15749455525130754</v>
      </c>
      <c r="O88" s="48">
        <v>-0.12328799999999999</v>
      </c>
      <c r="P88" s="28">
        <v>201</v>
      </c>
      <c r="Q88" s="28">
        <v>188.89</v>
      </c>
      <c r="R88" s="48">
        <v>6.4111387580073134E-2</v>
      </c>
    </row>
    <row r="89" spans="1:18" x14ac:dyDescent="0.15">
      <c r="A89" s="29">
        <v>88</v>
      </c>
      <c r="B89" s="28">
        <v>128075</v>
      </c>
      <c r="C89" s="28" t="s">
        <v>121</v>
      </c>
      <c r="D89" s="28">
        <v>130</v>
      </c>
      <c r="E89" s="48">
        <v>-3.9300000000000002E-2</v>
      </c>
      <c r="F89" s="28">
        <v>5.21</v>
      </c>
      <c r="G89" s="28">
        <v>110.75</v>
      </c>
      <c r="H89" s="48">
        <v>0.17379999999999998</v>
      </c>
      <c r="I89" s="45">
        <v>147.38</v>
      </c>
      <c r="J89" s="46">
        <v>45923</v>
      </c>
      <c r="K89" s="47">
        <v>3.0960000000000001</v>
      </c>
      <c r="L89" s="47">
        <v>5.4374510000000003</v>
      </c>
      <c r="M89" s="47">
        <v>6770.9713777999996</v>
      </c>
      <c r="N89" s="48">
        <v>9.5788256692053222E-2</v>
      </c>
      <c r="O89" s="48">
        <v>-4.1544999999999999E-2</v>
      </c>
      <c r="P89" s="28">
        <v>135.5</v>
      </c>
      <c r="Q89" s="28">
        <v>129.78800000000001</v>
      </c>
      <c r="R89" s="48">
        <v>4.4010232070761462E-2</v>
      </c>
    </row>
    <row r="90" spans="1:18" x14ac:dyDescent="0.15">
      <c r="A90" s="29">
        <v>89</v>
      </c>
      <c r="B90" s="28">
        <v>123147</v>
      </c>
      <c r="C90" s="28" t="s">
        <v>1975</v>
      </c>
      <c r="D90" s="28">
        <v>140.4</v>
      </c>
      <c r="E90" s="48">
        <v>-2.8300000000000002E-2</v>
      </c>
      <c r="F90" s="28">
        <v>7.78</v>
      </c>
      <c r="G90" s="28">
        <v>119.54</v>
      </c>
      <c r="H90" s="48">
        <v>0.17449999999999999</v>
      </c>
      <c r="I90" s="45">
        <v>157.85</v>
      </c>
      <c r="J90" s="46">
        <v>46904</v>
      </c>
      <c r="K90" s="47">
        <v>5.7839999999999998</v>
      </c>
      <c r="L90" s="47">
        <v>5.7053700000000003</v>
      </c>
      <c r="M90" s="47">
        <v>10933.926598299999</v>
      </c>
      <c r="N90" s="48">
        <v>0.13649766811505967</v>
      </c>
      <c r="O90" s="48">
        <v>-2.7031999999999997E-2</v>
      </c>
      <c r="P90" s="28">
        <v>144.49199999999999</v>
      </c>
      <c r="Q90" s="28">
        <v>138.018</v>
      </c>
      <c r="R90" s="48">
        <v>4.6906925183671622E-2</v>
      </c>
    </row>
    <row r="91" spans="1:18" x14ac:dyDescent="0.15">
      <c r="A91" s="29">
        <v>90</v>
      </c>
      <c r="B91" s="28">
        <v>128140</v>
      </c>
      <c r="C91" s="28" t="s">
        <v>1957</v>
      </c>
      <c r="D91" s="28">
        <v>177</v>
      </c>
      <c r="E91" s="48">
        <v>-1.49E-2</v>
      </c>
      <c r="F91" s="28">
        <v>26.2</v>
      </c>
      <c r="G91" s="28">
        <v>150.41999999999999</v>
      </c>
      <c r="H91" s="48">
        <v>0.17670000000000002</v>
      </c>
      <c r="I91" s="45">
        <v>194.67000000000002</v>
      </c>
      <c r="J91" s="46">
        <v>46363</v>
      </c>
      <c r="K91" s="47">
        <v>4.3010000000000002</v>
      </c>
      <c r="L91" s="47">
        <v>10.896390999999999</v>
      </c>
      <c r="M91" s="47">
        <v>5605.410167</v>
      </c>
      <c r="N91" s="48">
        <v>2.9063736786198554E-2</v>
      </c>
      <c r="O91" s="48">
        <v>-9.7200000000000009E-2</v>
      </c>
      <c r="P91" s="28">
        <v>182.2</v>
      </c>
      <c r="Q91" s="28">
        <v>174</v>
      </c>
      <c r="R91" s="48">
        <v>4.7126436781609132E-2</v>
      </c>
    </row>
    <row r="92" spans="1:18" x14ac:dyDescent="0.15">
      <c r="A92" s="29">
        <v>91</v>
      </c>
      <c r="B92" s="28">
        <v>113504</v>
      </c>
      <c r="C92" s="28" t="s">
        <v>1955</v>
      </c>
      <c r="D92" s="28">
        <v>173.131</v>
      </c>
      <c r="E92" s="48">
        <v>5.1999999999999998E-3</v>
      </c>
      <c r="F92" s="28">
        <v>20.51</v>
      </c>
      <c r="G92" s="28">
        <v>146.76</v>
      </c>
      <c r="H92" s="48">
        <v>0.1797</v>
      </c>
      <c r="I92" s="45">
        <v>191.101</v>
      </c>
      <c r="J92" s="46">
        <v>45353</v>
      </c>
      <c r="K92" s="47">
        <v>1.534</v>
      </c>
      <c r="L92" s="47">
        <v>4.6274699999999998</v>
      </c>
      <c r="M92" s="47">
        <v>12931.443300000001</v>
      </c>
      <c r="N92" s="48">
        <v>0.16140929868025156</v>
      </c>
      <c r="O92" s="48">
        <v>-0.26740700000000001</v>
      </c>
      <c r="P92" s="28">
        <v>180.768</v>
      </c>
      <c r="Q92" s="28">
        <v>170.96199999999999</v>
      </c>
      <c r="R92" s="48">
        <v>5.7357775412079946E-2</v>
      </c>
    </row>
    <row r="93" spans="1:18" x14ac:dyDescent="0.15">
      <c r="A93" s="29">
        <v>92</v>
      </c>
      <c r="B93" s="28">
        <v>110083</v>
      </c>
      <c r="C93" s="28" t="s">
        <v>1792</v>
      </c>
      <c r="D93" s="28">
        <v>119.753</v>
      </c>
      <c r="E93" s="48">
        <v>0</v>
      </c>
      <c r="F93" s="28">
        <v>5.07</v>
      </c>
      <c r="G93" s="28">
        <v>101.18</v>
      </c>
      <c r="H93" s="48">
        <v>0.18359999999999999</v>
      </c>
      <c r="I93" s="45">
        <v>138.113</v>
      </c>
      <c r="J93" s="46">
        <v>46702</v>
      </c>
      <c r="K93" s="47">
        <v>5.23</v>
      </c>
      <c r="L93" s="47">
        <v>49.982089999999999</v>
      </c>
      <c r="M93" s="47">
        <v>4946.5204000000003</v>
      </c>
      <c r="N93" s="48">
        <v>8.2641652042271703E-3</v>
      </c>
      <c r="O93" s="48">
        <v>-1.5445E-2</v>
      </c>
      <c r="P93" s="28">
        <v>120.46299999999999</v>
      </c>
      <c r="Q93" s="28">
        <v>119.3</v>
      </c>
      <c r="R93" s="48">
        <v>9.7485331098071809E-3</v>
      </c>
    </row>
    <row r="94" spans="1:18" x14ac:dyDescent="0.15">
      <c r="A94" s="29">
        <v>93</v>
      </c>
      <c r="B94" s="28">
        <v>113044</v>
      </c>
      <c r="C94" s="28" t="s">
        <v>1788</v>
      </c>
      <c r="D94" s="28">
        <v>110.80500000000001</v>
      </c>
      <c r="E94" s="48">
        <v>-2.2000000000000001E-3</v>
      </c>
      <c r="F94" s="28">
        <v>6.7</v>
      </c>
      <c r="G94" s="28">
        <v>93.43</v>
      </c>
      <c r="H94" s="48">
        <v>0.18600000000000003</v>
      </c>
      <c r="I94" s="45">
        <v>129.405</v>
      </c>
      <c r="J94" s="46">
        <v>46370</v>
      </c>
      <c r="K94" s="47">
        <v>4.3209999999999997</v>
      </c>
      <c r="L94" s="47">
        <v>319.98975000000002</v>
      </c>
      <c r="M94" s="47">
        <v>17988.3747</v>
      </c>
      <c r="N94" s="48">
        <v>5.0733695762216818E-3</v>
      </c>
      <c r="O94" s="48">
        <v>6.5430000000000002E-3</v>
      </c>
      <c r="P94" s="28">
        <v>111.30200000000001</v>
      </c>
      <c r="Q94" s="28">
        <v>110.5</v>
      </c>
      <c r="R94" s="48">
        <v>7.2579185520362599E-3</v>
      </c>
    </row>
    <row r="95" spans="1:18" x14ac:dyDescent="0.15">
      <c r="A95" s="29">
        <v>94</v>
      </c>
      <c r="B95" s="28">
        <v>128017</v>
      </c>
      <c r="C95" s="28" t="s">
        <v>1949</v>
      </c>
      <c r="D95" s="28">
        <v>238.65799999999999</v>
      </c>
      <c r="E95" s="48">
        <v>-4.6900000000000004E-2</v>
      </c>
      <c r="F95" s="28">
        <v>21.33</v>
      </c>
      <c r="G95" s="28">
        <v>200.89</v>
      </c>
      <c r="H95" s="48">
        <v>0.188</v>
      </c>
      <c r="I95" s="45">
        <v>257.45799999999997</v>
      </c>
      <c r="J95" s="46">
        <v>45231</v>
      </c>
      <c r="K95" s="47">
        <v>1.2</v>
      </c>
      <c r="L95" s="47">
        <v>5.5181570000000004</v>
      </c>
      <c r="M95" s="47">
        <v>11323.7475154</v>
      </c>
      <c r="N95" s="48">
        <v>8.5984491625012038E-2</v>
      </c>
      <c r="O95" s="48">
        <v>-0.48766700000000002</v>
      </c>
      <c r="P95" s="28">
        <v>249.25899999999999</v>
      </c>
      <c r="Q95" s="28">
        <v>235.00299999999999</v>
      </c>
      <c r="R95" s="48">
        <v>6.0663055365250663E-2</v>
      </c>
    </row>
    <row r="96" spans="1:18" x14ac:dyDescent="0.15">
      <c r="A96" s="29">
        <v>95</v>
      </c>
      <c r="B96" s="28">
        <v>127038</v>
      </c>
      <c r="C96" s="28" t="s">
        <v>1966</v>
      </c>
      <c r="D96" s="28">
        <v>196.36099999999999</v>
      </c>
      <c r="E96" s="48">
        <v>-5.0499999999999996E-2</v>
      </c>
      <c r="F96" s="28">
        <v>137.78</v>
      </c>
      <c r="G96" s="28">
        <v>165.23</v>
      </c>
      <c r="H96" s="48">
        <v>0.18840000000000001</v>
      </c>
      <c r="I96" s="45">
        <v>215.20099999999999</v>
      </c>
      <c r="J96" s="46">
        <v>46548</v>
      </c>
      <c r="K96" s="47">
        <v>4.8079999999999998</v>
      </c>
      <c r="L96" s="47">
        <v>14.936515999999999</v>
      </c>
      <c r="M96" s="47">
        <v>23851.334039500001</v>
      </c>
      <c r="N96" s="48">
        <v>8.1322015024589897E-2</v>
      </c>
      <c r="O96" s="48">
        <v>-0.10771900000000001</v>
      </c>
      <c r="P96" s="28">
        <v>207.999</v>
      </c>
      <c r="Q96" s="28">
        <v>193.733</v>
      </c>
      <c r="R96" s="48">
        <v>7.3637428832465254E-2</v>
      </c>
    </row>
    <row r="97" spans="1:18" x14ac:dyDescent="0.15">
      <c r="A97" s="29">
        <v>96</v>
      </c>
      <c r="B97" s="28">
        <v>128095</v>
      </c>
      <c r="C97" s="28" t="s">
        <v>1946</v>
      </c>
      <c r="D97" s="28">
        <v>364.005</v>
      </c>
      <c r="E97" s="48">
        <v>-6.1799999999999994E-2</v>
      </c>
      <c r="F97" s="28">
        <v>64.62</v>
      </c>
      <c r="G97" s="28">
        <v>306.25</v>
      </c>
      <c r="H97" s="48">
        <v>0.18859999999999999</v>
      </c>
      <c r="I97" s="45">
        <v>382.86500000000001</v>
      </c>
      <c r="J97" s="46">
        <v>46064</v>
      </c>
      <c r="K97" s="47">
        <v>3.4820000000000002</v>
      </c>
      <c r="L97" s="47">
        <v>4.5392849999999996</v>
      </c>
      <c r="M97" s="47">
        <v>12409.847487199999</v>
      </c>
      <c r="N97" s="48">
        <v>7.5105483128645331E-2</v>
      </c>
      <c r="O97" s="48">
        <v>-0.28620899999999999</v>
      </c>
      <c r="P97" s="28">
        <v>387.8</v>
      </c>
      <c r="Q97" s="28">
        <v>364.005</v>
      </c>
      <c r="R97" s="48">
        <v>6.5369981181577219E-2</v>
      </c>
    </row>
    <row r="98" spans="1:18" x14ac:dyDescent="0.15">
      <c r="A98" s="29">
        <v>97</v>
      </c>
      <c r="B98" s="28">
        <v>123127</v>
      </c>
      <c r="C98" s="28" t="s">
        <v>111</v>
      </c>
      <c r="D98" s="28">
        <v>131.36000000000001</v>
      </c>
      <c r="E98" s="48">
        <v>-2.58E-2</v>
      </c>
      <c r="F98" s="28">
        <v>37</v>
      </c>
      <c r="G98" s="28">
        <v>110.38</v>
      </c>
      <c r="H98" s="48">
        <v>0.19010000000000002</v>
      </c>
      <c r="I98" s="45">
        <v>150.37</v>
      </c>
      <c r="J98" s="46">
        <v>46689</v>
      </c>
      <c r="K98" s="47">
        <v>5.1950000000000003</v>
      </c>
      <c r="L98" s="47">
        <v>3.9995210000000001</v>
      </c>
      <c r="M98" s="47">
        <v>3659.0123395999999</v>
      </c>
      <c r="N98" s="48">
        <v>6.9645450647160781E-2</v>
      </c>
      <c r="O98" s="48">
        <v>-2.3831999999999999E-2</v>
      </c>
      <c r="P98" s="28">
        <v>135.29900000000001</v>
      </c>
      <c r="Q98" s="28">
        <v>130.73699999999999</v>
      </c>
      <c r="R98" s="48">
        <v>3.4894482816647254E-2</v>
      </c>
    </row>
    <row r="99" spans="1:18" x14ac:dyDescent="0.15">
      <c r="A99" s="29">
        <v>98</v>
      </c>
      <c r="B99" s="28">
        <v>123078</v>
      </c>
      <c r="C99" s="28" t="s">
        <v>1954</v>
      </c>
      <c r="D99" s="28">
        <v>175.5</v>
      </c>
      <c r="E99" s="48">
        <v>-6.5700000000000008E-2</v>
      </c>
      <c r="F99" s="28">
        <v>15.49</v>
      </c>
      <c r="G99" s="28">
        <v>147</v>
      </c>
      <c r="H99" s="48">
        <v>0.19390000000000002</v>
      </c>
      <c r="I99" s="45">
        <v>194.89</v>
      </c>
      <c r="J99" s="46">
        <v>46353</v>
      </c>
      <c r="K99" s="47">
        <v>4.274</v>
      </c>
      <c r="L99" s="47">
        <v>6.183713</v>
      </c>
      <c r="M99" s="47">
        <v>21036.922573199998</v>
      </c>
      <c r="N99" s="48">
        <v>0.1938455175565203</v>
      </c>
      <c r="O99" s="48">
        <v>-9.5974000000000004E-2</v>
      </c>
      <c r="P99" s="28">
        <v>189.19800000000001</v>
      </c>
      <c r="Q99" s="28">
        <v>174.6</v>
      </c>
      <c r="R99" s="48">
        <v>8.3608247422680484E-2</v>
      </c>
    </row>
    <row r="100" spans="1:18" x14ac:dyDescent="0.15">
      <c r="A100" s="29">
        <v>99</v>
      </c>
      <c r="B100" s="28">
        <v>123133</v>
      </c>
      <c r="C100" s="28" t="s">
        <v>259</v>
      </c>
      <c r="D100" s="28">
        <v>135</v>
      </c>
      <c r="E100" s="48">
        <v>-3.7000000000000002E-3</v>
      </c>
      <c r="F100" s="28">
        <v>17.829999999999998</v>
      </c>
      <c r="G100" s="28">
        <v>113.07</v>
      </c>
      <c r="H100" s="48">
        <v>0.19399999999999998</v>
      </c>
      <c r="I100" s="45">
        <v>154.4</v>
      </c>
      <c r="J100" s="46">
        <v>46743</v>
      </c>
      <c r="K100" s="47">
        <v>5.3419999999999996</v>
      </c>
      <c r="L100" s="47">
        <v>7.199567</v>
      </c>
      <c r="M100" s="47">
        <v>15959.034317399999</v>
      </c>
      <c r="N100" s="48">
        <v>0.16419747051145961</v>
      </c>
      <c r="O100" s="48">
        <v>-2.1429E-2</v>
      </c>
      <c r="P100" s="28">
        <v>138.08600000000001</v>
      </c>
      <c r="Q100" s="28">
        <v>132.839</v>
      </c>
      <c r="R100" s="48">
        <v>3.94989423286837E-2</v>
      </c>
    </row>
    <row r="101" spans="1:18" x14ac:dyDescent="0.15">
      <c r="A101" s="29">
        <v>100</v>
      </c>
      <c r="B101" s="28">
        <v>123139</v>
      </c>
      <c r="C101" s="28" t="s">
        <v>769</v>
      </c>
      <c r="D101" s="28">
        <v>168</v>
      </c>
      <c r="E101" s="48">
        <v>-4.4400000000000002E-2</v>
      </c>
      <c r="F101" s="28">
        <v>76</v>
      </c>
      <c r="G101" s="28">
        <v>140.68</v>
      </c>
      <c r="H101" s="48">
        <v>0.19420000000000001</v>
      </c>
      <c r="I101" s="45">
        <v>187.42000000000002</v>
      </c>
      <c r="J101" s="46">
        <v>46823</v>
      </c>
      <c r="K101" s="47">
        <v>5.5620000000000003</v>
      </c>
      <c r="L101" s="47">
        <v>4.3</v>
      </c>
      <c r="M101" s="47">
        <v>13700.0924493</v>
      </c>
      <c r="N101" s="48">
        <v>0.18964690544435217</v>
      </c>
      <c r="O101" s="48">
        <v>-5.7652999999999996E-2</v>
      </c>
      <c r="P101" s="28">
        <v>175.964</v>
      </c>
      <c r="Q101" s="28">
        <v>165.81399999999999</v>
      </c>
      <c r="R101" s="48">
        <v>6.1213166560121622E-2</v>
      </c>
    </row>
    <row r="102" spans="1:18" x14ac:dyDescent="0.15">
      <c r="A102" s="29">
        <v>101</v>
      </c>
      <c r="B102" s="28">
        <v>113027</v>
      </c>
      <c r="C102" s="28" t="s">
        <v>1960</v>
      </c>
      <c r="D102" s="28">
        <v>151.256</v>
      </c>
      <c r="E102" s="48">
        <v>-1.9400000000000001E-2</v>
      </c>
      <c r="F102" s="28">
        <v>10.17</v>
      </c>
      <c r="G102" s="28">
        <v>126.65</v>
      </c>
      <c r="H102" s="48">
        <v>0.1943</v>
      </c>
      <c r="I102" s="45">
        <v>170.68600000000001</v>
      </c>
      <c r="J102" s="46">
        <v>45822</v>
      </c>
      <c r="K102" s="47">
        <v>2.819</v>
      </c>
      <c r="L102" s="47">
        <v>2.3868</v>
      </c>
      <c r="M102" s="47">
        <v>3466.2212</v>
      </c>
      <c r="N102" s="48">
        <v>9.6012468091436654E-2</v>
      </c>
      <c r="O102" s="48">
        <v>-9.8619999999999999E-2</v>
      </c>
      <c r="P102" s="28">
        <v>154.66999999999999</v>
      </c>
      <c r="Q102" s="28">
        <v>150.98500000000001</v>
      </c>
      <c r="R102" s="48">
        <v>2.4406397986554782E-2</v>
      </c>
    </row>
    <row r="103" spans="1:18" x14ac:dyDescent="0.15">
      <c r="A103" s="29">
        <v>102</v>
      </c>
      <c r="B103" s="28">
        <v>128119</v>
      </c>
      <c r="C103" s="28" t="s">
        <v>227</v>
      </c>
      <c r="D103" s="28">
        <v>122.42</v>
      </c>
      <c r="E103" s="48">
        <v>-4.6999999999999993E-3</v>
      </c>
      <c r="F103" s="28">
        <v>9.3000000000000007</v>
      </c>
      <c r="G103" s="28">
        <v>102.37</v>
      </c>
      <c r="H103" s="48">
        <v>0.19589999999999999</v>
      </c>
      <c r="I103" s="45">
        <v>142.01</v>
      </c>
      <c r="J103" s="46">
        <v>46216</v>
      </c>
      <c r="K103" s="47">
        <v>3.899</v>
      </c>
      <c r="L103" s="47">
        <v>9.4606510000000004</v>
      </c>
      <c r="M103" s="47">
        <v>1831.2517585000001</v>
      </c>
      <c r="N103" s="48">
        <v>1.5811557719419039E-2</v>
      </c>
      <c r="O103" s="48">
        <v>-6.7069999999999994E-3</v>
      </c>
      <c r="P103" s="28">
        <v>123.399</v>
      </c>
      <c r="Q103" s="28">
        <v>122.31699999999999</v>
      </c>
      <c r="R103" s="48">
        <v>8.845867704407465E-3</v>
      </c>
    </row>
    <row r="104" spans="1:18" x14ac:dyDescent="0.15">
      <c r="A104" s="29">
        <v>103</v>
      </c>
      <c r="B104" s="28">
        <v>123144</v>
      </c>
      <c r="C104" s="28" t="s">
        <v>1834</v>
      </c>
      <c r="D104" s="28">
        <v>142.44999999999999</v>
      </c>
      <c r="E104" s="48">
        <v>-3.8800000000000001E-2</v>
      </c>
      <c r="F104" s="28">
        <v>13.97</v>
      </c>
      <c r="G104" s="28">
        <v>119.11</v>
      </c>
      <c r="H104" s="48">
        <v>0.19600000000000001</v>
      </c>
      <c r="I104" s="45">
        <v>162.04999999999998</v>
      </c>
      <c r="J104" s="46">
        <v>46854</v>
      </c>
      <c r="K104" s="47">
        <v>5.6470000000000002</v>
      </c>
      <c r="L104" s="47">
        <v>6</v>
      </c>
      <c r="M104" s="47">
        <v>22795.3126438</v>
      </c>
      <c r="N104" s="48">
        <v>0.26670542463788466</v>
      </c>
      <c r="O104" s="48">
        <v>-2.9951999999999999E-2</v>
      </c>
      <c r="P104" s="28">
        <v>156.80000000000001</v>
      </c>
      <c r="Q104" s="28">
        <v>140.40299999999999</v>
      </c>
      <c r="R104" s="48">
        <v>0.11678525387634182</v>
      </c>
    </row>
    <row r="105" spans="1:18" x14ac:dyDescent="0.15">
      <c r="A105" s="29">
        <v>104</v>
      </c>
      <c r="B105" s="28">
        <v>123146</v>
      </c>
      <c r="C105" s="28" t="s">
        <v>1795</v>
      </c>
      <c r="D105" s="28">
        <v>121.197</v>
      </c>
      <c r="E105" s="48">
        <v>-4.6999999999999993E-3</v>
      </c>
      <c r="F105" s="28">
        <v>7.47</v>
      </c>
      <c r="G105" s="28">
        <v>101.2</v>
      </c>
      <c r="H105" s="48">
        <v>0.19760000000000003</v>
      </c>
      <c r="I105" s="45">
        <v>140.95699999999999</v>
      </c>
      <c r="J105" s="46">
        <v>46879</v>
      </c>
      <c r="K105" s="47">
        <v>5.7149999999999999</v>
      </c>
      <c r="L105" s="47">
        <v>8.64</v>
      </c>
      <c r="M105" s="47">
        <v>4209.5126678000006</v>
      </c>
      <c r="N105" s="48">
        <v>4.020001438391245E-2</v>
      </c>
      <c r="O105" s="48">
        <v>-2.9E-4</v>
      </c>
      <c r="P105" s="28">
        <v>122.2</v>
      </c>
      <c r="Q105" s="28">
        <v>120.617</v>
      </c>
      <c r="R105" s="48">
        <v>1.3124186474543376E-2</v>
      </c>
    </row>
    <row r="106" spans="1:18" x14ac:dyDescent="0.15">
      <c r="A106" s="29">
        <v>105</v>
      </c>
      <c r="B106" s="28">
        <v>127065</v>
      </c>
      <c r="C106" s="28" t="s">
        <v>2007</v>
      </c>
      <c r="D106" s="28">
        <v>212.67</v>
      </c>
      <c r="E106" s="48">
        <v>-5.79E-2</v>
      </c>
      <c r="F106" s="28">
        <v>17.36</v>
      </c>
      <c r="G106" s="28">
        <v>177.48</v>
      </c>
      <c r="H106" s="48">
        <v>0.19829999999999998</v>
      </c>
      <c r="I106" s="45">
        <v>232.5</v>
      </c>
      <c r="J106" s="46">
        <v>46926</v>
      </c>
      <c r="K106" s="47">
        <v>5.8440000000000003</v>
      </c>
      <c r="L106" s="47">
        <v>4.3979999999999997</v>
      </c>
      <c r="M106" s="47">
        <v>73934.137971699995</v>
      </c>
      <c r="N106" s="48">
        <v>0.79046666068905025</v>
      </c>
      <c r="O106" s="48">
        <v>-9.2956999999999998E-2</v>
      </c>
      <c r="P106" s="28">
        <v>227.26499999999999</v>
      </c>
      <c r="Q106" s="28">
        <v>212.6</v>
      </c>
      <c r="R106" s="48">
        <v>6.8979303857008428E-2</v>
      </c>
    </row>
    <row r="107" spans="1:18" x14ac:dyDescent="0.15">
      <c r="A107" s="29">
        <v>106</v>
      </c>
      <c r="B107" s="28">
        <v>113600</v>
      </c>
      <c r="C107" s="28" t="s">
        <v>256</v>
      </c>
      <c r="D107" s="28">
        <v>137.30199999999999</v>
      </c>
      <c r="E107" s="48">
        <v>-4.6399999999999997E-2</v>
      </c>
      <c r="F107" s="28">
        <v>23.85</v>
      </c>
      <c r="G107" s="28">
        <v>114.51</v>
      </c>
      <c r="H107" s="48">
        <v>0.19899999999999998</v>
      </c>
      <c r="I107" s="45">
        <v>157.202</v>
      </c>
      <c r="J107" s="46">
        <v>46247</v>
      </c>
      <c r="K107" s="47">
        <v>3.984</v>
      </c>
      <c r="L107" s="47">
        <v>4.5326599999999999</v>
      </c>
      <c r="M107" s="47">
        <v>4608.3747999999996</v>
      </c>
      <c r="N107" s="48">
        <v>7.4048759318423293E-2</v>
      </c>
      <c r="O107" s="48">
        <v>-2.3663E-2</v>
      </c>
      <c r="P107" s="28">
        <v>144.154</v>
      </c>
      <c r="Q107" s="28">
        <v>136.58600000000001</v>
      </c>
      <c r="R107" s="48">
        <v>5.5408314175684058E-2</v>
      </c>
    </row>
    <row r="108" spans="1:18" x14ac:dyDescent="0.15">
      <c r="A108" s="29">
        <v>107</v>
      </c>
      <c r="B108" s="28">
        <v>123088</v>
      </c>
      <c r="C108" s="28" t="s">
        <v>219</v>
      </c>
      <c r="D108" s="28">
        <v>138.80000000000001</v>
      </c>
      <c r="E108" s="48">
        <v>-3.1400000000000004E-2</v>
      </c>
      <c r="F108" s="28">
        <v>20.68</v>
      </c>
      <c r="G108" s="28">
        <v>115.76</v>
      </c>
      <c r="H108" s="48">
        <v>0.19899999999999998</v>
      </c>
      <c r="I108" s="45">
        <v>158.70000000000002</v>
      </c>
      <c r="J108" s="46">
        <v>46371</v>
      </c>
      <c r="K108" s="47">
        <v>4.3230000000000004</v>
      </c>
      <c r="L108" s="47">
        <v>3.0112640000000002</v>
      </c>
      <c r="M108" s="47">
        <v>11205.828449799999</v>
      </c>
      <c r="N108" s="48">
        <v>0.26810546788509176</v>
      </c>
      <c r="O108" s="48">
        <v>-3.1753999999999998E-2</v>
      </c>
      <c r="P108" s="28">
        <v>144.84</v>
      </c>
      <c r="Q108" s="28">
        <v>137.9</v>
      </c>
      <c r="R108" s="48">
        <v>5.0326323422770103E-2</v>
      </c>
    </row>
    <row r="109" spans="1:18" x14ac:dyDescent="0.15">
      <c r="A109" s="29">
        <v>108</v>
      </c>
      <c r="B109" s="28">
        <v>110080</v>
      </c>
      <c r="C109" s="28" t="s">
        <v>215</v>
      </c>
      <c r="D109" s="28">
        <v>117.708</v>
      </c>
      <c r="E109" s="48">
        <v>-6.8999999999999999E-3</v>
      </c>
      <c r="F109" s="28">
        <v>5.84</v>
      </c>
      <c r="G109" s="28">
        <v>98.12</v>
      </c>
      <c r="H109" s="48">
        <v>0.1996</v>
      </c>
      <c r="I109" s="45">
        <v>137.66800000000001</v>
      </c>
      <c r="J109" s="46">
        <v>46489</v>
      </c>
      <c r="K109" s="47">
        <v>4.6470000000000002</v>
      </c>
      <c r="L109" s="47">
        <v>15.491149999999999</v>
      </c>
      <c r="M109" s="47">
        <v>4531.3706000000002</v>
      </c>
      <c r="N109" s="48">
        <v>2.4850775316770608E-2</v>
      </c>
      <c r="O109" s="48">
        <v>-5.4650000000000002E-3</v>
      </c>
      <c r="P109" s="28">
        <v>118.839</v>
      </c>
      <c r="Q109" s="28">
        <v>116.96299999999999</v>
      </c>
      <c r="R109" s="48">
        <v>1.6039260278891656E-2</v>
      </c>
    </row>
    <row r="110" spans="1:18" x14ac:dyDescent="0.15">
      <c r="A110" s="29">
        <v>109</v>
      </c>
      <c r="B110" s="28">
        <v>113631</v>
      </c>
      <c r="C110" s="28" t="s">
        <v>207</v>
      </c>
      <c r="D110" s="28">
        <v>121.07</v>
      </c>
      <c r="E110" s="48">
        <v>5.0000000000000001E-3</v>
      </c>
      <c r="F110" s="28">
        <v>7.81</v>
      </c>
      <c r="G110" s="28">
        <v>100.9</v>
      </c>
      <c r="H110" s="48">
        <v>0.19989999999999999</v>
      </c>
      <c r="I110" s="45">
        <v>141.06</v>
      </c>
      <c r="J110" s="46">
        <v>46699</v>
      </c>
      <c r="K110" s="47">
        <v>5.2220000000000004</v>
      </c>
      <c r="L110" s="47">
        <v>9.2997200000000007</v>
      </c>
      <c r="M110" s="47">
        <v>8855.8341999999993</v>
      </c>
      <c r="N110" s="48">
        <v>7.8654407121570707E-2</v>
      </c>
      <c r="O110" s="48">
        <v>-1.0784999999999999E-2</v>
      </c>
      <c r="P110" s="28">
        <v>121.29</v>
      </c>
      <c r="Q110" s="28">
        <v>119.5</v>
      </c>
      <c r="R110" s="48">
        <v>1.4979079497908002E-2</v>
      </c>
    </row>
    <row r="111" spans="1:18" x14ac:dyDescent="0.15">
      <c r="A111" s="29">
        <v>110</v>
      </c>
      <c r="B111" s="28">
        <v>127049</v>
      </c>
      <c r="C111" s="28" t="s">
        <v>1797</v>
      </c>
      <c r="D111" s="28">
        <v>128.37</v>
      </c>
      <c r="E111" s="48">
        <v>3.0999999999999999E-3</v>
      </c>
      <c r="F111" s="28">
        <v>14.45</v>
      </c>
      <c r="G111" s="28">
        <v>106.92</v>
      </c>
      <c r="H111" s="48">
        <v>0.2006</v>
      </c>
      <c r="I111" s="45">
        <v>148.43</v>
      </c>
      <c r="J111" s="46">
        <v>46693</v>
      </c>
      <c r="K111" s="47">
        <v>5.2050000000000001</v>
      </c>
      <c r="L111" s="47">
        <v>81.437252000000001</v>
      </c>
      <c r="M111" s="47">
        <v>14471.246164800001</v>
      </c>
      <c r="N111" s="48">
        <v>1.3842651314299112E-2</v>
      </c>
      <c r="O111" s="48">
        <v>-2.76E-2</v>
      </c>
      <c r="P111" s="28">
        <v>129.25800000000001</v>
      </c>
      <c r="Q111" s="28">
        <v>127.5</v>
      </c>
      <c r="R111" s="48">
        <v>1.3788235294117724E-2</v>
      </c>
    </row>
    <row r="112" spans="1:18" x14ac:dyDescent="0.15">
      <c r="A112" s="29">
        <v>111</v>
      </c>
      <c r="B112" s="28">
        <v>113570</v>
      </c>
      <c r="C112" s="28" t="s">
        <v>42</v>
      </c>
      <c r="D112" s="28">
        <v>130.93</v>
      </c>
      <c r="E112" s="48">
        <v>-2.6699999999999998E-2</v>
      </c>
      <c r="F112" s="28">
        <v>11.09</v>
      </c>
      <c r="G112" s="28">
        <v>108.93</v>
      </c>
      <c r="H112" s="48">
        <v>0.20199999999999999</v>
      </c>
      <c r="I112" s="45">
        <v>151.13</v>
      </c>
      <c r="J112" s="46">
        <v>46092</v>
      </c>
      <c r="K112" s="47">
        <v>3.5590000000000002</v>
      </c>
      <c r="L112" s="47">
        <v>2.79928</v>
      </c>
      <c r="M112" s="47">
        <v>3819.2033000000001</v>
      </c>
      <c r="N112" s="48">
        <v>0.10420469044114634</v>
      </c>
      <c r="O112" s="48">
        <v>-3.8109000000000004E-2</v>
      </c>
      <c r="P112" s="28">
        <v>134.76</v>
      </c>
      <c r="Q112" s="28">
        <v>129.55000000000001</v>
      </c>
      <c r="R112" s="48">
        <v>4.0216132767271165E-2</v>
      </c>
    </row>
    <row r="113" spans="1:18" x14ac:dyDescent="0.15">
      <c r="A113" s="29">
        <v>112</v>
      </c>
      <c r="B113" s="28">
        <v>111000</v>
      </c>
      <c r="C113" s="28" t="s">
        <v>83</v>
      </c>
      <c r="D113" s="28">
        <v>138.661</v>
      </c>
      <c r="E113" s="48">
        <v>-1.52E-2</v>
      </c>
      <c r="F113" s="28">
        <v>19.86</v>
      </c>
      <c r="G113" s="28">
        <v>115.36</v>
      </c>
      <c r="H113" s="48">
        <v>0.20199999999999999</v>
      </c>
      <c r="I113" s="45">
        <v>158.86099999999999</v>
      </c>
      <c r="J113" s="46">
        <v>46531</v>
      </c>
      <c r="K113" s="47">
        <v>4.7619999999999996</v>
      </c>
      <c r="L113" s="47">
        <v>9.9938099999999999</v>
      </c>
      <c r="M113" s="47">
        <v>6429.1761999999999</v>
      </c>
      <c r="N113" s="48">
        <v>4.63948646339142E-2</v>
      </c>
      <c r="O113" s="48">
        <v>-3.0234E-2</v>
      </c>
      <c r="P113" s="28">
        <v>140.77000000000001</v>
      </c>
      <c r="Q113" s="28">
        <v>135.21</v>
      </c>
      <c r="R113" s="48">
        <v>4.112121884476002E-2</v>
      </c>
    </row>
    <row r="114" spans="1:18" x14ac:dyDescent="0.15">
      <c r="A114" s="29">
        <v>113</v>
      </c>
      <c r="B114" s="28">
        <v>127037</v>
      </c>
      <c r="C114" s="28" t="s">
        <v>216</v>
      </c>
      <c r="D114" s="28">
        <v>174.5</v>
      </c>
      <c r="E114" s="48">
        <v>-4.3700000000000003E-2</v>
      </c>
      <c r="F114" s="28">
        <v>10.69</v>
      </c>
      <c r="G114" s="28">
        <v>145</v>
      </c>
      <c r="H114" s="48">
        <v>0.2034</v>
      </c>
      <c r="I114" s="45">
        <v>194.84</v>
      </c>
      <c r="J114" s="46">
        <v>46545</v>
      </c>
      <c r="K114" s="47">
        <v>4.8</v>
      </c>
      <c r="L114" s="47">
        <v>6.9953789999999989</v>
      </c>
      <c r="M114" s="47">
        <v>23227.447263800001</v>
      </c>
      <c r="N114" s="48">
        <v>0.19028072718906219</v>
      </c>
      <c r="O114" s="48">
        <v>-8.4792000000000006E-2</v>
      </c>
      <c r="P114" s="28">
        <v>183.45</v>
      </c>
      <c r="Q114" s="28">
        <v>170.96</v>
      </c>
      <c r="R114" s="48">
        <v>7.3058025269068669E-2</v>
      </c>
    </row>
    <row r="115" spans="1:18" x14ac:dyDescent="0.15">
      <c r="A115" s="29">
        <v>114</v>
      </c>
      <c r="B115" s="28">
        <v>113516</v>
      </c>
      <c r="C115" s="28" t="s">
        <v>1799</v>
      </c>
      <c r="D115" s="28">
        <v>119.19799999999999</v>
      </c>
      <c r="E115" s="48">
        <v>-7.1999999999999998E-3</v>
      </c>
      <c r="F115" s="28">
        <v>5.21</v>
      </c>
      <c r="G115" s="28">
        <v>99.04</v>
      </c>
      <c r="H115" s="48">
        <v>0.20350000000000001</v>
      </c>
      <c r="I115" s="45">
        <v>139.548</v>
      </c>
      <c r="J115" s="46">
        <v>45506</v>
      </c>
      <c r="K115" s="47">
        <v>1.9530000000000001</v>
      </c>
      <c r="L115" s="47">
        <v>12.88598</v>
      </c>
      <c r="M115" s="47">
        <v>3040.7186999999999</v>
      </c>
      <c r="N115" s="48">
        <v>1.9796564238119374E-2</v>
      </c>
      <c r="O115" s="48">
        <v>-3.2483999999999999E-2</v>
      </c>
      <c r="P115" s="28">
        <v>120.571</v>
      </c>
      <c r="Q115" s="28">
        <v>119</v>
      </c>
      <c r="R115" s="48">
        <v>1.320168067226889E-2</v>
      </c>
    </row>
    <row r="116" spans="1:18" x14ac:dyDescent="0.15">
      <c r="A116" s="29">
        <v>115</v>
      </c>
      <c r="B116" s="28">
        <v>128100</v>
      </c>
      <c r="C116" s="28" t="s">
        <v>48</v>
      </c>
      <c r="D116" s="28">
        <v>99.3</v>
      </c>
      <c r="E116" s="48">
        <v>-2.2000000000000001E-3</v>
      </c>
      <c r="F116" s="28">
        <v>1.6</v>
      </c>
      <c r="G116" s="28">
        <v>82.5</v>
      </c>
      <c r="H116" s="48">
        <v>0.2036</v>
      </c>
      <c r="I116" s="45">
        <v>119.66</v>
      </c>
      <c r="J116" s="46">
        <v>46093</v>
      </c>
      <c r="K116" s="47">
        <v>3.5619999999999998</v>
      </c>
      <c r="L116" s="47">
        <v>7.9816349999999998</v>
      </c>
      <c r="M116" s="47">
        <v>3095.6752499999998</v>
      </c>
      <c r="N116" s="48">
        <v>3.9058385081991005E-2</v>
      </c>
      <c r="O116" s="48">
        <v>4.6266000000000002E-2</v>
      </c>
      <c r="P116" s="28">
        <v>99.7</v>
      </c>
      <c r="Q116" s="28">
        <v>99</v>
      </c>
      <c r="R116" s="48">
        <v>7.0707070707070998E-3</v>
      </c>
    </row>
    <row r="117" spans="1:18" x14ac:dyDescent="0.15">
      <c r="A117" s="29">
        <v>116</v>
      </c>
      <c r="B117" s="28">
        <v>113648</v>
      </c>
      <c r="C117" s="28" t="s">
        <v>1842</v>
      </c>
      <c r="D117" s="28">
        <v>158.86199999999999</v>
      </c>
      <c r="E117" s="48">
        <v>1.3300000000000001E-2</v>
      </c>
      <c r="F117" s="28">
        <v>25.24</v>
      </c>
      <c r="G117" s="28">
        <v>131.85</v>
      </c>
      <c r="H117" s="48">
        <v>0.20489999999999997</v>
      </c>
      <c r="I117" s="45">
        <v>179.352</v>
      </c>
      <c r="J117" s="46">
        <v>46868</v>
      </c>
      <c r="K117" s="47">
        <v>5.6849999999999996</v>
      </c>
      <c r="L117" s="47">
        <v>10</v>
      </c>
      <c r="M117" s="47">
        <v>59529.631800000003</v>
      </c>
      <c r="N117" s="48">
        <v>0.37472543339502212</v>
      </c>
      <c r="O117" s="48">
        <v>-5.1304999999999996E-2</v>
      </c>
      <c r="P117" s="28">
        <v>164.45</v>
      </c>
      <c r="Q117" s="28">
        <v>156.13</v>
      </c>
      <c r="R117" s="48">
        <v>5.3288925895087387E-2</v>
      </c>
    </row>
    <row r="118" spans="1:18" x14ac:dyDescent="0.15">
      <c r="A118" s="29">
        <v>117</v>
      </c>
      <c r="B118" s="28">
        <v>123052</v>
      </c>
      <c r="C118" s="28" t="s">
        <v>1973</v>
      </c>
      <c r="D118" s="28">
        <v>154.239</v>
      </c>
      <c r="E118" s="48">
        <v>-2.7999999999999997E-2</v>
      </c>
      <c r="F118" s="28">
        <v>7.04</v>
      </c>
      <c r="G118" s="28">
        <v>127.84</v>
      </c>
      <c r="H118" s="48">
        <v>0.20649999999999999</v>
      </c>
      <c r="I118" s="45">
        <v>174.88900000000001</v>
      </c>
      <c r="J118" s="46">
        <v>46178</v>
      </c>
      <c r="K118" s="47">
        <v>3.7949999999999999</v>
      </c>
      <c r="L118" s="47">
        <v>1.5036590000000001</v>
      </c>
      <c r="M118" s="47">
        <v>11008.8766856</v>
      </c>
      <c r="N118" s="48">
        <v>0.47467837632817272</v>
      </c>
      <c r="O118" s="48">
        <v>-5.2983000000000002E-2</v>
      </c>
      <c r="P118" s="28">
        <v>159.65</v>
      </c>
      <c r="Q118" s="28">
        <v>150.98599999999999</v>
      </c>
      <c r="R118" s="48">
        <v>5.7382803703654749E-2</v>
      </c>
    </row>
    <row r="119" spans="1:18" x14ac:dyDescent="0.15">
      <c r="A119" s="29">
        <v>118</v>
      </c>
      <c r="B119" s="28">
        <v>123071</v>
      </c>
      <c r="C119" s="28" t="s">
        <v>1952</v>
      </c>
      <c r="D119" s="28">
        <v>186.58</v>
      </c>
      <c r="E119" s="48">
        <v>-3.9699999999999999E-2</v>
      </c>
      <c r="F119" s="28">
        <v>7.76</v>
      </c>
      <c r="G119" s="28">
        <v>154.63999999999999</v>
      </c>
      <c r="H119" s="48">
        <v>0.20649999999999999</v>
      </c>
      <c r="I119" s="45">
        <v>207.23000000000002</v>
      </c>
      <c r="J119" s="46">
        <v>46316</v>
      </c>
      <c r="K119" s="47">
        <v>4.173</v>
      </c>
      <c r="L119" s="47">
        <v>6.9418110000000004</v>
      </c>
      <c r="M119" s="47">
        <v>24317.371568999999</v>
      </c>
      <c r="N119" s="48">
        <v>0.18774948606103017</v>
      </c>
      <c r="O119" s="48">
        <v>-0.10092499999999999</v>
      </c>
      <c r="P119" s="28">
        <v>194.45</v>
      </c>
      <c r="Q119" s="28">
        <v>185.22</v>
      </c>
      <c r="R119" s="48">
        <v>4.9832631465284473E-2</v>
      </c>
    </row>
    <row r="120" spans="1:18" x14ac:dyDescent="0.15">
      <c r="A120" s="29">
        <v>119</v>
      </c>
      <c r="B120" s="28">
        <v>123046</v>
      </c>
      <c r="C120" s="28" t="s">
        <v>1970</v>
      </c>
      <c r="D120" s="28">
        <v>387.995</v>
      </c>
      <c r="E120" s="48">
        <v>-2.76E-2</v>
      </c>
      <c r="F120" s="28">
        <v>3.94</v>
      </c>
      <c r="G120" s="28">
        <v>321.32</v>
      </c>
      <c r="H120" s="48">
        <v>0.20749999999999999</v>
      </c>
      <c r="I120" s="45">
        <v>408.745</v>
      </c>
      <c r="J120" s="46">
        <v>46100</v>
      </c>
      <c r="K120" s="47">
        <v>3.581</v>
      </c>
      <c r="L120" s="47">
        <v>0.58530099999999996</v>
      </c>
      <c r="M120" s="47">
        <v>10992.203165000001</v>
      </c>
      <c r="N120" s="48">
        <v>0.48403788163345052</v>
      </c>
      <c r="O120" s="48">
        <v>-0.28793299999999999</v>
      </c>
      <c r="P120" s="28">
        <v>402.44600000000003</v>
      </c>
      <c r="Q120" s="28">
        <v>387.2</v>
      </c>
      <c r="R120" s="48">
        <v>3.9375000000000097E-2</v>
      </c>
    </row>
    <row r="121" spans="1:18" x14ac:dyDescent="0.15">
      <c r="A121" s="29">
        <v>120</v>
      </c>
      <c r="B121" s="28">
        <v>113634</v>
      </c>
      <c r="C121" s="28" t="s">
        <v>233</v>
      </c>
      <c r="D121" s="28">
        <v>141.91999999999999</v>
      </c>
      <c r="E121" s="48">
        <v>-1.67E-2</v>
      </c>
      <c r="F121" s="28">
        <v>139.37</v>
      </c>
      <c r="G121" s="28">
        <v>117.46</v>
      </c>
      <c r="H121" s="48">
        <v>0.2082</v>
      </c>
      <c r="I121" s="45">
        <v>162.73999999999998</v>
      </c>
      <c r="J121" s="46">
        <v>46729</v>
      </c>
      <c r="K121" s="47">
        <v>5.3040000000000003</v>
      </c>
      <c r="L121" s="47">
        <v>7.5131399999999999</v>
      </c>
      <c r="M121" s="47">
        <v>3228.1242999999999</v>
      </c>
      <c r="N121" s="48">
        <v>3.0275070627932166E-2</v>
      </c>
      <c r="O121" s="48">
        <v>-3.1494000000000001E-2</v>
      </c>
      <c r="P121" s="28">
        <v>144.71899999999999</v>
      </c>
      <c r="Q121" s="28">
        <v>140.065</v>
      </c>
      <c r="R121" s="48">
        <v>3.3227430121729171E-2</v>
      </c>
    </row>
    <row r="122" spans="1:18" x14ac:dyDescent="0.15">
      <c r="A122" s="29">
        <v>121</v>
      </c>
      <c r="B122" s="28">
        <v>110038</v>
      </c>
      <c r="C122" s="28" t="s">
        <v>100</v>
      </c>
      <c r="D122" s="28">
        <v>130.649</v>
      </c>
      <c r="E122" s="48">
        <v>-2.07E-2</v>
      </c>
      <c r="F122" s="28">
        <v>22.72</v>
      </c>
      <c r="G122" s="28">
        <v>108.01</v>
      </c>
      <c r="H122" s="48">
        <v>0.20960000000000001</v>
      </c>
      <c r="I122" s="45">
        <v>151.60900000000001</v>
      </c>
      <c r="J122" s="46">
        <v>44878</v>
      </c>
      <c r="K122" s="47">
        <v>0.23300000000000001</v>
      </c>
      <c r="L122" s="47">
        <v>6.3014200000000002</v>
      </c>
      <c r="M122" s="47">
        <v>1614.3245999999999</v>
      </c>
      <c r="N122" s="48">
        <v>1.9608589187960272E-2</v>
      </c>
      <c r="O122" s="48">
        <v>-0.588256</v>
      </c>
      <c r="P122" s="28">
        <v>133.6</v>
      </c>
      <c r="Q122" s="28">
        <v>129.999</v>
      </c>
      <c r="R122" s="48">
        <v>2.7700213078562137E-2</v>
      </c>
    </row>
    <row r="123" spans="1:18" x14ac:dyDescent="0.15">
      <c r="A123" s="29">
        <v>122</v>
      </c>
      <c r="B123" s="28">
        <v>113640</v>
      </c>
      <c r="C123" s="28" t="s">
        <v>765</v>
      </c>
      <c r="D123" s="28">
        <v>129.22</v>
      </c>
      <c r="E123" s="48">
        <v>-1.72E-2</v>
      </c>
      <c r="F123" s="28">
        <v>19.71</v>
      </c>
      <c r="G123" s="28">
        <v>106.8</v>
      </c>
      <c r="H123" s="48">
        <v>0.20989999999999998</v>
      </c>
      <c r="I123" s="45">
        <v>150.21</v>
      </c>
      <c r="J123" s="46">
        <v>46799</v>
      </c>
      <c r="K123" s="47">
        <v>5.4960000000000004</v>
      </c>
      <c r="L123" s="47">
        <v>9.5721100000000003</v>
      </c>
      <c r="M123" s="47">
        <v>3889.5052999999998</v>
      </c>
      <c r="N123" s="48">
        <v>3.1445387446487526E-2</v>
      </c>
      <c r="O123" s="48">
        <v>-1.2861000000000001E-2</v>
      </c>
      <c r="P123" s="28">
        <v>131.88999999999999</v>
      </c>
      <c r="Q123" s="28">
        <v>128.66200000000001</v>
      </c>
      <c r="R123" s="48">
        <v>2.5088992865026038E-2</v>
      </c>
    </row>
    <row r="124" spans="1:18" x14ac:dyDescent="0.15">
      <c r="A124" s="29">
        <v>123</v>
      </c>
      <c r="B124" s="28">
        <v>128022</v>
      </c>
      <c r="C124" s="28" t="s">
        <v>148</v>
      </c>
      <c r="D124" s="28">
        <v>129.19999999999999</v>
      </c>
      <c r="E124" s="48">
        <v>-7.7000000000000002E-3</v>
      </c>
      <c r="F124" s="28">
        <v>5.95</v>
      </c>
      <c r="G124" s="28">
        <v>106.55</v>
      </c>
      <c r="H124" s="48">
        <v>0.21260000000000001</v>
      </c>
      <c r="I124" s="45">
        <v>150.45999999999998</v>
      </c>
      <c r="J124" s="46">
        <v>45261</v>
      </c>
      <c r="K124" s="47">
        <v>1.282</v>
      </c>
      <c r="L124" s="47">
        <v>4.5499499999999999</v>
      </c>
      <c r="M124" s="47">
        <v>5304.4454009999999</v>
      </c>
      <c r="N124" s="48">
        <v>9.0234132144547452E-2</v>
      </c>
      <c r="O124" s="48">
        <v>-0.134598</v>
      </c>
      <c r="P124" s="28">
        <v>130.559</v>
      </c>
      <c r="Q124" s="28">
        <v>127.752</v>
      </c>
      <c r="R124" s="48">
        <v>2.1972258751330721E-2</v>
      </c>
    </row>
    <row r="125" spans="1:18" x14ac:dyDescent="0.15">
      <c r="A125" s="29">
        <v>124</v>
      </c>
      <c r="B125" s="28">
        <v>123103</v>
      </c>
      <c r="C125" s="28" t="s">
        <v>799</v>
      </c>
      <c r="D125" s="28">
        <v>151.5</v>
      </c>
      <c r="E125" s="48">
        <v>-4.7199999999999999E-2</v>
      </c>
      <c r="F125" s="28">
        <v>47.33</v>
      </c>
      <c r="G125" s="28">
        <v>124.4</v>
      </c>
      <c r="H125" s="48">
        <v>0.21780000000000002</v>
      </c>
      <c r="I125" s="45">
        <v>173.28</v>
      </c>
      <c r="J125" s="46">
        <v>46458</v>
      </c>
      <c r="K125" s="47">
        <v>4.5620000000000003</v>
      </c>
      <c r="L125" s="47">
        <v>2.494453</v>
      </c>
      <c r="M125" s="47">
        <v>6871.599469499999</v>
      </c>
      <c r="N125" s="48">
        <v>0.18183181726783704</v>
      </c>
      <c r="O125" s="48">
        <v>-4.9227999999999994E-2</v>
      </c>
      <c r="P125" s="28">
        <v>159.80000000000001</v>
      </c>
      <c r="Q125" s="28">
        <v>151.20500000000001</v>
      </c>
      <c r="R125" s="48">
        <v>5.6843358354551753E-2</v>
      </c>
    </row>
    <row r="126" spans="1:18" x14ac:dyDescent="0.15">
      <c r="A126" s="29">
        <v>125</v>
      </c>
      <c r="B126" s="28">
        <v>113549</v>
      </c>
      <c r="C126" s="28" t="s">
        <v>98</v>
      </c>
      <c r="D126" s="28">
        <v>126.777</v>
      </c>
      <c r="E126" s="48">
        <v>-1.72E-2</v>
      </c>
      <c r="F126" s="28">
        <v>9.02</v>
      </c>
      <c r="G126" s="28">
        <v>103.99</v>
      </c>
      <c r="H126" s="48">
        <v>0.21909999999999999</v>
      </c>
      <c r="I126" s="45">
        <v>148.68700000000001</v>
      </c>
      <c r="J126" s="46">
        <v>45976</v>
      </c>
      <c r="K126" s="47">
        <v>3.2410000000000001</v>
      </c>
      <c r="L126" s="47">
        <v>8.0470299999999995</v>
      </c>
      <c r="M126" s="47">
        <v>10084.738799999999</v>
      </c>
      <c r="N126" s="48">
        <v>9.8852706232426354E-2</v>
      </c>
      <c r="O126" s="48">
        <v>-3.2076E-2</v>
      </c>
      <c r="P126" s="28">
        <v>130.03</v>
      </c>
      <c r="Q126" s="28">
        <v>125</v>
      </c>
      <c r="R126" s="48">
        <v>4.0240000000000012E-2</v>
      </c>
    </row>
    <row r="127" spans="1:18" x14ac:dyDescent="0.15">
      <c r="A127" s="29">
        <v>126</v>
      </c>
      <c r="B127" s="28">
        <v>113033</v>
      </c>
      <c r="C127" s="28" t="s">
        <v>89</v>
      </c>
      <c r="D127" s="28">
        <v>109.26600000000001</v>
      </c>
      <c r="E127" s="48">
        <v>-1.9E-3</v>
      </c>
      <c r="F127" s="28">
        <v>6.9</v>
      </c>
      <c r="G127" s="28">
        <v>89.57</v>
      </c>
      <c r="H127" s="48">
        <v>0.21989999999999998</v>
      </c>
      <c r="I127" s="45">
        <v>131.256</v>
      </c>
      <c r="J127" s="46">
        <v>46113</v>
      </c>
      <c r="K127" s="47">
        <v>3.6160000000000001</v>
      </c>
      <c r="L127" s="47">
        <v>17.997959999999999</v>
      </c>
      <c r="M127" s="47">
        <v>4483.4066000000003</v>
      </c>
      <c r="N127" s="48">
        <v>2.2798160132195544E-2</v>
      </c>
      <c r="O127" s="48">
        <v>1.2768999999999999E-2</v>
      </c>
      <c r="P127" s="28">
        <v>109.6</v>
      </c>
      <c r="Q127" s="28">
        <v>108.3</v>
      </c>
      <c r="R127" s="48">
        <v>1.2003693444136631E-2</v>
      </c>
    </row>
    <row r="128" spans="1:18" x14ac:dyDescent="0.15">
      <c r="A128" s="29">
        <v>127</v>
      </c>
      <c r="B128" s="28">
        <v>127020</v>
      </c>
      <c r="C128" s="28" t="s">
        <v>1802</v>
      </c>
      <c r="D128" s="28">
        <v>119.22</v>
      </c>
      <c r="E128" s="48">
        <v>-7.7000000000000002E-3</v>
      </c>
      <c r="F128" s="28">
        <v>4.54</v>
      </c>
      <c r="G128" s="28">
        <v>97.58</v>
      </c>
      <c r="H128" s="48">
        <v>0.2218</v>
      </c>
      <c r="I128" s="45">
        <v>141.4</v>
      </c>
      <c r="J128" s="46">
        <v>46223</v>
      </c>
      <c r="K128" s="47">
        <v>3.9180000000000001</v>
      </c>
      <c r="L128" s="47">
        <v>30.227927000000001</v>
      </c>
      <c r="M128" s="47">
        <v>4949.0049748000001</v>
      </c>
      <c r="N128" s="48">
        <v>1.3732841517186404E-2</v>
      </c>
      <c r="O128" s="48">
        <v>-1.3509999999999999E-2</v>
      </c>
      <c r="P128" s="28">
        <v>120.23399999999999</v>
      </c>
      <c r="Q128" s="28">
        <v>117.97199999999999</v>
      </c>
      <c r="R128" s="48">
        <v>1.9174041297935106E-2</v>
      </c>
    </row>
    <row r="129" spans="1:18" x14ac:dyDescent="0.15">
      <c r="A129" s="29">
        <v>128</v>
      </c>
      <c r="B129" s="28">
        <v>127059</v>
      </c>
      <c r="C129" s="28" t="s">
        <v>1857</v>
      </c>
      <c r="D129" s="28">
        <v>160.5</v>
      </c>
      <c r="E129" s="48">
        <v>-3.0499999999999999E-2</v>
      </c>
      <c r="F129" s="28">
        <v>8.65</v>
      </c>
      <c r="G129" s="28">
        <v>130.87</v>
      </c>
      <c r="H129" s="48">
        <v>0.22640000000000002</v>
      </c>
      <c r="I129" s="45">
        <v>183.14</v>
      </c>
      <c r="J129" s="46">
        <v>46851</v>
      </c>
      <c r="K129" s="47">
        <v>5.6379999999999999</v>
      </c>
      <c r="L129" s="47">
        <v>3.8</v>
      </c>
      <c r="M129" s="47">
        <v>5521.955258</v>
      </c>
      <c r="N129" s="48">
        <v>9.0538699098212827E-2</v>
      </c>
      <c r="O129" s="48">
        <v>-5.0378999999999993E-2</v>
      </c>
      <c r="P129" s="28">
        <v>166.5</v>
      </c>
      <c r="Q129" s="28">
        <v>159.50200000000001</v>
      </c>
      <c r="R129" s="48">
        <v>4.3874058005542185E-2</v>
      </c>
    </row>
    <row r="130" spans="1:18" x14ac:dyDescent="0.15">
      <c r="A130" s="29">
        <v>129</v>
      </c>
      <c r="B130" s="28">
        <v>113505</v>
      </c>
      <c r="C130" s="28" t="s">
        <v>223</v>
      </c>
      <c r="D130" s="28">
        <v>122.78100000000001</v>
      </c>
      <c r="E130" s="48">
        <v>-9.300000000000001E-3</v>
      </c>
      <c r="F130" s="28">
        <v>7.03</v>
      </c>
      <c r="G130" s="28">
        <v>100</v>
      </c>
      <c r="H130" s="48">
        <v>0.2278</v>
      </c>
      <c r="I130" s="45">
        <v>145.56100000000001</v>
      </c>
      <c r="J130" s="46">
        <v>45357</v>
      </c>
      <c r="K130" s="47">
        <v>1.5449999999999999</v>
      </c>
      <c r="L130" s="47">
        <v>7.4973799999999997</v>
      </c>
      <c r="M130" s="47">
        <v>4716.9883</v>
      </c>
      <c r="N130" s="48">
        <v>5.1241768428656909E-2</v>
      </c>
      <c r="O130" s="48">
        <v>-7.0337999999999998E-2</v>
      </c>
      <c r="P130" s="28">
        <v>124.3</v>
      </c>
      <c r="Q130" s="28">
        <v>121.331</v>
      </c>
      <c r="R130" s="48">
        <v>2.4470250801526355E-2</v>
      </c>
    </row>
    <row r="131" spans="1:18" x14ac:dyDescent="0.15">
      <c r="A131" s="29">
        <v>130</v>
      </c>
      <c r="B131" s="28">
        <v>127014</v>
      </c>
      <c r="C131" s="28" t="s">
        <v>214</v>
      </c>
      <c r="D131" s="28">
        <v>163.9</v>
      </c>
      <c r="E131" s="48">
        <v>0.13819999999999999</v>
      </c>
      <c r="F131" s="28">
        <v>7.8</v>
      </c>
      <c r="G131" s="28">
        <v>133.33000000000001</v>
      </c>
      <c r="H131" s="48">
        <v>0.2293</v>
      </c>
      <c r="I131" s="45">
        <v>186.83</v>
      </c>
      <c r="J131" s="46">
        <v>45954</v>
      </c>
      <c r="K131" s="47">
        <v>3.181</v>
      </c>
      <c r="L131" s="47">
        <v>5.3442860000000003</v>
      </c>
      <c r="M131" s="47">
        <v>261393.60840040003</v>
      </c>
      <c r="N131" s="48">
        <v>2.9841889576775369</v>
      </c>
      <c r="O131" s="48">
        <v>-0.10900700000000001</v>
      </c>
      <c r="P131" s="28">
        <v>171.89</v>
      </c>
      <c r="Q131" s="28">
        <v>145.9</v>
      </c>
      <c r="R131" s="48">
        <v>0.17813570938999301</v>
      </c>
    </row>
    <row r="132" spans="1:18" x14ac:dyDescent="0.15">
      <c r="A132" s="29">
        <v>131</v>
      </c>
      <c r="B132" s="28">
        <v>110048</v>
      </c>
      <c r="C132" s="28" t="s">
        <v>1962</v>
      </c>
      <c r="D132" s="28">
        <v>201.10900000000001</v>
      </c>
      <c r="E132" s="48">
        <v>2.0299999999999999E-2</v>
      </c>
      <c r="F132" s="28">
        <v>7.64</v>
      </c>
      <c r="G132" s="28">
        <v>163.47999999999999</v>
      </c>
      <c r="H132" s="48">
        <v>0.23019999999999999</v>
      </c>
      <c r="I132" s="45">
        <v>224.12900000000002</v>
      </c>
      <c r="J132" s="46">
        <v>45633</v>
      </c>
      <c r="K132" s="47">
        <v>2.3010000000000002</v>
      </c>
      <c r="L132" s="47">
        <v>12.76177</v>
      </c>
      <c r="M132" s="47">
        <v>32574.143899999999</v>
      </c>
      <c r="N132" s="48">
        <v>0.12692015412860935</v>
      </c>
      <c r="O132" s="48">
        <v>-0.22648700000000002</v>
      </c>
      <c r="P132" s="28">
        <v>203</v>
      </c>
      <c r="Q132" s="28">
        <v>188.1</v>
      </c>
      <c r="R132" s="48">
        <v>7.9213184476342402E-2</v>
      </c>
    </row>
    <row r="133" spans="1:18" x14ac:dyDescent="0.15">
      <c r="A133" s="29">
        <v>132</v>
      </c>
      <c r="B133" s="28">
        <v>123060</v>
      </c>
      <c r="C133" s="28" t="s">
        <v>1956</v>
      </c>
      <c r="D133" s="28">
        <v>240.3</v>
      </c>
      <c r="E133" s="48">
        <v>-2.3199999999999998E-2</v>
      </c>
      <c r="F133" s="28">
        <v>14.54</v>
      </c>
      <c r="G133" s="28">
        <v>195.25</v>
      </c>
      <c r="H133" s="48">
        <v>0.23070000000000002</v>
      </c>
      <c r="I133" s="45">
        <v>263.37</v>
      </c>
      <c r="J133" s="46">
        <v>46224</v>
      </c>
      <c r="K133" s="47">
        <v>3.9209999999999998</v>
      </c>
      <c r="L133" s="47">
        <v>3.096285</v>
      </c>
      <c r="M133" s="47">
        <v>15726.299236500001</v>
      </c>
      <c r="N133" s="48">
        <v>0.21136439722818165</v>
      </c>
      <c r="O133" s="48">
        <v>-0.17077700000000001</v>
      </c>
      <c r="P133" s="28">
        <v>246.6</v>
      </c>
      <c r="Q133" s="28">
        <v>231.97499999999999</v>
      </c>
      <c r="R133" s="48">
        <v>6.3045586808923373E-2</v>
      </c>
    </row>
    <row r="134" spans="1:18" x14ac:dyDescent="0.15">
      <c r="A134" s="29">
        <v>133</v>
      </c>
      <c r="B134" s="28">
        <v>128066</v>
      </c>
      <c r="C134" s="28" t="s">
        <v>97</v>
      </c>
      <c r="D134" s="28">
        <v>118.78</v>
      </c>
      <c r="E134" s="48">
        <v>-8.8999999999999999E-3</v>
      </c>
      <c r="F134" s="28">
        <v>8.77</v>
      </c>
      <c r="G134" s="28">
        <v>96.35</v>
      </c>
      <c r="H134" s="48">
        <v>0.23280000000000001</v>
      </c>
      <c r="I134" s="45">
        <v>142.06</v>
      </c>
      <c r="J134" s="46">
        <v>45764</v>
      </c>
      <c r="K134" s="47">
        <v>2.66</v>
      </c>
      <c r="L134" s="47">
        <v>4.6105619999999998</v>
      </c>
      <c r="M134" s="47">
        <v>2816.9922103999997</v>
      </c>
      <c r="N134" s="48">
        <v>5.1438519303746669E-2</v>
      </c>
      <c r="O134" s="48">
        <v>-1.0631E-2</v>
      </c>
      <c r="P134" s="28">
        <v>120</v>
      </c>
      <c r="Q134" s="28">
        <v>117.961</v>
      </c>
      <c r="R134" s="48">
        <v>1.7285373979535622E-2</v>
      </c>
    </row>
    <row r="135" spans="1:18" x14ac:dyDescent="0.15">
      <c r="A135" s="29">
        <v>134</v>
      </c>
      <c r="B135" s="28">
        <v>128090</v>
      </c>
      <c r="C135" s="28" t="s">
        <v>118</v>
      </c>
      <c r="D135" s="28">
        <v>135</v>
      </c>
      <c r="E135" s="48">
        <v>-3.6699999999999997E-2</v>
      </c>
      <c r="F135" s="28">
        <v>4.2300000000000004</v>
      </c>
      <c r="G135" s="28">
        <v>109.46</v>
      </c>
      <c r="H135" s="48">
        <v>0.23329999999999998</v>
      </c>
      <c r="I135" s="45">
        <v>158.32999999999998</v>
      </c>
      <c r="J135" s="46">
        <v>46018</v>
      </c>
      <c r="K135" s="47">
        <v>3.3559999999999999</v>
      </c>
      <c r="L135" s="47">
        <v>3.0989100000000001</v>
      </c>
      <c r="M135" s="47">
        <v>9613.1493040000005</v>
      </c>
      <c r="N135" s="48">
        <v>0.22978567742516873</v>
      </c>
      <c r="O135" s="48">
        <v>-4.9273999999999998E-2</v>
      </c>
      <c r="P135" s="28">
        <v>140.15</v>
      </c>
      <c r="Q135" s="28">
        <v>134.70099999999999</v>
      </c>
      <c r="R135" s="48">
        <v>4.0452557887469376E-2</v>
      </c>
    </row>
    <row r="136" spans="1:18" x14ac:dyDescent="0.15">
      <c r="A136" s="29">
        <v>135</v>
      </c>
      <c r="B136" s="28">
        <v>113048</v>
      </c>
      <c r="C136" s="28" t="s">
        <v>1809</v>
      </c>
      <c r="D136" s="28">
        <v>137.773</v>
      </c>
      <c r="E136" s="48">
        <v>6.3E-3</v>
      </c>
      <c r="F136" s="28">
        <v>5.45</v>
      </c>
      <c r="G136" s="28">
        <v>111.56</v>
      </c>
      <c r="H136" s="48">
        <v>0.23499999999999999</v>
      </c>
      <c r="I136" s="45">
        <v>161.273</v>
      </c>
      <c r="J136" s="46">
        <v>46500</v>
      </c>
      <c r="K136" s="47">
        <v>4.6769999999999996</v>
      </c>
      <c r="L136" s="47">
        <v>22.963509999999999</v>
      </c>
      <c r="M136" s="47">
        <v>78579.036600000007</v>
      </c>
      <c r="N136" s="48">
        <v>0.24837296022082705</v>
      </c>
      <c r="O136" s="48">
        <v>-3.5270999999999997E-2</v>
      </c>
      <c r="P136" s="28">
        <v>141.5</v>
      </c>
      <c r="Q136" s="28">
        <v>132.12799999999999</v>
      </c>
      <c r="R136" s="48">
        <v>7.0931218212642394E-2</v>
      </c>
    </row>
    <row r="137" spans="1:18" x14ac:dyDescent="0.15">
      <c r="A137" s="29">
        <v>136</v>
      </c>
      <c r="B137" s="28">
        <v>128101</v>
      </c>
      <c r="C137" s="28" t="s">
        <v>2013</v>
      </c>
      <c r="D137" s="28">
        <v>163.18600000000001</v>
      </c>
      <c r="E137" s="48">
        <v>-5.67E-2</v>
      </c>
      <c r="F137" s="28">
        <v>13.71</v>
      </c>
      <c r="G137" s="28">
        <v>132.09</v>
      </c>
      <c r="H137" s="48">
        <v>0.2354</v>
      </c>
      <c r="I137" s="45">
        <v>186.726</v>
      </c>
      <c r="J137" s="46">
        <v>46097</v>
      </c>
      <c r="K137" s="47">
        <v>3.573</v>
      </c>
      <c r="L137" s="47">
        <v>2.9929809999999999</v>
      </c>
      <c r="M137" s="47">
        <v>43518.245677499996</v>
      </c>
      <c r="N137" s="48">
        <v>0.89101398905931051</v>
      </c>
      <c r="O137" s="48">
        <v>-9.636900000000001E-2</v>
      </c>
      <c r="P137" s="28">
        <v>178.178</v>
      </c>
      <c r="Q137" s="28">
        <v>161.80000000000001</v>
      </c>
      <c r="R137" s="48">
        <v>0.10122373300370818</v>
      </c>
    </row>
    <row r="138" spans="1:18" x14ac:dyDescent="0.15">
      <c r="A138" s="29">
        <v>137</v>
      </c>
      <c r="B138" s="28">
        <v>123114</v>
      </c>
      <c r="C138" s="28" t="s">
        <v>1950</v>
      </c>
      <c r="D138" s="28">
        <v>160.61500000000001</v>
      </c>
      <c r="E138" s="48">
        <v>-5.91E-2</v>
      </c>
      <c r="F138" s="28">
        <v>31.66</v>
      </c>
      <c r="G138" s="28">
        <v>129.82</v>
      </c>
      <c r="H138" s="48">
        <v>0.23719999999999999</v>
      </c>
      <c r="I138" s="45">
        <v>184.33500000000001</v>
      </c>
      <c r="J138" s="46">
        <v>46532</v>
      </c>
      <c r="K138" s="47">
        <v>4.7640000000000002</v>
      </c>
      <c r="L138" s="47">
        <v>9.0082140000000006</v>
      </c>
      <c r="M138" s="47">
        <v>11470.037816599999</v>
      </c>
      <c r="N138" s="48">
        <v>7.9275694056494178E-2</v>
      </c>
      <c r="O138" s="48">
        <v>-5.9351000000000001E-2</v>
      </c>
      <c r="P138" s="28">
        <v>171.55600000000001</v>
      </c>
      <c r="Q138" s="28">
        <v>159.22999999999999</v>
      </c>
      <c r="R138" s="48">
        <v>7.7410035797274526E-2</v>
      </c>
    </row>
    <row r="139" spans="1:18" x14ac:dyDescent="0.15">
      <c r="A139" s="29">
        <v>138</v>
      </c>
      <c r="B139" s="28">
        <v>113011</v>
      </c>
      <c r="C139" s="28" t="s">
        <v>1791</v>
      </c>
      <c r="D139" s="28">
        <v>105.143</v>
      </c>
      <c r="E139" s="48">
        <v>-1E-4</v>
      </c>
      <c r="F139" s="28">
        <v>3.35</v>
      </c>
      <c r="G139" s="28">
        <v>84.78</v>
      </c>
      <c r="H139" s="48">
        <v>0.2402</v>
      </c>
      <c r="I139" s="45">
        <v>129.16300000000001</v>
      </c>
      <c r="J139" s="46">
        <v>45002</v>
      </c>
      <c r="K139" s="47">
        <v>0.57299999999999995</v>
      </c>
      <c r="L139" s="47">
        <v>241.98838000000001</v>
      </c>
      <c r="M139" s="47">
        <v>14294.0612</v>
      </c>
      <c r="N139" s="48">
        <v>5.6179873974707487E-3</v>
      </c>
      <c r="O139" s="48">
        <v>-2.3630000000000001E-3</v>
      </c>
      <c r="P139" s="28">
        <v>105.3</v>
      </c>
      <c r="Q139" s="28">
        <v>105.12</v>
      </c>
      <c r="R139" s="48">
        <v>1.7123287671232173E-3</v>
      </c>
    </row>
    <row r="140" spans="1:18" x14ac:dyDescent="0.15">
      <c r="A140" s="29">
        <v>139</v>
      </c>
      <c r="B140" s="28">
        <v>110060</v>
      </c>
      <c r="C140" s="28" t="s">
        <v>199</v>
      </c>
      <c r="D140" s="28">
        <v>123.621</v>
      </c>
      <c r="E140" s="48">
        <v>-6.4000000000000003E-3</v>
      </c>
      <c r="F140" s="28">
        <v>5.42</v>
      </c>
      <c r="G140" s="28">
        <v>99.63</v>
      </c>
      <c r="H140" s="48">
        <v>0.24079999999999999</v>
      </c>
      <c r="I140" s="45">
        <v>147.70099999999999</v>
      </c>
      <c r="J140" s="46">
        <v>45958</v>
      </c>
      <c r="K140" s="47">
        <v>3.1920000000000002</v>
      </c>
      <c r="L140" s="47">
        <v>7.0625099999999996</v>
      </c>
      <c r="M140" s="47">
        <v>3567.2195000000002</v>
      </c>
      <c r="N140" s="48">
        <v>4.0858131820137228E-2</v>
      </c>
      <c r="O140" s="48">
        <v>-2.4750999999999999E-2</v>
      </c>
      <c r="P140" s="28">
        <v>124.983</v>
      </c>
      <c r="Q140" s="28">
        <v>121.88</v>
      </c>
      <c r="R140" s="48">
        <v>2.5459468329504503E-2</v>
      </c>
    </row>
    <row r="141" spans="1:18" x14ac:dyDescent="0.15">
      <c r="A141" s="29">
        <v>140</v>
      </c>
      <c r="B141" s="28">
        <v>113055</v>
      </c>
      <c r="C141" s="28" t="s">
        <v>1786</v>
      </c>
      <c r="D141" s="28">
        <v>127.673</v>
      </c>
      <c r="E141" s="48">
        <v>4.3E-3</v>
      </c>
      <c r="F141" s="28">
        <v>13.9</v>
      </c>
      <c r="G141" s="28">
        <v>102.45</v>
      </c>
      <c r="H141" s="48">
        <v>0.2462</v>
      </c>
      <c r="I141" s="45">
        <v>152.29300000000001</v>
      </c>
      <c r="J141" s="46">
        <v>46815</v>
      </c>
      <c r="K141" s="47">
        <v>5.54</v>
      </c>
      <c r="L141" s="47">
        <v>80</v>
      </c>
      <c r="M141" s="47">
        <v>10837.3442</v>
      </c>
      <c r="N141" s="48">
        <v>1.0610450330140278E-2</v>
      </c>
      <c r="O141" s="48">
        <v>-2.4956999999999997E-2</v>
      </c>
      <c r="P141" s="28">
        <v>128</v>
      </c>
      <c r="Q141" s="28">
        <v>126.3</v>
      </c>
      <c r="R141" s="48">
        <v>1.3460015835312771E-2</v>
      </c>
    </row>
    <row r="142" spans="1:18" x14ac:dyDescent="0.15">
      <c r="A142" s="29">
        <v>141</v>
      </c>
      <c r="B142" s="28">
        <v>113060</v>
      </c>
      <c r="C142" s="28" t="s">
        <v>2005</v>
      </c>
      <c r="D142" s="28">
        <v>131.99</v>
      </c>
      <c r="E142" s="48">
        <v>-8.8000000000000005E-3</v>
      </c>
      <c r="F142" s="28">
        <v>10.49</v>
      </c>
      <c r="G142" s="28">
        <v>105.91</v>
      </c>
      <c r="H142" s="48">
        <v>0.2462</v>
      </c>
      <c r="I142" s="45">
        <v>156.61000000000001</v>
      </c>
      <c r="J142" s="46">
        <v>46918</v>
      </c>
      <c r="K142" s="47">
        <v>5.8220000000000001</v>
      </c>
      <c r="L142" s="47">
        <v>70</v>
      </c>
      <c r="M142" s="47">
        <v>12812.8395</v>
      </c>
      <c r="N142" s="48">
        <v>1.3867760003463465E-2</v>
      </c>
      <c r="O142" s="48">
        <v>-3.1627000000000002E-2</v>
      </c>
      <c r="P142" s="28">
        <v>135.13999999999999</v>
      </c>
      <c r="Q142" s="28">
        <v>131.80000000000001</v>
      </c>
      <c r="R142" s="48">
        <v>2.534142640364169E-2</v>
      </c>
    </row>
    <row r="143" spans="1:18" x14ac:dyDescent="0.15">
      <c r="A143" s="29">
        <v>142</v>
      </c>
      <c r="B143" s="28">
        <v>110056</v>
      </c>
      <c r="C143" s="28" t="s">
        <v>1839</v>
      </c>
      <c r="D143" s="28">
        <v>146.33000000000001</v>
      </c>
      <c r="E143" s="48">
        <v>-4.2199999999999994E-2</v>
      </c>
      <c r="F143" s="28">
        <v>14.88</v>
      </c>
      <c r="G143" s="28">
        <v>117.41</v>
      </c>
      <c r="H143" s="48">
        <v>0.24629999999999999</v>
      </c>
      <c r="I143" s="45">
        <v>170.96</v>
      </c>
      <c r="J143" s="46">
        <v>45735</v>
      </c>
      <c r="K143" s="47">
        <v>2.581</v>
      </c>
      <c r="L143" s="47">
        <v>17.100809999999999</v>
      </c>
      <c r="M143" s="47">
        <v>14494.6358</v>
      </c>
      <c r="N143" s="48">
        <v>5.7923827719807669E-2</v>
      </c>
      <c r="O143" s="48">
        <v>-9.5656999999999992E-2</v>
      </c>
      <c r="P143" s="28">
        <v>152.5</v>
      </c>
      <c r="Q143" s="28">
        <v>145.68100000000001</v>
      </c>
      <c r="R143" s="48">
        <v>4.6807751182377851E-2</v>
      </c>
    </row>
    <row r="144" spans="1:18" x14ac:dyDescent="0.15">
      <c r="A144" s="29">
        <v>143</v>
      </c>
      <c r="B144" s="28">
        <v>123150</v>
      </c>
      <c r="C144" s="28" t="s">
        <v>2008</v>
      </c>
      <c r="D144" s="28">
        <v>128</v>
      </c>
      <c r="E144" s="48">
        <v>-1.1599999999999999E-2</v>
      </c>
      <c r="F144" s="28">
        <v>17.63</v>
      </c>
      <c r="G144" s="28">
        <v>102.61</v>
      </c>
      <c r="H144" s="48">
        <v>0.24739999999999998</v>
      </c>
      <c r="I144" s="45">
        <v>152.74</v>
      </c>
      <c r="J144" s="46">
        <v>46934</v>
      </c>
      <c r="K144" s="47">
        <v>5.8659999999999997</v>
      </c>
      <c r="L144" s="47">
        <v>11.39</v>
      </c>
      <c r="M144" s="47">
        <v>2847.8349903999997</v>
      </c>
      <c r="N144" s="48">
        <v>1.9533547728270408E-2</v>
      </c>
      <c r="O144" s="48">
        <v>-1.7507999999999999E-2</v>
      </c>
      <c r="P144" s="28">
        <v>130.38</v>
      </c>
      <c r="Q144" s="28">
        <v>127.88</v>
      </c>
      <c r="R144" s="48">
        <v>1.954957772912105E-2</v>
      </c>
    </row>
    <row r="145" spans="1:18" x14ac:dyDescent="0.15">
      <c r="A145" s="29">
        <v>144</v>
      </c>
      <c r="B145" s="28">
        <v>123031</v>
      </c>
      <c r="C145" s="28" t="s">
        <v>1978</v>
      </c>
      <c r="D145" s="28">
        <v>406.2</v>
      </c>
      <c r="E145" s="48">
        <v>-5.5300000000000002E-2</v>
      </c>
      <c r="F145" s="28">
        <v>6.25</v>
      </c>
      <c r="G145" s="28">
        <v>324.8</v>
      </c>
      <c r="H145" s="48">
        <v>0.25059999999999999</v>
      </c>
      <c r="I145" s="45">
        <v>431.26</v>
      </c>
      <c r="J145" s="46">
        <v>45898</v>
      </c>
      <c r="K145" s="47">
        <v>3.0270000000000001</v>
      </c>
      <c r="L145" s="47">
        <v>0.52975899999999998</v>
      </c>
      <c r="M145" s="47">
        <v>25652.685684299999</v>
      </c>
      <c r="N145" s="48">
        <v>1.1921051857829963</v>
      </c>
      <c r="O145" s="48">
        <v>-0.34422199999999997</v>
      </c>
      <c r="P145" s="28">
        <v>435.5</v>
      </c>
      <c r="Q145" s="28">
        <v>401.67500000000001</v>
      </c>
      <c r="R145" s="48">
        <v>8.4209871164498629E-2</v>
      </c>
    </row>
    <row r="146" spans="1:18" x14ac:dyDescent="0.15">
      <c r="A146" s="29">
        <v>145</v>
      </c>
      <c r="B146" s="28">
        <v>113546</v>
      </c>
      <c r="C146" s="28" t="s">
        <v>86</v>
      </c>
      <c r="D146" s="28">
        <v>130.56399999999999</v>
      </c>
      <c r="E146" s="48">
        <v>-3.32E-2</v>
      </c>
      <c r="F146" s="28">
        <v>13.8</v>
      </c>
      <c r="G146" s="28">
        <v>104.28</v>
      </c>
      <c r="H146" s="48">
        <v>0.25209999999999999</v>
      </c>
      <c r="I146" s="45">
        <v>155.774</v>
      </c>
      <c r="J146" s="46">
        <v>45953</v>
      </c>
      <c r="K146" s="47">
        <v>3.1779999999999999</v>
      </c>
      <c r="L146" s="47">
        <v>2.2964600000000002</v>
      </c>
      <c r="M146" s="47">
        <v>14400.6399</v>
      </c>
      <c r="N146" s="48">
        <v>0.48028548150755562</v>
      </c>
      <c r="O146" s="48">
        <v>-2.7292E-2</v>
      </c>
      <c r="P146" s="28">
        <v>135.09</v>
      </c>
      <c r="Q146" s="28">
        <v>129.38</v>
      </c>
      <c r="R146" s="48">
        <v>4.4133560055650084E-2</v>
      </c>
    </row>
    <row r="147" spans="1:18" x14ac:dyDescent="0.15">
      <c r="A147" s="29">
        <v>146</v>
      </c>
      <c r="B147" s="28">
        <v>127063</v>
      </c>
      <c r="C147" s="28" t="s">
        <v>1969</v>
      </c>
      <c r="D147" s="28">
        <v>130.488</v>
      </c>
      <c r="E147" s="48">
        <v>-6.1999999999999998E-3</v>
      </c>
      <c r="F147" s="28">
        <v>4.5999999999999996</v>
      </c>
      <c r="G147" s="28">
        <v>104.13</v>
      </c>
      <c r="H147" s="48">
        <v>0.25309999999999999</v>
      </c>
      <c r="I147" s="45">
        <v>155.798</v>
      </c>
      <c r="J147" s="46">
        <v>46865</v>
      </c>
      <c r="K147" s="47">
        <v>5.6769999999999996</v>
      </c>
      <c r="L147" s="47">
        <v>18</v>
      </c>
      <c r="M147" s="47">
        <v>2882.0749577000001</v>
      </c>
      <c r="N147" s="48">
        <v>1.2270498086243774E-2</v>
      </c>
      <c r="O147" s="48">
        <v>-2.222E-2</v>
      </c>
      <c r="P147" s="28">
        <v>131.36500000000001</v>
      </c>
      <c r="Q147" s="28">
        <v>128.05099999999999</v>
      </c>
      <c r="R147" s="48">
        <v>2.5880313312664653E-2</v>
      </c>
    </row>
    <row r="148" spans="1:18" x14ac:dyDescent="0.15">
      <c r="A148" s="29">
        <v>147</v>
      </c>
      <c r="B148" s="28">
        <v>113525</v>
      </c>
      <c r="C148" s="28" t="s">
        <v>1947</v>
      </c>
      <c r="D148" s="28">
        <v>208.31700000000001</v>
      </c>
      <c r="E148" s="48">
        <v>-2.7400000000000001E-2</v>
      </c>
      <c r="F148" s="28">
        <v>7.61</v>
      </c>
      <c r="G148" s="28">
        <v>166.1</v>
      </c>
      <c r="H148" s="48">
        <v>0.25420000000000004</v>
      </c>
      <c r="I148" s="45">
        <v>233.73700000000002</v>
      </c>
      <c r="J148" s="46">
        <v>45643</v>
      </c>
      <c r="K148" s="47">
        <v>2.3290000000000002</v>
      </c>
      <c r="L148" s="47">
        <v>1.85328</v>
      </c>
      <c r="M148" s="47">
        <v>11608.975399999999</v>
      </c>
      <c r="N148" s="48">
        <v>0.30069633812567254</v>
      </c>
      <c r="O148" s="48">
        <v>-0.23291899999999999</v>
      </c>
      <c r="P148" s="28">
        <v>214</v>
      </c>
      <c r="Q148" s="28">
        <v>205.81800000000001</v>
      </c>
      <c r="R148" s="48">
        <v>3.9753568686898069E-2</v>
      </c>
    </row>
    <row r="149" spans="1:18" x14ac:dyDescent="0.15">
      <c r="A149" s="29">
        <v>148</v>
      </c>
      <c r="B149" s="28">
        <v>127012</v>
      </c>
      <c r="C149" s="28" t="s">
        <v>1804</v>
      </c>
      <c r="D149" s="28">
        <v>114.54300000000001</v>
      </c>
      <c r="E149" s="48">
        <v>1.2999999999999999E-3</v>
      </c>
      <c r="F149" s="28">
        <v>8.2799999999999994</v>
      </c>
      <c r="G149" s="28">
        <v>91.18</v>
      </c>
      <c r="H149" s="48">
        <v>0.25619999999999998</v>
      </c>
      <c r="I149" s="45">
        <v>140.16300000000001</v>
      </c>
      <c r="J149" s="46">
        <v>45738</v>
      </c>
      <c r="K149" s="47">
        <v>2.589</v>
      </c>
      <c r="L149" s="47">
        <v>49.998221000000001</v>
      </c>
      <c r="M149" s="47">
        <v>6892.1653709999991</v>
      </c>
      <c r="N149" s="48">
        <v>1.2034625604304501E-2</v>
      </c>
      <c r="O149" s="48">
        <v>-2.5160000000000002E-2</v>
      </c>
      <c r="P149" s="28">
        <v>115.02</v>
      </c>
      <c r="Q149" s="28">
        <v>113.56100000000001</v>
      </c>
      <c r="R149" s="48">
        <v>1.2847720608307332E-2</v>
      </c>
    </row>
    <row r="150" spans="1:18" x14ac:dyDescent="0.15">
      <c r="A150" s="29">
        <v>149</v>
      </c>
      <c r="B150" s="28">
        <v>123130</v>
      </c>
      <c r="C150" s="28" t="s">
        <v>70</v>
      </c>
      <c r="D150" s="28">
        <v>137.52600000000001</v>
      </c>
      <c r="E150" s="48">
        <v>-1.1000000000000001E-2</v>
      </c>
      <c r="F150" s="28">
        <v>9.24</v>
      </c>
      <c r="G150" s="28">
        <v>109.42</v>
      </c>
      <c r="H150" s="48">
        <v>0.25690000000000002</v>
      </c>
      <c r="I150" s="45">
        <v>163.21600000000001</v>
      </c>
      <c r="J150" s="46">
        <v>46702</v>
      </c>
      <c r="K150" s="47">
        <v>5.23</v>
      </c>
      <c r="L150" s="47">
        <v>3.7555860000000001</v>
      </c>
      <c r="M150" s="47">
        <v>1925.9153822999999</v>
      </c>
      <c r="N150" s="48">
        <v>3.7288479866975956E-2</v>
      </c>
      <c r="O150" s="48">
        <v>-3.0794999999999999E-2</v>
      </c>
      <c r="P150" s="28">
        <v>139.44800000000001</v>
      </c>
      <c r="Q150" s="28">
        <v>137.05000000000001</v>
      </c>
      <c r="R150" s="48">
        <v>1.7497263772345829E-2</v>
      </c>
    </row>
    <row r="151" spans="1:18" x14ac:dyDescent="0.15">
      <c r="A151" s="29">
        <v>150</v>
      </c>
      <c r="B151" s="28">
        <v>113649</v>
      </c>
      <c r="C151" s="28" t="s">
        <v>2004</v>
      </c>
      <c r="D151" s="28">
        <v>128.24299999999999</v>
      </c>
      <c r="E151" s="48">
        <v>-5.1999999999999998E-3</v>
      </c>
      <c r="F151" s="28">
        <v>13.8</v>
      </c>
      <c r="G151" s="28">
        <v>101.96</v>
      </c>
      <c r="H151" s="48">
        <v>0.25780000000000003</v>
      </c>
      <c r="I151" s="45">
        <v>154.023</v>
      </c>
      <c r="J151" s="46">
        <v>46931</v>
      </c>
      <c r="K151" s="47">
        <v>5.8579999999999997</v>
      </c>
      <c r="L151" s="47">
        <v>5</v>
      </c>
      <c r="M151" s="47">
        <v>3432.2087000000001</v>
      </c>
      <c r="N151" s="48">
        <v>5.352664394937736E-2</v>
      </c>
      <c r="O151" s="48">
        <v>-1.0891E-2</v>
      </c>
      <c r="P151" s="28">
        <v>129.38</v>
      </c>
      <c r="Q151" s="28">
        <v>127</v>
      </c>
      <c r="R151" s="48">
        <v>1.8740157480314924E-2</v>
      </c>
    </row>
    <row r="152" spans="1:18" x14ac:dyDescent="0.15">
      <c r="A152" s="29">
        <v>151</v>
      </c>
      <c r="B152" s="28">
        <v>123110</v>
      </c>
      <c r="C152" s="28" t="s">
        <v>104</v>
      </c>
      <c r="D152" s="28">
        <v>132.51599999999999</v>
      </c>
      <c r="E152" s="48">
        <v>-8.3900000000000002E-2</v>
      </c>
      <c r="F152" s="28">
        <v>18.7</v>
      </c>
      <c r="G152" s="28">
        <v>105.35</v>
      </c>
      <c r="H152" s="48">
        <v>0.25790000000000002</v>
      </c>
      <c r="I152" s="45">
        <v>158.30599999999998</v>
      </c>
      <c r="J152" s="46">
        <v>46478</v>
      </c>
      <c r="K152" s="47">
        <v>4.6159999999999997</v>
      </c>
      <c r="L152" s="47">
        <v>2.6979160000000002</v>
      </c>
      <c r="M152" s="47">
        <v>21384.922015799999</v>
      </c>
      <c r="N152" s="48">
        <v>0.59815113192427805</v>
      </c>
      <c r="O152" s="48">
        <v>-1.9902E-2</v>
      </c>
      <c r="P152" s="28">
        <v>145.08699999999999</v>
      </c>
      <c r="Q152" s="28">
        <v>132.30000000000001</v>
      </c>
      <c r="R152" s="48">
        <v>9.6651549508692189E-2</v>
      </c>
    </row>
    <row r="153" spans="1:18" x14ac:dyDescent="0.15">
      <c r="A153" s="29">
        <v>152</v>
      </c>
      <c r="B153" s="28">
        <v>123022</v>
      </c>
      <c r="C153" s="28" t="s">
        <v>1825</v>
      </c>
      <c r="D153" s="28">
        <v>169.84</v>
      </c>
      <c r="E153" s="48">
        <v>-4.5899999999999996E-2</v>
      </c>
      <c r="F153" s="28">
        <v>6</v>
      </c>
      <c r="G153" s="28">
        <v>135</v>
      </c>
      <c r="H153" s="48">
        <v>0.2581</v>
      </c>
      <c r="I153" s="45">
        <v>195.65</v>
      </c>
      <c r="J153" s="46">
        <v>45734</v>
      </c>
      <c r="K153" s="47">
        <v>2.5779999999999998</v>
      </c>
      <c r="L153" s="47">
        <v>2.5626959999999999</v>
      </c>
      <c r="M153" s="47">
        <v>34544.293189999997</v>
      </c>
      <c r="N153" s="48">
        <v>0.79366867352744663</v>
      </c>
      <c r="O153" s="48">
        <v>-0.147148</v>
      </c>
      <c r="P153" s="28">
        <v>178.8</v>
      </c>
      <c r="Q153" s="28">
        <v>166.27799999999999</v>
      </c>
      <c r="R153" s="48">
        <v>7.530761736369225E-2</v>
      </c>
    </row>
    <row r="154" spans="1:18" x14ac:dyDescent="0.15">
      <c r="A154" s="29">
        <v>153</v>
      </c>
      <c r="B154" s="28">
        <v>128023</v>
      </c>
      <c r="C154" s="28" t="s">
        <v>198</v>
      </c>
      <c r="D154" s="28">
        <v>132.9</v>
      </c>
      <c r="E154" s="48">
        <v>-1.8799999999999997E-2</v>
      </c>
      <c r="F154" s="28">
        <v>10.24</v>
      </c>
      <c r="G154" s="28">
        <v>105.37</v>
      </c>
      <c r="H154" s="48">
        <v>0.26129999999999998</v>
      </c>
      <c r="I154" s="45">
        <v>159.03</v>
      </c>
      <c r="J154" s="46">
        <v>45264</v>
      </c>
      <c r="K154" s="47">
        <v>1.29</v>
      </c>
      <c r="L154" s="47">
        <v>9.9863379999999999</v>
      </c>
      <c r="M154" s="47">
        <v>9671.8154873000003</v>
      </c>
      <c r="N154" s="48">
        <v>7.2874696755327151E-2</v>
      </c>
      <c r="O154" s="48">
        <v>-0.13878699999999999</v>
      </c>
      <c r="P154" s="28">
        <v>136.749</v>
      </c>
      <c r="Q154" s="28">
        <v>130.25</v>
      </c>
      <c r="R154" s="48">
        <v>4.9896353166986526E-2</v>
      </c>
    </row>
    <row r="155" spans="1:18" x14ac:dyDescent="0.15">
      <c r="A155" s="29">
        <v>154</v>
      </c>
      <c r="B155" s="28">
        <v>113545</v>
      </c>
      <c r="C155" s="28" t="s">
        <v>84</v>
      </c>
      <c r="D155" s="28">
        <v>125.095</v>
      </c>
      <c r="E155" s="48">
        <v>-1.2199999999999999E-2</v>
      </c>
      <c r="F155" s="28">
        <v>10.08</v>
      </c>
      <c r="G155" s="28">
        <v>99.11</v>
      </c>
      <c r="H155" s="48">
        <v>0.26219999999999999</v>
      </c>
      <c r="I155" s="45">
        <v>151.315</v>
      </c>
      <c r="J155" s="46">
        <v>45944</v>
      </c>
      <c r="K155" s="47">
        <v>3.153</v>
      </c>
      <c r="L155" s="47">
        <v>9.8652899999999999</v>
      </c>
      <c r="M155" s="47">
        <v>2742.3960999999999</v>
      </c>
      <c r="N155" s="48">
        <v>2.2221858347957781E-2</v>
      </c>
      <c r="O155" s="48">
        <v>-2.8784999999999998E-2</v>
      </c>
      <c r="P155" s="28">
        <v>126.85</v>
      </c>
      <c r="Q155" s="28">
        <v>124.622</v>
      </c>
      <c r="R155" s="48">
        <v>1.7878063263308198E-2</v>
      </c>
    </row>
    <row r="156" spans="1:18" x14ac:dyDescent="0.15">
      <c r="A156" s="29">
        <v>155</v>
      </c>
      <c r="B156" s="28">
        <v>123091</v>
      </c>
      <c r="C156" s="28" t="s">
        <v>225</v>
      </c>
      <c r="D156" s="28">
        <v>134</v>
      </c>
      <c r="E156" s="48">
        <v>-3.7000000000000002E-3</v>
      </c>
      <c r="F156" s="28">
        <v>15.99</v>
      </c>
      <c r="G156" s="28">
        <v>106.07</v>
      </c>
      <c r="H156" s="48">
        <v>0.26329999999999998</v>
      </c>
      <c r="I156" s="45">
        <v>160.32999999999998</v>
      </c>
      <c r="J156" s="46">
        <v>46379</v>
      </c>
      <c r="K156" s="47">
        <v>4.3449999999999998</v>
      </c>
      <c r="L156" s="47">
        <v>5.4975389999999997</v>
      </c>
      <c r="M156" s="47">
        <v>7327.7580739999994</v>
      </c>
      <c r="N156" s="48">
        <v>9.947134844567479E-2</v>
      </c>
      <c r="O156" s="48">
        <v>-3.3463E-2</v>
      </c>
      <c r="P156" s="28">
        <v>134.76</v>
      </c>
      <c r="Q156" s="28">
        <v>130.19800000000001</v>
      </c>
      <c r="R156" s="48">
        <v>3.5038940690333052E-2</v>
      </c>
    </row>
    <row r="157" spans="1:18" x14ac:dyDescent="0.15">
      <c r="A157" s="29">
        <v>156</v>
      </c>
      <c r="B157" s="28">
        <v>123098</v>
      </c>
      <c r="C157" s="28" t="s">
        <v>2006</v>
      </c>
      <c r="D157" s="28">
        <v>130.93899999999999</v>
      </c>
      <c r="E157" s="48">
        <v>-1.3999999999999999E-2</v>
      </c>
      <c r="F157" s="28">
        <v>25.31</v>
      </c>
      <c r="G157" s="28">
        <v>103.6</v>
      </c>
      <c r="H157" s="48">
        <v>0.26390000000000002</v>
      </c>
      <c r="I157" s="45">
        <v>157.32900000000001</v>
      </c>
      <c r="J157" s="46">
        <v>46415</v>
      </c>
      <c r="K157" s="47">
        <v>4.444</v>
      </c>
      <c r="L157" s="47">
        <v>4.2359669999999996</v>
      </c>
      <c r="M157" s="47">
        <v>950.91404199999999</v>
      </c>
      <c r="N157" s="48">
        <v>1.7144296646626221E-2</v>
      </c>
      <c r="O157" s="48">
        <v>-1.3143E-2</v>
      </c>
      <c r="P157" s="28">
        <v>132.798</v>
      </c>
      <c r="Q157" s="28">
        <v>130.251</v>
      </c>
      <c r="R157" s="48">
        <v>1.955455236428125E-2</v>
      </c>
    </row>
    <row r="158" spans="1:18" x14ac:dyDescent="0.15">
      <c r="A158" s="29">
        <v>157</v>
      </c>
      <c r="B158" s="28">
        <v>110055</v>
      </c>
      <c r="C158" s="28" t="s">
        <v>1958</v>
      </c>
      <c r="D158" s="28">
        <v>215.19</v>
      </c>
      <c r="E158" s="48">
        <v>-1.95E-2</v>
      </c>
      <c r="F158" s="28">
        <v>16</v>
      </c>
      <c r="G158" s="28">
        <v>170.19</v>
      </c>
      <c r="H158" s="48">
        <v>0.26440000000000002</v>
      </c>
      <c r="I158" s="45">
        <v>241.63</v>
      </c>
      <c r="J158" s="46">
        <v>45731</v>
      </c>
      <c r="K158" s="47">
        <v>2.57</v>
      </c>
      <c r="L158" s="47">
        <v>2.43486</v>
      </c>
      <c r="M158" s="47">
        <v>7909.8055000000004</v>
      </c>
      <c r="N158" s="48">
        <v>0.15096272401382221</v>
      </c>
      <c r="O158" s="48">
        <v>-0.22336900000000001</v>
      </c>
      <c r="P158" s="28">
        <v>221.11</v>
      </c>
      <c r="Q158" s="28">
        <v>214.92</v>
      </c>
      <c r="R158" s="48">
        <v>2.8801414479806563E-2</v>
      </c>
    </row>
    <row r="159" spans="1:18" x14ac:dyDescent="0.15">
      <c r="A159" s="29">
        <v>158</v>
      </c>
      <c r="B159" s="28">
        <v>123087</v>
      </c>
      <c r="C159" s="28" t="s">
        <v>71</v>
      </c>
      <c r="D159" s="28">
        <v>130.86199999999999</v>
      </c>
      <c r="E159" s="48">
        <v>-3.1E-2</v>
      </c>
      <c r="F159" s="28">
        <v>16.05</v>
      </c>
      <c r="G159" s="28">
        <v>103.49</v>
      </c>
      <c r="H159" s="48">
        <v>0.26450000000000001</v>
      </c>
      <c r="I159" s="45">
        <v>157.31199999999998</v>
      </c>
      <c r="J159" s="46">
        <v>46371</v>
      </c>
      <c r="K159" s="47">
        <v>4.3230000000000004</v>
      </c>
      <c r="L159" s="47">
        <v>4.1892120000000004</v>
      </c>
      <c r="M159" s="47">
        <v>2398.5449559999997</v>
      </c>
      <c r="N159" s="48">
        <v>4.3752409032444331E-2</v>
      </c>
      <c r="O159" s="48">
        <v>-1.873E-2</v>
      </c>
      <c r="P159" s="28">
        <v>135.69900000000001</v>
      </c>
      <c r="Q159" s="28">
        <v>130.86199999999999</v>
      </c>
      <c r="R159" s="48">
        <v>3.6962601824823228E-2</v>
      </c>
    </row>
    <row r="160" spans="1:18" x14ac:dyDescent="0.15">
      <c r="A160" s="29">
        <v>159</v>
      </c>
      <c r="B160" s="28">
        <v>123149</v>
      </c>
      <c r="C160" s="28" t="s">
        <v>2010</v>
      </c>
      <c r="D160" s="28">
        <v>137.87200000000001</v>
      </c>
      <c r="E160" s="48">
        <v>-1.1699999999999999E-2</v>
      </c>
      <c r="F160" s="28">
        <v>2.77</v>
      </c>
      <c r="G160" s="28">
        <v>109.03</v>
      </c>
      <c r="H160" s="48">
        <v>0.26450000000000001</v>
      </c>
      <c r="I160" s="45">
        <v>164.322</v>
      </c>
      <c r="J160" s="46">
        <v>46924</v>
      </c>
      <c r="K160" s="47">
        <v>5.8380000000000001</v>
      </c>
      <c r="L160" s="47">
        <v>14.847200000000001</v>
      </c>
      <c r="M160" s="47">
        <v>3716.1007344999998</v>
      </c>
      <c r="N160" s="48">
        <v>1.8153770625512745E-2</v>
      </c>
      <c r="O160" s="48">
        <v>-2.8008999999999999E-2</v>
      </c>
      <c r="P160" s="28">
        <v>140.30000000000001</v>
      </c>
      <c r="Q160" s="28">
        <v>136.5</v>
      </c>
      <c r="R160" s="48">
        <v>2.7838827838827924E-2</v>
      </c>
    </row>
    <row r="161" spans="1:18" x14ac:dyDescent="0.15">
      <c r="A161" s="29">
        <v>160</v>
      </c>
      <c r="B161" s="28">
        <v>127028</v>
      </c>
      <c r="C161" s="28" t="s">
        <v>62</v>
      </c>
      <c r="D161" s="28">
        <v>120.66</v>
      </c>
      <c r="E161" s="48">
        <v>-8.3000000000000001E-3</v>
      </c>
      <c r="F161" s="28">
        <v>10.85</v>
      </c>
      <c r="G161" s="28">
        <v>95.12</v>
      </c>
      <c r="H161" s="48">
        <v>0.26850000000000002</v>
      </c>
      <c r="I161" s="45">
        <v>147.51</v>
      </c>
      <c r="J161" s="46">
        <v>46392</v>
      </c>
      <c r="K161" s="47">
        <v>4.3810000000000002</v>
      </c>
      <c r="L161" s="47">
        <v>5.9824450000000002</v>
      </c>
      <c r="M161" s="47">
        <v>2008.6273002999999</v>
      </c>
      <c r="N161" s="48">
        <v>2.7826419337004388E-2</v>
      </c>
      <c r="O161" s="48">
        <v>-1.5549E-2</v>
      </c>
      <c r="P161" s="28">
        <v>122.157</v>
      </c>
      <c r="Q161" s="28">
        <v>120.161</v>
      </c>
      <c r="R161" s="48">
        <v>1.6611046845482272E-2</v>
      </c>
    </row>
    <row r="162" spans="1:18" x14ac:dyDescent="0.15">
      <c r="A162" s="29">
        <v>161</v>
      </c>
      <c r="B162" s="28">
        <v>110057</v>
      </c>
      <c r="C162" s="28" t="s">
        <v>1798</v>
      </c>
      <c r="D162" s="28">
        <v>118.752</v>
      </c>
      <c r="E162" s="48">
        <v>-6.0000000000000001E-3</v>
      </c>
      <c r="F162" s="28">
        <v>9.69</v>
      </c>
      <c r="G162" s="28">
        <v>93.5</v>
      </c>
      <c r="H162" s="48">
        <v>0.27010000000000001</v>
      </c>
      <c r="I162" s="45">
        <v>145.762</v>
      </c>
      <c r="J162" s="46">
        <v>45748</v>
      </c>
      <c r="K162" s="47">
        <v>2.6160000000000001</v>
      </c>
      <c r="L162" s="47">
        <v>16.15494</v>
      </c>
      <c r="M162" s="47">
        <v>1862.7651000000001</v>
      </c>
      <c r="N162" s="48">
        <v>9.7098341182911135E-3</v>
      </c>
      <c r="O162" s="48">
        <v>-3.1681000000000001E-2</v>
      </c>
      <c r="P162" s="28">
        <v>119.75</v>
      </c>
      <c r="Q162" s="28">
        <v>117.36199999999999</v>
      </c>
      <c r="R162" s="48">
        <v>2.0347301511562561E-2</v>
      </c>
    </row>
    <row r="163" spans="1:18" x14ac:dyDescent="0.15">
      <c r="A163" s="29">
        <v>162</v>
      </c>
      <c r="B163" s="28">
        <v>113582</v>
      </c>
      <c r="C163" s="28" t="s">
        <v>1963</v>
      </c>
      <c r="D163" s="28">
        <v>260.28899999999999</v>
      </c>
      <c r="E163" s="48">
        <v>-4.5499999999999999E-2</v>
      </c>
      <c r="F163" s="28">
        <v>24.51</v>
      </c>
      <c r="G163" s="28">
        <v>204.77</v>
      </c>
      <c r="H163" s="48">
        <v>0.27110000000000001</v>
      </c>
      <c r="I163" s="45">
        <v>287.399</v>
      </c>
      <c r="J163" s="46">
        <v>46169</v>
      </c>
      <c r="K163" s="47">
        <v>3.77</v>
      </c>
      <c r="L163" s="47">
        <v>4.1764799999999997</v>
      </c>
      <c r="M163" s="47">
        <v>34205.428999999996</v>
      </c>
      <c r="N163" s="48">
        <v>0.31465078583441608</v>
      </c>
      <c r="O163" s="48">
        <v>-0.198573</v>
      </c>
      <c r="P163" s="28">
        <v>282.12</v>
      </c>
      <c r="Q163" s="28">
        <v>258.18099999999998</v>
      </c>
      <c r="R163" s="48">
        <v>9.2721772709843178E-2</v>
      </c>
    </row>
    <row r="164" spans="1:18" x14ac:dyDescent="0.15">
      <c r="A164" s="29">
        <v>163</v>
      </c>
      <c r="B164" s="28">
        <v>128133</v>
      </c>
      <c r="C164" s="28" t="s">
        <v>209</v>
      </c>
      <c r="D164" s="28">
        <v>122.449</v>
      </c>
      <c r="E164" s="48">
        <v>-1.6500000000000001E-2</v>
      </c>
      <c r="F164" s="28">
        <v>24.19</v>
      </c>
      <c r="G164" s="28">
        <v>96.32</v>
      </c>
      <c r="H164" s="48">
        <v>0.27129999999999999</v>
      </c>
      <c r="I164" s="45">
        <v>149.57900000000001</v>
      </c>
      <c r="J164" s="46">
        <v>46287</v>
      </c>
      <c r="K164" s="47">
        <v>4.093</v>
      </c>
      <c r="L164" s="47">
        <v>7.994078</v>
      </c>
      <c r="M164" s="47">
        <v>1311.4023052999999</v>
      </c>
      <c r="N164" s="48">
        <v>1.339714687337224E-2</v>
      </c>
      <c r="O164" s="48">
        <v>-1.1498999999999999E-2</v>
      </c>
      <c r="P164" s="28">
        <v>124.837</v>
      </c>
      <c r="Q164" s="28">
        <v>122.3</v>
      </c>
      <c r="R164" s="48">
        <v>2.0744071954211008E-2</v>
      </c>
    </row>
    <row r="165" spans="1:18" x14ac:dyDescent="0.15">
      <c r="A165" s="29">
        <v>164</v>
      </c>
      <c r="B165" s="28">
        <v>123129</v>
      </c>
      <c r="C165" s="28" t="s">
        <v>228</v>
      </c>
      <c r="D165" s="28">
        <v>119.05</v>
      </c>
      <c r="E165" s="48">
        <v>-1.29E-2</v>
      </c>
      <c r="F165" s="28">
        <v>7.97</v>
      </c>
      <c r="G165" s="28">
        <v>93.35</v>
      </c>
      <c r="H165" s="48">
        <v>0.27529999999999999</v>
      </c>
      <c r="I165" s="45">
        <v>146.57999999999998</v>
      </c>
      <c r="J165" s="46">
        <v>46695</v>
      </c>
      <c r="K165" s="47">
        <v>5.2110000000000003</v>
      </c>
      <c r="L165" s="47">
        <v>5.9998880000000003</v>
      </c>
      <c r="M165" s="47">
        <v>1867.6886554000002</v>
      </c>
      <c r="N165" s="48">
        <v>2.6147606321886677E-2</v>
      </c>
      <c r="O165" s="48">
        <v>-2.065E-3</v>
      </c>
      <c r="P165" s="28">
        <v>121.566</v>
      </c>
      <c r="Q165" s="28">
        <v>118.428</v>
      </c>
      <c r="R165" s="48">
        <v>2.649711216941944E-2</v>
      </c>
    </row>
    <row r="166" spans="1:18" x14ac:dyDescent="0.15">
      <c r="A166" s="29">
        <v>165</v>
      </c>
      <c r="B166" s="28">
        <v>128085</v>
      </c>
      <c r="C166" s="28" t="s">
        <v>1967</v>
      </c>
      <c r="D166" s="28">
        <v>118.086</v>
      </c>
      <c r="E166" s="48">
        <v>-5.8999999999999999E-3</v>
      </c>
      <c r="F166" s="28">
        <v>3.91</v>
      </c>
      <c r="G166" s="28">
        <v>92.58</v>
      </c>
      <c r="H166" s="48">
        <v>0.27550000000000002</v>
      </c>
      <c r="I166" s="45">
        <v>145.636</v>
      </c>
      <c r="J166" s="46">
        <v>46007</v>
      </c>
      <c r="K166" s="47">
        <v>3.3260000000000001</v>
      </c>
      <c r="L166" s="47">
        <v>3.3735580000000001</v>
      </c>
      <c r="M166" s="47">
        <v>2723.0791640000002</v>
      </c>
      <c r="N166" s="48">
        <v>6.8355533025795764E-2</v>
      </c>
      <c r="O166" s="48">
        <v>1.4645999999999999E-2</v>
      </c>
      <c r="P166" s="28">
        <v>118.9</v>
      </c>
      <c r="Q166" s="28">
        <v>117.351</v>
      </c>
      <c r="R166" s="48">
        <v>1.319971708805214E-2</v>
      </c>
    </row>
    <row r="167" spans="1:18" x14ac:dyDescent="0.15">
      <c r="A167" s="29">
        <v>166</v>
      </c>
      <c r="B167" s="28">
        <v>113632</v>
      </c>
      <c r="C167" s="28" t="s">
        <v>1874</v>
      </c>
      <c r="D167" s="28">
        <v>130.352</v>
      </c>
      <c r="E167" s="48">
        <v>-1.4800000000000001E-2</v>
      </c>
      <c r="F167" s="28">
        <v>27.23</v>
      </c>
      <c r="G167" s="28">
        <v>102.02</v>
      </c>
      <c r="H167" s="48">
        <v>0.2777</v>
      </c>
      <c r="I167" s="45">
        <v>158.12200000000001</v>
      </c>
      <c r="J167" s="46">
        <v>46708</v>
      </c>
      <c r="K167" s="47">
        <v>5.2469999999999999</v>
      </c>
      <c r="L167" s="47">
        <v>20.499179999999999</v>
      </c>
      <c r="M167" s="47">
        <v>5754.5829999999996</v>
      </c>
      <c r="N167" s="48">
        <v>2.1535733610335769E-2</v>
      </c>
      <c r="O167" s="48">
        <v>-2.0581000000000002E-2</v>
      </c>
      <c r="P167" s="28">
        <v>134</v>
      </c>
      <c r="Q167" s="28">
        <v>128.88200000000001</v>
      </c>
      <c r="R167" s="48">
        <v>3.9710743160410254E-2</v>
      </c>
    </row>
    <row r="168" spans="1:18" x14ac:dyDescent="0.15">
      <c r="A168" s="29">
        <v>167</v>
      </c>
      <c r="B168" s="28">
        <v>128091</v>
      </c>
      <c r="C168" s="28" t="s">
        <v>1979</v>
      </c>
      <c r="D168" s="28">
        <v>166</v>
      </c>
      <c r="E168" s="48">
        <v>-2.7000000000000003E-2</v>
      </c>
      <c r="F168" s="28">
        <v>11.5</v>
      </c>
      <c r="G168" s="28">
        <v>129.83000000000001</v>
      </c>
      <c r="H168" s="48">
        <v>0.27860000000000001</v>
      </c>
      <c r="I168" s="45">
        <v>193.86</v>
      </c>
      <c r="J168" s="46">
        <v>46021</v>
      </c>
      <c r="K168" s="47">
        <v>3.3639999999999999</v>
      </c>
      <c r="L168" s="47">
        <v>1.539763</v>
      </c>
      <c r="M168" s="47">
        <v>4953.4464020000005</v>
      </c>
      <c r="N168" s="48">
        <v>0.19379630869338374</v>
      </c>
      <c r="O168" s="48">
        <v>-9.7181999999999991E-2</v>
      </c>
      <c r="P168" s="28">
        <v>171.40199999999999</v>
      </c>
      <c r="Q168" s="28">
        <v>165.8</v>
      </c>
      <c r="R168" s="48">
        <v>3.3787696019300213E-2</v>
      </c>
    </row>
    <row r="169" spans="1:18" x14ac:dyDescent="0.15">
      <c r="A169" s="29">
        <v>168</v>
      </c>
      <c r="B169" s="28">
        <v>113636</v>
      </c>
      <c r="C169" s="28" t="s">
        <v>232</v>
      </c>
      <c r="D169" s="28">
        <v>139.43799999999999</v>
      </c>
      <c r="E169" s="48">
        <v>-3.0200000000000001E-2</v>
      </c>
      <c r="F169" s="28">
        <v>36.049999999999997</v>
      </c>
      <c r="G169" s="28">
        <v>108.99</v>
      </c>
      <c r="H169" s="48">
        <v>0.27940000000000004</v>
      </c>
      <c r="I169" s="45">
        <v>167.37799999999999</v>
      </c>
      <c r="J169" s="46">
        <v>46734</v>
      </c>
      <c r="K169" s="47">
        <v>5.3179999999999996</v>
      </c>
      <c r="L169" s="47">
        <v>9.99559</v>
      </c>
      <c r="M169" s="47">
        <v>10527.3133</v>
      </c>
      <c r="N169" s="48">
        <v>7.5531475590807418E-2</v>
      </c>
      <c r="O169" s="48">
        <v>-2.7372999999999998E-2</v>
      </c>
      <c r="P169" s="28">
        <v>143.69999999999999</v>
      </c>
      <c r="Q169" s="28">
        <v>135.88</v>
      </c>
      <c r="R169" s="48">
        <v>5.7550780100088267E-2</v>
      </c>
    </row>
    <row r="170" spans="1:18" x14ac:dyDescent="0.15">
      <c r="A170" s="29">
        <v>169</v>
      </c>
      <c r="B170" s="28">
        <v>113532</v>
      </c>
      <c r="C170" s="28" t="s">
        <v>186</v>
      </c>
      <c r="D170" s="28">
        <v>119.497</v>
      </c>
      <c r="E170" s="48">
        <v>-1.8E-3</v>
      </c>
      <c r="F170" s="28">
        <v>7.32</v>
      </c>
      <c r="G170" s="28">
        <v>93.17</v>
      </c>
      <c r="H170" s="48">
        <v>0.28260000000000002</v>
      </c>
      <c r="I170" s="45">
        <v>147.75700000000001</v>
      </c>
      <c r="J170" s="46">
        <v>45749</v>
      </c>
      <c r="K170" s="47">
        <v>2.6190000000000002</v>
      </c>
      <c r="L170" s="47">
        <v>4.5854799999999996</v>
      </c>
      <c r="M170" s="47">
        <v>2843.3253</v>
      </c>
      <c r="N170" s="48">
        <v>5.1890128179815941E-2</v>
      </c>
      <c r="O170" s="48">
        <v>-2.7170999999999997E-2</v>
      </c>
      <c r="P170" s="28">
        <v>120.08</v>
      </c>
      <c r="Q170" s="28">
        <v>118.194</v>
      </c>
      <c r="R170" s="48">
        <v>1.5956816758887892E-2</v>
      </c>
    </row>
    <row r="171" spans="1:18" x14ac:dyDescent="0.15">
      <c r="A171" s="29">
        <v>170</v>
      </c>
      <c r="B171" s="28">
        <v>128037</v>
      </c>
      <c r="C171" s="28" t="s">
        <v>72</v>
      </c>
      <c r="D171" s="28">
        <v>120.9</v>
      </c>
      <c r="E171" s="48">
        <v>7.9000000000000008E-3</v>
      </c>
      <c r="F171" s="28">
        <v>3.1</v>
      </c>
      <c r="G171" s="28">
        <v>94.19</v>
      </c>
      <c r="H171" s="48">
        <v>0.28360000000000002</v>
      </c>
      <c r="I171" s="45">
        <v>149.26</v>
      </c>
      <c r="J171" s="46">
        <v>45366</v>
      </c>
      <c r="K171" s="47">
        <v>1.57</v>
      </c>
      <c r="L171" s="47">
        <v>6.0223659999999999</v>
      </c>
      <c r="M171" s="47">
        <v>20326.440143399999</v>
      </c>
      <c r="N171" s="48">
        <v>0.27916944233657487</v>
      </c>
      <c r="O171" s="48">
        <v>-5.9991000000000003E-2</v>
      </c>
      <c r="P171" s="28">
        <v>121.9</v>
      </c>
      <c r="Q171" s="28">
        <v>119</v>
      </c>
      <c r="R171" s="48">
        <v>2.4369747899159713E-2</v>
      </c>
    </row>
    <row r="172" spans="1:18" x14ac:dyDescent="0.15">
      <c r="A172" s="29">
        <v>171</v>
      </c>
      <c r="B172" s="28">
        <v>113647</v>
      </c>
      <c r="C172" s="28" t="s">
        <v>1821</v>
      </c>
      <c r="D172" s="28">
        <v>132.154</v>
      </c>
      <c r="E172" s="48">
        <v>-3.7000000000000002E-3</v>
      </c>
      <c r="F172" s="28">
        <v>10.26</v>
      </c>
      <c r="G172" s="28">
        <v>102.92</v>
      </c>
      <c r="H172" s="48">
        <v>0.28399999999999997</v>
      </c>
      <c r="I172" s="45">
        <v>160.554</v>
      </c>
      <c r="J172" s="46">
        <v>46865</v>
      </c>
      <c r="K172" s="47">
        <v>5.6769999999999996</v>
      </c>
      <c r="L172" s="47">
        <v>15</v>
      </c>
      <c r="M172" s="47">
        <v>4359.9893000000002</v>
      </c>
      <c r="N172" s="48">
        <v>2.1994487744096538E-2</v>
      </c>
      <c r="O172" s="48">
        <v>-2.1419000000000001E-2</v>
      </c>
      <c r="P172" s="28">
        <v>134.69999999999999</v>
      </c>
      <c r="Q172" s="28">
        <v>130.17099999999999</v>
      </c>
      <c r="R172" s="48">
        <v>3.4792695761728776E-2</v>
      </c>
    </row>
    <row r="173" spans="1:18" x14ac:dyDescent="0.15">
      <c r="A173" s="29">
        <v>172</v>
      </c>
      <c r="B173" s="28">
        <v>123050</v>
      </c>
      <c r="C173" s="28" t="s">
        <v>67</v>
      </c>
      <c r="D173" s="28">
        <v>134.45400000000001</v>
      </c>
      <c r="E173" s="48">
        <v>-3.0099999999999998E-2</v>
      </c>
      <c r="F173" s="28">
        <v>4.9800000000000004</v>
      </c>
      <c r="G173" s="28">
        <v>104.42</v>
      </c>
      <c r="H173" s="48">
        <v>0.28760000000000002</v>
      </c>
      <c r="I173" s="45">
        <v>163.214</v>
      </c>
      <c r="J173" s="46">
        <v>46126</v>
      </c>
      <c r="K173" s="47">
        <v>3.6520000000000001</v>
      </c>
      <c r="L173" s="47">
        <v>3.7459790000000002</v>
      </c>
      <c r="M173" s="47">
        <v>3974.4029840000003</v>
      </c>
      <c r="N173" s="48">
        <v>7.8910143808045882E-2</v>
      </c>
      <c r="O173" s="48">
        <v>-2.4514000000000001E-2</v>
      </c>
      <c r="P173" s="28">
        <v>139.42400000000001</v>
      </c>
      <c r="Q173" s="28">
        <v>134.12200000000001</v>
      </c>
      <c r="R173" s="48">
        <v>3.953117311104809E-2</v>
      </c>
    </row>
    <row r="174" spans="1:18" x14ac:dyDescent="0.15">
      <c r="A174" s="29">
        <v>173</v>
      </c>
      <c r="B174" s="28">
        <v>118012</v>
      </c>
      <c r="C174" s="28" t="s">
        <v>2011</v>
      </c>
      <c r="D174" s="28">
        <v>134.881</v>
      </c>
      <c r="E174" s="48">
        <v>-2.98E-2</v>
      </c>
      <c r="F174" s="28">
        <v>25.36</v>
      </c>
      <c r="G174" s="28">
        <v>104.73</v>
      </c>
      <c r="H174" s="48">
        <v>0.28789999999999999</v>
      </c>
      <c r="I174" s="45">
        <v>163.67099999999999</v>
      </c>
      <c r="J174" s="46">
        <v>46939</v>
      </c>
      <c r="K174" s="47">
        <v>5.8789999999999996</v>
      </c>
      <c r="L174" s="47">
        <v>5</v>
      </c>
      <c r="M174" s="47">
        <v>3271.0925000000002</v>
      </c>
      <c r="N174" s="48">
        <v>4.850338446482455E-2</v>
      </c>
      <c r="O174" s="48">
        <v>-1.7947999999999999E-2</v>
      </c>
      <c r="P174" s="28">
        <v>141.09</v>
      </c>
      <c r="Q174" s="28">
        <v>134</v>
      </c>
      <c r="R174" s="48">
        <v>5.2910447761194059E-2</v>
      </c>
    </row>
    <row r="175" spans="1:18" x14ac:dyDescent="0.15">
      <c r="A175" s="29">
        <v>174</v>
      </c>
      <c r="B175" s="28">
        <v>113609</v>
      </c>
      <c r="C175" s="28" t="s">
        <v>82</v>
      </c>
      <c r="D175" s="28">
        <v>115.426</v>
      </c>
      <c r="E175" s="48">
        <v>-2E-3</v>
      </c>
      <c r="F175" s="28">
        <v>16.38</v>
      </c>
      <c r="G175" s="28">
        <v>89.56</v>
      </c>
      <c r="H175" s="48">
        <v>0.2888</v>
      </c>
      <c r="I175" s="45">
        <v>144.30600000000001</v>
      </c>
      <c r="J175" s="46">
        <v>46350</v>
      </c>
      <c r="K175" s="47">
        <v>4.266</v>
      </c>
      <c r="L175" s="47">
        <v>7.3418999999999999</v>
      </c>
      <c r="M175" s="47">
        <v>2535.8669</v>
      </c>
      <c r="N175" s="48">
        <v>2.9923634696970635E-2</v>
      </c>
      <c r="O175" s="48">
        <v>9.5399999999999999E-3</v>
      </c>
      <c r="P175" s="28">
        <v>115.99</v>
      </c>
      <c r="Q175" s="28">
        <v>113.991</v>
      </c>
      <c r="R175" s="48">
        <v>1.7536472177628017E-2</v>
      </c>
    </row>
    <row r="176" spans="1:18" x14ac:dyDescent="0.15">
      <c r="A176" s="29">
        <v>175</v>
      </c>
      <c r="B176" s="28">
        <v>123100</v>
      </c>
      <c r="C176" s="28" t="s">
        <v>102</v>
      </c>
      <c r="D176" s="28">
        <v>132.447</v>
      </c>
      <c r="E176" s="48">
        <v>-1.38E-2</v>
      </c>
      <c r="F176" s="28">
        <v>11.61</v>
      </c>
      <c r="G176" s="28">
        <v>102.07</v>
      </c>
      <c r="H176" s="48">
        <v>0.29760000000000003</v>
      </c>
      <c r="I176" s="45">
        <v>162.20699999999999</v>
      </c>
      <c r="J176" s="46">
        <v>46427</v>
      </c>
      <c r="K176" s="47">
        <v>4.4770000000000003</v>
      </c>
      <c r="L176" s="47">
        <v>3.798197</v>
      </c>
      <c r="M176" s="47">
        <v>3713.3079889999999</v>
      </c>
      <c r="N176" s="48">
        <v>7.3814445187776551E-2</v>
      </c>
      <c r="O176" s="48">
        <v>-2.7640999999999999E-2</v>
      </c>
      <c r="P176" s="28">
        <v>134.1</v>
      </c>
      <c r="Q176" s="28">
        <v>129.31</v>
      </c>
      <c r="R176" s="48">
        <v>3.7042765447374462E-2</v>
      </c>
    </row>
    <row r="177" spans="1:18" x14ac:dyDescent="0.15">
      <c r="A177" s="29">
        <v>176</v>
      </c>
      <c r="B177" s="28">
        <v>113061</v>
      </c>
      <c r="C177" s="28" t="s">
        <v>2012</v>
      </c>
      <c r="D177" s="28">
        <v>149.66800000000001</v>
      </c>
      <c r="E177" s="48">
        <v>-0.04</v>
      </c>
      <c r="F177" s="28">
        <v>71.38</v>
      </c>
      <c r="G177" s="28">
        <v>115.31</v>
      </c>
      <c r="H177" s="48">
        <v>0.29799999999999999</v>
      </c>
      <c r="I177" s="45">
        <v>179.46800000000002</v>
      </c>
      <c r="J177" s="46">
        <v>46948</v>
      </c>
      <c r="K177" s="47">
        <v>5.9039999999999999</v>
      </c>
      <c r="L177" s="47">
        <v>25</v>
      </c>
      <c r="M177" s="47">
        <v>20254.189200000001</v>
      </c>
      <c r="N177" s="48">
        <v>5.4130981104845384E-2</v>
      </c>
      <c r="O177" s="48">
        <v>-4.4896000000000005E-2</v>
      </c>
      <c r="P177" s="28">
        <v>156.35900000000001</v>
      </c>
      <c r="Q177" s="28">
        <v>148.13300000000001</v>
      </c>
      <c r="R177" s="48">
        <v>5.5531178062956925E-2</v>
      </c>
    </row>
    <row r="178" spans="1:18" x14ac:dyDescent="0.15">
      <c r="A178" s="29">
        <v>177</v>
      </c>
      <c r="B178" s="28">
        <v>113622</v>
      </c>
      <c r="C178" s="28" t="s">
        <v>1862</v>
      </c>
      <c r="D178" s="28">
        <v>127.807</v>
      </c>
      <c r="E178" s="48">
        <v>-6.7000000000000002E-3</v>
      </c>
      <c r="F178" s="28">
        <v>15.45</v>
      </c>
      <c r="G178" s="28">
        <v>98.32</v>
      </c>
      <c r="H178" s="48">
        <v>0.2999</v>
      </c>
      <c r="I178" s="45">
        <v>157.797</v>
      </c>
      <c r="J178" s="46">
        <v>46471</v>
      </c>
      <c r="K178" s="47">
        <v>4.5970000000000004</v>
      </c>
      <c r="L178" s="47">
        <v>11.49968</v>
      </c>
      <c r="M178" s="47">
        <v>3552.8436000000002</v>
      </c>
      <c r="N178" s="48">
        <v>2.4173286177670533E-2</v>
      </c>
      <c r="O178" s="48">
        <v>-2.8153999999999998E-2</v>
      </c>
      <c r="P178" s="28">
        <v>131.19900000000001</v>
      </c>
      <c r="Q178" s="28">
        <v>126.148</v>
      </c>
      <c r="R178" s="48">
        <v>4.0040270158861149E-2</v>
      </c>
    </row>
    <row r="179" spans="1:18" x14ac:dyDescent="0.15">
      <c r="A179" s="29">
        <v>178</v>
      </c>
      <c r="B179" s="28">
        <v>113057</v>
      </c>
      <c r="C179" s="28" t="s">
        <v>1806</v>
      </c>
      <c r="D179" s="28">
        <v>118.009</v>
      </c>
      <c r="E179" s="48">
        <v>-1.9E-3</v>
      </c>
      <c r="F179" s="28">
        <v>9.93</v>
      </c>
      <c r="G179" s="28">
        <v>90.74</v>
      </c>
      <c r="H179" s="48">
        <v>0.30049999999999999</v>
      </c>
      <c r="I179" s="45">
        <v>148.059</v>
      </c>
      <c r="J179" s="46">
        <v>46836</v>
      </c>
      <c r="K179" s="47">
        <v>5.5970000000000004</v>
      </c>
      <c r="L179" s="47">
        <v>78</v>
      </c>
      <c r="M179" s="47">
        <v>8335.5470999999998</v>
      </c>
      <c r="N179" s="48">
        <v>9.0557490074094742E-3</v>
      </c>
      <c r="O179" s="48">
        <v>-1.2636000000000001E-2</v>
      </c>
      <c r="P179" s="28">
        <v>119.15</v>
      </c>
      <c r="Q179" s="28">
        <v>117.11</v>
      </c>
      <c r="R179" s="48">
        <v>1.7419520109299005E-2</v>
      </c>
    </row>
    <row r="180" spans="1:18" x14ac:dyDescent="0.15">
      <c r="A180" s="29">
        <v>179</v>
      </c>
      <c r="B180" s="28">
        <v>111004</v>
      </c>
      <c r="C180" s="28" t="s">
        <v>797</v>
      </c>
      <c r="D180" s="28">
        <v>142.35</v>
      </c>
      <c r="E180" s="48">
        <v>-3.1600000000000003E-2</v>
      </c>
      <c r="F180" s="28">
        <v>24.51</v>
      </c>
      <c r="G180" s="28">
        <v>109.06</v>
      </c>
      <c r="H180" s="48">
        <v>0.30519999999999997</v>
      </c>
      <c r="I180" s="45">
        <v>172.87</v>
      </c>
      <c r="J180" s="46">
        <v>46842</v>
      </c>
      <c r="K180" s="47">
        <v>5.6139999999999999</v>
      </c>
      <c r="L180" s="47">
        <v>6.73</v>
      </c>
      <c r="M180" s="47">
        <v>3339.2015999999999</v>
      </c>
      <c r="N180" s="48">
        <v>3.4855402652671064E-2</v>
      </c>
      <c r="O180" s="48">
        <v>-2.9041000000000001E-2</v>
      </c>
      <c r="P180" s="28">
        <v>147</v>
      </c>
      <c r="Q180" s="28">
        <v>139.702</v>
      </c>
      <c r="R180" s="48">
        <v>5.2239767505118051E-2</v>
      </c>
    </row>
    <row r="181" spans="1:18" x14ac:dyDescent="0.15">
      <c r="A181" s="29">
        <v>180</v>
      </c>
      <c r="B181" s="28">
        <v>110087</v>
      </c>
      <c r="C181" s="28" t="s">
        <v>2015</v>
      </c>
      <c r="D181" s="28">
        <v>122.027</v>
      </c>
      <c r="E181" s="48">
        <v>2.3999999999999998E-3</v>
      </c>
      <c r="F181" s="28">
        <v>6.9</v>
      </c>
      <c r="G181" s="28">
        <v>93.48</v>
      </c>
      <c r="H181" s="48">
        <v>0.3054</v>
      </c>
      <c r="I181" s="45">
        <v>152.56700000000001</v>
      </c>
      <c r="J181" s="46">
        <v>46927</v>
      </c>
      <c r="K181" s="47">
        <v>5.8470000000000004</v>
      </c>
      <c r="L181" s="47">
        <v>30</v>
      </c>
      <c r="M181" s="47">
        <v>9137.2832999999991</v>
      </c>
      <c r="N181" s="48">
        <v>2.4959731043129797E-2</v>
      </c>
      <c r="O181" s="48">
        <v>-1.3991999999999999E-2</v>
      </c>
      <c r="P181" s="28">
        <v>123.6</v>
      </c>
      <c r="Q181" s="28">
        <v>121.7</v>
      </c>
      <c r="R181" s="48">
        <v>1.561216105176657E-2</v>
      </c>
    </row>
    <row r="182" spans="1:18" x14ac:dyDescent="0.15">
      <c r="A182" s="29">
        <v>181</v>
      </c>
      <c r="B182" s="28">
        <v>113017</v>
      </c>
      <c r="C182" s="28" t="s">
        <v>107</v>
      </c>
      <c r="D182" s="28">
        <v>111.886</v>
      </c>
      <c r="E182" s="48">
        <v>-4.4000000000000003E-3</v>
      </c>
      <c r="F182" s="28">
        <v>2.23</v>
      </c>
      <c r="G182" s="28">
        <v>85.65</v>
      </c>
      <c r="H182" s="48">
        <v>0.30630000000000002</v>
      </c>
      <c r="I182" s="45">
        <v>142.51599999999999</v>
      </c>
      <c r="J182" s="46">
        <v>45287</v>
      </c>
      <c r="K182" s="47">
        <v>1.353</v>
      </c>
      <c r="L182" s="47">
        <v>11.349869999999999</v>
      </c>
      <c r="M182" s="47">
        <v>3346.6365000000001</v>
      </c>
      <c r="N182" s="48">
        <v>2.635371884549911E-2</v>
      </c>
      <c r="O182" s="48">
        <v>-2.9350000000000001E-2</v>
      </c>
      <c r="P182" s="28">
        <v>112.94499999999999</v>
      </c>
      <c r="Q182" s="28">
        <v>111.408</v>
      </c>
      <c r="R182" s="48">
        <v>1.3796136722676934E-2</v>
      </c>
    </row>
    <row r="183" spans="1:18" x14ac:dyDescent="0.15">
      <c r="A183" s="29">
        <v>182</v>
      </c>
      <c r="B183" s="28">
        <v>118014</v>
      </c>
      <c r="C183" s="28" t="s">
        <v>2023</v>
      </c>
      <c r="D183" s="28">
        <v>148.517</v>
      </c>
      <c r="E183" s="48">
        <v>-2.6800000000000001E-2</v>
      </c>
      <c r="F183" s="28">
        <v>84.81</v>
      </c>
      <c r="G183" s="28">
        <v>113.62</v>
      </c>
      <c r="H183" s="48">
        <v>0.30709999999999998</v>
      </c>
      <c r="I183" s="45">
        <v>179.227</v>
      </c>
      <c r="J183" s="46">
        <v>46952</v>
      </c>
      <c r="K183" s="47">
        <v>5.915</v>
      </c>
      <c r="L183" s="47">
        <v>4.8330000000000002</v>
      </c>
      <c r="M183" s="47">
        <v>12230.7876</v>
      </c>
      <c r="N183" s="48">
        <v>0.17039681040721041</v>
      </c>
      <c r="O183" s="48">
        <v>-4.3968999999999994E-2</v>
      </c>
      <c r="P183" s="28">
        <v>153.99</v>
      </c>
      <c r="Q183" s="28">
        <v>145.1</v>
      </c>
      <c r="R183" s="48">
        <v>6.1268090971743731E-2</v>
      </c>
    </row>
    <row r="184" spans="1:18" x14ac:dyDescent="0.15">
      <c r="A184" s="29">
        <v>183</v>
      </c>
      <c r="B184" s="28">
        <v>128025</v>
      </c>
      <c r="C184" s="28" t="s">
        <v>50</v>
      </c>
      <c r="D184" s="28">
        <v>127.7</v>
      </c>
      <c r="E184" s="48">
        <v>-1.7500000000000002E-2</v>
      </c>
      <c r="F184" s="28">
        <v>13.15</v>
      </c>
      <c r="G184" s="28">
        <v>97.49</v>
      </c>
      <c r="H184" s="48">
        <v>0.30990000000000001</v>
      </c>
      <c r="I184" s="45">
        <v>158.69</v>
      </c>
      <c r="J184" s="46">
        <v>45266</v>
      </c>
      <c r="K184" s="47">
        <v>1.296</v>
      </c>
      <c r="L184" s="47">
        <v>2.9765139999999999</v>
      </c>
      <c r="M184" s="47">
        <v>1645.6767339999999</v>
      </c>
      <c r="N184" s="48">
        <v>4.3295793388014467E-2</v>
      </c>
      <c r="O184" s="48">
        <v>-0.125361</v>
      </c>
      <c r="P184" s="28">
        <v>129.99</v>
      </c>
      <c r="Q184" s="28">
        <v>127.56699999999999</v>
      </c>
      <c r="R184" s="48">
        <v>1.8993940439141911E-2</v>
      </c>
    </row>
    <row r="185" spans="1:18" x14ac:dyDescent="0.15">
      <c r="A185" s="29">
        <v>184</v>
      </c>
      <c r="B185" s="28">
        <v>128014</v>
      </c>
      <c r="C185" s="28" t="s">
        <v>175</v>
      </c>
      <c r="D185" s="28">
        <v>129.1</v>
      </c>
      <c r="E185" s="48">
        <v>-1.66E-2</v>
      </c>
      <c r="F185" s="28">
        <v>11.49</v>
      </c>
      <c r="G185" s="28">
        <v>98.52</v>
      </c>
      <c r="H185" s="48">
        <v>0.31040000000000001</v>
      </c>
      <c r="I185" s="45">
        <v>160.13999999999999</v>
      </c>
      <c r="J185" s="46">
        <v>45033</v>
      </c>
      <c r="K185" s="47">
        <v>0.65800000000000003</v>
      </c>
      <c r="L185" s="47">
        <v>3.369488</v>
      </c>
      <c r="M185" s="47">
        <v>3988.2188569999998</v>
      </c>
      <c r="N185" s="48">
        <v>9.1683002257359911E-2</v>
      </c>
      <c r="O185" s="48">
        <v>-0.23683099999999999</v>
      </c>
      <c r="P185" s="28">
        <v>131.94</v>
      </c>
      <c r="Q185" s="28">
        <v>128.50800000000001</v>
      </c>
      <c r="R185" s="48">
        <v>2.6706508544215052E-2</v>
      </c>
    </row>
    <row r="186" spans="1:18" x14ac:dyDescent="0.15">
      <c r="A186" s="29">
        <v>185</v>
      </c>
      <c r="B186" s="28">
        <v>127039</v>
      </c>
      <c r="C186" s="28" t="s">
        <v>1794</v>
      </c>
      <c r="D186" s="28">
        <v>119.5</v>
      </c>
      <c r="E186" s="48">
        <v>-1.11E-2</v>
      </c>
      <c r="F186" s="28">
        <v>8.17</v>
      </c>
      <c r="G186" s="28">
        <v>91.19</v>
      </c>
      <c r="H186" s="48">
        <v>0.3105</v>
      </c>
      <c r="I186" s="45">
        <v>150.55000000000001</v>
      </c>
      <c r="J186" s="46">
        <v>46567</v>
      </c>
      <c r="K186" s="47">
        <v>4.8600000000000003</v>
      </c>
      <c r="L186" s="47">
        <v>17.631114000000004</v>
      </c>
      <c r="M186" s="47">
        <v>2861.580434</v>
      </c>
      <c r="N186" s="48">
        <v>1.3581830270297596E-2</v>
      </c>
      <c r="O186" s="48">
        <v>-1.2004999999999998E-2</v>
      </c>
      <c r="P186" s="28">
        <v>120.98699999999999</v>
      </c>
      <c r="Q186" s="28">
        <v>119.4</v>
      </c>
      <c r="R186" s="48">
        <v>1.3291457286432069E-2</v>
      </c>
    </row>
    <row r="187" spans="1:18" x14ac:dyDescent="0.15">
      <c r="A187" s="29">
        <v>186</v>
      </c>
      <c r="B187" s="28">
        <v>127019</v>
      </c>
      <c r="C187" s="28" t="s">
        <v>163</v>
      </c>
      <c r="D187" s="28">
        <v>118.7</v>
      </c>
      <c r="E187" s="48">
        <v>-2.7799999999999998E-2</v>
      </c>
      <c r="F187" s="28">
        <v>21.06</v>
      </c>
      <c r="G187" s="28">
        <v>90.27</v>
      </c>
      <c r="H187" s="48">
        <v>0.31489999999999996</v>
      </c>
      <c r="I187" s="45">
        <v>150.19</v>
      </c>
      <c r="J187" s="46">
        <v>46218</v>
      </c>
      <c r="K187" s="47">
        <v>3.9039999999999999</v>
      </c>
      <c r="L187" s="47">
        <v>8.4977850000000004</v>
      </c>
      <c r="M187" s="47">
        <v>3471.0209629000001</v>
      </c>
      <c r="N187" s="48">
        <v>3.4411276137497109E-2</v>
      </c>
      <c r="O187" s="48">
        <v>-9.7900000000000001E-3</v>
      </c>
      <c r="P187" s="28">
        <v>122.995</v>
      </c>
      <c r="Q187" s="28">
        <v>118.66</v>
      </c>
      <c r="R187" s="48">
        <v>3.6532951289398347E-2</v>
      </c>
    </row>
    <row r="188" spans="1:18" x14ac:dyDescent="0.15">
      <c r="A188" s="29">
        <v>187</v>
      </c>
      <c r="B188" s="28">
        <v>128076</v>
      </c>
      <c r="C188" s="28" t="s">
        <v>125</v>
      </c>
      <c r="D188" s="28">
        <v>132.209</v>
      </c>
      <c r="E188" s="48">
        <v>-1.6500000000000001E-2</v>
      </c>
      <c r="F188" s="28">
        <v>14.51</v>
      </c>
      <c r="G188" s="28">
        <v>100.41</v>
      </c>
      <c r="H188" s="48">
        <v>0.31670000000000004</v>
      </c>
      <c r="I188" s="45">
        <v>163.87900000000002</v>
      </c>
      <c r="J188" s="46">
        <v>45944</v>
      </c>
      <c r="K188" s="47">
        <v>3.153</v>
      </c>
      <c r="L188" s="47">
        <v>2.137302</v>
      </c>
      <c r="M188" s="47">
        <v>12221.882736</v>
      </c>
      <c r="N188" s="48">
        <v>0.43252498529557382</v>
      </c>
      <c r="O188" s="48">
        <v>-4.5998000000000004E-2</v>
      </c>
      <c r="P188" s="28">
        <v>137.97999999999999</v>
      </c>
      <c r="Q188" s="28">
        <v>131.80000000000001</v>
      </c>
      <c r="R188" s="48">
        <v>4.6889226100151581E-2</v>
      </c>
    </row>
    <row r="189" spans="1:18" x14ac:dyDescent="0.15">
      <c r="A189" s="29">
        <v>188</v>
      </c>
      <c r="B189" s="28">
        <v>127060</v>
      </c>
      <c r="C189" s="28" t="s">
        <v>1974</v>
      </c>
      <c r="D189" s="28">
        <v>129.001</v>
      </c>
      <c r="E189" s="48">
        <v>1.3600000000000001E-2</v>
      </c>
      <c r="F189" s="28">
        <v>42.56</v>
      </c>
      <c r="G189" s="28">
        <v>97.89</v>
      </c>
      <c r="H189" s="48">
        <v>0.31780000000000003</v>
      </c>
      <c r="I189" s="45">
        <v>160.78100000000001</v>
      </c>
      <c r="J189" s="46">
        <v>46862</v>
      </c>
      <c r="K189" s="47">
        <v>5.6680000000000001</v>
      </c>
      <c r="L189" s="47">
        <v>6.4</v>
      </c>
      <c r="M189" s="47">
        <v>11528.1719362</v>
      </c>
      <c r="N189" s="48">
        <v>0.13963278308162339</v>
      </c>
      <c r="O189" s="48">
        <v>-2.1547999999999998E-2</v>
      </c>
      <c r="P189" s="28">
        <v>129.792</v>
      </c>
      <c r="Q189" s="28">
        <v>127.6</v>
      </c>
      <c r="R189" s="48">
        <v>1.7178683385579995E-2</v>
      </c>
    </row>
    <row r="190" spans="1:18" x14ac:dyDescent="0.15">
      <c r="A190" s="29">
        <v>189</v>
      </c>
      <c r="B190" s="28">
        <v>110075</v>
      </c>
      <c r="C190" s="28" t="s">
        <v>1801</v>
      </c>
      <c r="D190" s="28">
        <v>133.702</v>
      </c>
      <c r="E190" s="48">
        <v>-4.0000000000000002E-4</v>
      </c>
      <c r="F190" s="28">
        <v>6.2</v>
      </c>
      <c r="G190" s="28">
        <v>101.45</v>
      </c>
      <c r="H190" s="48">
        <v>0.31790000000000002</v>
      </c>
      <c r="I190" s="45">
        <v>165.49199999999999</v>
      </c>
      <c r="J190" s="46">
        <v>46310</v>
      </c>
      <c r="K190" s="47">
        <v>4.1559999999999997</v>
      </c>
      <c r="L190" s="47">
        <v>58.964280000000002</v>
      </c>
      <c r="M190" s="47">
        <v>2365.2667000000001</v>
      </c>
      <c r="N190" s="48">
        <v>3.0002207743938234E-3</v>
      </c>
      <c r="O190" s="48">
        <v>-4.6868E-2</v>
      </c>
      <c r="P190" s="28">
        <v>134.32</v>
      </c>
      <c r="Q190" s="28">
        <v>132.655</v>
      </c>
      <c r="R190" s="48">
        <v>1.2551355018657359E-2</v>
      </c>
    </row>
    <row r="191" spans="1:18" x14ac:dyDescent="0.15">
      <c r="A191" s="29">
        <v>190</v>
      </c>
      <c r="B191" s="28">
        <v>127016</v>
      </c>
      <c r="C191" s="28" t="s">
        <v>1816</v>
      </c>
      <c r="D191" s="28">
        <v>118.881</v>
      </c>
      <c r="E191" s="48">
        <v>7.000000000000001E-4</v>
      </c>
      <c r="F191" s="28">
        <v>8.61</v>
      </c>
      <c r="G191" s="28">
        <v>90.13</v>
      </c>
      <c r="H191" s="48">
        <v>0.31900000000000001</v>
      </c>
      <c r="I191" s="45">
        <v>150.78100000000001</v>
      </c>
      <c r="J191" s="46">
        <v>46121</v>
      </c>
      <c r="K191" s="47">
        <v>3.6379999999999999</v>
      </c>
      <c r="L191" s="47">
        <v>13.998524</v>
      </c>
      <c r="M191" s="47">
        <v>3988.4245001999998</v>
      </c>
      <c r="N191" s="48">
        <v>2.3966613903423539E-2</v>
      </c>
      <c r="O191" s="48">
        <v>-8.5209999999999991E-3</v>
      </c>
      <c r="P191" s="28">
        <v>119</v>
      </c>
      <c r="Q191" s="28">
        <v>116.846</v>
      </c>
      <c r="R191" s="48">
        <v>1.8434520651113399E-2</v>
      </c>
    </row>
    <row r="192" spans="1:18" x14ac:dyDescent="0.15">
      <c r="A192" s="29">
        <v>191</v>
      </c>
      <c r="B192" s="28">
        <v>123035</v>
      </c>
      <c r="C192" s="28" t="s">
        <v>120</v>
      </c>
      <c r="D192" s="28">
        <v>134.42400000000001</v>
      </c>
      <c r="E192" s="48">
        <v>-4.3200000000000002E-2</v>
      </c>
      <c r="F192" s="28">
        <v>6.91</v>
      </c>
      <c r="G192" s="28">
        <v>101.88</v>
      </c>
      <c r="H192" s="48">
        <v>0.31940000000000002</v>
      </c>
      <c r="I192" s="45">
        <v>166.364</v>
      </c>
      <c r="J192" s="46">
        <v>45975</v>
      </c>
      <c r="K192" s="47">
        <v>3.238</v>
      </c>
      <c r="L192" s="47">
        <v>7.9877229999999999</v>
      </c>
      <c r="M192" s="47">
        <v>12203.726915000001</v>
      </c>
      <c r="N192" s="48">
        <v>0.11365607931126058</v>
      </c>
      <c r="O192" s="48">
        <v>-4.9776000000000001E-2</v>
      </c>
      <c r="P192" s="28">
        <v>142.959</v>
      </c>
      <c r="Q192" s="28">
        <v>134</v>
      </c>
      <c r="R192" s="48">
        <v>6.6858208955223902E-2</v>
      </c>
    </row>
    <row r="193" spans="1:18" x14ac:dyDescent="0.15">
      <c r="A193" s="29">
        <v>192</v>
      </c>
      <c r="B193" s="28">
        <v>128044</v>
      </c>
      <c r="C193" s="28" t="s">
        <v>126</v>
      </c>
      <c r="D193" s="28">
        <v>114.41</v>
      </c>
      <c r="E193" s="48">
        <v>-3.4000000000000002E-3</v>
      </c>
      <c r="F193" s="28">
        <v>3.43</v>
      </c>
      <c r="G193" s="28">
        <v>86.59</v>
      </c>
      <c r="H193" s="48">
        <v>0.32130000000000003</v>
      </c>
      <c r="I193" s="45">
        <v>146.54</v>
      </c>
      <c r="J193" s="46">
        <v>45518</v>
      </c>
      <c r="K193" s="47">
        <v>1.986</v>
      </c>
      <c r="L193" s="47">
        <v>6.5727690000000001</v>
      </c>
      <c r="M193" s="47">
        <v>10944.346452</v>
      </c>
      <c r="N193" s="48">
        <v>0.14553836030143399</v>
      </c>
      <c r="O193" s="48">
        <v>-2.5165000000000003E-2</v>
      </c>
      <c r="P193" s="28">
        <v>117.988</v>
      </c>
      <c r="Q193" s="28">
        <v>114.19</v>
      </c>
      <c r="R193" s="48">
        <v>3.3260355547771278E-2</v>
      </c>
    </row>
    <row r="194" spans="1:18" x14ac:dyDescent="0.15">
      <c r="A194" s="29">
        <v>193</v>
      </c>
      <c r="B194" s="28">
        <v>113577</v>
      </c>
      <c r="C194" s="28" t="s">
        <v>112</v>
      </c>
      <c r="D194" s="28">
        <v>136.99600000000001</v>
      </c>
      <c r="E194" s="48">
        <v>-2.1299999999999999E-2</v>
      </c>
      <c r="F194" s="28">
        <v>10.75</v>
      </c>
      <c r="G194" s="28">
        <v>103.63</v>
      </c>
      <c r="H194" s="48">
        <v>0.32200000000000001</v>
      </c>
      <c r="I194" s="45">
        <v>169.19600000000003</v>
      </c>
      <c r="J194" s="46">
        <v>46126</v>
      </c>
      <c r="K194" s="47">
        <v>3.6520000000000001</v>
      </c>
      <c r="L194" s="47">
        <v>1.7774799999999999</v>
      </c>
      <c r="M194" s="47">
        <v>1793.2646999999999</v>
      </c>
      <c r="N194" s="48">
        <v>7.3643053900395133E-2</v>
      </c>
      <c r="O194" s="48">
        <v>-4.3053999999999995E-2</v>
      </c>
      <c r="P194" s="28">
        <v>141.065</v>
      </c>
      <c r="Q194" s="28">
        <v>136.017</v>
      </c>
      <c r="R194" s="48">
        <v>3.711300793283194E-2</v>
      </c>
    </row>
    <row r="195" spans="1:18" x14ac:dyDescent="0.15">
      <c r="A195" s="29">
        <v>194</v>
      </c>
      <c r="B195" s="28">
        <v>123044</v>
      </c>
      <c r="C195" s="28" t="s">
        <v>157</v>
      </c>
      <c r="D195" s="28">
        <v>123.949</v>
      </c>
      <c r="E195" s="48">
        <v>-1.6299999999999999E-2</v>
      </c>
      <c r="F195" s="28">
        <v>18.62</v>
      </c>
      <c r="G195" s="28">
        <v>93.72</v>
      </c>
      <c r="H195" s="48">
        <v>0.32250000000000001</v>
      </c>
      <c r="I195" s="45">
        <v>156.19900000000001</v>
      </c>
      <c r="J195" s="46">
        <v>46093</v>
      </c>
      <c r="K195" s="47">
        <v>3.5619999999999998</v>
      </c>
      <c r="L195" s="47">
        <v>5.4958900000000002</v>
      </c>
      <c r="M195" s="47">
        <v>2236.9761749999998</v>
      </c>
      <c r="N195" s="48">
        <v>3.283827228626688E-2</v>
      </c>
      <c r="O195" s="48">
        <v>5.8200000000000005E-4</v>
      </c>
      <c r="P195" s="28">
        <v>126.5</v>
      </c>
      <c r="Q195" s="28">
        <v>122.825</v>
      </c>
      <c r="R195" s="48">
        <v>2.9920618766537732E-2</v>
      </c>
    </row>
    <row r="196" spans="1:18" x14ac:dyDescent="0.15">
      <c r="A196" s="29">
        <v>195</v>
      </c>
      <c r="B196" s="28">
        <v>113618</v>
      </c>
      <c r="C196" s="28" t="s">
        <v>1796</v>
      </c>
      <c r="D196" s="28">
        <v>135.714</v>
      </c>
      <c r="E196" s="48">
        <v>-1.83E-2</v>
      </c>
      <c r="F196" s="28">
        <v>26.51</v>
      </c>
      <c r="G196" s="28">
        <v>102.41</v>
      </c>
      <c r="H196" s="48">
        <v>0.32520000000000004</v>
      </c>
      <c r="I196" s="45">
        <v>168.23400000000001</v>
      </c>
      <c r="J196" s="46">
        <v>46401</v>
      </c>
      <c r="K196" s="47">
        <v>4.4050000000000002</v>
      </c>
      <c r="L196" s="47">
        <v>4.7696500000000004</v>
      </c>
      <c r="M196" s="47">
        <v>2816.5409</v>
      </c>
      <c r="N196" s="48">
        <v>4.3511584612588063E-2</v>
      </c>
      <c r="O196" s="48">
        <v>-3.7774999999999996E-2</v>
      </c>
      <c r="P196" s="28">
        <v>138.74299999999999</v>
      </c>
      <c r="Q196" s="28">
        <v>135.62700000000001</v>
      </c>
      <c r="R196" s="48">
        <v>2.2974776408827041E-2</v>
      </c>
    </row>
    <row r="197" spans="1:18" x14ac:dyDescent="0.15">
      <c r="A197" s="29">
        <v>196</v>
      </c>
      <c r="B197" s="28">
        <v>113524</v>
      </c>
      <c r="C197" s="28" t="s">
        <v>205</v>
      </c>
      <c r="D197" s="28">
        <v>126.96899999999999</v>
      </c>
      <c r="E197" s="48">
        <v>-1.8799999999999997E-2</v>
      </c>
      <c r="F197" s="28">
        <v>13.68</v>
      </c>
      <c r="G197" s="28">
        <v>95.76</v>
      </c>
      <c r="H197" s="48">
        <v>0.32590000000000002</v>
      </c>
      <c r="I197" s="45">
        <v>159.559</v>
      </c>
      <c r="J197" s="46">
        <v>45640</v>
      </c>
      <c r="K197" s="47">
        <v>2.3210000000000002</v>
      </c>
      <c r="L197" s="47">
        <v>3.2974899999999998</v>
      </c>
      <c r="M197" s="47">
        <v>2279.8137000000002</v>
      </c>
      <c r="N197" s="48">
        <v>5.4452543773930946E-2</v>
      </c>
      <c r="O197" s="48">
        <v>-3.7713000000000003E-2</v>
      </c>
      <c r="P197" s="28">
        <v>129.29</v>
      </c>
      <c r="Q197" s="28">
        <v>125.81100000000001</v>
      </c>
      <c r="R197" s="48">
        <v>2.7652589996105148E-2</v>
      </c>
    </row>
    <row r="198" spans="1:18" x14ac:dyDescent="0.15">
      <c r="A198" s="29">
        <v>197</v>
      </c>
      <c r="B198" s="28">
        <v>127032</v>
      </c>
      <c r="C198" s="28" t="s">
        <v>1811</v>
      </c>
      <c r="D198" s="28">
        <v>116.5</v>
      </c>
      <c r="E198" s="48">
        <v>-3.0000000000000001E-3</v>
      </c>
      <c r="F198" s="28">
        <v>7.11</v>
      </c>
      <c r="G198" s="28">
        <v>87.76</v>
      </c>
      <c r="H198" s="48">
        <v>0.32750000000000001</v>
      </c>
      <c r="I198" s="45">
        <v>149.25</v>
      </c>
      <c r="J198" s="46">
        <v>46489</v>
      </c>
      <c r="K198" s="47">
        <v>4.6470000000000002</v>
      </c>
      <c r="L198" s="47">
        <v>49.995489999999997</v>
      </c>
      <c r="M198" s="47">
        <v>5598.8416225000001</v>
      </c>
      <c r="N198" s="48">
        <v>9.612612332310486E-3</v>
      </c>
      <c r="O198" s="48">
        <v>-3.0240000000000002E-3</v>
      </c>
      <c r="P198" s="28">
        <v>116.848</v>
      </c>
      <c r="Q198" s="28">
        <v>115.51</v>
      </c>
      <c r="R198" s="48">
        <v>1.1583412691541804E-2</v>
      </c>
    </row>
    <row r="199" spans="1:18" x14ac:dyDescent="0.15">
      <c r="A199" s="29">
        <v>198</v>
      </c>
      <c r="B199" s="28">
        <v>113045</v>
      </c>
      <c r="C199" s="28" t="s">
        <v>1855</v>
      </c>
      <c r="D199" s="28">
        <v>130.09200000000001</v>
      </c>
      <c r="E199" s="48">
        <v>-6.8999999999999999E-3</v>
      </c>
      <c r="F199" s="28">
        <v>19.52</v>
      </c>
      <c r="G199" s="28">
        <v>97.85</v>
      </c>
      <c r="H199" s="48">
        <v>0.32950000000000002</v>
      </c>
      <c r="I199" s="45">
        <v>163.04200000000003</v>
      </c>
      <c r="J199" s="46">
        <v>46450</v>
      </c>
      <c r="K199" s="47">
        <v>4.54</v>
      </c>
      <c r="L199" s="47">
        <v>34.49933</v>
      </c>
      <c r="M199" s="47">
        <v>4085.8537000000001</v>
      </c>
      <c r="N199" s="48">
        <v>9.1037759454160178E-3</v>
      </c>
      <c r="O199" s="48">
        <v>-3.3050000000000003E-2</v>
      </c>
      <c r="P199" s="28">
        <v>131.917</v>
      </c>
      <c r="Q199" s="28">
        <v>126.38</v>
      </c>
      <c r="R199" s="48">
        <v>4.3812312074695416E-2</v>
      </c>
    </row>
    <row r="200" spans="1:18" x14ac:dyDescent="0.15">
      <c r="A200" s="29">
        <v>199</v>
      </c>
      <c r="B200" s="28">
        <v>127050</v>
      </c>
      <c r="C200" s="28" t="s">
        <v>1844</v>
      </c>
      <c r="D200" s="28">
        <v>135.5</v>
      </c>
      <c r="E200" s="48">
        <v>7.000000000000001E-4</v>
      </c>
      <c r="F200" s="28">
        <v>34.68</v>
      </c>
      <c r="G200" s="28">
        <v>101.82</v>
      </c>
      <c r="H200" s="48">
        <v>0.33079999999999998</v>
      </c>
      <c r="I200" s="45">
        <v>168.57999999999998</v>
      </c>
      <c r="J200" s="46">
        <v>46702</v>
      </c>
      <c r="K200" s="47">
        <v>5.23</v>
      </c>
      <c r="L200" s="47">
        <v>21.988949000000002</v>
      </c>
      <c r="M200" s="47">
        <v>7751.5529893999992</v>
      </c>
      <c r="N200" s="48">
        <v>2.6016265321322684E-2</v>
      </c>
      <c r="O200" s="48">
        <v>-3.1253999999999997E-2</v>
      </c>
      <c r="P200" s="28">
        <v>137.66</v>
      </c>
      <c r="Q200" s="28">
        <v>131.607</v>
      </c>
      <c r="R200" s="48">
        <v>4.5992994293616578E-2</v>
      </c>
    </row>
    <row r="201" spans="1:18" x14ac:dyDescent="0.15">
      <c r="A201" s="29">
        <v>200</v>
      </c>
      <c r="B201" s="28">
        <v>113526</v>
      </c>
      <c r="C201" s="28" t="s">
        <v>135</v>
      </c>
      <c r="D201" s="28">
        <v>139.48500000000001</v>
      </c>
      <c r="E201" s="48">
        <v>-1.03E-2</v>
      </c>
      <c r="F201" s="28">
        <v>5.72</v>
      </c>
      <c r="G201" s="28">
        <v>104.72</v>
      </c>
      <c r="H201" s="48">
        <v>0.33200000000000002</v>
      </c>
      <c r="I201" s="45">
        <v>172.685</v>
      </c>
      <c r="J201" s="46">
        <v>45680</v>
      </c>
      <c r="K201" s="47">
        <v>2.4300000000000002</v>
      </c>
      <c r="L201" s="47">
        <v>1.9287300000000001</v>
      </c>
      <c r="M201" s="47">
        <v>2340.2406000000001</v>
      </c>
      <c r="N201" s="48">
        <v>8.698844491315541E-2</v>
      </c>
      <c r="O201" s="48">
        <v>-9.6915000000000001E-2</v>
      </c>
      <c r="P201" s="28">
        <v>140.91900000000001</v>
      </c>
      <c r="Q201" s="28">
        <v>139.21899999999999</v>
      </c>
      <c r="R201" s="48">
        <v>1.2210976949985398E-2</v>
      </c>
    </row>
    <row r="202" spans="1:18" x14ac:dyDescent="0.15">
      <c r="A202" s="29">
        <v>201</v>
      </c>
      <c r="B202" s="28">
        <v>127021</v>
      </c>
      <c r="C202" s="28" t="s">
        <v>204</v>
      </c>
      <c r="D202" s="28">
        <v>128.09899999999999</v>
      </c>
      <c r="E202" s="48">
        <v>-1.9900000000000001E-2</v>
      </c>
      <c r="F202" s="28">
        <v>7.33</v>
      </c>
      <c r="G202" s="28">
        <v>96.04</v>
      </c>
      <c r="H202" s="48">
        <v>0.33380000000000004</v>
      </c>
      <c r="I202" s="45">
        <v>161.47899999999998</v>
      </c>
      <c r="J202" s="46">
        <v>45876</v>
      </c>
      <c r="K202" s="47">
        <v>2.9670000000000001</v>
      </c>
      <c r="L202" s="47">
        <v>4.1594360000000004</v>
      </c>
      <c r="M202" s="47">
        <v>4031.7086724000001</v>
      </c>
      <c r="N202" s="48">
        <v>7.5667425366728158E-2</v>
      </c>
      <c r="O202" s="48">
        <v>-4.3208999999999997E-2</v>
      </c>
      <c r="P202" s="28">
        <v>131.97999999999999</v>
      </c>
      <c r="Q202" s="28">
        <v>128.00200000000001</v>
      </c>
      <c r="R202" s="48">
        <v>3.1077639411884031E-2</v>
      </c>
    </row>
    <row r="203" spans="1:18" x14ac:dyDescent="0.15">
      <c r="A203" s="29">
        <v>202</v>
      </c>
      <c r="B203" s="28">
        <v>123077</v>
      </c>
      <c r="C203" s="28" t="s">
        <v>200</v>
      </c>
      <c r="D203" s="28">
        <v>123.649</v>
      </c>
      <c r="E203" s="48">
        <v>-1.8600000000000002E-2</v>
      </c>
      <c r="F203" s="28">
        <v>9.69</v>
      </c>
      <c r="G203" s="28">
        <v>92.47</v>
      </c>
      <c r="H203" s="48">
        <v>0.3372</v>
      </c>
      <c r="I203" s="45">
        <v>157.369</v>
      </c>
      <c r="J203" s="46">
        <v>46349</v>
      </c>
      <c r="K203" s="47">
        <v>4.2629999999999999</v>
      </c>
      <c r="L203" s="47">
        <v>9.3674440000000008</v>
      </c>
      <c r="M203" s="47">
        <v>5067.9026634000002</v>
      </c>
      <c r="N203" s="48">
        <v>4.3753877961280802E-2</v>
      </c>
      <c r="O203" s="48">
        <v>2.7929999999999999E-3</v>
      </c>
      <c r="P203" s="28">
        <v>127.72499999999999</v>
      </c>
      <c r="Q203" s="28">
        <v>123.401</v>
      </c>
      <c r="R203" s="48">
        <v>3.5040234682052807E-2</v>
      </c>
    </row>
    <row r="204" spans="1:18" x14ac:dyDescent="0.15">
      <c r="A204" s="29">
        <v>203</v>
      </c>
      <c r="B204" s="28">
        <v>123152</v>
      </c>
      <c r="C204" s="28" t="s">
        <v>2009</v>
      </c>
      <c r="D204" s="28">
        <v>169.3</v>
      </c>
      <c r="E204" s="48">
        <v>-5.6799999999999996E-2</v>
      </c>
      <c r="F204" s="28">
        <v>29.27</v>
      </c>
      <c r="G204" s="28">
        <v>126.51</v>
      </c>
      <c r="H204" s="48">
        <v>0.3382</v>
      </c>
      <c r="I204" s="45">
        <v>203.12</v>
      </c>
      <c r="J204" s="46">
        <v>46955</v>
      </c>
      <c r="K204" s="47">
        <v>5.923</v>
      </c>
      <c r="L204" s="47">
        <v>2.9235000000000002</v>
      </c>
      <c r="M204" s="47">
        <v>17458.412725600003</v>
      </c>
      <c r="N204" s="48">
        <v>0.35273186931449746</v>
      </c>
      <c r="O204" s="48">
        <v>-5.1439000000000006E-2</v>
      </c>
      <c r="P204" s="28">
        <v>178.7</v>
      </c>
      <c r="Q204" s="28">
        <v>168.82</v>
      </c>
      <c r="R204" s="48">
        <v>5.8523871579196751E-2</v>
      </c>
    </row>
    <row r="205" spans="1:18" x14ac:dyDescent="0.15">
      <c r="A205" s="29">
        <v>204</v>
      </c>
      <c r="B205" s="28">
        <v>110063</v>
      </c>
      <c r="C205" s="28" t="s">
        <v>1805</v>
      </c>
      <c r="D205" s="28">
        <v>113.985</v>
      </c>
      <c r="E205" s="48">
        <v>-1E-3</v>
      </c>
      <c r="F205" s="28">
        <v>3.15</v>
      </c>
      <c r="G205" s="28">
        <v>85.08</v>
      </c>
      <c r="H205" s="48">
        <v>0.3397</v>
      </c>
      <c r="I205" s="45">
        <v>147.95499999999998</v>
      </c>
      <c r="J205" s="46">
        <v>46004</v>
      </c>
      <c r="K205" s="47">
        <v>3.3180000000000001</v>
      </c>
      <c r="L205" s="47">
        <v>18.44462</v>
      </c>
      <c r="M205" s="47">
        <v>782.37440000000004</v>
      </c>
      <c r="N205" s="48">
        <v>3.7213217023234564E-3</v>
      </c>
      <c r="O205" s="48">
        <v>3.7990000000000003E-3</v>
      </c>
      <c r="P205" s="28">
        <v>114.1</v>
      </c>
      <c r="Q205" s="28">
        <v>113.5</v>
      </c>
      <c r="R205" s="48">
        <v>5.2863436123347513E-3</v>
      </c>
    </row>
    <row r="206" spans="1:18" x14ac:dyDescent="0.15">
      <c r="A206" s="29">
        <v>205</v>
      </c>
      <c r="B206" s="28">
        <v>127064</v>
      </c>
      <c r="C206" s="28" t="s">
        <v>2017</v>
      </c>
      <c r="D206" s="28">
        <v>173.5</v>
      </c>
      <c r="E206" s="48">
        <v>-5.4400000000000004E-2</v>
      </c>
      <c r="F206" s="28">
        <v>28.69</v>
      </c>
      <c r="G206" s="28">
        <v>129.49</v>
      </c>
      <c r="H206" s="48">
        <v>0.33990000000000004</v>
      </c>
      <c r="I206" s="45">
        <v>207.49</v>
      </c>
      <c r="J206" s="46">
        <v>46892</v>
      </c>
      <c r="K206" s="47">
        <v>5.7510000000000003</v>
      </c>
      <c r="L206" s="47">
        <v>11.37</v>
      </c>
      <c r="M206" s="47">
        <v>14379.118166999999</v>
      </c>
      <c r="N206" s="48">
        <v>7.289073154745157E-2</v>
      </c>
      <c r="O206" s="48">
        <v>-7.3447999999999999E-2</v>
      </c>
      <c r="P206" s="28">
        <v>186.5</v>
      </c>
      <c r="Q206" s="28">
        <v>172.601</v>
      </c>
      <c r="R206" s="48">
        <v>8.0526764039605805E-2</v>
      </c>
    </row>
    <row r="207" spans="1:18" x14ac:dyDescent="0.15">
      <c r="A207" s="29">
        <v>206</v>
      </c>
      <c r="B207" s="28">
        <v>110070</v>
      </c>
      <c r="C207" s="28" t="s">
        <v>88</v>
      </c>
      <c r="D207" s="28">
        <v>124.22199999999999</v>
      </c>
      <c r="E207" s="48">
        <v>-7.0999999999999995E-3</v>
      </c>
      <c r="F207" s="28">
        <v>2.59</v>
      </c>
      <c r="G207" s="28">
        <v>92.66</v>
      </c>
      <c r="H207" s="48">
        <v>0.34060000000000001</v>
      </c>
      <c r="I207" s="45">
        <v>158.28199999999998</v>
      </c>
      <c r="J207" s="46">
        <v>46125</v>
      </c>
      <c r="K207" s="47">
        <v>3.649</v>
      </c>
      <c r="L207" s="47">
        <v>2.17055</v>
      </c>
      <c r="M207" s="47">
        <v>2140.3845000000001</v>
      </c>
      <c r="N207" s="48">
        <v>7.9382264845756625E-2</v>
      </c>
      <c r="O207" s="48">
        <v>-1.7294E-2</v>
      </c>
      <c r="P207" s="28">
        <v>125.227</v>
      </c>
      <c r="Q207" s="28">
        <v>123.77</v>
      </c>
      <c r="R207" s="48">
        <v>1.1771834854972997E-2</v>
      </c>
    </row>
    <row r="208" spans="1:18" x14ac:dyDescent="0.15">
      <c r="A208" s="29">
        <v>207</v>
      </c>
      <c r="B208" s="28">
        <v>128137</v>
      </c>
      <c r="C208" s="28" t="s">
        <v>2019</v>
      </c>
      <c r="D208" s="28">
        <v>135</v>
      </c>
      <c r="E208" s="48">
        <v>-1.8200000000000001E-2</v>
      </c>
      <c r="F208" s="28">
        <v>27.43</v>
      </c>
      <c r="G208" s="28">
        <v>100.26</v>
      </c>
      <c r="H208" s="48">
        <v>0.34649999999999997</v>
      </c>
      <c r="I208" s="45">
        <v>169.65</v>
      </c>
      <c r="J208" s="46">
        <v>46330</v>
      </c>
      <c r="K208" s="47">
        <v>4.2110000000000003</v>
      </c>
      <c r="L208" s="47">
        <v>5.9940730000000002</v>
      </c>
      <c r="M208" s="47">
        <v>2048.7305882000001</v>
      </c>
      <c r="N208" s="48">
        <v>2.5317980169435397E-2</v>
      </c>
      <c r="O208" s="48">
        <v>-3.4255000000000001E-2</v>
      </c>
      <c r="P208" s="28">
        <v>139.41999999999999</v>
      </c>
      <c r="Q208" s="28">
        <v>135</v>
      </c>
      <c r="R208" s="48">
        <v>3.2740740740740647E-2</v>
      </c>
    </row>
    <row r="209" spans="1:18" x14ac:dyDescent="0.15">
      <c r="A209" s="29">
        <v>208</v>
      </c>
      <c r="B209" s="28">
        <v>118011</v>
      </c>
      <c r="C209" s="28" t="s">
        <v>2021</v>
      </c>
      <c r="D209" s="28">
        <v>137.59299999999999</v>
      </c>
      <c r="E209" s="48">
        <v>-3.4300000000000004E-2</v>
      </c>
      <c r="F209" s="28">
        <v>31.95</v>
      </c>
      <c r="G209" s="28">
        <v>102.07</v>
      </c>
      <c r="H209" s="48">
        <v>0.34799999999999998</v>
      </c>
      <c r="I209" s="45">
        <v>172.39299999999997</v>
      </c>
      <c r="J209" s="46">
        <v>46938</v>
      </c>
      <c r="K209" s="47">
        <v>5.8769999999999998</v>
      </c>
      <c r="L209" s="47">
        <v>5</v>
      </c>
      <c r="M209" s="47">
        <v>11667.0026</v>
      </c>
      <c r="N209" s="48">
        <v>0.16958715341623484</v>
      </c>
      <c r="O209" s="48">
        <v>-2.1476000000000002E-2</v>
      </c>
      <c r="P209" s="28">
        <v>144.19</v>
      </c>
      <c r="Q209" s="28">
        <v>135.1</v>
      </c>
      <c r="R209" s="48">
        <v>6.72834937083642E-2</v>
      </c>
    </row>
    <row r="210" spans="1:18" x14ac:dyDescent="0.15">
      <c r="A210" s="29">
        <v>209</v>
      </c>
      <c r="B210" s="28">
        <v>127018</v>
      </c>
      <c r="C210" s="28" t="s">
        <v>1800</v>
      </c>
      <c r="D210" s="28">
        <v>116.39</v>
      </c>
      <c r="E210" s="48">
        <v>-1.8E-3</v>
      </c>
      <c r="F210" s="28">
        <v>3.95</v>
      </c>
      <c r="G210" s="28">
        <v>86.08</v>
      </c>
      <c r="H210" s="48">
        <v>0.35210000000000002</v>
      </c>
      <c r="I210" s="45">
        <v>151.6</v>
      </c>
      <c r="J210" s="46">
        <v>46202</v>
      </c>
      <c r="K210" s="47">
        <v>3.86</v>
      </c>
      <c r="L210" s="47">
        <v>56.310593000000011</v>
      </c>
      <c r="M210" s="47">
        <v>5139.3651761000001</v>
      </c>
      <c r="N210" s="48">
        <v>7.8415823634230362E-3</v>
      </c>
      <c r="O210" s="48">
        <v>2.3969000000000001E-2</v>
      </c>
      <c r="P210" s="28">
        <v>116.833</v>
      </c>
      <c r="Q210" s="28">
        <v>116.3</v>
      </c>
      <c r="R210" s="48">
        <v>4.5829750644884029E-3</v>
      </c>
    </row>
    <row r="211" spans="1:18" x14ac:dyDescent="0.15">
      <c r="A211" s="29">
        <v>210</v>
      </c>
      <c r="B211" s="28">
        <v>110047</v>
      </c>
      <c r="C211" s="28" t="s">
        <v>1810</v>
      </c>
      <c r="D211" s="28">
        <v>114</v>
      </c>
      <c r="E211" s="48">
        <v>0</v>
      </c>
      <c r="F211" s="28">
        <v>3.19</v>
      </c>
      <c r="G211" s="28">
        <v>84.01</v>
      </c>
      <c r="H211" s="48">
        <v>0.35700000000000004</v>
      </c>
      <c r="I211" s="45">
        <v>149.69999999999999</v>
      </c>
      <c r="J211" s="46">
        <v>45617</v>
      </c>
      <c r="K211" s="47">
        <v>2.258</v>
      </c>
      <c r="L211" s="47">
        <v>22.461279999999999</v>
      </c>
      <c r="M211" s="47">
        <v>1337.6013</v>
      </c>
      <c r="N211" s="48">
        <v>5.2238094787305563E-3</v>
      </c>
      <c r="O211" s="48">
        <v>9.8329999999999997E-3</v>
      </c>
      <c r="P211" s="28">
        <v>114.19799999999999</v>
      </c>
      <c r="Q211" s="28">
        <v>113.622</v>
      </c>
      <c r="R211" s="48">
        <v>5.0694407773141945E-3</v>
      </c>
    </row>
    <row r="212" spans="1:18" x14ac:dyDescent="0.15">
      <c r="A212" s="29">
        <v>211</v>
      </c>
      <c r="B212" s="28">
        <v>128127</v>
      </c>
      <c r="C212" s="28" t="s">
        <v>202</v>
      </c>
      <c r="D212" s="28">
        <v>110.45</v>
      </c>
      <c r="E212" s="48">
        <v>-5.0000000000000001E-4</v>
      </c>
      <c r="F212" s="28">
        <v>4.88</v>
      </c>
      <c r="G212" s="28">
        <v>81.349999999999994</v>
      </c>
      <c r="H212" s="48">
        <v>0.35770000000000002</v>
      </c>
      <c r="I212" s="45">
        <v>146.22</v>
      </c>
      <c r="J212" s="46">
        <v>46254</v>
      </c>
      <c r="K212" s="47">
        <v>4.0030000000000001</v>
      </c>
      <c r="L212" s="47">
        <v>9.4928229999999996</v>
      </c>
      <c r="M212" s="47">
        <v>2157.442321</v>
      </c>
      <c r="N212" s="48">
        <v>2.0576812028966166E-2</v>
      </c>
      <c r="O212" s="48">
        <v>2.3199000000000001E-2</v>
      </c>
      <c r="P212" s="28">
        <v>110.762</v>
      </c>
      <c r="Q212" s="28">
        <v>110.123</v>
      </c>
      <c r="R212" s="48">
        <v>5.8026025444275564E-3</v>
      </c>
    </row>
    <row r="213" spans="1:18" x14ac:dyDescent="0.15">
      <c r="A213" s="29">
        <v>212</v>
      </c>
      <c r="B213" s="28">
        <v>123151</v>
      </c>
      <c r="C213" s="28" t="s">
        <v>2014</v>
      </c>
      <c r="D213" s="28">
        <v>122.75</v>
      </c>
      <c r="E213" s="48">
        <v>-7.1999999999999998E-3</v>
      </c>
      <c r="F213" s="28">
        <v>28.22</v>
      </c>
      <c r="G213" s="28">
        <v>90.26</v>
      </c>
      <c r="H213" s="48">
        <v>0.36</v>
      </c>
      <c r="I213" s="45">
        <v>158.75</v>
      </c>
      <c r="J213" s="46">
        <v>46935</v>
      </c>
      <c r="K213" s="47">
        <v>5.8680000000000003</v>
      </c>
      <c r="L213" s="47">
        <v>7</v>
      </c>
      <c r="M213" s="47">
        <v>3014.8571842000001</v>
      </c>
      <c r="N213" s="48">
        <v>3.5087078082048292E-2</v>
      </c>
      <c r="O213" s="48">
        <v>-1.6350000000000002E-3</v>
      </c>
      <c r="P213" s="28">
        <v>123.91</v>
      </c>
      <c r="Q213" s="28">
        <v>122.702</v>
      </c>
      <c r="R213" s="48">
        <v>9.8449903017065604E-3</v>
      </c>
    </row>
    <row r="214" spans="1:18" x14ac:dyDescent="0.15">
      <c r="A214" s="29">
        <v>213</v>
      </c>
      <c r="B214" s="28">
        <v>123118</v>
      </c>
      <c r="C214" s="28" t="s">
        <v>222</v>
      </c>
      <c r="D214" s="28">
        <v>125.5</v>
      </c>
      <c r="E214" s="48">
        <v>-3.4000000000000002E-3</v>
      </c>
      <c r="F214" s="28">
        <v>17.059999999999999</v>
      </c>
      <c r="G214" s="28">
        <v>92.26</v>
      </c>
      <c r="H214" s="48">
        <v>0.36030000000000001</v>
      </c>
      <c r="I214" s="45">
        <v>161.53</v>
      </c>
      <c r="J214" s="46">
        <v>46575</v>
      </c>
      <c r="K214" s="47">
        <v>4.8819999999999997</v>
      </c>
      <c r="L214" s="47">
        <v>3.1992880000000001</v>
      </c>
      <c r="M214" s="47">
        <v>2444.8769848000002</v>
      </c>
      <c r="N214" s="48">
        <v>6.0891959437070362E-2</v>
      </c>
      <c r="O214" s="48">
        <v>-7.2629999999999995E-3</v>
      </c>
      <c r="P214" s="28">
        <v>127.09099999999999</v>
      </c>
      <c r="Q214" s="28">
        <v>124.34</v>
      </c>
      <c r="R214" s="48">
        <v>2.2124819044555176E-2</v>
      </c>
    </row>
    <row r="215" spans="1:18" x14ac:dyDescent="0.15">
      <c r="A215" s="29">
        <v>214</v>
      </c>
      <c r="B215" s="28">
        <v>113013</v>
      </c>
      <c r="C215" s="28" t="s">
        <v>1823</v>
      </c>
      <c r="D215" s="28">
        <v>111.523</v>
      </c>
      <c r="E215" s="48">
        <v>-6.9999999999999993E-3</v>
      </c>
      <c r="F215" s="28">
        <v>17.77</v>
      </c>
      <c r="G215" s="28">
        <v>81.94</v>
      </c>
      <c r="H215" s="48">
        <v>0.36099999999999999</v>
      </c>
      <c r="I215" s="45">
        <v>147.62299999999999</v>
      </c>
      <c r="J215" s="46">
        <v>45114</v>
      </c>
      <c r="K215" s="47">
        <v>0.879</v>
      </c>
      <c r="L215" s="47">
        <v>69.901759999999996</v>
      </c>
      <c r="M215" s="47">
        <v>4586.1967000000004</v>
      </c>
      <c r="N215" s="48">
        <v>5.883017270242691E-3</v>
      </c>
      <c r="O215" s="48">
        <v>-6.6037999999999999E-2</v>
      </c>
      <c r="P215" s="28">
        <v>112.59</v>
      </c>
      <c r="Q215" s="28">
        <v>111.23</v>
      </c>
      <c r="R215" s="48">
        <v>1.2226917198597495E-2</v>
      </c>
    </row>
    <row r="216" spans="1:18" x14ac:dyDescent="0.15">
      <c r="A216" s="29">
        <v>215</v>
      </c>
      <c r="B216" s="28">
        <v>128049</v>
      </c>
      <c r="C216" s="28" t="s">
        <v>189</v>
      </c>
      <c r="D216" s="28">
        <v>118.13800000000001</v>
      </c>
      <c r="E216" s="48">
        <v>-1.4199999999999999E-2</v>
      </c>
      <c r="F216" s="28">
        <v>7.37</v>
      </c>
      <c r="G216" s="28">
        <v>86.7</v>
      </c>
      <c r="H216" s="48">
        <v>0.36259999999999998</v>
      </c>
      <c r="I216" s="45">
        <v>154.398</v>
      </c>
      <c r="J216" s="46">
        <v>45623</v>
      </c>
      <c r="K216" s="47">
        <v>2.274</v>
      </c>
      <c r="L216" s="47">
        <v>3.6314389999999999</v>
      </c>
      <c r="M216" s="47">
        <v>1790.595055</v>
      </c>
      <c r="N216" s="48">
        <v>4.1737748053018484E-2</v>
      </c>
      <c r="O216" s="48">
        <v>-1.7774000000000002E-2</v>
      </c>
      <c r="P216" s="28">
        <v>119.89100000000001</v>
      </c>
      <c r="Q216" s="28">
        <v>117.501</v>
      </c>
      <c r="R216" s="48">
        <v>2.0340252423383633E-2</v>
      </c>
    </row>
    <row r="217" spans="1:18" x14ac:dyDescent="0.15">
      <c r="A217" s="29">
        <v>216</v>
      </c>
      <c r="B217" s="28">
        <v>113016</v>
      </c>
      <c r="C217" s="28" t="s">
        <v>1972</v>
      </c>
      <c r="D217" s="28">
        <v>430.56799999999998</v>
      </c>
      <c r="E217" s="48">
        <v>-3.32E-2</v>
      </c>
      <c r="F217" s="28">
        <v>20.170000000000002</v>
      </c>
      <c r="G217" s="28">
        <v>315.22000000000003</v>
      </c>
      <c r="H217" s="48">
        <v>0.36590000000000006</v>
      </c>
      <c r="I217" s="45">
        <v>467.15800000000002</v>
      </c>
      <c r="J217" s="46">
        <v>45236</v>
      </c>
      <c r="K217" s="47">
        <v>1.214</v>
      </c>
      <c r="L217" s="47">
        <v>2.06474</v>
      </c>
      <c r="M217" s="47">
        <v>35163.910900000003</v>
      </c>
      <c r="N217" s="48">
        <v>0.39553967267957107</v>
      </c>
      <c r="O217" s="48">
        <v>-0.68268299999999993</v>
      </c>
      <c r="P217" s="28">
        <v>445</v>
      </c>
      <c r="Q217" s="28">
        <v>428.029</v>
      </c>
      <c r="R217" s="48">
        <v>3.9649182648839223E-2</v>
      </c>
    </row>
    <row r="218" spans="1:18" x14ac:dyDescent="0.15">
      <c r="A218" s="29">
        <v>217</v>
      </c>
      <c r="B218" s="28">
        <v>123142</v>
      </c>
      <c r="C218" s="28" t="s">
        <v>763</v>
      </c>
      <c r="D218" s="28">
        <v>126.998</v>
      </c>
      <c r="E218" s="48">
        <v>-3.0499999999999999E-2</v>
      </c>
      <c r="F218" s="28">
        <v>34.11</v>
      </c>
      <c r="G218" s="28">
        <v>92.91</v>
      </c>
      <c r="H218" s="48">
        <v>0.3669</v>
      </c>
      <c r="I218" s="45">
        <v>163.68799999999999</v>
      </c>
      <c r="J218" s="46">
        <v>46830</v>
      </c>
      <c r="K218" s="47">
        <v>5.5810000000000004</v>
      </c>
      <c r="L218" s="47">
        <v>5.5</v>
      </c>
      <c r="M218" s="47">
        <v>5010.6188352999998</v>
      </c>
      <c r="N218" s="48">
        <v>7.1735114444178794E-2</v>
      </c>
      <c r="O218" s="48">
        <v>-1.6399999999999998E-2</v>
      </c>
      <c r="P218" s="28">
        <v>131.27500000000001</v>
      </c>
      <c r="Q218" s="28">
        <v>126.05</v>
      </c>
      <c r="R218" s="48">
        <v>4.1451804839349536E-2</v>
      </c>
    </row>
    <row r="219" spans="1:18" x14ac:dyDescent="0.15">
      <c r="A219" s="29">
        <v>218</v>
      </c>
      <c r="B219" s="28">
        <v>113047</v>
      </c>
      <c r="C219" s="28" t="s">
        <v>1820</v>
      </c>
      <c r="D219" s="28">
        <v>141.82499999999999</v>
      </c>
      <c r="E219" s="48">
        <v>1.2699999999999999E-2</v>
      </c>
      <c r="F219" s="28">
        <v>12.01</v>
      </c>
      <c r="G219" s="28">
        <v>103.66</v>
      </c>
      <c r="H219" s="48">
        <v>0.36820000000000003</v>
      </c>
      <c r="I219" s="45">
        <v>178.64499999999998</v>
      </c>
      <c r="J219" s="46">
        <v>46486</v>
      </c>
      <c r="K219" s="47">
        <v>4.6379999999999999</v>
      </c>
      <c r="L219" s="47">
        <v>14.98672</v>
      </c>
      <c r="M219" s="47">
        <v>13525.1003</v>
      </c>
      <c r="N219" s="48">
        <v>6.3632811012182405E-2</v>
      </c>
      <c r="O219" s="48">
        <v>-4.6917999999999994E-2</v>
      </c>
      <c r="P219" s="28">
        <v>142.41</v>
      </c>
      <c r="Q219" s="28">
        <v>137.435</v>
      </c>
      <c r="R219" s="48">
        <v>3.6198930403463413E-2</v>
      </c>
    </row>
    <row r="220" spans="1:18" x14ac:dyDescent="0.15">
      <c r="A220" s="29">
        <v>219</v>
      </c>
      <c r="B220" s="28">
        <v>127042</v>
      </c>
      <c r="C220" s="28" t="s">
        <v>92</v>
      </c>
      <c r="D220" s="28">
        <v>113.492</v>
      </c>
      <c r="E220" s="48">
        <v>-5.3E-3</v>
      </c>
      <c r="F220" s="28">
        <v>4.8600000000000003</v>
      </c>
      <c r="G220" s="28">
        <v>82.92</v>
      </c>
      <c r="H220" s="48">
        <v>0.36869999999999997</v>
      </c>
      <c r="I220" s="45">
        <v>150.36199999999999</v>
      </c>
      <c r="J220" s="46">
        <v>46608</v>
      </c>
      <c r="K220" s="47">
        <v>4.9729999999999999</v>
      </c>
      <c r="L220" s="47">
        <v>7.4982160000000002</v>
      </c>
      <c r="M220" s="47">
        <v>915.51502370000003</v>
      </c>
      <c r="N220" s="48">
        <v>1.0758266027792148E-2</v>
      </c>
      <c r="O220" s="48">
        <v>5.8919999999999997E-3</v>
      </c>
      <c r="P220" s="28">
        <v>114.38800000000001</v>
      </c>
      <c r="Q220" s="28">
        <v>113</v>
      </c>
      <c r="R220" s="48">
        <v>1.228318584070801E-2</v>
      </c>
    </row>
    <row r="221" spans="1:18" x14ac:dyDescent="0.15">
      <c r="A221" s="29">
        <v>220</v>
      </c>
      <c r="B221" s="28">
        <v>113621</v>
      </c>
      <c r="C221" s="28" t="s">
        <v>229</v>
      </c>
      <c r="D221" s="28">
        <v>154.583</v>
      </c>
      <c r="E221" s="48">
        <v>-1.7299999999999999E-2</v>
      </c>
      <c r="F221" s="28">
        <v>32.53</v>
      </c>
      <c r="G221" s="28">
        <v>112.85</v>
      </c>
      <c r="H221" s="48">
        <v>0.36979999999999996</v>
      </c>
      <c r="I221" s="45">
        <v>191.56299999999999</v>
      </c>
      <c r="J221" s="46">
        <v>46413</v>
      </c>
      <c r="K221" s="47">
        <v>4.4379999999999997</v>
      </c>
      <c r="L221" s="47">
        <v>5.3670088394000004</v>
      </c>
      <c r="M221" s="47">
        <v>35378.781900000002</v>
      </c>
      <c r="N221" s="48">
        <v>0.42643106399042402</v>
      </c>
      <c r="O221" s="48">
        <v>-6.5932000000000004E-2</v>
      </c>
      <c r="P221" s="28">
        <v>163.14699999999999</v>
      </c>
      <c r="Q221" s="28">
        <v>152.05799999999999</v>
      </c>
      <c r="R221" s="48">
        <v>7.2926120296202754E-2</v>
      </c>
    </row>
    <row r="222" spans="1:18" x14ac:dyDescent="0.15">
      <c r="A222" s="29">
        <v>221</v>
      </c>
      <c r="B222" s="28">
        <v>127054</v>
      </c>
      <c r="C222" s="28" t="s">
        <v>766</v>
      </c>
      <c r="D222" s="28">
        <v>117.929</v>
      </c>
      <c r="E222" s="48">
        <v>-6.3E-3</v>
      </c>
      <c r="F222" s="28">
        <v>7.71</v>
      </c>
      <c r="G222" s="28">
        <v>85.86</v>
      </c>
      <c r="H222" s="48">
        <v>0.3735</v>
      </c>
      <c r="I222" s="45">
        <v>155.279</v>
      </c>
      <c r="J222" s="46">
        <v>46794</v>
      </c>
      <c r="K222" s="47">
        <v>5.4820000000000002</v>
      </c>
      <c r="L222" s="47">
        <v>5.1362980000000009</v>
      </c>
      <c r="M222" s="47">
        <v>1807.9045068999999</v>
      </c>
      <c r="N222" s="48">
        <v>2.9847273051310824E-2</v>
      </c>
      <c r="O222" s="48">
        <v>-1.3079999999999999E-3</v>
      </c>
      <c r="P222" s="28">
        <v>119.443</v>
      </c>
      <c r="Q222" s="28">
        <v>116.419</v>
      </c>
      <c r="R222" s="48">
        <v>2.5975141514701216E-2</v>
      </c>
    </row>
    <row r="223" spans="1:18" x14ac:dyDescent="0.15">
      <c r="A223" s="29">
        <v>222</v>
      </c>
      <c r="B223" s="28">
        <v>110064</v>
      </c>
      <c r="C223" s="28" t="s">
        <v>1783</v>
      </c>
      <c r="D223" s="28">
        <v>117.958</v>
      </c>
      <c r="E223" s="48">
        <v>-5.4000000000000003E-3</v>
      </c>
      <c r="F223" s="28">
        <v>4.49</v>
      </c>
      <c r="G223" s="28">
        <v>85.75</v>
      </c>
      <c r="H223" s="48">
        <v>0.37560000000000004</v>
      </c>
      <c r="I223" s="45">
        <v>155.518</v>
      </c>
      <c r="J223" s="46">
        <v>46011</v>
      </c>
      <c r="K223" s="47">
        <v>3.3370000000000002</v>
      </c>
      <c r="L223" s="47">
        <v>12.645949999999999</v>
      </c>
      <c r="M223" s="47">
        <v>1751.7148999999999</v>
      </c>
      <c r="N223" s="48">
        <v>1.174314878290487E-2</v>
      </c>
      <c r="O223" s="48">
        <v>3.2240000000000003E-3</v>
      </c>
      <c r="P223" s="28">
        <v>119.1</v>
      </c>
      <c r="Q223" s="28">
        <v>117.3</v>
      </c>
      <c r="R223" s="48">
        <v>1.5345268542199465E-2</v>
      </c>
    </row>
    <row r="224" spans="1:18" x14ac:dyDescent="0.15">
      <c r="A224" s="29">
        <v>223</v>
      </c>
      <c r="B224" s="28">
        <v>123134</v>
      </c>
      <c r="C224" s="28" t="s">
        <v>261</v>
      </c>
      <c r="D224" s="28">
        <v>166.4</v>
      </c>
      <c r="E224" s="48">
        <v>-6.9400000000000003E-2</v>
      </c>
      <c r="F224" s="28">
        <v>75.7</v>
      </c>
      <c r="G224" s="28">
        <v>120.61</v>
      </c>
      <c r="H224" s="48">
        <v>0.37969999999999998</v>
      </c>
      <c r="I224" s="45">
        <v>204.37</v>
      </c>
      <c r="J224" s="46">
        <v>46748</v>
      </c>
      <c r="K224" s="47">
        <v>5.3559999999999999</v>
      </c>
      <c r="L224" s="47">
        <v>2.7871619999999999</v>
      </c>
      <c r="M224" s="47">
        <v>29243.870799</v>
      </c>
      <c r="N224" s="48">
        <v>0.63054969843652786</v>
      </c>
      <c r="O224" s="48">
        <v>-5.8765999999999999E-2</v>
      </c>
      <c r="P224" s="28">
        <v>179.1</v>
      </c>
      <c r="Q224" s="28">
        <v>165.16</v>
      </c>
      <c r="R224" s="48">
        <v>8.440300314846208E-2</v>
      </c>
    </row>
    <row r="225" spans="1:18" x14ac:dyDescent="0.15">
      <c r="A225" s="29">
        <v>224</v>
      </c>
      <c r="B225" s="28">
        <v>127061</v>
      </c>
      <c r="C225" s="28" t="s">
        <v>1971</v>
      </c>
      <c r="D225" s="28">
        <v>117.3</v>
      </c>
      <c r="E225" s="48">
        <v>-1.2199999999999999E-2</v>
      </c>
      <c r="F225" s="28">
        <v>13.01</v>
      </c>
      <c r="G225" s="28">
        <v>84.93</v>
      </c>
      <c r="H225" s="48">
        <v>0.38109999999999999</v>
      </c>
      <c r="I225" s="45">
        <v>155.41</v>
      </c>
      <c r="J225" s="46">
        <v>46863</v>
      </c>
      <c r="K225" s="47">
        <v>5.6710000000000003</v>
      </c>
      <c r="L225" s="47">
        <v>35.9</v>
      </c>
      <c r="M225" s="47">
        <v>4645.8037366999997</v>
      </c>
      <c r="N225" s="48">
        <v>1.1032359321265143E-2</v>
      </c>
      <c r="O225" s="48">
        <v>9.4160000000000008E-3</v>
      </c>
      <c r="P225" s="28">
        <v>118.91500000000001</v>
      </c>
      <c r="Q225" s="28">
        <v>117.3</v>
      </c>
      <c r="R225" s="48">
        <v>1.3768115942029063E-2</v>
      </c>
    </row>
    <row r="226" spans="1:18" x14ac:dyDescent="0.15">
      <c r="A226" s="29">
        <v>225</v>
      </c>
      <c r="B226" s="28">
        <v>127031</v>
      </c>
      <c r="C226" s="28" t="s">
        <v>174</v>
      </c>
      <c r="D226" s="28">
        <v>128.9</v>
      </c>
      <c r="E226" s="48">
        <v>-1.04E-2</v>
      </c>
      <c r="F226" s="28">
        <v>17.57</v>
      </c>
      <c r="G226" s="28">
        <v>93.06</v>
      </c>
      <c r="H226" s="48">
        <v>0.3851</v>
      </c>
      <c r="I226" s="45">
        <v>167.41</v>
      </c>
      <c r="J226" s="46">
        <v>46471</v>
      </c>
      <c r="K226" s="47">
        <v>4.5970000000000004</v>
      </c>
      <c r="L226" s="47">
        <v>9.99939</v>
      </c>
      <c r="M226" s="47">
        <v>1416.933076</v>
      </c>
      <c r="N226" s="48">
        <v>1.099316923343961E-2</v>
      </c>
      <c r="O226" s="48">
        <v>-2.1579999999999998E-2</v>
      </c>
      <c r="P226" s="28">
        <v>130.499</v>
      </c>
      <c r="Q226" s="28">
        <v>128.18</v>
      </c>
      <c r="R226" s="48">
        <v>1.8091745982212422E-2</v>
      </c>
    </row>
    <row r="227" spans="1:18" x14ac:dyDescent="0.15">
      <c r="A227" s="29">
        <v>226</v>
      </c>
      <c r="B227" s="28">
        <v>127026</v>
      </c>
      <c r="C227" s="28" t="s">
        <v>217</v>
      </c>
      <c r="D227" s="28">
        <v>122.42700000000001</v>
      </c>
      <c r="E227" s="48">
        <v>-1.55E-2</v>
      </c>
      <c r="F227" s="28">
        <v>12.62</v>
      </c>
      <c r="G227" s="28">
        <v>88.27</v>
      </c>
      <c r="H227" s="48">
        <v>0.38700000000000001</v>
      </c>
      <c r="I227" s="45">
        <v>161.12700000000001</v>
      </c>
      <c r="J227" s="46">
        <v>46364</v>
      </c>
      <c r="K227" s="47">
        <v>4.3040000000000003</v>
      </c>
      <c r="L227" s="47">
        <v>6.99709</v>
      </c>
      <c r="M227" s="47">
        <v>2607.4487840000002</v>
      </c>
      <c r="N227" s="48">
        <v>3.0438350883281156E-2</v>
      </c>
      <c r="O227" s="48">
        <v>-1.9210999999999999E-2</v>
      </c>
      <c r="P227" s="28">
        <v>124.848</v>
      </c>
      <c r="Q227" s="28">
        <v>120.175</v>
      </c>
      <c r="R227" s="48">
        <v>3.8884959434158532E-2</v>
      </c>
    </row>
    <row r="228" spans="1:18" x14ac:dyDescent="0.15">
      <c r="A228" s="29">
        <v>227</v>
      </c>
      <c r="B228" s="28">
        <v>113602</v>
      </c>
      <c r="C228" s="28" t="s">
        <v>1831</v>
      </c>
      <c r="D228" s="28">
        <v>126.941</v>
      </c>
      <c r="E228" s="48">
        <v>-2.0999999999999999E-3</v>
      </c>
      <c r="F228" s="28">
        <v>27.1</v>
      </c>
      <c r="G228" s="28">
        <v>91.48</v>
      </c>
      <c r="H228" s="48">
        <v>0.3876</v>
      </c>
      <c r="I228" s="45">
        <v>165.70099999999999</v>
      </c>
      <c r="J228" s="46">
        <v>46258</v>
      </c>
      <c r="K228" s="47">
        <v>4.0140000000000002</v>
      </c>
      <c r="L228" s="47">
        <v>17.798739999999999</v>
      </c>
      <c r="M228" s="47">
        <v>6000.9803000000002</v>
      </c>
      <c r="N228" s="48">
        <v>2.6560180787184126E-2</v>
      </c>
      <c r="O228" s="48">
        <v>-2.9390999999999997E-2</v>
      </c>
      <c r="P228" s="28">
        <v>128.31</v>
      </c>
      <c r="Q228" s="28">
        <v>125.303</v>
      </c>
      <c r="R228" s="48">
        <v>2.3997829261869271E-2</v>
      </c>
    </row>
    <row r="229" spans="1:18" x14ac:dyDescent="0.15">
      <c r="A229" s="29">
        <v>228</v>
      </c>
      <c r="B229" s="28">
        <v>128120</v>
      </c>
      <c r="C229" s="28" t="s">
        <v>113</v>
      </c>
      <c r="D229" s="28">
        <v>138.48400000000001</v>
      </c>
      <c r="E229" s="48">
        <v>-3.8300000000000001E-2</v>
      </c>
      <c r="F229" s="28">
        <v>17.72</v>
      </c>
      <c r="G229" s="28">
        <v>99.77</v>
      </c>
      <c r="H229" s="48">
        <v>0.38799999999999996</v>
      </c>
      <c r="I229" s="45">
        <v>177.28399999999999</v>
      </c>
      <c r="J229" s="46">
        <v>46220</v>
      </c>
      <c r="K229" s="47">
        <v>3.91</v>
      </c>
      <c r="L229" s="47">
        <v>2.5986929999999999</v>
      </c>
      <c r="M229" s="47">
        <v>28801.425493999999</v>
      </c>
      <c r="N229" s="48">
        <v>0.80031214466359724</v>
      </c>
      <c r="O229" s="48">
        <v>-4.2573999999999994E-2</v>
      </c>
      <c r="P229" s="28">
        <v>143.316</v>
      </c>
      <c r="Q229" s="28">
        <v>137.357</v>
      </c>
      <c r="R229" s="48">
        <v>4.3383300450650517E-2</v>
      </c>
    </row>
    <row r="230" spans="1:18" x14ac:dyDescent="0.15">
      <c r="A230" s="29">
        <v>229</v>
      </c>
      <c r="B230" s="28">
        <v>128071</v>
      </c>
      <c r="C230" s="28" t="s">
        <v>87</v>
      </c>
      <c r="D230" s="28">
        <v>117.33</v>
      </c>
      <c r="E230" s="48">
        <v>-1.32E-2</v>
      </c>
      <c r="F230" s="28">
        <v>4.04</v>
      </c>
      <c r="G230" s="28">
        <v>84.41</v>
      </c>
      <c r="H230" s="48">
        <v>0.39</v>
      </c>
      <c r="I230" s="45">
        <v>156.32999999999998</v>
      </c>
      <c r="J230" s="46">
        <v>45885</v>
      </c>
      <c r="K230" s="47">
        <v>2.992</v>
      </c>
      <c r="L230" s="47">
        <v>2.999336</v>
      </c>
      <c r="M230" s="47">
        <v>1595.384865</v>
      </c>
      <c r="N230" s="48">
        <v>4.5334755391427173E-2</v>
      </c>
      <c r="O230" s="48">
        <v>-1.1768000000000001E-2</v>
      </c>
      <c r="P230" s="28">
        <v>119.117</v>
      </c>
      <c r="Q230" s="28">
        <v>116.901</v>
      </c>
      <c r="R230" s="48">
        <v>1.8956210810857122E-2</v>
      </c>
    </row>
    <row r="231" spans="1:18" x14ac:dyDescent="0.15">
      <c r="A231" s="29">
        <v>230</v>
      </c>
      <c r="B231" s="28">
        <v>113628</v>
      </c>
      <c r="C231" s="28" t="s">
        <v>212</v>
      </c>
      <c r="D231" s="28">
        <v>115.18</v>
      </c>
      <c r="E231" s="48">
        <v>-6.8000000000000005E-3</v>
      </c>
      <c r="F231" s="28">
        <v>12.94</v>
      </c>
      <c r="G231" s="28">
        <v>82.84</v>
      </c>
      <c r="H231" s="48">
        <v>0.39039999999999997</v>
      </c>
      <c r="I231" s="45">
        <v>154.22</v>
      </c>
      <c r="J231" s="46">
        <v>46622</v>
      </c>
      <c r="K231" s="47">
        <v>5.0110000000000001</v>
      </c>
      <c r="L231" s="47">
        <v>4.1497599999999997</v>
      </c>
      <c r="M231" s="47">
        <v>1250.0581</v>
      </c>
      <c r="N231" s="48">
        <v>2.6153519722877765E-2</v>
      </c>
      <c r="O231" s="48">
        <v>1.1324000000000001E-2</v>
      </c>
      <c r="P231" s="28">
        <v>116.35</v>
      </c>
      <c r="Q231" s="28">
        <v>114.3</v>
      </c>
      <c r="R231" s="48">
        <v>1.7935258092738382E-2</v>
      </c>
    </row>
    <row r="232" spans="1:18" x14ac:dyDescent="0.15">
      <c r="A232" s="29">
        <v>231</v>
      </c>
      <c r="B232" s="28">
        <v>113053</v>
      </c>
      <c r="C232" s="28" t="s">
        <v>1815</v>
      </c>
      <c r="D232" s="28">
        <v>132.654</v>
      </c>
      <c r="E232" s="48">
        <v>-4.0899999999999999E-2</v>
      </c>
      <c r="F232" s="28">
        <v>58.84</v>
      </c>
      <c r="G232" s="28">
        <v>95.38</v>
      </c>
      <c r="H232" s="48">
        <v>0.39079999999999998</v>
      </c>
      <c r="I232" s="45">
        <v>171.73399999999998</v>
      </c>
      <c r="J232" s="46">
        <v>46757</v>
      </c>
      <c r="K232" s="47">
        <v>5.3810000000000002</v>
      </c>
      <c r="L232" s="47">
        <v>69.967070000000007</v>
      </c>
      <c r="M232" s="47">
        <v>47859.981599999999</v>
      </c>
      <c r="N232" s="48">
        <v>5.1565411736350701E-2</v>
      </c>
      <c r="O232" s="48">
        <v>-3.2701000000000001E-2</v>
      </c>
      <c r="P232" s="28">
        <v>138.53800000000001</v>
      </c>
      <c r="Q232" s="28">
        <v>132.37</v>
      </c>
      <c r="R232" s="48">
        <v>4.6596660874820624E-2</v>
      </c>
    </row>
    <row r="233" spans="1:18" x14ac:dyDescent="0.15">
      <c r="A233" s="29">
        <v>232</v>
      </c>
      <c r="B233" s="28">
        <v>113030</v>
      </c>
      <c r="C233" s="28" t="s">
        <v>95</v>
      </c>
      <c r="D233" s="28">
        <v>124.89700000000001</v>
      </c>
      <c r="E233" s="48">
        <v>-7.4999999999999997E-3</v>
      </c>
      <c r="F233" s="28">
        <v>4.96</v>
      </c>
      <c r="G233" s="28">
        <v>89.72</v>
      </c>
      <c r="H233" s="48">
        <v>0.3921</v>
      </c>
      <c r="I233" s="45">
        <v>164.107</v>
      </c>
      <c r="J233" s="46">
        <v>46015</v>
      </c>
      <c r="K233" s="47">
        <v>3.3479999999999999</v>
      </c>
      <c r="L233" s="47">
        <v>2.9504600000000001</v>
      </c>
      <c r="M233" s="47">
        <v>1089.6995999999999</v>
      </c>
      <c r="N233" s="48">
        <v>2.9570934781978107E-2</v>
      </c>
      <c r="O233" s="48">
        <v>-2.1475000000000001E-2</v>
      </c>
      <c r="P233" s="28">
        <v>126</v>
      </c>
      <c r="Q233" s="28">
        <v>123.96</v>
      </c>
      <c r="R233" s="48">
        <v>1.6456921587608957E-2</v>
      </c>
    </row>
    <row r="234" spans="1:18" x14ac:dyDescent="0.15">
      <c r="A234" s="29">
        <v>233</v>
      </c>
      <c r="B234" s="28">
        <v>128144</v>
      </c>
      <c r="C234" s="28" t="s">
        <v>210</v>
      </c>
      <c r="D234" s="28">
        <v>124</v>
      </c>
      <c r="E234" s="48">
        <v>-1.43E-2</v>
      </c>
      <c r="F234" s="28">
        <v>11.2</v>
      </c>
      <c r="G234" s="28">
        <v>89.02</v>
      </c>
      <c r="H234" s="48">
        <v>0.39289999999999997</v>
      </c>
      <c r="I234" s="45">
        <v>163.29</v>
      </c>
      <c r="J234" s="46">
        <v>46447</v>
      </c>
      <c r="K234" s="47">
        <v>4.532</v>
      </c>
      <c r="L234" s="47">
        <v>9.7941579999999995</v>
      </c>
      <c r="M234" s="47">
        <v>1849.3399998</v>
      </c>
      <c r="N234" s="48">
        <v>1.5227477702985406E-2</v>
      </c>
      <c r="O234" s="48">
        <v>-1.9035E-2</v>
      </c>
      <c r="P234" s="28">
        <v>126.57299999999999</v>
      </c>
      <c r="Q234" s="28">
        <v>123.297</v>
      </c>
      <c r="R234" s="48">
        <v>2.6569989537458302E-2</v>
      </c>
    </row>
    <row r="235" spans="1:18" x14ac:dyDescent="0.15">
      <c r="A235" s="29">
        <v>234</v>
      </c>
      <c r="B235" s="28">
        <v>113619</v>
      </c>
      <c r="C235" s="28" t="s">
        <v>213</v>
      </c>
      <c r="D235" s="28">
        <v>129.33600000000001</v>
      </c>
      <c r="E235" s="48">
        <v>-1.34E-2</v>
      </c>
      <c r="F235" s="28">
        <v>19.32</v>
      </c>
      <c r="G235" s="28">
        <v>92.7</v>
      </c>
      <c r="H235" s="48">
        <v>0.39520000000000005</v>
      </c>
      <c r="I235" s="45">
        <v>168.85600000000002</v>
      </c>
      <c r="J235" s="46">
        <v>46407</v>
      </c>
      <c r="K235" s="47">
        <v>4.4219999999999997</v>
      </c>
      <c r="L235" s="47">
        <v>9.9967600000000001</v>
      </c>
      <c r="M235" s="47">
        <v>2314.1228999999998</v>
      </c>
      <c r="N235" s="48">
        <v>1.7898132916014869E-2</v>
      </c>
      <c r="O235" s="48">
        <v>-2.6909000000000002E-2</v>
      </c>
      <c r="P235" s="28">
        <v>132.9</v>
      </c>
      <c r="Q235" s="28">
        <v>128.91999999999999</v>
      </c>
      <c r="R235" s="48">
        <v>3.0871858516909857E-2</v>
      </c>
    </row>
    <row r="236" spans="1:18" x14ac:dyDescent="0.15">
      <c r="A236" s="29">
        <v>235</v>
      </c>
      <c r="B236" s="28">
        <v>113024</v>
      </c>
      <c r="C236" s="28" t="s">
        <v>1817</v>
      </c>
      <c r="D236" s="28">
        <v>117.684</v>
      </c>
      <c r="E236" s="48">
        <v>-8.8999999999999999E-3</v>
      </c>
      <c r="F236" s="28">
        <v>9.6300000000000008</v>
      </c>
      <c r="G236" s="28">
        <v>84.32</v>
      </c>
      <c r="H236" s="48">
        <v>0.3957</v>
      </c>
      <c r="I236" s="45">
        <v>157.25399999999999</v>
      </c>
      <c r="J236" s="46">
        <v>45755</v>
      </c>
      <c r="K236" s="47">
        <v>2.6360000000000001</v>
      </c>
      <c r="L236" s="47">
        <v>29.953790000000001</v>
      </c>
      <c r="M236" s="47">
        <v>2684.7314000000001</v>
      </c>
      <c r="N236" s="48">
        <v>7.6160825061433726E-3</v>
      </c>
      <c r="O236" s="48">
        <v>-3.1514E-2</v>
      </c>
      <c r="P236" s="28">
        <v>118.81</v>
      </c>
      <c r="Q236" s="28">
        <v>116.509</v>
      </c>
      <c r="R236" s="48">
        <v>1.9749547245277204E-2</v>
      </c>
    </row>
    <row r="237" spans="1:18" x14ac:dyDescent="0.15">
      <c r="A237" s="29">
        <v>236</v>
      </c>
      <c r="B237" s="28">
        <v>128143</v>
      </c>
      <c r="C237" s="28" t="s">
        <v>114</v>
      </c>
      <c r="D237" s="28">
        <v>136.1</v>
      </c>
      <c r="E237" s="48">
        <v>-3.4099999999999998E-2</v>
      </c>
      <c r="F237" s="28">
        <v>12.63</v>
      </c>
      <c r="G237" s="28">
        <v>97.39</v>
      </c>
      <c r="H237" s="48">
        <v>0.39750000000000002</v>
      </c>
      <c r="I237" s="45">
        <v>175.85</v>
      </c>
      <c r="J237" s="46">
        <v>46395</v>
      </c>
      <c r="K237" s="47">
        <v>4.3890000000000002</v>
      </c>
      <c r="L237" s="47">
        <v>2.4419819999999999</v>
      </c>
      <c r="M237" s="47">
        <v>22380.654960800002</v>
      </c>
      <c r="N237" s="48">
        <v>0.67339859855145412</v>
      </c>
      <c r="O237" s="48">
        <v>-2.6654000000000001E-2</v>
      </c>
      <c r="P237" s="28">
        <v>144.44</v>
      </c>
      <c r="Q237" s="28">
        <v>135.63</v>
      </c>
      <c r="R237" s="48">
        <v>6.4956130649561322E-2</v>
      </c>
    </row>
    <row r="238" spans="1:18" x14ac:dyDescent="0.15">
      <c r="A238" s="29">
        <v>237</v>
      </c>
      <c r="B238" s="28">
        <v>113641</v>
      </c>
      <c r="C238" s="28" t="s">
        <v>1832</v>
      </c>
      <c r="D238" s="28">
        <v>131.72900000000001</v>
      </c>
      <c r="E238" s="48">
        <v>-1.5700000000000002E-2</v>
      </c>
      <c r="F238" s="28">
        <v>84.24</v>
      </c>
      <c r="G238" s="28">
        <v>94.1</v>
      </c>
      <c r="H238" s="48">
        <v>0.39990000000000003</v>
      </c>
      <c r="I238" s="45">
        <v>171.71900000000002</v>
      </c>
      <c r="J238" s="46">
        <v>46807</v>
      </c>
      <c r="K238" s="47">
        <v>5.5179999999999998</v>
      </c>
      <c r="L238" s="47">
        <v>76</v>
      </c>
      <c r="M238" s="47">
        <v>16047.572</v>
      </c>
      <c r="N238" s="48">
        <v>1.6029292195180615E-2</v>
      </c>
      <c r="O238" s="48">
        <v>-2.8580999999999999E-2</v>
      </c>
      <c r="P238" s="28">
        <v>134.148</v>
      </c>
      <c r="Q238" s="28">
        <v>130</v>
      </c>
      <c r="R238" s="48">
        <v>3.1907692307692276E-2</v>
      </c>
    </row>
    <row r="239" spans="1:18" x14ac:dyDescent="0.15">
      <c r="A239" s="29">
        <v>238</v>
      </c>
      <c r="B239" s="28">
        <v>128033</v>
      </c>
      <c r="C239" s="28" t="s">
        <v>68</v>
      </c>
      <c r="D239" s="28">
        <v>122.5</v>
      </c>
      <c r="E239" s="48">
        <v>-1.1599999999999999E-2</v>
      </c>
      <c r="F239" s="28">
        <v>8.26</v>
      </c>
      <c r="G239" s="28">
        <v>87.41</v>
      </c>
      <c r="H239" s="48">
        <v>0.40139999999999998</v>
      </c>
      <c r="I239" s="45">
        <v>162.63999999999999</v>
      </c>
      <c r="J239" s="46">
        <v>45287</v>
      </c>
      <c r="K239" s="47">
        <v>1.353</v>
      </c>
      <c r="L239" s="47">
        <v>2.972985</v>
      </c>
      <c r="M239" s="47">
        <v>2028.5481530000002</v>
      </c>
      <c r="N239" s="48">
        <v>5.5700169221115058E-2</v>
      </c>
      <c r="O239" s="48">
        <v>-9.2689000000000007E-2</v>
      </c>
      <c r="P239" s="28">
        <v>124.4</v>
      </c>
      <c r="Q239" s="28">
        <v>121.661</v>
      </c>
      <c r="R239" s="48">
        <v>2.2513377335382778E-2</v>
      </c>
    </row>
    <row r="240" spans="1:18" x14ac:dyDescent="0.15">
      <c r="A240" s="29">
        <v>239</v>
      </c>
      <c r="B240" s="28">
        <v>128030</v>
      </c>
      <c r="C240" s="28" t="s">
        <v>1980</v>
      </c>
      <c r="D240" s="28">
        <v>214.45</v>
      </c>
      <c r="E240" s="48">
        <v>5.6000000000000008E-3</v>
      </c>
      <c r="F240" s="28">
        <v>7.4</v>
      </c>
      <c r="G240" s="28">
        <v>152.84</v>
      </c>
      <c r="H240" s="48">
        <v>0.40310000000000001</v>
      </c>
      <c r="I240" s="45">
        <v>254.76</v>
      </c>
      <c r="J240" s="46">
        <v>45282</v>
      </c>
      <c r="K240" s="47">
        <v>1.34</v>
      </c>
      <c r="L240" s="47">
        <v>0.84722600000000003</v>
      </c>
      <c r="M240" s="47">
        <v>9450.5490917999996</v>
      </c>
      <c r="N240" s="48">
        <v>0.52015372954228267</v>
      </c>
      <c r="O240" s="48">
        <v>-0.39558399999999999</v>
      </c>
      <c r="P240" s="28">
        <v>216.47300000000001</v>
      </c>
      <c r="Q240" s="28">
        <v>212.30099999999999</v>
      </c>
      <c r="R240" s="48">
        <v>1.9651344082223004E-2</v>
      </c>
    </row>
    <row r="241" spans="1:18" x14ac:dyDescent="0.15">
      <c r="A241" s="29">
        <v>240</v>
      </c>
      <c r="B241" s="28">
        <v>123141</v>
      </c>
      <c r="C241" s="28" t="s">
        <v>771</v>
      </c>
      <c r="D241" s="28">
        <v>136.489</v>
      </c>
      <c r="E241" s="48">
        <v>-2.3E-2</v>
      </c>
      <c r="F241" s="28">
        <v>6.88</v>
      </c>
      <c r="G241" s="28">
        <v>97.09</v>
      </c>
      <c r="H241" s="48">
        <v>0.40579999999999999</v>
      </c>
      <c r="I241" s="45">
        <v>177.06900000000002</v>
      </c>
      <c r="J241" s="46">
        <v>46827</v>
      </c>
      <c r="K241" s="47">
        <v>5.5730000000000004</v>
      </c>
      <c r="L241" s="47">
        <v>3.2126000000000001</v>
      </c>
      <c r="M241" s="47">
        <v>5172.6424151000001</v>
      </c>
      <c r="N241" s="48">
        <v>0.11796635207827411</v>
      </c>
      <c r="O241" s="48">
        <v>-2.0797E-2</v>
      </c>
      <c r="P241" s="28">
        <v>140.11000000000001</v>
      </c>
      <c r="Q241" s="28">
        <v>136</v>
      </c>
      <c r="R241" s="48">
        <v>3.0220588235294218E-2</v>
      </c>
    </row>
    <row r="242" spans="1:18" x14ac:dyDescent="0.15">
      <c r="A242" s="29">
        <v>241</v>
      </c>
      <c r="B242" s="28">
        <v>111001</v>
      </c>
      <c r="C242" s="28" t="s">
        <v>206</v>
      </c>
      <c r="D242" s="28">
        <v>122.246</v>
      </c>
      <c r="E242" s="48">
        <v>-1.32E-2</v>
      </c>
      <c r="F242" s="28">
        <v>11.5</v>
      </c>
      <c r="G242" s="28">
        <v>86.61</v>
      </c>
      <c r="H242" s="48">
        <v>0.41149999999999998</v>
      </c>
      <c r="I242" s="45">
        <v>163.39599999999999</v>
      </c>
      <c r="J242" s="46">
        <v>46699</v>
      </c>
      <c r="K242" s="47">
        <v>5.2220000000000004</v>
      </c>
      <c r="L242" s="47">
        <v>5.9993999999999996</v>
      </c>
      <c r="M242" s="47">
        <v>473.20639999999997</v>
      </c>
      <c r="N242" s="48">
        <v>6.4522046443583328E-3</v>
      </c>
      <c r="O242" s="48">
        <v>-1.5054000000000001E-2</v>
      </c>
      <c r="P242" s="28">
        <v>123.88</v>
      </c>
      <c r="Q242" s="28">
        <v>121.7</v>
      </c>
      <c r="R242" s="48">
        <v>1.7912900575184819E-2</v>
      </c>
    </row>
    <row r="243" spans="1:18" x14ac:dyDescent="0.15">
      <c r="A243" s="29">
        <v>242</v>
      </c>
      <c r="B243" s="28">
        <v>127005</v>
      </c>
      <c r="C243" s="28" t="s">
        <v>1826</v>
      </c>
      <c r="D243" s="28">
        <v>114.599</v>
      </c>
      <c r="E243" s="48">
        <v>-9.4999999999999998E-3</v>
      </c>
      <c r="F243" s="28">
        <v>6.83</v>
      </c>
      <c r="G243" s="28">
        <v>81.11</v>
      </c>
      <c r="H243" s="48">
        <v>0.41289999999999999</v>
      </c>
      <c r="I243" s="45">
        <v>155.88900000000001</v>
      </c>
      <c r="J243" s="46">
        <v>45363</v>
      </c>
      <c r="K243" s="47">
        <v>1.5620000000000001</v>
      </c>
      <c r="L243" s="47">
        <v>49.964174999999997</v>
      </c>
      <c r="M243" s="47">
        <v>7032.3566569999994</v>
      </c>
      <c r="N243" s="48">
        <v>1.2281780736917556E-2</v>
      </c>
      <c r="O243" s="48">
        <v>-4.4513999999999998E-2</v>
      </c>
      <c r="P243" s="28">
        <v>115.75</v>
      </c>
      <c r="Q243" s="28">
        <v>113.72499999999999</v>
      </c>
      <c r="R243" s="48">
        <v>1.7806111233238126E-2</v>
      </c>
    </row>
    <row r="244" spans="1:18" x14ac:dyDescent="0.15">
      <c r="A244" s="29">
        <v>243</v>
      </c>
      <c r="B244" s="28">
        <v>123025</v>
      </c>
      <c r="C244" s="28" t="s">
        <v>66</v>
      </c>
      <c r="D244" s="28">
        <v>137.5</v>
      </c>
      <c r="E244" s="48">
        <v>-5.8200000000000002E-2</v>
      </c>
      <c r="F244" s="28">
        <v>49.08</v>
      </c>
      <c r="G244" s="28">
        <v>97.21</v>
      </c>
      <c r="H244" s="48">
        <v>0.41450000000000004</v>
      </c>
      <c r="I244" s="45">
        <v>178.95</v>
      </c>
      <c r="J244" s="46">
        <v>45745</v>
      </c>
      <c r="K244" s="47">
        <v>2.6080000000000001</v>
      </c>
      <c r="L244" s="47">
        <v>3.0864569999999998</v>
      </c>
      <c r="M244" s="47">
        <v>7489.4093239999993</v>
      </c>
      <c r="N244" s="48">
        <v>0.17647558818176548</v>
      </c>
      <c r="O244" s="48">
        <v>-6.5596000000000002E-2</v>
      </c>
      <c r="P244" s="28">
        <v>148.72</v>
      </c>
      <c r="Q244" s="28">
        <v>137.499</v>
      </c>
      <c r="R244" s="48">
        <v>8.1607866239027216E-2</v>
      </c>
    </row>
    <row r="245" spans="1:18" x14ac:dyDescent="0.15">
      <c r="A245" s="29">
        <v>244</v>
      </c>
      <c r="B245" s="28">
        <v>123010</v>
      </c>
      <c r="C245" s="28" t="s">
        <v>182</v>
      </c>
      <c r="D245" s="28">
        <v>116.05200000000001</v>
      </c>
      <c r="E245" s="48">
        <v>-9.1000000000000004E-3</v>
      </c>
      <c r="F245" s="28">
        <v>7.72</v>
      </c>
      <c r="G245" s="28">
        <v>81.87</v>
      </c>
      <c r="H245" s="48">
        <v>0.41749999999999998</v>
      </c>
      <c r="I245" s="45">
        <v>157.80200000000002</v>
      </c>
      <c r="J245" s="46">
        <v>45478</v>
      </c>
      <c r="K245" s="47">
        <v>1.877</v>
      </c>
      <c r="L245" s="47">
        <v>4.2960060000000002</v>
      </c>
      <c r="M245" s="47">
        <v>1681.1706596000001</v>
      </c>
      <c r="N245" s="48">
        <v>3.3720522340487065E-2</v>
      </c>
      <c r="O245" s="48">
        <v>-2.9283999999999998E-2</v>
      </c>
      <c r="P245" s="28">
        <v>117.199</v>
      </c>
      <c r="Q245" s="28">
        <v>115.44499999999999</v>
      </c>
      <c r="R245" s="48">
        <v>1.5193382130018666E-2</v>
      </c>
    </row>
    <row r="246" spans="1:18" x14ac:dyDescent="0.15">
      <c r="A246" s="29">
        <v>245</v>
      </c>
      <c r="B246" s="28">
        <v>118008</v>
      </c>
      <c r="C246" s="28" t="s">
        <v>2018</v>
      </c>
      <c r="D246" s="28">
        <v>148.84899999999999</v>
      </c>
      <c r="E246" s="48">
        <v>-3.4099999999999998E-2</v>
      </c>
      <c r="F246" s="28">
        <v>217.42</v>
      </c>
      <c r="G246" s="28">
        <v>104.7</v>
      </c>
      <c r="H246" s="48">
        <v>0.42170000000000002</v>
      </c>
      <c r="I246" s="45">
        <v>191.01900000000001</v>
      </c>
      <c r="J246" s="46">
        <v>46927</v>
      </c>
      <c r="K246" s="47">
        <v>5.8470000000000004</v>
      </c>
      <c r="L246" s="47">
        <v>6.94</v>
      </c>
      <c r="M246" s="47">
        <v>13119.885700000001</v>
      </c>
      <c r="N246" s="48">
        <v>0.1270061232392582</v>
      </c>
      <c r="O246" s="48">
        <v>-3.6276999999999997E-2</v>
      </c>
      <c r="P246" s="28">
        <v>154.10300000000001</v>
      </c>
      <c r="Q246" s="28">
        <v>146</v>
      </c>
      <c r="R246" s="48">
        <v>5.5500000000000056E-2</v>
      </c>
    </row>
    <row r="247" spans="1:18" x14ac:dyDescent="0.15">
      <c r="A247" s="29">
        <v>246</v>
      </c>
      <c r="B247" s="28">
        <v>113561</v>
      </c>
      <c r="C247" s="28" t="s">
        <v>85</v>
      </c>
      <c r="D247" s="28">
        <v>131.13300000000001</v>
      </c>
      <c r="E247" s="48">
        <v>-2.2799999999999997E-2</v>
      </c>
      <c r="F247" s="28">
        <v>9.98</v>
      </c>
      <c r="G247" s="28">
        <v>92.08</v>
      </c>
      <c r="H247" s="48">
        <v>0.42409999999999998</v>
      </c>
      <c r="I247" s="45">
        <v>173.54300000000001</v>
      </c>
      <c r="J247" s="46">
        <v>46022</v>
      </c>
      <c r="K247" s="47">
        <v>3.367</v>
      </c>
      <c r="L247" s="47">
        <v>1.49908</v>
      </c>
      <c r="M247" s="47">
        <v>2136.6091999999999</v>
      </c>
      <c r="N247" s="48">
        <v>0.10868967424324075</v>
      </c>
      <c r="O247" s="48">
        <v>-3.3542999999999996E-2</v>
      </c>
      <c r="P247" s="28">
        <v>134.24</v>
      </c>
      <c r="Q247" s="28">
        <v>130</v>
      </c>
      <c r="R247" s="48">
        <v>3.2615384615384685E-2</v>
      </c>
    </row>
    <row r="248" spans="1:18" x14ac:dyDescent="0.15">
      <c r="A248" s="29">
        <v>247</v>
      </c>
      <c r="B248" s="28">
        <v>113565</v>
      </c>
      <c r="C248" s="28" t="s">
        <v>119</v>
      </c>
      <c r="D248" s="28">
        <v>124.723</v>
      </c>
      <c r="E248" s="48">
        <v>-5.1999999999999998E-3</v>
      </c>
      <c r="F248" s="28">
        <v>7.64</v>
      </c>
      <c r="G248" s="28">
        <v>87.57</v>
      </c>
      <c r="H248" s="48">
        <v>0.42430000000000001</v>
      </c>
      <c r="I248" s="45">
        <v>167.15299999999999</v>
      </c>
      <c r="J248" s="46">
        <v>46079</v>
      </c>
      <c r="K248" s="47">
        <v>3.5230000000000001</v>
      </c>
      <c r="L248" s="47">
        <v>2.2490600000000001</v>
      </c>
      <c r="M248" s="47">
        <v>3583.7107000000001</v>
      </c>
      <c r="N248" s="48">
        <v>0.12775719066156535</v>
      </c>
      <c r="O248" s="48">
        <v>-1.8332999999999999E-2</v>
      </c>
      <c r="P248" s="28">
        <v>126.379</v>
      </c>
      <c r="Q248" s="28">
        <v>123.91</v>
      </c>
      <c r="R248" s="48">
        <v>1.9925752562343704E-2</v>
      </c>
    </row>
    <row r="249" spans="1:18" x14ac:dyDescent="0.15">
      <c r="A249" s="29">
        <v>248</v>
      </c>
      <c r="B249" s="28">
        <v>113054</v>
      </c>
      <c r="C249" s="28" t="s">
        <v>1830</v>
      </c>
      <c r="D249" s="28">
        <v>113.16</v>
      </c>
      <c r="E249" s="48">
        <v>-4.4000000000000003E-3</v>
      </c>
      <c r="F249" s="28">
        <v>9.7200000000000006</v>
      </c>
      <c r="G249" s="28">
        <v>79.42</v>
      </c>
      <c r="H249" s="48">
        <v>0.42479999999999996</v>
      </c>
      <c r="I249" s="45">
        <v>155.63999999999999</v>
      </c>
      <c r="J249" s="46">
        <v>46808</v>
      </c>
      <c r="K249" s="47">
        <v>5.5209999999999999</v>
      </c>
      <c r="L249" s="47">
        <v>23.6</v>
      </c>
      <c r="M249" s="47">
        <v>3817.7874000000002</v>
      </c>
      <c r="N249" s="48">
        <v>1.4295745187555045E-2</v>
      </c>
      <c r="O249" s="48">
        <v>5.5100000000000006E-4</v>
      </c>
      <c r="P249" s="28">
        <v>113.999</v>
      </c>
      <c r="Q249" s="28">
        <v>112.599</v>
      </c>
      <c r="R249" s="48">
        <v>1.243350296183795E-2</v>
      </c>
    </row>
    <row r="250" spans="1:18" x14ac:dyDescent="0.15">
      <c r="A250" s="29">
        <v>249</v>
      </c>
      <c r="B250" s="28">
        <v>110086</v>
      </c>
      <c r="C250" s="28" t="s">
        <v>1808</v>
      </c>
      <c r="D250" s="28">
        <v>121.5</v>
      </c>
      <c r="E250" s="48">
        <v>-1.6000000000000001E-3</v>
      </c>
      <c r="F250" s="28">
        <v>4.96</v>
      </c>
      <c r="G250" s="28">
        <v>85.08</v>
      </c>
      <c r="H250" s="48">
        <v>0.42810000000000004</v>
      </c>
      <c r="I250" s="45">
        <v>164.31</v>
      </c>
      <c r="J250" s="46">
        <v>46865</v>
      </c>
      <c r="K250" s="47">
        <v>5.6769999999999996</v>
      </c>
      <c r="L250" s="47">
        <v>20</v>
      </c>
      <c r="M250" s="47">
        <v>329.0745</v>
      </c>
      <c r="N250" s="48">
        <v>1.3542160493827157E-3</v>
      </c>
      <c r="O250" s="48">
        <v>-6.5839999999999996E-3</v>
      </c>
      <c r="P250" s="28">
        <v>122.1</v>
      </c>
      <c r="Q250" s="28">
        <v>121.15</v>
      </c>
      <c r="R250" s="48">
        <v>7.8415187783738224E-3</v>
      </c>
    </row>
    <row r="251" spans="1:18" x14ac:dyDescent="0.15">
      <c r="A251" s="29">
        <v>250</v>
      </c>
      <c r="B251" s="28">
        <v>123014</v>
      </c>
      <c r="C251" s="28" t="s">
        <v>55</v>
      </c>
      <c r="D251" s="28">
        <v>149.6</v>
      </c>
      <c r="E251" s="48">
        <v>7.4000000000000003E-3</v>
      </c>
      <c r="F251" s="28">
        <v>8.0299999999999994</v>
      </c>
      <c r="G251" s="28">
        <v>104.73</v>
      </c>
      <c r="H251" s="48">
        <v>0.42840000000000006</v>
      </c>
      <c r="I251" s="45">
        <v>192.44</v>
      </c>
      <c r="J251" s="46">
        <v>45134</v>
      </c>
      <c r="K251" s="47">
        <v>0.93400000000000005</v>
      </c>
      <c r="L251" s="47">
        <v>1.160315</v>
      </c>
      <c r="M251" s="47">
        <v>3612.518325</v>
      </c>
      <c r="N251" s="48">
        <v>0.20811460479303276</v>
      </c>
      <c r="O251" s="48">
        <v>-0.307672</v>
      </c>
      <c r="P251" s="28">
        <v>149.6</v>
      </c>
      <c r="Q251" s="28">
        <v>147.5</v>
      </c>
      <c r="R251" s="48">
        <v>1.4237288135593182E-2</v>
      </c>
    </row>
    <row r="252" spans="1:18" x14ac:dyDescent="0.15">
      <c r="A252" s="29">
        <v>251</v>
      </c>
      <c r="B252" s="28">
        <v>123082</v>
      </c>
      <c r="C252" s="28" t="s">
        <v>74</v>
      </c>
      <c r="D252" s="28">
        <v>116.3</v>
      </c>
      <c r="E252" s="48">
        <v>-7.9000000000000008E-3</v>
      </c>
      <c r="F252" s="28">
        <v>8.75</v>
      </c>
      <c r="G252" s="28">
        <v>81.37</v>
      </c>
      <c r="H252" s="48">
        <v>0.42930000000000001</v>
      </c>
      <c r="I252" s="45">
        <v>159.22999999999999</v>
      </c>
      <c r="J252" s="46">
        <v>46363</v>
      </c>
      <c r="K252" s="47">
        <v>4.3010000000000002</v>
      </c>
      <c r="L252" s="47">
        <v>4.9930050000000001</v>
      </c>
      <c r="M252" s="47">
        <v>1842.1902280000002</v>
      </c>
      <c r="N252" s="48">
        <v>3.1724351895386776E-2</v>
      </c>
      <c r="O252" s="48">
        <v>9.8750000000000001E-3</v>
      </c>
      <c r="P252" s="28">
        <v>117.39400000000001</v>
      </c>
      <c r="Q252" s="28">
        <v>116.3</v>
      </c>
      <c r="R252" s="48">
        <v>9.4067067927773723E-3</v>
      </c>
    </row>
    <row r="253" spans="1:18" x14ac:dyDescent="0.15">
      <c r="A253" s="29">
        <v>252</v>
      </c>
      <c r="B253" s="28">
        <v>113643</v>
      </c>
      <c r="C253" s="28" t="s">
        <v>798</v>
      </c>
      <c r="D253" s="28">
        <v>123.52200000000001</v>
      </c>
      <c r="E253" s="48">
        <v>-1.2999999999999999E-3</v>
      </c>
      <c r="F253" s="28">
        <v>15.26</v>
      </c>
      <c r="G253" s="28">
        <v>86.17</v>
      </c>
      <c r="H253" s="48">
        <v>0.4335</v>
      </c>
      <c r="I253" s="45">
        <v>166.87200000000001</v>
      </c>
      <c r="J253" s="46">
        <v>46837</v>
      </c>
      <c r="K253" s="47">
        <v>5.6</v>
      </c>
      <c r="L253" s="47">
        <v>5</v>
      </c>
      <c r="M253" s="47">
        <v>8543.4228999999996</v>
      </c>
      <c r="N253" s="48">
        <v>0.13833038487071125</v>
      </c>
      <c r="O253" s="48">
        <v>-4.7870000000000005E-3</v>
      </c>
      <c r="P253" s="28">
        <v>125.883</v>
      </c>
      <c r="Q253" s="28">
        <v>123.461</v>
      </c>
      <c r="R253" s="48">
        <v>1.9617531042191438E-2</v>
      </c>
    </row>
    <row r="254" spans="1:18" x14ac:dyDescent="0.15">
      <c r="A254" s="29">
        <v>253</v>
      </c>
      <c r="B254" s="28">
        <v>128129</v>
      </c>
      <c r="C254" s="28" t="s">
        <v>1822</v>
      </c>
      <c r="D254" s="28">
        <v>103.367</v>
      </c>
      <c r="E254" s="48">
        <v>-3.9000000000000003E-3</v>
      </c>
      <c r="F254" s="28">
        <v>4.22</v>
      </c>
      <c r="G254" s="28">
        <v>72.040000000000006</v>
      </c>
      <c r="H254" s="48">
        <v>0.43490000000000001</v>
      </c>
      <c r="I254" s="45">
        <v>146.857</v>
      </c>
      <c r="J254" s="46">
        <v>46259</v>
      </c>
      <c r="K254" s="47">
        <v>4.016</v>
      </c>
      <c r="L254" s="47">
        <v>49.997430999999999</v>
      </c>
      <c r="M254" s="47">
        <v>2413.5786502999999</v>
      </c>
      <c r="N254" s="48">
        <v>4.6701610114311086E-3</v>
      </c>
      <c r="O254" s="48">
        <v>2.0535999999999999E-2</v>
      </c>
      <c r="P254" s="28">
        <v>103.81</v>
      </c>
      <c r="Q254" s="28">
        <v>103.212</v>
      </c>
      <c r="R254" s="48">
        <v>5.7938999341161776E-3</v>
      </c>
    </row>
    <row r="255" spans="1:18" x14ac:dyDescent="0.15">
      <c r="A255" s="29">
        <v>254</v>
      </c>
      <c r="B255" s="28">
        <v>113650</v>
      </c>
      <c r="C255" s="28" t="s">
        <v>2022</v>
      </c>
      <c r="D255" s="28">
        <v>126.489</v>
      </c>
      <c r="E255" s="48">
        <v>-1.8600000000000002E-2</v>
      </c>
      <c r="F255" s="28">
        <v>23.95</v>
      </c>
      <c r="G255" s="28">
        <v>88.02</v>
      </c>
      <c r="H255" s="48">
        <v>0.43700000000000006</v>
      </c>
      <c r="I255" s="45">
        <v>170.18900000000002</v>
      </c>
      <c r="J255" s="46">
        <v>46935</v>
      </c>
      <c r="K255" s="47">
        <v>5.8680000000000003</v>
      </c>
      <c r="L255" s="47">
        <v>8</v>
      </c>
      <c r="M255" s="47">
        <v>1738.4548</v>
      </c>
      <c r="N255" s="48">
        <v>1.7179901019060945E-2</v>
      </c>
      <c r="O255" s="48">
        <v>-8.6470000000000002E-3</v>
      </c>
      <c r="P255" s="28">
        <v>128.80000000000001</v>
      </c>
      <c r="Q255" s="28">
        <v>126.21</v>
      </c>
      <c r="R255" s="48">
        <v>2.0521353300055604E-2</v>
      </c>
    </row>
    <row r="256" spans="1:18" x14ac:dyDescent="0.15">
      <c r="A256" s="29">
        <v>255</v>
      </c>
      <c r="B256" s="28">
        <v>128039</v>
      </c>
      <c r="C256" s="28" t="s">
        <v>116</v>
      </c>
      <c r="D256" s="28">
        <v>126.113</v>
      </c>
      <c r="E256" s="48">
        <v>-1.7000000000000001E-2</v>
      </c>
      <c r="F256" s="28">
        <v>5.77</v>
      </c>
      <c r="G256" s="28">
        <v>87.52</v>
      </c>
      <c r="H256" s="48">
        <v>0.441</v>
      </c>
      <c r="I256" s="45">
        <v>170.21299999999999</v>
      </c>
      <c r="J256" s="46">
        <v>45451</v>
      </c>
      <c r="K256" s="47">
        <v>1.8029999999999999</v>
      </c>
      <c r="L256" s="47">
        <v>2.0239690000000001</v>
      </c>
      <c r="M256" s="47">
        <v>1867.1594260000002</v>
      </c>
      <c r="N256" s="48">
        <v>7.3150565555422931E-2</v>
      </c>
      <c r="O256" s="48">
        <v>-8.5251999999999994E-2</v>
      </c>
      <c r="P256" s="28">
        <v>128.56200000000001</v>
      </c>
      <c r="Q256" s="28">
        <v>126.11</v>
      </c>
      <c r="R256" s="48">
        <v>1.9443343113155279E-2</v>
      </c>
    </row>
    <row r="257" spans="1:18" x14ac:dyDescent="0.15">
      <c r="A257" s="29">
        <v>256</v>
      </c>
      <c r="B257" s="28">
        <v>123002</v>
      </c>
      <c r="C257" s="28" t="s">
        <v>80</v>
      </c>
      <c r="D257" s="28">
        <v>118.96299999999999</v>
      </c>
      <c r="E257" s="48">
        <v>-6.8999999999999999E-3</v>
      </c>
      <c r="F257" s="28">
        <v>8.24</v>
      </c>
      <c r="G257" s="28">
        <v>82.52</v>
      </c>
      <c r="H257" s="48">
        <v>0.44159999999999999</v>
      </c>
      <c r="I257" s="45">
        <v>163.12299999999999</v>
      </c>
      <c r="J257" s="46">
        <v>45254</v>
      </c>
      <c r="K257" s="47">
        <v>1.2629999999999999</v>
      </c>
      <c r="L257" s="47">
        <v>2.5214889999999999</v>
      </c>
      <c r="M257" s="47">
        <v>635.10677099999998</v>
      </c>
      <c r="N257" s="48">
        <v>2.1172773779311989E-2</v>
      </c>
      <c r="O257" s="48">
        <v>-7.7718999999999996E-2</v>
      </c>
      <c r="P257" s="28">
        <v>119.78</v>
      </c>
      <c r="Q257" s="28">
        <v>118.12</v>
      </c>
      <c r="R257" s="48">
        <v>1.4053504910260722E-2</v>
      </c>
    </row>
    <row r="258" spans="1:18" x14ac:dyDescent="0.15">
      <c r="A258" s="29">
        <v>257</v>
      </c>
      <c r="B258" s="28">
        <v>118013</v>
      </c>
      <c r="C258" s="28" t="s">
        <v>2016</v>
      </c>
      <c r="D258" s="28">
        <v>137.78100000000001</v>
      </c>
      <c r="E258" s="48">
        <v>-2.5699999999999997E-2</v>
      </c>
      <c r="F258" s="28">
        <v>34.729999999999997</v>
      </c>
      <c r="G258" s="28">
        <v>95.57</v>
      </c>
      <c r="H258" s="48">
        <v>0.44170000000000004</v>
      </c>
      <c r="I258" s="45">
        <v>181.95100000000002</v>
      </c>
      <c r="J258" s="46">
        <v>46942</v>
      </c>
      <c r="K258" s="47">
        <v>5.8879999999999999</v>
      </c>
      <c r="L258" s="47">
        <v>12.8</v>
      </c>
      <c r="M258" s="47">
        <v>14885.961300000001</v>
      </c>
      <c r="N258" s="48">
        <v>8.440682870370371E-2</v>
      </c>
      <c r="O258" s="48">
        <v>-2.3403999999999998E-2</v>
      </c>
      <c r="P258" s="28">
        <v>143.36000000000001</v>
      </c>
      <c r="Q258" s="28">
        <v>135.63300000000001</v>
      </c>
      <c r="R258" s="48">
        <v>5.6969911452227726E-2</v>
      </c>
    </row>
    <row r="259" spans="1:18" x14ac:dyDescent="0.15">
      <c r="A259" s="29">
        <v>258</v>
      </c>
      <c r="B259" s="28">
        <v>127055</v>
      </c>
      <c r="C259" s="28" t="s">
        <v>762</v>
      </c>
      <c r="D259" s="28">
        <v>122.70699999999999</v>
      </c>
      <c r="E259" s="48">
        <v>-1.8000000000000002E-2</v>
      </c>
      <c r="F259" s="28">
        <v>19.100000000000001</v>
      </c>
      <c r="G259" s="28">
        <v>85.08</v>
      </c>
      <c r="H259" s="48">
        <v>0.44229999999999997</v>
      </c>
      <c r="I259" s="45">
        <v>166.93699999999998</v>
      </c>
      <c r="J259" s="46">
        <v>46805</v>
      </c>
      <c r="K259" s="47">
        <v>5.5119999999999996</v>
      </c>
      <c r="L259" s="47">
        <v>5.7699800000000003</v>
      </c>
      <c r="M259" s="47">
        <v>2076.0096984000002</v>
      </c>
      <c r="N259" s="48">
        <v>2.9321469491098453E-2</v>
      </c>
      <c r="O259" s="48">
        <v>-3.6480000000000002E-3</v>
      </c>
      <c r="P259" s="28">
        <v>125.32</v>
      </c>
      <c r="Q259" s="28">
        <v>122.52500000000001</v>
      </c>
      <c r="R259" s="48">
        <v>2.2811671087533052E-2</v>
      </c>
    </row>
    <row r="260" spans="1:18" x14ac:dyDescent="0.15">
      <c r="A260" s="29">
        <v>259</v>
      </c>
      <c r="B260" s="28">
        <v>118006</v>
      </c>
      <c r="C260" s="28" t="s">
        <v>791</v>
      </c>
      <c r="D260" s="28">
        <v>141.90899999999999</v>
      </c>
      <c r="E260" s="48">
        <v>-4.2199999999999994E-2</v>
      </c>
      <c r="F260" s="28">
        <v>45.23</v>
      </c>
      <c r="G260" s="28">
        <v>98.01</v>
      </c>
      <c r="H260" s="48">
        <v>0.44789999999999996</v>
      </c>
      <c r="I260" s="45">
        <v>186.69899999999998</v>
      </c>
      <c r="J260" s="46">
        <v>46827</v>
      </c>
      <c r="K260" s="47">
        <v>5.5730000000000004</v>
      </c>
      <c r="L260" s="47">
        <v>3.8740000000000001</v>
      </c>
      <c r="M260" s="47">
        <v>5801.5137999999997</v>
      </c>
      <c r="N260" s="48">
        <v>0.10552898804647809</v>
      </c>
      <c r="O260" s="48">
        <v>-2.7889000000000001E-2</v>
      </c>
      <c r="P260" s="28">
        <v>148.99</v>
      </c>
      <c r="Q260" s="28">
        <v>141.5</v>
      </c>
      <c r="R260" s="48">
        <v>5.2932862190812786E-2</v>
      </c>
    </row>
    <row r="261" spans="1:18" x14ac:dyDescent="0.15">
      <c r="A261" s="29">
        <v>260</v>
      </c>
      <c r="B261" s="28">
        <v>127022</v>
      </c>
      <c r="C261" s="28" t="s">
        <v>1819</v>
      </c>
      <c r="D261" s="28">
        <v>117.742</v>
      </c>
      <c r="E261" s="48">
        <v>-4.5999999999999999E-3</v>
      </c>
      <c r="F261" s="28">
        <v>11</v>
      </c>
      <c r="G261" s="28">
        <v>81.09</v>
      </c>
      <c r="H261" s="48">
        <v>0.45200000000000001</v>
      </c>
      <c r="I261" s="45">
        <v>162.94200000000001</v>
      </c>
      <c r="J261" s="46">
        <v>46311</v>
      </c>
      <c r="K261" s="47">
        <v>4.1589999999999998</v>
      </c>
      <c r="L261" s="47">
        <v>19.998282</v>
      </c>
      <c r="M261" s="47">
        <v>2321.0234068999998</v>
      </c>
      <c r="N261" s="48">
        <v>9.8572421053596607E-3</v>
      </c>
      <c r="O261" s="48">
        <v>-1.9318999999999999E-2</v>
      </c>
      <c r="P261" s="28">
        <v>118.947</v>
      </c>
      <c r="Q261" s="28">
        <v>117</v>
      </c>
      <c r="R261" s="48">
        <v>1.6641025641025663E-2</v>
      </c>
    </row>
    <row r="262" spans="1:18" x14ac:dyDescent="0.15">
      <c r="A262" s="29">
        <v>261</v>
      </c>
      <c r="B262" s="28">
        <v>113059</v>
      </c>
      <c r="C262" s="28" t="s">
        <v>1977</v>
      </c>
      <c r="D262" s="28">
        <v>133.744</v>
      </c>
      <c r="E262" s="48">
        <v>-6.0000000000000001E-3</v>
      </c>
      <c r="F262" s="28">
        <v>43.94</v>
      </c>
      <c r="G262" s="28">
        <v>91.99</v>
      </c>
      <c r="H262" s="48">
        <v>0.45390000000000003</v>
      </c>
      <c r="I262" s="45">
        <v>179.13400000000001</v>
      </c>
      <c r="J262" s="46">
        <v>46893</v>
      </c>
      <c r="K262" s="47">
        <v>5.7530000000000001</v>
      </c>
      <c r="L262" s="47">
        <v>40</v>
      </c>
      <c r="M262" s="47">
        <v>3630.3314999999998</v>
      </c>
      <c r="N262" s="48">
        <v>6.7859707725206348E-3</v>
      </c>
      <c r="O262" s="48">
        <v>-2.3195999999999998E-2</v>
      </c>
      <c r="P262" s="28">
        <v>135.33199999999999</v>
      </c>
      <c r="Q262" s="28">
        <v>131.44</v>
      </c>
      <c r="R262" s="48">
        <v>2.9610468654899542E-2</v>
      </c>
    </row>
    <row r="263" spans="1:18" x14ac:dyDescent="0.15">
      <c r="A263" s="29">
        <v>262</v>
      </c>
      <c r="B263" s="28">
        <v>123106</v>
      </c>
      <c r="C263" s="28" t="s">
        <v>63</v>
      </c>
      <c r="D263" s="28">
        <v>118.226</v>
      </c>
      <c r="E263" s="48">
        <v>-9.5999999999999992E-3</v>
      </c>
      <c r="F263" s="28">
        <v>7.45</v>
      </c>
      <c r="G263" s="28">
        <v>81.069999999999993</v>
      </c>
      <c r="H263" s="48">
        <v>0.45829999999999999</v>
      </c>
      <c r="I263" s="45">
        <v>164.05599999999998</v>
      </c>
      <c r="J263" s="46">
        <v>46470</v>
      </c>
      <c r="K263" s="47">
        <v>4.5949999999999998</v>
      </c>
      <c r="L263" s="47">
        <v>3.199668</v>
      </c>
      <c r="M263" s="47">
        <v>1789.2562307999999</v>
      </c>
      <c r="N263" s="48">
        <v>4.7299290273385551E-2</v>
      </c>
      <c r="O263" s="48">
        <v>1.2602E-2</v>
      </c>
      <c r="P263" s="28">
        <v>120.041</v>
      </c>
      <c r="Q263" s="28">
        <v>118.10299999999999</v>
      </c>
      <c r="R263" s="48">
        <v>1.6409405349567772E-2</v>
      </c>
    </row>
    <row r="264" spans="1:18" x14ac:dyDescent="0.15">
      <c r="A264" s="29">
        <v>263</v>
      </c>
      <c r="B264" s="28">
        <v>113588</v>
      </c>
      <c r="C264" s="28" t="s">
        <v>203</v>
      </c>
      <c r="D264" s="28">
        <v>114.895</v>
      </c>
      <c r="E264" s="48">
        <v>2.0999999999999999E-3</v>
      </c>
      <c r="F264" s="28">
        <v>13.25</v>
      </c>
      <c r="G264" s="28">
        <v>78.72</v>
      </c>
      <c r="H264" s="48">
        <v>0.45950000000000002</v>
      </c>
      <c r="I264" s="45">
        <v>160.845</v>
      </c>
      <c r="J264" s="46">
        <v>46190</v>
      </c>
      <c r="K264" s="47">
        <v>3.827</v>
      </c>
      <c r="L264" s="47">
        <v>5.49885</v>
      </c>
      <c r="M264" s="47">
        <v>3463.5095999999999</v>
      </c>
      <c r="N264" s="48">
        <v>5.4820550618529661E-2</v>
      </c>
      <c r="O264" s="48">
        <v>-3.7099999999999998E-3</v>
      </c>
      <c r="P264" s="28">
        <v>116.36</v>
      </c>
      <c r="Q264" s="28">
        <v>114.271</v>
      </c>
      <c r="R264" s="48">
        <v>1.8281103692100346E-2</v>
      </c>
    </row>
    <row r="265" spans="1:18" x14ac:dyDescent="0.15">
      <c r="A265" s="29">
        <v>264</v>
      </c>
      <c r="B265" s="28">
        <v>123075</v>
      </c>
      <c r="C265" s="28" t="s">
        <v>69</v>
      </c>
      <c r="D265" s="28">
        <v>131.80099999999999</v>
      </c>
      <c r="E265" s="48">
        <v>-1.6399999999999998E-2</v>
      </c>
      <c r="F265" s="28">
        <v>23.56</v>
      </c>
      <c r="G265" s="28">
        <v>90.28</v>
      </c>
      <c r="H265" s="48">
        <v>0.45990000000000003</v>
      </c>
      <c r="I265" s="45">
        <v>177.791</v>
      </c>
      <c r="J265" s="46">
        <v>46328</v>
      </c>
      <c r="K265" s="47">
        <v>4.2050000000000001</v>
      </c>
      <c r="L265" s="47">
        <v>5.996105</v>
      </c>
      <c r="M265" s="47">
        <v>2794.1669115999998</v>
      </c>
      <c r="N265" s="48">
        <v>3.5356104656457554E-2</v>
      </c>
      <c r="O265" s="48">
        <v>-3.2341000000000002E-2</v>
      </c>
      <c r="P265" s="28">
        <v>134.4</v>
      </c>
      <c r="Q265" s="28">
        <v>127.89100000000001</v>
      </c>
      <c r="R265" s="48">
        <v>5.0894902690572438E-2</v>
      </c>
    </row>
    <row r="266" spans="1:18" x14ac:dyDescent="0.15">
      <c r="A266" s="29">
        <v>265</v>
      </c>
      <c r="B266" s="28">
        <v>123115</v>
      </c>
      <c r="C266" s="28" t="s">
        <v>1848</v>
      </c>
      <c r="D266" s="28">
        <v>122.048</v>
      </c>
      <c r="E266" s="48">
        <v>-2.1299999999999999E-2</v>
      </c>
      <c r="F266" s="28">
        <v>28.87</v>
      </c>
      <c r="G266" s="28">
        <v>83.48</v>
      </c>
      <c r="H266" s="48">
        <v>0.46200000000000002</v>
      </c>
      <c r="I266" s="45">
        <v>168.24799999999999</v>
      </c>
      <c r="J266" s="46">
        <v>46546</v>
      </c>
      <c r="K266" s="47">
        <v>4.8029999999999999</v>
      </c>
      <c r="L266" s="47">
        <v>11.946144</v>
      </c>
      <c r="M266" s="47">
        <v>4749.0907413999994</v>
      </c>
      <c r="N266" s="48">
        <v>3.2572572189906404E-2</v>
      </c>
      <c r="O266" s="48">
        <v>-6.9449999999999998E-3</v>
      </c>
      <c r="P266" s="28">
        <v>125.83</v>
      </c>
      <c r="Q266" s="28">
        <v>121.66500000000001</v>
      </c>
      <c r="R266" s="48">
        <v>3.4233345662269279E-2</v>
      </c>
    </row>
    <row r="267" spans="1:18" x14ac:dyDescent="0.15">
      <c r="A267" s="29">
        <v>266</v>
      </c>
      <c r="B267" s="28">
        <v>127033</v>
      </c>
      <c r="C267" s="28" t="s">
        <v>1807</v>
      </c>
      <c r="D267" s="28">
        <v>116.53100000000001</v>
      </c>
      <c r="E267" s="48">
        <v>-8.199999999999999E-3</v>
      </c>
      <c r="F267" s="28">
        <v>6.29</v>
      </c>
      <c r="G267" s="28">
        <v>79.33</v>
      </c>
      <c r="H267" s="48">
        <v>0.46889999999999998</v>
      </c>
      <c r="I267" s="45">
        <v>163.42099999999999</v>
      </c>
      <c r="J267" s="46">
        <v>46493</v>
      </c>
      <c r="K267" s="47">
        <v>4.6580000000000004</v>
      </c>
      <c r="L267" s="47">
        <v>11.594028</v>
      </c>
      <c r="M267" s="47">
        <v>633.48560499999996</v>
      </c>
      <c r="N267" s="48">
        <v>4.6887916228236523E-3</v>
      </c>
      <c r="O267" s="48">
        <v>5.04E-4</v>
      </c>
      <c r="P267" s="28">
        <v>117.95399999999999</v>
      </c>
      <c r="Q267" s="28">
        <v>116.005</v>
      </c>
      <c r="R267" s="48">
        <v>1.6800999956898394E-2</v>
      </c>
    </row>
    <row r="268" spans="1:18" x14ac:dyDescent="0.15">
      <c r="A268" s="29">
        <v>267</v>
      </c>
      <c r="B268" s="28">
        <v>113046</v>
      </c>
      <c r="C268" s="28" t="s">
        <v>1847</v>
      </c>
      <c r="D268" s="28">
        <v>116.069</v>
      </c>
      <c r="E268" s="48">
        <v>-1.2199999999999999E-2</v>
      </c>
      <c r="F268" s="28">
        <v>10.64</v>
      </c>
      <c r="G268" s="28">
        <v>78.95</v>
      </c>
      <c r="H268" s="48">
        <v>0.47020000000000001</v>
      </c>
      <c r="I268" s="45">
        <v>163.089</v>
      </c>
      <c r="J268" s="46">
        <v>46468</v>
      </c>
      <c r="K268" s="47">
        <v>4.5890000000000004</v>
      </c>
      <c r="L268" s="47">
        <v>14.998760000000001</v>
      </c>
      <c r="M268" s="47">
        <v>4174.8653000000004</v>
      </c>
      <c r="N268" s="48">
        <v>2.3981197682588769E-2</v>
      </c>
      <c r="O268" s="48">
        <v>-2.8189999999999999E-3</v>
      </c>
      <c r="P268" s="28">
        <v>117.6</v>
      </c>
      <c r="Q268" s="28">
        <v>114.75</v>
      </c>
      <c r="R268" s="48">
        <v>2.4836601307189492E-2</v>
      </c>
    </row>
    <row r="269" spans="1:18" x14ac:dyDescent="0.15">
      <c r="A269" s="29">
        <v>268</v>
      </c>
      <c r="B269" s="28">
        <v>111002</v>
      </c>
      <c r="C269" s="28" t="s">
        <v>230</v>
      </c>
      <c r="D269" s="28">
        <v>131.81299999999999</v>
      </c>
      <c r="E269" s="48">
        <v>-1.18E-2</v>
      </c>
      <c r="F269" s="28">
        <v>18.2</v>
      </c>
      <c r="G269" s="28">
        <v>89.62</v>
      </c>
      <c r="H269" s="48">
        <v>0.4708</v>
      </c>
      <c r="I269" s="45">
        <v>178.89299999999997</v>
      </c>
      <c r="J269" s="46">
        <v>46729</v>
      </c>
      <c r="K269" s="47">
        <v>5.3040000000000003</v>
      </c>
      <c r="L269" s="47">
        <v>6.6997299999999997</v>
      </c>
      <c r="M269" s="47">
        <v>520.46389999999997</v>
      </c>
      <c r="N269" s="48">
        <v>5.8935241339026076E-3</v>
      </c>
      <c r="O269" s="48">
        <v>-2.2446999999999998E-2</v>
      </c>
      <c r="P269" s="28">
        <v>133.999</v>
      </c>
      <c r="Q269" s="28">
        <v>131.4</v>
      </c>
      <c r="R269" s="48">
        <v>1.9779299847792919E-2</v>
      </c>
    </row>
    <row r="270" spans="1:18" x14ac:dyDescent="0.15">
      <c r="A270" s="29">
        <v>269</v>
      </c>
      <c r="B270" s="28">
        <v>118000</v>
      </c>
      <c r="C270" s="28" t="s">
        <v>2020</v>
      </c>
      <c r="D270" s="28">
        <v>126.066</v>
      </c>
      <c r="E270" s="48">
        <v>-2.64E-2</v>
      </c>
      <c r="F270" s="28">
        <v>78.03</v>
      </c>
      <c r="G270" s="28">
        <v>85.7</v>
      </c>
      <c r="H270" s="48">
        <v>0.47100000000000003</v>
      </c>
      <c r="I270" s="45">
        <v>173.166</v>
      </c>
      <c r="J270" s="46">
        <v>46441</v>
      </c>
      <c r="K270" s="47">
        <v>4.5149999999999997</v>
      </c>
      <c r="L270" s="47">
        <v>9.7845700000000004</v>
      </c>
      <c r="M270" s="47">
        <v>11902.9944</v>
      </c>
      <c r="N270" s="48">
        <v>9.6497599876379472E-2</v>
      </c>
      <c r="O270" s="48">
        <v>-9.9590000000000008E-3</v>
      </c>
      <c r="P270" s="28">
        <v>129.96</v>
      </c>
      <c r="Q270" s="28">
        <v>124.4</v>
      </c>
      <c r="R270" s="48">
        <v>4.4694533762057891E-2</v>
      </c>
    </row>
    <row r="271" spans="1:18" x14ac:dyDescent="0.15">
      <c r="A271" s="29">
        <v>270</v>
      </c>
      <c r="B271" s="28">
        <v>128097</v>
      </c>
      <c r="C271" s="28" t="s">
        <v>108</v>
      </c>
      <c r="D271" s="28">
        <v>116.931</v>
      </c>
      <c r="E271" s="48">
        <v>-5.6999999999999993E-3</v>
      </c>
      <c r="F271" s="28">
        <v>10.09</v>
      </c>
      <c r="G271" s="28">
        <v>79.290000000000006</v>
      </c>
      <c r="H271" s="48">
        <v>0.47470000000000001</v>
      </c>
      <c r="I271" s="45">
        <v>164.40100000000001</v>
      </c>
      <c r="J271" s="46">
        <v>46078</v>
      </c>
      <c r="K271" s="47">
        <v>3.5209999999999999</v>
      </c>
      <c r="L271" s="47">
        <v>4.5856539999999999</v>
      </c>
      <c r="M271" s="47">
        <v>586.26926500000002</v>
      </c>
      <c r="N271" s="48">
        <v>1.0933675498252889E-2</v>
      </c>
      <c r="O271" s="48">
        <v>-6.5639999999999995E-3</v>
      </c>
      <c r="P271" s="28">
        <v>117.95</v>
      </c>
      <c r="Q271" s="28">
        <v>116</v>
      </c>
      <c r="R271" s="48">
        <v>1.681034482758623E-2</v>
      </c>
    </row>
    <row r="272" spans="1:18" x14ac:dyDescent="0.15">
      <c r="A272" s="29">
        <v>271</v>
      </c>
      <c r="B272" s="28">
        <v>123048</v>
      </c>
      <c r="C272" s="28" t="s">
        <v>218</v>
      </c>
      <c r="D272" s="28">
        <v>124.45</v>
      </c>
      <c r="E272" s="48">
        <v>-1.9400000000000001E-2</v>
      </c>
      <c r="F272" s="28">
        <v>8.86</v>
      </c>
      <c r="G272" s="28">
        <v>84.2</v>
      </c>
      <c r="H272" s="48">
        <v>0.47799999999999998</v>
      </c>
      <c r="I272" s="45">
        <v>172.25</v>
      </c>
      <c r="J272" s="46">
        <v>46122</v>
      </c>
      <c r="K272" s="47">
        <v>3.641</v>
      </c>
      <c r="L272" s="47">
        <v>3.7902360000000002</v>
      </c>
      <c r="M272" s="47">
        <v>3787.6824514999998</v>
      </c>
      <c r="N272" s="48">
        <v>8.0299420044445485E-2</v>
      </c>
      <c r="O272" s="48">
        <v>-2.8315999999999997E-2</v>
      </c>
      <c r="P272" s="28">
        <v>127.2</v>
      </c>
      <c r="Q272" s="28">
        <v>124.45</v>
      </c>
      <c r="R272" s="48">
        <v>2.2097227802330251E-2</v>
      </c>
    </row>
    <row r="273" spans="1:18" x14ac:dyDescent="0.15">
      <c r="A273" s="29">
        <v>272</v>
      </c>
      <c r="B273" s="28">
        <v>128117</v>
      </c>
      <c r="C273" s="28" t="s">
        <v>144</v>
      </c>
      <c r="D273" s="28">
        <v>136.02699999999999</v>
      </c>
      <c r="E273" s="48">
        <v>-1.77E-2</v>
      </c>
      <c r="F273" s="28">
        <v>28.03</v>
      </c>
      <c r="G273" s="28">
        <v>91.97</v>
      </c>
      <c r="H273" s="48">
        <v>0.47899999999999998</v>
      </c>
      <c r="I273" s="45">
        <v>183.92699999999999</v>
      </c>
      <c r="J273" s="46">
        <v>46205</v>
      </c>
      <c r="K273" s="47">
        <v>3.8679999999999999</v>
      </c>
      <c r="L273" s="47">
        <v>3.591961</v>
      </c>
      <c r="M273" s="47">
        <v>7456.0603356000011</v>
      </c>
      <c r="N273" s="48">
        <v>0.15259934906075029</v>
      </c>
      <c r="O273" s="48">
        <v>-2.7132999999999997E-2</v>
      </c>
      <c r="P273" s="28">
        <v>140.49700000000001</v>
      </c>
      <c r="Q273" s="28">
        <v>135.9</v>
      </c>
      <c r="R273" s="48">
        <v>3.3826342899190641E-2</v>
      </c>
    </row>
    <row r="274" spans="1:18" x14ac:dyDescent="0.15">
      <c r="A274" s="29">
        <v>273</v>
      </c>
      <c r="B274" s="28">
        <v>111003</v>
      </c>
      <c r="C274" s="28" t="s">
        <v>802</v>
      </c>
      <c r="D274" s="28">
        <v>148.27000000000001</v>
      </c>
      <c r="E274" s="48">
        <v>-1.9099999999999999E-2</v>
      </c>
      <c r="F274" s="28">
        <v>14.42</v>
      </c>
      <c r="G274" s="28">
        <v>100.07</v>
      </c>
      <c r="H274" s="48">
        <v>0.48170000000000002</v>
      </c>
      <c r="I274" s="45">
        <v>196.44</v>
      </c>
      <c r="J274" s="46">
        <v>46819</v>
      </c>
      <c r="K274" s="47">
        <v>5.5510000000000002</v>
      </c>
      <c r="L274" s="47">
        <v>2.04</v>
      </c>
      <c r="M274" s="47">
        <v>3510.5101</v>
      </c>
      <c r="N274" s="48">
        <v>0.11606112391675492</v>
      </c>
      <c r="O274" s="48">
        <v>-3.6593000000000001E-2</v>
      </c>
      <c r="P274" s="28">
        <v>153.6</v>
      </c>
      <c r="Q274" s="28">
        <v>148.1</v>
      </c>
      <c r="R274" s="48">
        <v>3.7137069547602972E-2</v>
      </c>
    </row>
    <row r="275" spans="1:18" x14ac:dyDescent="0.15">
      <c r="A275" s="29">
        <v>274</v>
      </c>
      <c r="B275" s="28">
        <v>127052</v>
      </c>
      <c r="C275" s="28" t="s">
        <v>1876</v>
      </c>
      <c r="D275" s="28">
        <v>125.051</v>
      </c>
      <c r="E275" s="48">
        <v>-1.84E-2</v>
      </c>
      <c r="F275" s="28">
        <v>27.89</v>
      </c>
      <c r="G275" s="28">
        <v>84.37</v>
      </c>
      <c r="H275" s="48">
        <v>0.48219999999999996</v>
      </c>
      <c r="I275" s="45">
        <v>173.27100000000002</v>
      </c>
      <c r="J275" s="46">
        <v>46745</v>
      </c>
      <c r="K275" s="47">
        <v>5.3479999999999999</v>
      </c>
      <c r="L275" s="47">
        <v>11.099717999999999</v>
      </c>
      <c r="M275" s="47">
        <v>9600.676680300001</v>
      </c>
      <c r="N275" s="48">
        <v>6.9167603729966443E-2</v>
      </c>
      <c r="O275" s="48">
        <v>-1.5657000000000001E-2</v>
      </c>
      <c r="P275" s="28">
        <v>127.49</v>
      </c>
      <c r="Q275" s="28">
        <v>124.529</v>
      </c>
      <c r="R275" s="48">
        <v>2.3777593974094378E-2</v>
      </c>
    </row>
    <row r="276" spans="1:18" x14ac:dyDescent="0.15">
      <c r="A276" s="29">
        <v>275</v>
      </c>
      <c r="B276" s="28">
        <v>127062</v>
      </c>
      <c r="C276" s="28" t="s">
        <v>1856</v>
      </c>
      <c r="D276" s="28">
        <v>131.70599999999999</v>
      </c>
      <c r="E276" s="48">
        <v>-2E-3</v>
      </c>
      <c r="F276" s="28">
        <v>7.75</v>
      </c>
      <c r="G276" s="28">
        <v>88.77</v>
      </c>
      <c r="H276" s="48">
        <v>0.48369999999999996</v>
      </c>
      <c r="I276" s="45">
        <v>180.07599999999999</v>
      </c>
      <c r="J276" s="46">
        <v>46864</v>
      </c>
      <c r="K276" s="47">
        <v>5.6740000000000004</v>
      </c>
      <c r="L276" s="47">
        <v>3.9630000000000001</v>
      </c>
      <c r="M276" s="47">
        <v>27743.238389600003</v>
      </c>
      <c r="N276" s="48">
        <v>0.53152968141189738</v>
      </c>
      <c r="O276" s="48">
        <v>-1.5821000000000002E-2</v>
      </c>
      <c r="P276" s="28">
        <v>136.12</v>
      </c>
      <c r="Q276" s="28">
        <v>131.31399999999999</v>
      </c>
      <c r="R276" s="48">
        <v>3.6599296343116587E-2</v>
      </c>
    </row>
    <row r="277" spans="1:18" x14ac:dyDescent="0.15">
      <c r="A277" s="29">
        <v>276</v>
      </c>
      <c r="B277" s="28">
        <v>113037</v>
      </c>
      <c r="C277" s="28" t="s">
        <v>1833</v>
      </c>
      <c r="D277" s="28">
        <v>104.82899999999999</v>
      </c>
      <c r="E277" s="48">
        <v>-4.7999999999999996E-3</v>
      </c>
      <c r="F277" s="28">
        <v>3.95</v>
      </c>
      <c r="G277" s="28">
        <v>70.63</v>
      </c>
      <c r="H277" s="48">
        <v>0.48420000000000002</v>
      </c>
      <c r="I277" s="45">
        <v>153.249</v>
      </c>
      <c r="J277" s="46">
        <v>46226</v>
      </c>
      <c r="K277" s="47">
        <v>3.9260000000000002</v>
      </c>
      <c r="L277" s="47">
        <v>44.996139999999997</v>
      </c>
      <c r="M277" s="47">
        <v>2177.8294999999998</v>
      </c>
      <c r="N277" s="48">
        <v>4.6170776013006514E-3</v>
      </c>
      <c r="O277" s="48">
        <v>2.4365000000000001E-2</v>
      </c>
      <c r="P277" s="28">
        <v>105.39400000000001</v>
      </c>
      <c r="Q277" s="28">
        <v>104.402</v>
      </c>
      <c r="R277" s="48">
        <v>9.5017336832628144E-3</v>
      </c>
    </row>
    <row r="278" spans="1:18" x14ac:dyDescent="0.15">
      <c r="A278" s="29">
        <v>277</v>
      </c>
      <c r="B278" s="28">
        <v>128123</v>
      </c>
      <c r="C278" s="28" t="s">
        <v>153</v>
      </c>
      <c r="D278" s="28">
        <v>118.4</v>
      </c>
      <c r="E278" s="48">
        <v>-1.1699999999999999E-2</v>
      </c>
      <c r="F278" s="28">
        <v>13.17</v>
      </c>
      <c r="G278" s="28">
        <v>79.650000000000006</v>
      </c>
      <c r="H278" s="48">
        <v>0.48649999999999999</v>
      </c>
      <c r="I278" s="45">
        <v>167.05</v>
      </c>
      <c r="J278" s="46">
        <v>46230</v>
      </c>
      <c r="K278" s="47">
        <v>3.9369999999999998</v>
      </c>
      <c r="L278" s="47">
        <v>3.1992060000000002</v>
      </c>
      <c r="M278" s="47">
        <v>1111.040812</v>
      </c>
      <c r="N278" s="48">
        <v>2.9331623665034046E-2</v>
      </c>
      <c r="O278" s="48">
        <v>-7.5079999999999999E-3</v>
      </c>
      <c r="P278" s="28">
        <v>120.34</v>
      </c>
      <c r="Q278" s="28">
        <v>117.22499999999999</v>
      </c>
      <c r="R278" s="48">
        <v>2.657283002772454E-2</v>
      </c>
    </row>
    <row r="279" spans="1:18" x14ac:dyDescent="0.15">
      <c r="A279" s="29">
        <v>278</v>
      </c>
      <c r="B279" s="28">
        <v>127017</v>
      </c>
      <c r="C279" s="28" t="s">
        <v>181</v>
      </c>
      <c r="D279" s="28">
        <v>118.9</v>
      </c>
      <c r="E279" s="48">
        <v>-9.3999999999999986E-3</v>
      </c>
      <c r="F279" s="28">
        <v>12.66</v>
      </c>
      <c r="G279" s="28">
        <v>79.94</v>
      </c>
      <c r="H279" s="48">
        <v>0.4874</v>
      </c>
      <c r="I279" s="45">
        <v>167.64000000000001</v>
      </c>
      <c r="J279" s="46">
        <v>46176</v>
      </c>
      <c r="K279" s="47">
        <v>3.7890000000000001</v>
      </c>
      <c r="L279" s="47">
        <v>9.9959450000000007</v>
      </c>
      <c r="M279" s="47">
        <v>1132.7977195000001</v>
      </c>
      <c r="N279" s="48">
        <v>9.5311796073762074E-3</v>
      </c>
      <c r="O279" s="48">
        <v>-3.4009999999999999E-3</v>
      </c>
      <c r="P279" s="28">
        <v>120.161</v>
      </c>
      <c r="Q279" s="28">
        <v>118.501</v>
      </c>
      <c r="R279" s="48">
        <v>1.4008320604889381E-2</v>
      </c>
    </row>
    <row r="280" spans="1:18" x14ac:dyDescent="0.15">
      <c r="A280" s="29">
        <v>279</v>
      </c>
      <c r="B280" s="28">
        <v>123061</v>
      </c>
      <c r="C280" s="28" t="s">
        <v>94</v>
      </c>
      <c r="D280" s="28">
        <v>127.40300000000001</v>
      </c>
      <c r="E280" s="48">
        <v>-2.8300000000000002E-2</v>
      </c>
      <c r="F280" s="28">
        <v>14.84</v>
      </c>
      <c r="G280" s="28">
        <v>85.51</v>
      </c>
      <c r="H280" s="48">
        <v>0.4899</v>
      </c>
      <c r="I280" s="45">
        <v>176.393</v>
      </c>
      <c r="J280" s="46">
        <v>46225</v>
      </c>
      <c r="K280" s="47">
        <v>3.923</v>
      </c>
      <c r="L280" s="47">
        <v>2.49614</v>
      </c>
      <c r="M280" s="47">
        <v>10633.608745</v>
      </c>
      <c r="N280" s="48">
        <v>0.33437367804355189</v>
      </c>
      <c r="O280" s="48">
        <v>-8.0529999999999994E-3</v>
      </c>
      <c r="P280" s="28">
        <v>131.38</v>
      </c>
      <c r="Q280" s="28">
        <v>126.699</v>
      </c>
      <c r="R280" s="48">
        <v>3.6945832248084023E-2</v>
      </c>
    </row>
    <row r="281" spans="1:18" x14ac:dyDescent="0.15">
      <c r="A281" s="29">
        <v>280</v>
      </c>
      <c r="B281" s="28">
        <v>110058</v>
      </c>
      <c r="C281" s="28" t="s">
        <v>77</v>
      </c>
      <c r="D281" s="28">
        <v>123.581</v>
      </c>
      <c r="E281" s="48">
        <v>-1.1000000000000001E-2</v>
      </c>
      <c r="F281" s="28">
        <v>5.04</v>
      </c>
      <c r="G281" s="28">
        <v>82.94</v>
      </c>
      <c r="H281" s="48">
        <v>0.49</v>
      </c>
      <c r="I281" s="45">
        <v>172.58100000000002</v>
      </c>
      <c r="J281" s="46">
        <v>45763</v>
      </c>
      <c r="K281" s="47">
        <v>2.6579999999999999</v>
      </c>
      <c r="L281" s="47">
        <v>2.6102099999999999</v>
      </c>
      <c r="M281" s="47">
        <v>4252.8873000000003</v>
      </c>
      <c r="N281" s="48">
        <v>0.13184289173131819</v>
      </c>
      <c r="O281" s="48">
        <v>-3.2621000000000004E-2</v>
      </c>
      <c r="P281" s="28">
        <v>126.261</v>
      </c>
      <c r="Q281" s="28">
        <v>121.78</v>
      </c>
      <c r="R281" s="48">
        <v>3.6795861389390658E-2</v>
      </c>
    </row>
    <row r="282" spans="1:18" x14ac:dyDescent="0.15">
      <c r="A282" s="29">
        <v>281</v>
      </c>
      <c r="B282" s="28">
        <v>128036</v>
      </c>
      <c r="C282" s="28" t="s">
        <v>169</v>
      </c>
      <c r="D282" s="28">
        <v>146.05199999999999</v>
      </c>
      <c r="E282" s="48">
        <v>-7.8000000000000005E-3</v>
      </c>
      <c r="F282" s="28">
        <v>6.94</v>
      </c>
      <c r="G282" s="28">
        <v>97.84</v>
      </c>
      <c r="H282" s="48">
        <v>0.49280000000000002</v>
      </c>
      <c r="I282" s="45">
        <v>195.33199999999999</v>
      </c>
      <c r="J282" s="46">
        <v>45360</v>
      </c>
      <c r="K282" s="47">
        <v>1.5529999999999999</v>
      </c>
      <c r="L282" s="47">
        <v>1.456431</v>
      </c>
      <c r="M282" s="47">
        <v>12742.987112999999</v>
      </c>
      <c r="N282" s="48">
        <v>0.59906482648250614</v>
      </c>
      <c r="O282" s="48">
        <v>-0.178872</v>
      </c>
      <c r="P282" s="28">
        <v>150.21100000000001</v>
      </c>
      <c r="Q282" s="28">
        <v>145.904</v>
      </c>
      <c r="R282" s="48">
        <v>2.9519410023028953E-2</v>
      </c>
    </row>
    <row r="283" spans="1:18" x14ac:dyDescent="0.15">
      <c r="A283" s="29">
        <v>282</v>
      </c>
      <c r="B283" s="28">
        <v>123059</v>
      </c>
      <c r="C283" s="28" t="s">
        <v>195</v>
      </c>
      <c r="D283" s="28">
        <v>119.07599999999999</v>
      </c>
      <c r="E283" s="48">
        <v>-0.01</v>
      </c>
      <c r="F283" s="28">
        <v>9.5299999999999994</v>
      </c>
      <c r="G283" s="28">
        <v>79.64</v>
      </c>
      <c r="H283" s="48">
        <v>0.49520000000000003</v>
      </c>
      <c r="I283" s="45">
        <v>168.596</v>
      </c>
      <c r="J283" s="46">
        <v>46218</v>
      </c>
      <c r="K283" s="47">
        <v>3.9039999999999999</v>
      </c>
      <c r="L283" s="47">
        <v>3.9124319999999999</v>
      </c>
      <c r="M283" s="47">
        <v>623.16229199999998</v>
      </c>
      <c r="N283" s="48">
        <v>1.3376119074666919E-2</v>
      </c>
      <c r="O283" s="48">
        <v>8.4849999999999995E-3</v>
      </c>
      <c r="P283" s="28">
        <v>121.1</v>
      </c>
      <c r="Q283" s="28">
        <v>118.566</v>
      </c>
      <c r="R283" s="48">
        <v>2.1372062817333736E-2</v>
      </c>
    </row>
    <row r="284" spans="1:18" x14ac:dyDescent="0.15">
      <c r="A284" s="29">
        <v>283</v>
      </c>
      <c r="B284" s="28">
        <v>110067</v>
      </c>
      <c r="C284" s="28" t="s">
        <v>1845</v>
      </c>
      <c r="D284" s="28">
        <v>110.32899999999999</v>
      </c>
      <c r="E284" s="48">
        <v>-4.3E-3</v>
      </c>
      <c r="F284" s="28">
        <v>6.12</v>
      </c>
      <c r="G284" s="28">
        <v>73.69</v>
      </c>
      <c r="H284" s="48">
        <v>0.49719999999999998</v>
      </c>
      <c r="I284" s="45">
        <v>160.04899999999998</v>
      </c>
      <c r="J284" s="46">
        <v>46093</v>
      </c>
      <c r="K284" s="47">
        <v>3.5619999999999998</v>
      </c>
      <c r="L284" s="47">
        <v>27.99503</v>
      </c>
      <c r="M284" s="47">
        <v>3143.4774000000002</v>
      </c>
      <c r="N284" s="48">
        <v>1.0177467478098843E-2</v>
      </c>
      <c r="O284" s="48">
        <v>-1.106E-3</v>
      </c>
      <c r="P284" s="28">
        <v>111.136</v>
      </c>
      <c r="Q284" s="28">
        <v>109.6</v>
      </c>
      <c r="R284" s="48">
        <v>1.4014598540145999E-2</v>
      </c>
    </row>
    <row r="285" spans="1:18" x14ac:dyDescent="0.15">
      <c r="A285" s="29">
        <v>284</v>
      </c>
      <c r="B285" s="28">
        <v>123153</v>
      </c>
      <c r="C285" s="28" t="s">
        <v>2030</v>
      </c>
      <c r="D285" s="28">
        <v>139.69999999999999</v>
      </c>
      <c r="E285" s="48">
        <v>-2.1499999999999998E-2</v>
      </c>
      <c r="F285" s="28">
        <v>19.239999999999998</v>
      </c>
      <c r="G285" s="28">
        <v>93.09</v>
      </c>
      <c r="H285" s="48">
        <v>0.50070000000000003</v>
      </c>
      <c r="I285" s="45">
        <v>189.76999999999998</v>
      </c>
      <c r="J285" s="46">
        <v>46955</v>
      </c>
      <c r="K285" s="47">
        <v>5.923</v>
      </c>
      <c r="L285" s="47">
        <v>3.4</v>
      </c>
      <c r="M285" s="47">
        <v>12129.452216</v>
      </c>
      <c r="N285" s="48">
        <v>0.25536764107962445</v>
      </c>
      <c r="O285" s="48">
        <v>-2.3723999999999999E-2</v>
      </c>
      <c r="P285" s="28">
        <v>143.1</v>
      </c>
      <c r="Q285" s="28">
        <v>137</v>
      </c>
      <c r="R285" s="48">
        <v>4.4525547445255435E-2</v>
      </c>
    </row>
    <row r="286" spans="1:18" x14ac:dyDescent="0.15">
      <c r="A286" s="29">
        <v>285</v>
      </c>
      <c r="B286" s="28">
        <v>118009</v>
      </c>
      <c r="C286" s="28" t="s">
        <v>2025</v>
      </c>
      <c r="D286" s="28">
        <v>137.55500000000001</v>
      </c>
      <c r="E286" s="48">
        <v>-1.1200000000000002E-2</v>
      </c>
      <c r="F286" s="28">
        <v>130.91</v>
      </c>
      <c r="G286" s="28">
        <v>91.4</v>
      </c>
      <c r="H286" s="48">
        <v>0.505</v>
      </c>
      <c r="I286" s="45">
        <v>188.05500000000001</v>
      </c>
      <c r="J286" s="46">
        <v>46928</v>
      </c>
      <c r="K286" s="47">
        <v>5.8490000000000002</v>
      </c>
      <c r="L286" s="47">
        <v>4</v>
      </c>
      <c r="M286" s="47">
        <v>2784.4569000000001</v>
      </c>
      <c r="N286" s="48">
        <v>5.0606246592272176E-2</v>
      </c>
      <c r="O286" s="48">
        <v>-2.4745E-2</v>
      </c>
      <c r="P286" s="28">
        <v>139.59899999999999</v>
      </c>
      <c r="Q286" s="28">
        <v>135.78</v>
      </c>
      <c r="R286" s="48">
        <v>2.812638091029598E-2</v>
      </c>
    </row>
    <row r="287" spans="1:18" x14ac:dyDescent="0.15">
      <c r="A287" s="29">
        <v>286</v>
      </c>
      <c r="B287" s="28">
        <v>123131</v>
      </c>
      <c r="C287" s="28" t="s">
        <v>231</v>
      </c>
      <c r="D287" s="28">
        <v>124.979</v>
      </c>
      <c r="E287" s="48">
        <v>-1.3899999999999999E-2</v>
      </c>
      <c r="F287" s="28">
        <v>12.21</v>
      </c>
      <c r="G287" s="28">
        <v>82.88</v>
      </c>
      <c r="H287" s="48">
        <v>0.50800000000000001</v>
      </c>
      <c r="I287" s="45">
        <v>175.779</v>
      </c>
      <c r="J287" s="46">
        <v>46724</v>
      </c>
      <c r="K287" s="47">
        <v>5.29</v>
      </c>
      <c r="L287" s="47">
        <v>6.3497060000000003</v>
      </c>
      <c r="M287" s="47">
        <v>884.62896999999998</v>
      </c>
      <c r="N287" s="48">
        <v>1.1147320680849454E-2</v>
      </c>
      <c r="O287" s="48">
        <v>-5.1289999999999999E-3</v>
      </c>
      <c r="P287" s="28">
        <v>127.3</v>
      </c>
      <c r="Q287" s="28">
        <v>124.8</v>
      </c>
      <c r="R287" s="48">
        <v>2.0032051282051284E-2</v>
      </c>
    </row>
    <row r="288" spans="1:18" x14ac:dyDescent="0.15">
      <c r="A288" s="29">
        <v>287</v>
      </c>
      <c r="B288" s="28">
        <v>113052</v>
      </c>
      <c r="C288" s="28" t="s">
        <v>1824</v>
      </c>
      <c r="D288" s="28">
        <v>109.693</v>
      </c>
      <c r="E288" s="48">
        <v>-2.5000000000000001E-3</v>
      </c>
      <c r="F288" s="28">
        <v>24.48</v>
      </c>
      <c r="G288" s="28">
        <v>72.709999999999994</v>
      </c>
      <c r="H288" s="48">
        <v>0.50859999999999994</v>
      </c>
      <c r="I288" s="45">
        <v>160.553</v>
      </c>
      <c r="J288" s="46">
        <v>46748</v>
      </c>
      <c r="K288" s="47">
        <v>5.3559999999999999</v>
      </c>
      <c r="L288" s="47">
        <v>499.98768999999999</v>
      </c>
      <c r="M288" s="47">
        <v>20696.9486</v>
      </c>
      <c r="N288" s="48">
        <v>3.773706284160371E-3</v>
      </c>
      <c r="O288" s="48">
        <v>8.0160000000000006E-3</v>
      </c>
      <c r="P288" s="28">
        <v>110.35</v>
      </c>
      <c r="Q288" s="28">
        <v>109.57</v>
      </c>
      <c r="R288" s="48">
        <v>7.1187368805330038E-3</v>
      </c>
    </row>
    <row r="289" spans="1:18" x14ac:dyDescent="0.15">
      <c r="A289" s="29">
        <v>288</v>
      </c>
      <c r="B289" s="28">
        <v>111005</v>
      </c>
      <c r="C289" s="28" t="s">
        <v>2026</v>
      </c>
      <c r="D289" s="28">
        <v>124.994</v>
      </c>
      <c r="E289" s="48">
        <v>-5.0000000000000001E-3</v>
      </c>
      <c r="F289" s="28">
        <v>23.19</v>
      </c>
      <c r="G289" s="28">
        <v>82.71</v>
      </c>
      <c r="H289" s="48">
        <v>0.51119999999999999</v>
      </c>
      <c r="I289" s="45">
        <v>176.114</v>
      </c>
      <c r="J289" s="46">
        <v>46927</v>
      </c>
      <c r="K289" s="47">
        <v>5.8470000000000004</v>
      </c>
      <c r="L289" s="47">
        <v>5.7</v>
      </c>
      <c r="M289" s="47">
        <v>1630.9667999999999</v>
      </c>
      <c r="N289" s="48">
        <v>2.2891860914587055E-2</v>
      </c>
      <c r="O289" s="48">
        <v>-1.6781999999999998E-2</v>
      </c>
      <c r="P289" s="28">
        <v>126.1</v>
      </c>
      <c r="Q289" s="28">
        <v>124.11</v>
      </c>
      <c r="R289" s="48">
        <v>1.6034163242285029E-2</v>
      </c>
    </row>
    <row r="290" spans="1:18" x14ac:dyDescent="0.15">
      <c r="A290" s="29">
        <v>289</v>
      </c>
      <c r="B290" s="28">
        <v>113594</v>
      </c>
      <c r="C290" s="28" t="s">
        <v>75</v>
      </c>
      <c r="D290" s="28">
        <v>124.15</v>
      </c>
      <c r="E290" s="48">
        <v>-2.0299999999999999E-2</v>
      </c>
      <c r="F290" s="28">
        <v>18.03</v>
      </c>
      <c r="G290" s="28">
        <v>82.09</v>
      </c>
      <c r="H290" s="48">
        <v>0.51239999999999997</v>
      </c>
      <c r="I290" s="45">
        <v>175.39000000000001</v>
      </c>
      <c r="J290" s="46">
        <v>46224</v>
      </c>
      <c r="K290" s="47">
        <v>3.9209999999999998</v>
      </c>
      <c r="L290" s="47">
        <v>2.9974099999999999</v>
      </c>
      <c r="M290" s="47">
        <v>4066.9384</v>
      </c>
      <c r="N290" s="48">
        <v>0.10928856376357989</v>
      </c>
      <c r="O290" s="48">
        <v>-8.372000000000001E-3</v>
      </c>
      <c r="P290" s="28">
        <v>126.746</v>
      </c>
      <c r="Q290" s="28">
        <v>123.70099999999999</v>
      </c>
      <c r="R290" s="48">
        <v>2.4615807471241154E-2</v>
      </c>
    </row>
    <row r="291" spans="1:18" x14ac:dyDescent="0.15">
      <c r="A291" s="29">
        <v>290</v>
      </c>
      <c r="B291" s="28">
        <v>128078</v>
      </c>
      <c r="C291" s="28" t="s">
        <v>2024</v>
      </c>
      <c r="D291" s="28">
        <v>128.88</v>
      </c>
      <c r="E291" s="48">
        <v>-7.7000000000000002E-3</v>
      </c>
      <c r="F291" s="28">
        <v>22.02</v>
      </c>
      <c r="G291" s="28">
        <v>84.92</v>
      </c>
      <c r="H291" s="48">
        <v>0.51770000000000005</v>
      </c>
      <c r="I291" s="45">
        <v>180.65</v>
      </c>
      <c r="J291" s="46">
        <v>45951</v>
      </c>
      <c r="K291" s="47">
        <v>3.173</v>
      </c>
      <c r="L291" s="47">
        <v>9.5993570000000012</v>
      </c>
      <c r="M291" s="47">
        <v>368.042372</v>
      </c>
      <c r="N291" s="48">
        <v>2.9748847831849398E-3</v>
      </c>
      <c r="O291" s="48">
        <v>-3.2481000000000003E-2</v>
      </c>
      <c r="P291" s="28">
        <v>131</v>
      </c>
      <c r="Q291" s="28">
        <v>128</v>
      </c>
      <c r="R291" s="48">
        <v>2.34375E-2</v>
      </c>
    </row>
    <row r="292" spans="1:18" x14ac:dyDescent="0.15">
      <c r="A292" s="29">
        <v>291</v>
      </c>
      <c r="B292" s="28">
        <v>113519</v>
      </c>
      <c r="C292" s="28" t="s">
        <v>161</v>
      </c>
      <c r="D292" s="28">
        <v>119.011</v>
      </c>
      <c r="E292" s="48">
        <v>-1.3999999999999999E-2</v>
      </c>
      <c r="F292" s="28">
        <v>11.04</v>
      </c>
      <c r="G292" s="28">
        <v>78.17</v>
      </c>
      <c r="H292" s="48">
        <v>0.52249999999999996</v>
      </c>
      <c r="I292" s="45">
        <v>171.261</v>
      </c>
      <c r="J292" s="46">
        <v>45603</v>
      </c>
      <c r="K292" s="47">
        <v>2.2189999999999999</v>
      </c>
      <c r="L292" s="47">
        <v>6.9610599999999998</v>
      </c>
      <c r="M292" s="47">
        <v>2120.6738</v>
      </c>
      <c r="N292" s="48">
        <v>2.5598315612562754E-2</v>
      </c>
      <c r="O292" s="48">
        <v>-2.7429999999999998E-3</v>
      </c>
      <c r="P292" s="28">
        <v>120.83</v>
      </c>
      <c r="Q292" s="28">
        <v>118.85</v>
      </c>
      <c r="R292" s="48">
        <v>1.6659655027345427E-2</v>
      </c>
    </row>
    <row r="293" spans="1:18" x14ac:dyDescent="0.15">
      <c r="A293" s="29">
        <v>292</v>
      </c>
      <c r="B293" s="28">
        <v>128056</v>
      </c>
      <c r="C293" s="28" t="s">
        <v>78</v>
      </c>
      <c r="D293" s="28">
        <v>151.29</v>
      </c>
      <c r="E293" s="48">
        <v>-6.4299999999999996E-2</v>
      </c>
      <c r="F293" s="28">
        <v>6.68</v>
      </c>
      <c r="G293" s="28">
        <v>99.25</v>
      </c>
      <c r="H293" s="48">
        <v>0.52429999999999999</v>
      </c>
      <c r="I293" s="45">
        <v>203.72</v>
      </c>
      <c r="J293" s="46">
        <v>45716</v>
      </c>
      <c r="K293" s="47">
        <v>2.5289999999999999</v>
      </c>
      <c r="L293" s="47">
        <v>1.722064</v>
      </c>
      <c r="M293" s="47">
        <v>22970.248737800001</v>
      </c>
      <c r="N293" s="48">
        <v>0.88167025122042708</v>
      </c>
      <c r="O293" s="48">
        <v>-9.2048000000000005E-2</v>
      </c>
      <c r="P293" s="28">
        <v>162.25800000000001</v>
      </c>
      <c r="Q293" s="28">
        <v>129.34399999999999</v>
      </c>
      <c r="R293" s="48">
        <v>0.25446870361207335</v>
      </c>
    </row>
    <row r="294" spans="1:18" x14ac:dyDescent="0.15">
      <c r="A294" s="29">
        <v>293</v>
      </c>
      <c r="B294" s="28">
        <v>127034</v>
      </c>
      <c r="C294" s="28" t="s">
        <v>188</v>
      </c>
      <c r="D294" s="28">
        <v>106.77800000000001</v>
      </c>
      <c r="E294" s="48">
        <v>-1.6000000000000001E-3</v>
      </c>
      <c r="F294" s="28">
        <v>12.38</v>
      </c>
      <c r="G294" s="28">
        <v>70.03</v>
      </c>
      <c r="H294" s="48">
        <v>0.52469999999999994</v>
      </c>
      <c r="I294" s="45">
        <v>159.24799999999999</v>
      </c>
      <c r="J294" s="46">
        <v>46507</v>
      </c>
      <c r="K294" s="47">
        <v>4.6959999999999997</v>
      </c>
      <c r="L294" s="47">
        <v>7.117737</v>
      </c>
      <c r="M294" s="47">
        <v>1435.270749</v>
      </c>
      <c r="N294" s="48">
        <v>1.8884701088055952E-2</v>
      </c>
      <c r="O294" s="48">
        <v>2.3069000000000003E-2</v>
      </c>
      <c r="P294" s="28">
        <v>107.31699999999999</v>
      </c>
      <c r="Q294" s="28">
        <v>106.405</v>
      </c>
      <c r="R294" s="48">
        <v>8.5710257976598092E-3</v>
      </c>
    </row>
    <row r="295" spans="1:18" x14ac:dyDescent="0.15">
      <c r="A295" s="29">
        <v>294</v>
      </c>
      <c r="B295" s="28">
        <v>128105</v>
      </c>
      <c r="C295" s="28" t="s">
        <v>173</v>
      </c>
      <c r="D295" s="28">
        <v>109.59</v>
      </c>
      <c r="E295" s="48">
        <v>-5.8999999999999999E-3</v>
      </c>
      <c r="F295" s="28">
        <v>7.91</v>
      </c>
      <c r="G295" s="28">
        <v>71.680000000000007</v>
      </c>
      <c r="H295" s="48">
        <v>0.52890000000000004</v>
      </c>
      <c r="I295" s="45">
        <v>162.48000000000002</v>
      </c>
      <c r="J295" s="46">
        <v>46121</v>
      </c>
      <c r="K295" s="47">
        <v>3.6379999999999999</v>
      </c>
      <c r="L295" s="47">
        <v>7.9946400000000004</v>
      </c>
      <c r="M295" s="47">
        <v>5393.5580919000004</v>
      </c>
      <c r="N295" s="48">
        <v>6.1560979544359323E-2</v>
      </c>
      <c r="O295" s="48">
        <v>1.1850000000000001E-2</v>
      </c>
      <c r="P295" s="28">
        <v>110.998</v>
      </c>
      <c r="Q295" s="28">
        <v>108.6</v>
      </c>
      <c r="R295" s="48">
        <v>2.2081031307550739E-2</v>
      </c>
    </row>
    <row r="296" spans="1:18" x14ac:dyDescent="0.15">
      <c r="A296" s="29">
        <v>295</v>
      </c>
      <c r="B296" s="28">
        <v>118007</v>
      </c>
      <c r="C296" s="28" t="s">
        <v>800</v>
      </c>
      <c r="D296" s="28">
        <v>135.52000000000001</v>
      </c>
      <c r="E296" s="48">
        <v>-2.7400000000000001E-2</v>
      </c>
      <c r="F296" s="28">
        <v>24.52</v>
      </c>
      <c r="G296" s="28">
        <v>88.62</v>
      </c>
      <c r="H296" s="48">
        <v>0.5292</v>
      </c>
      <c r="I296" s="45">
        <v>188.44</v>
      </c>
      <c r="J296" s="46">
        <v>46834</v>
      </c>
      <c r="K296" s="47">
        <v>5.5919999999999996</v>
      </c>
      <c r="L296" s="47">
        <v>2.6743000000000001</v>
      </c>
      <c r="M296" s="47">
        <v>4809.8788999999997</v>
      </c>
      <c r="N296" s="48">
        <v>0.13271518744977387</v>
      </c>
      <c r="O296" s="48">
        <v>-2.1069000000000001E-2</v>
      </c>
      <c r="P296" s="28">
        <v>140.49</v>
      </c>
      <c r="Q296" s="28">
        <v>135.13900000000001</v>
      </c>
      <c r="R296" s="48">
        <v>3.9596267546748151E-2</v>
      </c>
    </row>
    <row r="297" spans="1:18" x14ac:dyDescent="0.15">
      <c r="A297" s="29">
        <v>296</v>
      </c>
      <c r="B297" s="28">
        <v>128122</v>
      </c>
      <c r="C297" s="28" t="s">
        <v>187</v>
      </c>
      <c r="D297" s="28">
        <v>153.5</v>
      </c>
      <c r="E297" s="48">
        <v>-5.7099999999999998E-2</v>
      </c>
      <c r="F297" s="28">
        <v>14</v>
      </c>
      <c r="G297" s="28">
        <v>100.36</v>
      </c>
      <c r="H297" s="48">
        <v>0.52950000000000008</v>
      </c>
      <c r="I297" s="45">
        <v>206.45</v>
      </c>
      <c r="J297" s="46">
        <v>45861</v>
      </c>
      <c r="K297" s="47">
        <v>2.9260000000000002</v>
      </c>
      <c r="L297" s="47">
        <v>2.6854209999999998</v>
      </c>
      <c r="M297" s="47">
        <v>29783.4439828</v>
      </c>
      <c r="N297" s="48">
        <v>0.72252712341198277</v>
      </c>
      <c r="O297" s="48">
        <v>-0.10161099999999999</v>
      </c>
      <c r="P297" s="28">
        <v>166.887</v>
      </c>
      <c r="Q297" s="28">
        <v>151.6</v>
      </c>
      <c r="R297" s="48">
        <v>0.10083773087071245</v>
      </c>
    </row>
    <row r="298" spans="1:18" x14ac:dyDescent="0.15">
      <c r="A298" s="29">
        <v>297</v>
      </c>
      <c r="B298" s="28">
        <v>113644</v>
      </c>
      <c r="C298" s="28" t="s">
        <v>1843</v>
      </c>
      <c r="D298" s="28">
        <v>117.79300000000001</v>
      </c>
      <c r="E298" s="48">
        <v>-1.9099999999999999E-2</v>
      </c>
      <c r="F298" s="28">
        <v>23.84</v>
      </c>
      <c r="G298" s="28">
        <v>76.64</v>
      </c>
      <c r="H298" s="48">
        <v>0.53700000000000003</v>
      </c>
      <c r="I298" s="45">
        <v>171.49299999999999</v>
      </c>
      <c r="J298" s="46">
        <v>46858</v>
      </c>
      <c r="K298" s="47">
        <v>5.6580000000000004</v>
      </c>
      <c r="L298" s="47">
        <v>10</v>
      </c>
      <c r="M298" s="47">
        <v>1342.4315999999999</v>
      </c>
      <c r="N298" s="48">
        <v>1.1396531203042624E-2</v>
      </c>
      <c r="O298" s="48">
        <v>3.7919999999999998E-3</v>
      </c>
      <c r="P298" s="28">
        <v>120.3</v>
      </c>
      <c r="Q298" s="28">
        <v>117.5</v>
      </c>
      <c r="R298" s="48">
        <v>2.382978723404253E-2</v>
      </c>
    </row>
    <row r="299" spans="1:18" x14ac:dyDescent="0.15">
      <c r="A299" s="29">
        <v>298</v>
      </c>
      <c r="B299" s="28">
        <v>127015</v>
      </c>
      <c r="C299" s="28" t="s">
        <v>156</v>
      </c>
      <c r="D299" s="28">
        <v>120.3</v>
      </c>
      <c r="E299" s="48">
        <v>-3.7000000000000002E-3</v>
      </c>
      <c r="F299" s="28">
        <v>19.75</v>
      </c>
      <c r="G299" s="28">
        <v>78.23</v>
      </c>
      <c r="H299" s="48">
        <v>0.53780000000000006</v>
      </c>
      <c r="I299" s="45">
        <v>174.07999999999998</v>
      </c>
      <c r="J299" s="46">
        <v>46025</v>
      </c>
      <c r="K299" s="47">
        <v>3.375</v>
      </c>
      <c r="L299" s="47">
        <v>9.4961059999999993</v>
      </c>
      <c r="M299" s="47">
        <v>1696.8153868000002</v>
      </c>
      <c r="N299" s="48">
        <v>1.4853315725612021E-2</v>
      </c>
      <c r="O299" s="48">
        <v>-2.7656999999999998E-2</v>
      </c>
      <c r="P299" s="28">
        <v>121.387</v>
      </c>
      <c r="Q299" s="28">
        <v>120</v>
      </c>
      <c r="R299" s="48">
        <v>1.1558333333333337E-2</v>
      </c>
    </row>
    <row r="300" spans="1:18" x14ac:dyDescent="0.15">
      <c r="A300" s="29">
        <v>299</v>
      </c>
      <c r="B300" s="28">
        <v>113056</v>
      </c>
      <c r="C300" s="28" t="s">
        <v>1836</v>
      </c>
      <c r="D300" s="28">
        <v>100.977</v>
      </c>
      <c r="E300" s="48">
        <v>-2.0000000000000001E-4</v>
      </c>
      <c r="F300" s="28">
        <v>10.89</v>
      </c>
      <c r="G300" s="28">
        <v>65.66</v>
      </c>
      <c r="H300" s="48">
        <v>0.53790000000000004</v>
      </c>
      <c r="I300" s="45">
        <v>154.767</v>
      </c>
      <c r="J300" s="46">
        <v>46835</v>
      </c>
      <c r="K300" s="47">
        <v>5.5949999999999998</v>
      </c>
      <c r="L300" s="47">
        <v>130</v>
      </c>
      <c r="M300" s="47">
        <v>7234.1864999999998</v>
      </c>
      <c r="N300" s="48">
        <v>5.5109171852539144E-3</v>
      </c>
      <c r="O300" s="48">
        <v>2.5242000000000001E-2</v>
      </c>
      <c r="P300" s="28">
        <v>101.099</v>
      </c>
      <c r="Q300" s="28">
        <v>100.92700000000001</v>
      </c>
      <c r="R300" s="48">
        <v>1.7042020470240573E-3</v>
      </c>
    </row>
    <row r="301" spans="1:18" x14ac:dyDescent="0.15">
      <c r="A301" s="29">
        <v>300</v>
      </c>
      <c r="B301" s="28">
        <v>128135</v>
      </c>
      <c r="C301" s="28" t="s">
        <v>1818</v>
      </c>
      <c r="D301" s="28">
        <v>123.57</v>
      </c>
      <c r="E301" s="48">
        <v>-2.0799999999999999E-2</v>
      </c>
      <c r="F301" s="28">
        <v>59.18</v>
      </c>
      <c r="G301" s="28">
        <v>80.260000000000005</v>
      </c>
      <c r="H301" s="48">
        <v>0.53959999999999997</v>
      </c>
      <c r="I301" s="45">
        <v>177.53</v>
      </c>
      <c r="J301" s="46">
        <v>46315</v>
      </c>
      <c r="K301" s="47">
        <v>4.17</v>
      </c>
      <c r="L301" s="47">
        <v>13.398605</v>
      </c>
      <c r="M301" s="47">
        <v>5180.8180075999999</v>
      </c>
      <c r="N301" s="48">
        <v>3.1291451277881653E-2</v>
      </c>
      <c r="O301" s="48">
        <v>-7.3480000000000004E-3</v>
      </c>
      <c r="P301" s="28">
        <v>126.8</v>
      </c>
      <c r="Q301" s="28">
        <v>123.45</v>
      </c>
      <c r="R301" s="48">
        <v>2.7136492507087842E-2</v>
      </c>
    </row>
    <row r="302" spans="1:18" x14ac:dyDescent="0.15">
      <c r="A302" s="29">
        <v>301</v>
      </c>
      <c r="B302" s="28">
        <v>110082</v>
      </c>
      <c r="C302" s="28" t="s">
        <v>1851</v>
      </c>
      <c r="D302" s="28">
        <v>124.664</v>
      </c>
      <c r="E302" s="48">
        <v>-1.7500000000000002E-2</v>
      </c>
      <c r="F302" s="28">
        <v>51.32</v>
      </c>
      <c r="G302" s="28">
        <v>80.959999999999994</v>
      </c>
      <c r="H302" s="48">
        <v>0.53979999999999995</v>
      </c>
      <c r="I302" s="45">
        <v>178.64400000000001</v>
      </c>
      <c r="J302" s="46">
        <v>46688</v>
      </c>
      <c r="K302" s="47">
        <v>5.1920000000000002</v>
      </c>
      <c r="L302" s="47">
        <v>19.99597</v>
      </c>
      <c r="M302" s="47">
        <v>8038.3302000000003</v>
      </c>
      <c r="N302" s="48">
        <v>3.2246479536896661E-2</v>
      </c>
      <c r="O302" s="48">
        <v>-1.2199E-2</v>
      </c>
      <c r="P302" s="28">
        <v>127</v>
      </c>
      <c r="Q302" s="28">
        <v>123.43</v>
      </c>
      <c r="R302" s="48">
        <v>2.8923276350968103E-2</v>
      </c>
    </row>
    <row r="303" spans="1:18" x14ac:dyDescent="0.15">
      <c r="A303" s="29">
        <v>302</v>
      </c>
      <c r="B303" s="28">
        <v>123145</v>
      </c>
      <c r="C303" s="28" t="s">
        <v>1828</v>
      </c>
      <c r="D303" s="28">
        <v>131.69999999999999</v>
      </c>
      <c r="E303" s="48">
        <v>-2.64E-2</v>
      </c>
      <c r="F303" s="28">
        <v>92.88</v>
      </c>
      <c r="G303" s="28">
        <v>85.36</v>
      </c>
      <c r="H303" s="48">
        <v>0.54289999999999994</v>
      </c>
      <c r="I303" s="45">
        <v>185.98999999999998</v>
      </c>
      <c r="J303" s="46">
        <v>46863</v>
      </c>
      <c r="K303" s="47">
        <v>5.6710000000000003</v>
      </c>
      <c r="L303" s="47">
        <v>11.5</v>
      </c>
      <c r="M303" s="47">
        <v>4603.5595453000005</v>
      </c>
      <c r="N303" s="48">
        <v>3.0395560036314422E-2</v>
      </c>
      <c r="O303" s="48">
        <v>-2.3860000000000003E-2</v>
      </c>
      <c r="P303" s="28">
        <v>135.52000000000001</v>
      </c>
      <c r="Q303" s="28">
        <v>131.28899999999999</v>
      </c>
      <c r="R303" s="48">
        <v>3.2226614567861918E-2</v>
      </c>
    </row>
    <row r="304" spans="1:18" x14ac:dyDescent="0.15">
      <c r="A304" s="29">
        <v>303</v>
      </c>
      <c r="B304" s="28">
        <v>113049</v>
      </c>
      <c r="C304" s="28" t="s">
        <v>1813</v>
      </c>
      <c r="D304" s="28">
        <v>124.001</v>
      </c>
      <c r="E304" s="48">
        <v>-9.0000000000000011E-3</v>
      </c>
      <c r="F304" s="28">
        <v>38.14</v>
      </c>
      <c r="G304" s="28">
        <v>80.2</v>
      </c>
      <c r="H304" s="48">
        <v>0.54610000000000003</v>
      </c>
      <c r="I304" s="45">
        <v>178.61099999999999</v>
      </c>
      <c r="J304" s="46">
        <v>46548</v>
      </c>
      <c r="K304" s="47">
        <v>4.8079999999999998</v>
      </c>
      <c r="L304" s="47">
        <v>34.95579</v>
      </c>
      <c r="M304" s="47">
        <v>4189.3707999999997</v>
      </c>
      <c r="N304" s="48">
        <v>9.6650586147855565E-3</v>
      </c>
      <c r="O304" s="48">
        <v>-2.4329E-2</v>
      </c>
      <c r="P304" s="28">
        <v>125.33</v>
      </c>
      <c r="Q304" s="28">
        <v>123.84399999999999</v>
      </c>
      <c r="R304" s="48">
        <v>1.1998966441652437E-2</v>
      </c>
    </row>
    <row r="305" spans="1:18" x14ac:dyDescent="0.15">
      <c r="A305" s="29">
        <v>304</v>
      </c>
      <c r="B305" s="28">
        <v>113058</v>
      </c>
      <c r="C305" s="28" t="s">
        <v>1814</v>
      </c>
      <c r="D305" s="28">
        <v>113.364</v>
      </c>
      <c r="E305" s="48">
        <v>-1E-3</v>
      </c>
      <c r="F305" s="28">
        <v>9.39</v>
      </c>
      <c r="G305" s="28">
        <v>72.739999999999995</v>
      </c>
      <c r="H305" s="48">
        <v>0.5585</v>
      </c>
      <c r="I305" s="45">
        <v>169.214</v>
      </c>
      <c r="J305" s="46">
        <v>46842</v>
      </c>
      <c r="K305" s="47">
        <v>5.6139999999999999</v>
      </c>
      <c r="L305" s="47">
        <v>20</v>
      </c>
      <c r="M305" s="47">
        <v>1513.9367999999999</v>
      </c>
      <c r="N305" s="48">
        <v>6.6773261352810415E-3</v>
      </c>
      <c r="O305" s="48">
        <v>5.8919999999999997E-3</v>
      </c>
      <c r="P305" s="28">
        <v>113.77</v>
      </c>
      <c r="Q305" s="28">
        <v>112.46</v>
      </c>
      <c r="R305" s="48">
        <v>1.1648586163969432E-2</v>
      </c>
    </row>
    <row r="306" spans="1:18" x14ac:dyDescent="0.15">
      <c r="A306" s="29">
        <v>305</v>
      </c>
      <c r="B306" s="28">
        <v>113606</v>
      </c>
      <c r="C306" s="28" t="s">
        <v>196</v>
      </c>
      <c r="D306" s="28">
        <v>114.13800000000001</v>
      </c>
      <c r="E306" s="48">
        <v>-3.7000000000000002E-3</v>
      </c>
      <c r="F306" s="28">
        <v>32.15</v>
      </c>
      <c r="G306" s="28">
        <v>72.97</v>
      </c>
      <c r="H306" s="48">
        <v>0.56420000000000003</v>
      </c>
      <c r="I306" s="45">
        <v>170.55799999999999</v>
      </c>
      <c r="J306" s="46">
        <v>46325</v>
      </c>
      <c r="K306" s="47">
        <v>4.1970000000000001</v>
      </c>
      <c r="L306" s="47">
        <v>5.9988700000000001</v>
      </c>
      <c r="M306" s="47">
        <v>463.38209999999998</v>
      </c>
      <c r="N306" s="48">
        <v>6.7676757774872177E-3</v>
      </c>
      <c r="O306" s="48">
        <v>1.3710999999999999E-2</v>
      </c>
      <c r="P306" s="28">
        <v>114.879</v>
      </c>
      <c r="Q306" s="28">
        <v>113.8</v>
      </c>
      <c r="R306" s="48">
        <v>9.4815465729350418E-3</v>
      </c>
    </row>
    <row r="307" spans="1:18" x14ac:dyDescent="0.15">
      <c r="A307" s="29">
        <v>306</v>
      </c>
      <c r="B307" s="28">
        <v>113604</v>
      </c>
      <c r="C307" s="28" t="s">
        <v>151</v>
      </c>
      <c r="D307" s="28">
        <v>112.64100000000001</v>
      </c>
      <c r="E307" s="48">
        <v>-8.8000000000000005E-3</v>
      </c>
      <c r="F307" s="28">
        <v>10.4</v>
      </c>
      <c r="G307" s="28">
        <v>71.83</v>
      </c>
      <c r="H307" s="48">
        <v>0.56820000000000004</v>
      </c>
      <c r="I307" s="45">
        <v>169.46100000000001</v>
      </c>
      <c r="J307" s="46">
        <v>46308</v>
      </c>
      <c r="K307" s="47">
        <v>4.1509999999999998</v>
      </c>
      <c r="L307" s="47">
        <v>6.3985399999999997</v>
      </c>
      <c r="M307" s="47">
        <v>8172.7825999999995</v>
      </c>
      <c r="N307" s="48">
        <v>0.11339464872703406</v>
      </c>
      <c r="O307" s="48">
        <v>9.1710000000000003E-3</v>
      </c>
      <c r="P307" s="28">
        <v>114.4</v>
      </c>
      <c r="Q307" s="28">
        <v>112.533</v>
      </c>
      <c r="R307" s="48">
        <v>1.6590688953462579E-2</v>
      </c>
    </row>
    <row r="308" spans="1:18" x14ac:dyDescent="0.15">
      <c r="A308" s="29">
        <v>307</v>
      </c>
      <c r="B308" s="28">
        <v>113601</v>
      </c>
      <c r="C308" s="28" t="s">
        <v>64</v>
      </c>
      <c r="D308" s="28">
        <v>113.73699999999999</v>
      </c>
      <c r="E308" s="48">
        <v>-3.3E-3</v>
      </c>
      <c r="F308" s="28">
        <v>16.98</v>
      </c>
      <c r="G308" s="28">
        <v>72.44</v>
      </c>
      <c r="H308" s="48">
        <v>0.57009999999999994</v>
      </c>
      <c r="I308" s="45">
        <v>170.74699999999999</v>
      </c>
      <c r="J308" s="46">
        <v>46255</v>
      </c>
      <c r="K308" s="47">
        <v>4.0049999999999999</v>
      </c>
      <c r="L308" s="47">
        <v>5.4288100000000004</v>
      </c>
      <c r="M308" s="47">
        <v>1702.6043</v>
      </c>
      <c r="N308" s="48">
        <v>2.7574478952987067E-2</v>
      </c>
      <c r="O308" s="48">
        <v>1.5529999999999999E-2</v>
      </c>
      <c r="P308" s="28">
        <v>114.2</v>
      </c>
      <c r="Q308" s="28">
        <v>113.17100000000001</v>
      </c>
      <c r="R308" s="48">
        <v>9.0924353412092877E-3</v>
      </c>
    </row>
    <row r="309" spans="1:18" x14ac:dyDescent="0.15">
      <c r="A309" s="29">
        <v>308</v>
      </c>
      <c r="B309" s="28">
        <v>128132</v>
      </c>
      <c r="C309" s="28" t="s">
        <v>149</v>
      </c>
      <c r="D309" s="28">
        <v>117.7</v>
      </c>
      <c r="E309" s="48">
        <v>-2.0999999999999999E-3</v>
      </c>
      <c r="F309" s="28">
        <v>18.43</v>
      </c>
      <c r="G309" s="28">
        <v>74.88</v>
      </c>
      <c r="H309" s="48">
        <v>0.57179999999999997</v>
      </c>
      <c r="I309" s="45">
        <v>174.88</v>
      </c>
      <c r="J309" s="46">
        <v>46280</v>
      </c>
      <c r="K309" s="47">
        <v>4.0739999999999998</v>
      </c>
      <c r="L309" s="47">
        <v>8.4894070000000017</v>
      </c>
      <c r="M309" s="47">
        <v>1057.7799684000001</v>
      </c>
      <c r="N309" s="48">
        <v>1.0586234754566121E-2</v>
      </c>
      <c r="O309" s="48">
        <v>-1.7080000000000001E-3</v>
      </c>
      <c r="P309" s="28">
        <v>118.7</v>
      </c>
      <c r="Q309" s="28">
        <v>117.3</v>
      </c>
      <c r="R309" s="48">
        <v>1.1935208866155206E-2</v>
      </c>
    </row>
    <row r="310" spans="1:18" x14ac:dyDescent="0.15">
      <c r="A310" s="29">
        <v>309</v>
      </c>
      <c r="B310" s="28">
        <v>123132</v>
      </c>
      <c r="C310" s="28" t="s">
        <v>235</v>
      </c>
      <c r="D310" s="28">
        <v>120.053</v>
      </c>
      <c r="E310" s="48">
        <v>-7.7000000000000002E-3</v>
      </c>
      <c r="F310" s="28">
        <v>28</v>
      </c>
      <c r="G310" s="28">
        <v>76.36</v>
      </c>
      <c r="H310" s="48">
        <v>0.57220000000000004</v>
      </c>
      <c r="I310" s="45">
        <v>177.273</v>
      </c>
      <c r="J310" s="46">
        <v>46738</v>
      </c>
      <c r="K310" s="47">
        <v>5.3289999999999997</v>
      </c>
      <c r="L310" s="47">
        <v>6.9998389999999997</v>
      </c>
      <c r="M310" s="47">
        <v>2124.8330467999999</v>
      </c>
      <c r="N310" s="48">
        <v>2.5285045760552648E-2</v>
      </c>
      <c r="O310" s="48">
        <v>1.505E-3</v>
      </c>
      <c r="P310" s="28">
        <v>120.938</v>
      </c>
      <c r="Q310" s="28">
        <v>119.227</v>
      </c>
      <c r="R310" s="48">
        <v>1.4350776250345965E-2</v>
      </c>
    </row>
    <row r="311" spans="1:18" x14ac:dyDescent="0.15">
      <c r="A311" s="29">
        <v>310</v>
      </c>
      <c r="B311" s="28">
        <v>118005</v>
      </c>
      <c r="C311" s="28" t="s">
        <v>768</v>
      </c>
      <c r="D311" s="28">
        <v>133.70599999999999</v>
      </c>
      <c r="E311" s="48">
        <v>2.9999999999999997E-4</v>
      </c>
      <c r="F311" s="28">
        <v>153.6</v>
      </c>
      <c r="G311" s="28">
        <v>84.99</v>
      </c>
      <c r="H311" s="48">
        <v>0.57320000000000004</v>
      </c>
      <c r="I311" s="45">
        <v>191.02599999999998</v>
      </c>
      <c r="J311" s="46">
        <v>46779</v>
      </c>
      <c r="K311" s="47">
        <v>5.4409999999999998</v>
      </c>
      <c r="L311" s="47">
        <v>8.2996499999999997</v>
      </c>
      <c r="M311" s="47">
        <v>3616.3289</v>
      </c>
      <c r="N311" s="48">
        <v>3.25879654518735E-2</v>
      </c>
      <c r="O311" s="48">
        <v>-2.7623000000000002E-2</v>
      </c>
      <c r="P311" s="28">
        <v>135.09700000000001</v>
      </c>
      <c r="Q311" s="28">
        <v>133.125</v>
      </c>
      <c r="R311" s="48">
        <v>1.4813145539906166E-2</v>
      </c>
    </row>
    <row r="312" spans="1:18" x14ac:dyDescent="0.15">
      <c r="A312" s="29">
        <v>311</v>
      </c>
      <c r="B312" s="28">
        <v>127053</v>
      </c>
      <c r="C312" s="28" t="s">
        <v>774</v>
      </c>
      <c r="D312" s="28">
        <v>125.5</v>
      </c>
      <c r="E312" s="48">
        <v>6.4000000000000003E-3</v>
      </c>
      <c r="F312" s="28">
        <v>21.29</v>
      </c>
      <c r="G312" s="28">
        <v>79.760000000000005</v>
      </c>
      <c r="H312" s="48">
        <v>0.57350000000000001</v>
      </c>
      <c r="I312" s="45">
        <v>182.85</v>
      </c>
      <c r="J312" s="46">
        <v>46776</v>
      </c>
      <c r="K312" s="47">
        <v>5.4329999999999998</v>
      </c>
      <c r="L312" s="47">
        <v>8.2399199999999997</v>
      </c>
      <c r="M312" s="47">
        <v>4348.3167527000005</v>
      </c>
      <c r="N312" s="48">
        <v>4.2048881849083057E-2</v>
      </c>
      <c r="O312" s="48">
        <v>-2.2520000000000001E-3</v>
      </c>
      <c r="P312" s="28">
        <v>127.901</v>
      </c>
      <c r="Q312" s="28">
        <v>123.13</v>
      </c>
      <c r="R312" s="48">
        <v>3.8747665069438809E-2</v>
      </c>
    </row>
    <row r="313" spans="1:18" x14ac:dyDescent="0.15">
      <c r="A313" s="29">
        <v>312</v>
      </c>
      <c r="B313" s="28">
        <v>123090</v>
      </c>
      <c r="C313" s="28" t="s">
        <v>170</v>
      </c>
      <c r="D313" s="28">
        <v>122</v>
      </c>
      <c r="E313" s="48">
        <v>-1.9900000000000001E-2</v>
      </c>
      <c r="F313" s="28">
        <v>34.979999999999997</v>
      </c>
      <c r="G313" s="28">
        <v>77.36</v>
      </c>
      <c r="H313" s="48">
        <v>0.57700000000000007</v>
      </c>
      <c r="I313" s="45">
        <v>179.7</v>
      </c>
      <c r="J313" s="46">
        <v>46377</v>
      </c>
      <c r="K313" s="47">
        <v>4.34</v>
      </c>
      <c r="L313" s="47">
        <v>4.9994690000000004</v>
      </c>
      <c r="M313" s="47">
        <v>898.51624900000002</v>
      </c>
      <c r="N313" s="48">
        <v>1.4731339041976748E-2</v>
      </c>
      <c r="O313" s="48">
        <v>-1.0174000000000001E-2</v>
      </c>
      <c r="P313" s="28">
        <v>124.3</v>
      </c>
      <c r="Q313" s="28">
        <v>122</v>
      </c>
      <c r="R313" s="48">
        <v>1.885245901639342E-2</v>
      </c>
    </row>
    <row r="314" spans="1:18" x14ac:dyDescent="0.15">
      <c r="A314" s="29">
        <v>313</v>
      </c>
      <c r="B314" s="28">
        <v>127056</v>
      </c>
      <c r="C314" s="28" t="s">
        <v>1837</v>
      </c>
      <c r="D314" s="28">
        <v>119.133</v>
      </c>
      <c r="E314" s="48">
        <v>-5.6999999999999993E-3</v>
      </c>
      <c r="F314" s="28">
        <v>24.2</v>
      </c>
      <c r="G314" s="28">
        <v>75.540000000000006</v>
      </c>
      <c r="H314" s="48">
        <v>0.57710000000000006</v>
      </c>
      <c r="I314" s="45">
        <v>176.84299999999999</v>
      </c>
      <c r="J314" s="46">
        <v>46808</v>
      </c>
      <c r="K314" s="47">
        <v>5.5209999999999999</v>
      </c>
      <c r="L314" s="47">
        <v>50</v>
      </c>
      <c r="M314" s="47">
        <v>3932.6683515</v>
      </c>
      <c r="N314" s="48">
        <v>6.6021477701392562E-3</v>
      </c>
      <c r="O314" s="48">
        <v>-1.3899999999999999E-2</v>
      </c>
      <c r="P314" s="28">
        <v>120.1</v>
      </c>
      <c r="Q314" s="28">
        <v>117.768</v>
      </c>
      <c r="R314" s="48">
        <v>1.9801643910060403E-2</v>
      </c>
    </row>
    <row r="315" spans="1:18" x14ac:dyDescent="0.15">
      <c r="A315" s="29">
        <v>314</v>
      </c>
      <c r="B315" s="28">
        <v>123054</v>
      </c>
      <c r="C315" s="28" t="s">
        <v>81</v>
      </c>
      <c r="D315" s="28">
        <v>135.19</v>
      </c>
      <c r="E315" s="48">
        <v>-1.54E-2</v>
      </c>
      <c r="F315" s="28">
        <v>10.46</v>
      </c>
      <c r="G315" s="28">
        <v>85.56</v>
      </c>
      <c r="H315" s="48">
        <v>0.58009999999999995</v>
      </c>
      <c r="I315" s="45">
        <v>193.2</v>
      </c>
      <c r="J315" s="46">
        <v>46183</v>
      </c>
      <c r="K315" s="47">
        <v>3.8079999999999998</v>
      </c>
      <c r="L315" s="47">
        <v>2.0730419999999996</v>
      </c>
      <c r="M315" s="47">
        <v>3993.6593090000006</v>
      </c>
      <c r="N315" s="48">
        <v>0.14250114182928456</v>
      </c>
      <c r="O315" s="48">
        <v>-3.0346000000000001E-2</v>
      </c>
      <c r="P315" s="28">
        <v>138.96</v>
      </c>
      <c r="Q315" s="28">
        <v>134.602</v>
      </c>
      <c r="R315" s="48">
        <v>3.2376933477957268E-2</v>
      </c>
    </row>
    <row r="316" spans="1:18" x14ac:dyDescent="0.15">
      <c r="A316" s="29">
        <v>315</v>
      </c>
      <c r="B316" s="28">
        <v>128070</v>
      </c>
      <c r="C316" s="28" t="s">
        <v>154</v>
      </c>
      <c r="D316" s="28">
        <v>144</v>
      </c>
      <c r="E316" s="48">
        <v>4.2300000000000004E-2</v>
      </c>
      <c r="F316" s="28">
        <v>9.42</v>
      </c>
      <c r="G316" s="28">
        <v>90.87</v>
      </c>
      <c r="H316" s="48">
        <v>0.5847</v>
      </c>
      <c r="I316" s="45">
        <v>202.47</v>
      </c>
      <c r="J316" s="46">
        <v>45840</v>
      </c>
      <c r="K316" s="47">
        <v>2.8679999999999999</v>
      </c>
      <c r="L316" s="47">
        <v>2.2944810000000002</v>
      </c>
      <c r="M316" s="47">
        <v>282623.72109279997</v>
      </c>
      <c r="N316" s="48">
        <v>8.5538504341988926</v>
      </c>
      <c r="O316" s="48">
        <v>-7.4718000000000007E-2</v>
      </c>
      <c r="P316" s="28">
        <v>150.19999999999999</v>
      </c>
      <c r="Q316" s="28">
        <v>137.30000000000001</v>
      </c>
      <c r="R316" s="48">
        <v>9.3954843408594141E-2</v>
      </c>
    </row>
    <row r="317" spans="1:18" x14ac:dyDescent="0.15">
      <c r="A317" s="29">
        <v>316</v>
      </c>
      <c r="B317" s="28">
        <v>113652</v>
      </c>
      <c r="C317" s="28" t="s">
        <v>2029</v>
      </c>
      <c r="D317" s="28">
        <v>129.005</v>
      </c>
      <c r="E317" s="48">
        <v>-1.2199999999999999E-2</v>
      </c>
      <c r="F317" s="28">
        <v>32.85</v>
      </c>
      <c r="G317" s="28">
        <v>81.400000000000006</v>
      </c>
      <c r="H317" s="48">
        <v>0.58479999999999999</v>
      </c>
      <c r="I317" s="45">
        <v>187.48499999999999</v>
      </c>
      <c r="J317" s="46">
        <v>46956</v>
      </c>
      <c r="K317" s="47">
        <v>5.9260000000000002</v>
      </c>
      <c r="L317" s="47">
        <v>14.77</v>
      </c>
      <c r="M317" s="47">
        <v>3055.0182</v>
      </c>
      <c r="N317" s="48">
        <v>1.6033441939355794E-2</v>
      </c>
      <c r="O317" s="48">
        <v>-1.9906E-2</v>
      </c>
      <c r="P317" s="28">
        <v>130.6</v>
      </c>
      <c r="Q317" s="28">
        <v>128.94</v>
      </c>
      <c r="R317" s="48">
        <v>1.2874205056615453E-2</v>
      </c>
    </row>
    <row r="318" spans="1:18" x14ac:dyDescent="0.15">
      <c r="A318" s="29">
        <v>317</v>
      </c>
      <c r="B318" s="28">
        <v>113639</v>
      </c>
      <c r="C318" s="28" t="s">
        <v>773</v>
      </c>
      <c r="D318" s="28">
        <v>116.596</v>
      </c>
      <c r="E318" s="48">
        <v>-1.8600000000000002E-2</v>
      </c>
      <c r="F318" s="28">
        <v>38.590000000000003</v>
      </c>
      <c r="G318" s="28">
        <v>73.44</v>
      </c>
      <c r="H318" s="48">
        <v>0.58760000000000001</v>
      </c>
      <c r="I318" s="45">
        <v>175.35599999999999</v>
      </c>
      <c r="J318" s="46">
        <v>46776</v>
      </c>
      <c r="K318" s="47">
        <v>5.4329999999999998</v>
      </c>
      <c r="L318" s="47">
        <v>5.6997200000000001</v>
      </c>
      <c r="M318" s="47">
        <v>9174.5115000000005</v>
      </c>
      <c r="N318" s="48">
        <v>0.13805297704982117</v>
      </c>
      <c r="O318" s="48">
        <v>-6.6569999999999997E-3</v>
      </c>
      <c r="P318" s="28">
        <v>119.1</v>
      </c>
      <c r="Q318" s="28">
        <v>114.5</v>
      </c>
      <c r="R318" s="48">
        <v>4.0174672489082922E-2</v>
      </c>
    </row>
    <row r="319" spans="1:18" x14ac:dyDescent="0.15">
      <c r="A319" s="29">
        <v>318</v>
      </c>
      <c r="B319" s="28">
        <v>128134</v>
      </c>
      <c r="C319" s="28" t="s">
        <v>1812</v>
      </c>
      <c r="D319" s="28">
        <v>123.39100000000001</v>
      </c>
      <c r="E319" s="48">
        <v>-3.5999999999999999E-3</v>
      </c>
      <c r="F319" s="28">
        <v>33.22</v>
      </c>
      <c r="G319" s="28">
        <v>77.69</v>
      </c>
      <c r="H319" s="48">
        <v>0.58820000000000006</v>
      </c>
      <c r="I319" s="45">
        <v>182.21100000000001</v>
      </c>
      <c r="J319" s="46">
        <v>46304</v>
      </c>
      <c r="K319" s="47">
        <v>4.1399999999999997</v>
      </c>
      <c r="L319" s="47">
        <v>15.728194999999999</v>
      </c>
      <c r="M319" s="47">
        <v>5910.9549870000001</v>
      </c>
      <c r="N319" s="48">
        <v>3.0457572262271707E-2</v>
      </c>
      <c r="O319" s="48">
        <v>-1.7623E-2</v>
      </c>
      <c r="P319" s="28">
        <v>124.643</v>
      </c>
      <c r="Q319" s="28">
        <v>122.22499999999999</v>
      </c>
      <c r="R319" s="48">
        <v>1.978318674575583E-2</v>
      </c>
    </row>
    <row r="320" spans="1:18" x14ac:dyDescent="0.15">
      <c r="A320" s="29">
        <v>319</v>
      </c>
      <c r="B320" s="28">
        <v>113610</v>
      </c>
      <c r="C320" s="28" t="s">
        <v>109</v>
      </c>
      <c r="D320" s="28">
        <v>114.774</v>
      </c>
      <c r="E320" s="48">
        <v>-7.6E-3</v>
      </c>
      <c r="F320" s="28">
        <v>8.51</v>
      </c>
      <c r="G320" s="28">
        <v>72.150000000000006</v>
      </c>
      <c r="H320" s="48">
        <v>0.59079999999999999</v>
      </c>
      <c r="I320" s="45">
        <v>173.85399999999998</v>
      </c>
      <c r="J320" s="46">
        <v>46357</v>
      </c>
      <c r="K320" s="47">
        <v>4.2850000000000001</v>
      </c>
      <c r="L320" s="47">
        <v>4.5794100000000002</v>
      </c>
      <c r="M320" s="47">
        <v>586.94709999999998</v>
      </c>
      <c r="N320" s="48">
        <v>1.1167241687553535E-2</v>
      </c>
      <c r="O320" s="48">
        <v>1.208E-2</v>
      </c>
      <c r="P320" s="28">
        <v>115.89</v>
      </c>
      <c r="Q320" s="28">
        <v>114.154</v>
      </c>
      <c r="R320" s="48">
        <v>1.520752667449239E-2</v>
      </c>
    </row>
    <row r="321" spans="1:18" x14ac:dyDescent="0.15">
      <c r="A321" s="29">
        <v>320</v>
      </c>
      <c r="B321" s="28">
        <v>123140</v>
      </c>
      <c r="C321" s="28" t="s">
        <v>772</v>
      </c>
      <c r="D321" s="28">
        <v>159.37799999999999</v>
      </c>
      <c r="E321" s="48">
        <v>-4.8399999999999999E-2</v>
      </c>
      <c r="F321" s="28">
        <v>12.32</v>
      </c>
      <c r="G321" s="28">
        <v>100.16</v>
      </c>
      <c r="H321" s="48">
        <v>0.59119999999999995</v>
      </c>
      <c r="I321" s="45">
        <v>218.49799999999999</v>
      </c>
      <c r="J321" s="46">
        <v>46826</v>
      </c>
      <c r="K321" s="47">
        <v>5.57</v>
      </c>
      <c r="L321" s="47">
        <v>1.72</v>
      </c>
      <c r="M321" s="47">
        <v>7218.6350753000006</v>
      </c>
      <c r="N321" s="48">
        <v>0.26332874410097751</v>
      </c>
      <c r="O321" s="48">
        <v>-5.3003000000000002E-2</v>
      </c>
      <c r="P321" s="28">
        <v>168.99600000000001</v>
      </c>
      <c r="Q321" s="28">
        <v>158.80000000000001</v>
      </c>
      <c r="R321" s="48">
        <v>6.4206549118387898E-2</v>
      </c>
    </row>
    <row r="322" spans="1:18" x14ac:dyDescent="0.15">
      <c r="A322" s="29">
        <v>321</v>
      </c>
      <c r="B322" s="28">
        <v>128063</v>
      </c>
      <c r="C322" s="28" t="s">
        <v>190</v>
      </c>
      <c r="D322" s="28">
        <v>120.04900000000001</v>
      </c>
      <c r="E322" s="48">
        <v>-1.0200000000000001E-2</v>
      </c>
      <c r="F322" s="28">
        <v>8.61</v>
      </c>
      <c r="G322" s="28">
        <v>75.260000000000005</v>
      </c>
      <c r="H322" s="48">
        <v>0.59509999999999996</v>
      </c>
      <c r="I322" s="45">
        <v>179.559</v>
      </c>
      <c r="J322" s="46">
        <v>45750</v>
      </c>
      <c r="K322" s="47">
        <v>2.6219999999999999</v>
      </c>
      <c r="L322" s="47">
        <v>6.2925449999999996</v>
      </c>
      <c r="M322" s="47">
        <v>2531.5285724</v>
      </c>
      <c r="N322" s="48">
        <v>3.3511815527005197E-2</v>
      </c>
      <c r="O322" s="48">
        <v>1.9108E-2</v>
      </c>
      <c r="P322" s="28">
        <v>121.58</v>
      </c>
      <c r="Q322" s="28">
        <v>119.55800000000001</v>
      </c>
      <c r="R322" s="48">
        <v>1.6912293614814493E-2</v>
      </c>
    </row>
    <row r="323" spans="1:18" x14ac:dyDescent="0.15">
      <c r="A323" s="29">
        <v>322</v>
      </c>
      <c r="B323" s="28">
        <v>113527</v>
      </c>
      <c r="C323" s="28" t="s">
        <v>115</v>
      </c>
      <c r="D323" s="28">
        <v>121.542</v>
      </c>
      <c r="E323" s="48">
        <v>-8.1000000000000013E-3</v>
      </c>
      <c r="F323" s="28">
        <v>9.75</v>
      </c>
      <c r="G323" s="28">
        <v>76.099999999999994</v>
      </c>
      <c r="H323" s="48">
        <v>0.59709999999999996</v>
      </c>
      <c r="I323" s="45">
        <v>181.25200000000001</v>
      </c>
      <c r="J323" s="46">
        <v>45681</v>
      </c>
      <c r="K323" s="47">
        <v>2.4329999999999998</v>
      </c>
      <c r="L323" s="47">
        <v>2.8627699999999998</v>
      </c>
      <c r="M323" s="47">
        <v>1633.2068999999999</v>
      </c>
      <c r="N323" s="48">
        <v>4.6938409568608265E-2</v>
      </c>
      <c r="O323" s="48">
        <v>-1.0532999999999999E-2</v>
      </c>
      <c r="P323" s="28">
        <v>122.66</v>
      </c>
      <c r="Q323" s="28">
        <v>120.84</v>
      </c>
      <c r="R323" s="48">
        <v>1.5061238000661975E-2</v>
      </c>
    </row>
    <row r="324" spans="1:18" x14ac:dyDescent="0.15">
      <c r="A324" s="29">
        <v>323</v>
      </c>
      <c r="B324" s="28">
        <v>118010</v>
      </c>
      <c r="C324" s="28" t="s">
        <v>2028</v>
      </c>
      <c r="D324" s="28">
        <v>127.096</v>
      </c>
      <c r="E324" s="48">
        <v>-7.0999999999999995E-3</v>
      </c>
      <c r="F324" s="28">
        <v>48.23</v>
      </c>
      <c r="G324" s="28">
        <v>79.56</v>
      </c>
      <c r="H324" s="48">
        <v>0.59750000000000003</v>
      </c>
      <c r="I324" s="45">
        <v>186.846</v>
      </c>
      <c r="J324" s="46">
        <v>46932</v>
      </c>
      <c r="K324" s="47">
        <v>5.86</v>
      </c>
      <c r="L324" s="47">
        <v>4.4000000000000004</v>
      </c>
      <c r="M324" s="47">
        <v>1312.8887999999999</v>
      </c>
      <c r="N324" s="48">
        <v>2.3477042407457207E-2</v>
      </c>
      <c r="O324" s="48">
        <v>-1.7044E-2</v>
      </c>
      <c r="P324" s="28">
        <v>128</v>
      </c>
      <c r="Q324" s="28">
        <v>126.206</v>
      </c>
      <c r="R324" s="48">
        <v>1.4214855078205449E-2</v>
      </c>
    </row>
    <row r="325" spans="1:18" x14ac:dyDescent="0.15">
      <c r="A325" s="29">
        <v>324</v>
      </c>
      <c r="B325" s="28">
        <v>127066</v>
      </c>
      <c r="C325" s="28" t="s">
        <v>2027</v>
      </c>
      <c r="D325" s="28">
        <v>134.501</v>
      </c>
      <c r="E325" s="48">
        <v>-4.24E-2</v>
      </c>
      <c r="F325" s="28">
        <v>159.35</v>
      </c>
      <c r="G325" s="28">
        <v>84.15</v>
      </c>
      <c r="H325" s="48">
        <v>0.59829999999999994</v>
      </c>
      <c r="I325" s="45">
        <v>194.33100000000002</v>
      </c>
      <c r="J325" s="46">
        <v>46942</v>
      </c>
      <c r="K325" s="47">
        <v>5.8879999999999999</v>
      </c>
      <c r="L325" s="47">
        <v>15.343705</v>
      </c>
      <c r="M325" s="47">
        <v>13604.622134400001</v>
      </c>
      <c r="N325" s="48">
        <v>6.5922053970091252E-2</v>
      </c>
      <c r="O325" s="48">
        <v>-2.6519000000000001E-2</v>
      </c>
      <c r="P325" s="28">
        <v>140.298</v>
      </c>
      <c r="Q325" s="28">
        <v>133.69999999999999</v>
      </c>
      <c r="R325" s="48">
        <v>4.9349289454001598E-2</v>
      </c>
    </row>
    <row r="326" spans="1:18" x14ac:dyDescent="0.15">
      <c r="A326" s="29">
        <v>325</v>
      </c>
      <c r="B326" s="28">
        <v>128053</v>
      </c>
      <c r="C326" s="28" t="s">
        <v>61</v>
      </c>
      <c r="D326" s="28">
        <v>136.62</v>
      </c>
      <c r="E326" s="48">
        <v>-0.01</v>
      </c>
      <c r="F326" s="28">
        <v>4.88</v>
      </c>
      <c r="G326" s="28">
        <v>85.45</v>
      </c>
      <c r="H326" s="48">
        <v>0.5988</v>
      </c>
      <c r="I326" s="45">
        <v>196.5</v>
      </c>
      <c r="J326" s="46">
        <v>45702</v>
      </c>
      <c r="K326" s="47">
        <v>2.4900000000000002</v>
      </c>
      <c r="L326" s="47">
        <v>1.9001300000000001</v>
      </c>
      <c r="M326" s="47">
        <v>1677.1234689999999</v>
      </c>
      <c r="N326" s="48">
        <v>6.4605194827669285E-2</v>
      </c>
      <c r="O326" s="48">
        <v>-7.3456999999999995E-2</v>
      </c>
      <c r="P326" s="28">
        <v>138.13</v>
      </c>
      <c r="Q326" s="28">
        <v>135.58500000000001</v>
      </c>
      <c r="R326" s="48">
        <v>1.8770512962348249E-2</v>
      </c>
    </row>
    <row r="327" spans="1:18" x14ac:dyDescent="0.15">
      <c r="A327" s="29">
        <v>326</v>
      </c>
      <c r="B327" s="28">
        <v>110045</v>
      </c>
      <c r="C327" s="28" t="s">
        <v>1838</v>
      </c>
      <c r="D327" s="28">
        <v>109.44</v>
      </c>
      <c r="E327" s="48">
        <v>-1.5E-3</v>
      </c>
      <c r="F327" s="28">
        <v>6.53</v>
      </c>
      <c r="G327" s="28">
        <v>68.150000000000006</v>
      </c>
      <c r="H327" s="48">
        <v>0.60589999999999999</v>
      </c>
      <c r="I327" s="45">
        <v>170.03</v>
      </c>
      <c r="J327" s="46">
        <v>45486</v>
      </c>
      <c r="K327" s="47">
        <v>1.899</v>
      </c>
      <c r="L327" s="47">
        <v>29.49615</v>
      </c>
      <c r="M327" s="47">
        <v>1347.7727</v>
      </c>
      <c r="N327" s="48">
        <v>4.175180328569594E-3</v>
      </c>
      <c r="O327" s="48">
        <v>-6.7699999999999998E-4</v>
      </c>
      <c r="P327" s="28">
        <v>109.64</v>
      </c>
      <c r="Q327" s="28">
        <v>108.91</v>
      </c>
      <c r="R327" s="48">
        <v>6.7027821136718757E-3</v>
      </c>
    </row>
    <row r="328" spans="1:18" x14ac:dyDescent="0.15">
      <c r="A328" s="29">
        <v>327</v>
      </c>
      <c r="B328" s="28">
        <v>113530</v>
      </c>
      <c r="C328" s="28" t="s">
        <v>177</v>
      </c>
      <c r="D328" s="28">
        <v>118.065</v>
      </c>
      <c r="E328" s="48">
        <v>-5.1000000000000004E-3</v>
      </c>
      <c r="F328" s="28">
        <v>16.100000000000001</v>
      </c>
      <c r="G328" s="28">
        <v>73.349999999999994</v>
      </c>
      <c r="H328" s="48">
        <v>0.60960000000000003</v>
      </c>
      <c r="I328" s="45">
        <v>179.02500000000001</v>
      </c>
      <c r="J328" s="46">
        <v>45743</v>
      </c>
      <c r="K328" s="47">
        <v>2.6030000000000002</v>
      </c>
      <c r="L328" s="47">
        <v>6.2976000000000001</v>
      </c>
      <c r="M328" s="47">
        <v>1664.2099000000001</v>
      </c>
      <c r="N328" s="48">
        <v>2.2382668228005175E-2</v>
      </c>
      <c r="O328" s="48">
        <v>6.3720000000000001E-3</v>
      </c>
      <c r="P328" s="28">
        <v>119.175</v>
      </c>
      <c r="Q328" s="28">
        <v>117.015</v>
      </c>
      <c r="R328" s="48">
        <v>1.8459171901038299E-2</v>
      </c>
    </row>
    <row r="329" spans="1:18" x14ac:dyDescent="0.15">
      <c r="A329" s="29">
        <v>328</v>
      </c>
      <c r="B329" s="28">
        <v>113563</v>
      </c>
      <c r="C329" s="28" t="s">
        <v>155</v>
      </c>
      <c r="D329" s="28">
        <v>113.042</v>
      </c>
      <c r="E329" s="48">
        <v>-1.7399999999999999E-2</v>
      </c>
      <c r="F329" s="28">
        <v>23.39</v>
      </c>
      <c r="G329" s="28">
        <v>70.16</v>
      </c>
      <c r="H329" s="48">
        <v>0.61119999999999997</v>
      </c>
      <c r="I329" s="45">
        <v>174.16200000000001</v>
      </c>
      <c r="J329" s="46">
        <v>46038</v>
      </c>
      <c r="K329" s="47">
        <v>3.411</v>
      </c>
      <c r="L329" s="47">
        <v>8.0190199999999994</v>
      </c>
      <c r="M329" s="47">
        <v>1444.8966</v>
      </c>
      <c r="N329" s="48">
        <v>1.5939534711090716E-2</v>
      </c>
      <c r="O329" s="48">
        <v>-1.967E-3</v>
      </c>
      <c r="P329" s="28">
        <v>115.17</v>
      </c>
      <c r="Q329" s="28">
        <v>112.8</v>
      </c>
      <c r="R329" s="48">
        <v>2.1010638297872381E-2</v>
      </c>
    </row>
    <row r="330" spans="1:18" x14ac:dyDescent="0.15">
      <c r="A330" s="29">
        <v>329</v>
      </c>
      <c r="B330" s="28">
        <v>127025</v>
      </c>
      <c r="C330" s="28" t="s">
        <v>1829</v>
      </c>
      <c r="D330" s="28">
        <v>113.107</v>
      </c>
      <c r="E330" s="48">
        <v>-8.6999999999999994E-3</v>
      </c>
      <c r="F330" s="28">
        <v>13.26</v>
      </c>
      <c r="G330" s="28">
        <v>70.14</v>
      </c>
      <c r="H330" s="48">
        <v>0.61260000000000003</v>
      </c>
      <c r="I330" s="45">
        <v>174.36699999999999</v>
      </c>
      <c r="J330" s="46">
        <v>46331</v>
      </c>
      <c r="K330" s="47">
        <v>4.2140000000000004</v>
      </c>
      <c r="L330" s="47">
        <v>17.76455</v>
      </c>
      <c r="M330" s="47">
        <v>1335.7031334000001</v>
      </c>
      <c r="N330" s="48">
        <v>6.6476209918627403E-3</v>
      </c>
      <c r="O330" s="48">
        <v>-6.9150000000000001E-3</v>
      </c>
      <c r="P330" s="28">
        <v>114.1</v>
      </c>
      <c r="Q330" s="28">
        <v>112.7</v>
      </c>
      <c r="R330" s="48">
        <v>1.242236024844713E-2</v>
      </c>
    </row>
    <row r="331" spans="1:18" x14ac:dyDescent="0.15">
      <c r="A331" s="29">
        <v>330</v>
      </c>
      <c r="B331" s="28">
        <v>110073</v>
      </c>
      <c r="C331" s="28" t="s">
        <v>1852</v>
      </c>
      <c r="D331" s="28">
        <v>106.17</v>
      </c>
      <c r="E331" s="48">
        <v>-4.6999999999999993E-3</v>
      </c>
      <c r="F331" s="28">
        <v>9.75</v>
      </c>
      <c r="G331" s="28">
        <v>65.739999999999995</v>
      </c>
      <c r="H331" s="48">
        <v>0.61499999999999999</v>
      </c>
      <c r="I331" s="45">
        <v>167.67000000000002</v>
      </c>
      <c r="J331" s="46">
        <v>46227</v>
      </c>
      <c r="K331" s="47">
        <v>3.9289999999999998</v>
      </c>
      <c r="L331" s="47">
        <v>79.993160000000003</v>
      </c>
      <c r="M331" s="47">
        <v>4737.3589000000002</v>
      </c>
      <c r="N331" s="48">
        <v>5.5780399110155745E-3</v>
      </c>
      <c r="O331" s="48">
        <v>8.9239999999999996E-3</v>
      </c>
      <c r="P331" s="28">
        <v>106.85</v>
      </c>
      <c r="Q331" s="28">
        <v>106</v>
      </c>
      <c r="R331" s="48">
        <v>8.0188679245282481E-3</v>
      </c>
    </row>
    <row r="332" spans="1:18" x14ac:dyDescent="0.15">
      <c r="A332" s="29">
        <v>331</v>
      </c>
      <c r="B332" s="28">
        <v>123038</v>
      </c>
      <c r="C332" s="28" t="s">
        <v>73</v>
      </c>
      <c r="D332" s="28">
        <v>145.452</v>
      </c>
      <c r="E332" s="48">
        <v>-9.1999999999999998E-3</v>
      </c>
      <c r="F332" s="28">
        <v>24.06</v>
      </c>
      <c r="G332" s="28">
        <v>89.9</v>
      </c>
      <c r="H332" s="48">
        <v>0.6179</v>
      </c>
      <c r="I332" s="45">
        <v>207.24199999999999</v>
      </c>
      <c r="J332" s="46">
        <v>46016</v>
      </c>
      <c r="K332" s="47">
        <v>3.351</v>
      </c>
      <c r="L332" s="47">
        <v>1.472628</v>
      </c>
      <c r="M332" s="47">
        <v>17848.096426699998</v>
      </c>
      <c r="N332" s="48">
        <v>0.83325734890442849</v>
      </c>
      <c r="O332" s="48">
        <v>-6.1957999999999999E-2</v>
      </c>
      <c r="P332" s="28">
        <v>148.28800000000001</v>
      </c>
      <c r="Q332" s="28">
        <v>145.1</v>
      </c>
      <c r="R332" s="48">
        <v>2.1971054445210317E-2</v>
      </c>
    </row>
    <row r="333" spans="1:18" x14ac:dyDescent="0.15">
      <c r="A333" s="29">
        <v>332</v>
      </c>
      <c r="B333" s="28">
        <v>110072</v>
      </c>
      <c r="C333" s="28" t="s">
        <v>1835</v>
      </c>
      <c r="D333" s="28">
        <v>100.563</v>
      </c>
      <c r="E333" s="48">
        <v>3.7000000000000002E-3</v>
      </c>
      <c r="F333" s="28">
        <v>4.03</v>
      </c>
      <c r="G333" s="28">
        <v>61.79</v>
      </c>
      <c r="H333" s="48">
        <v>0.62749999999999995</v>
      </c>
      <c r="I333" s="45">
        <v>163.31299999999999</v>
      </c>
      <c r="J333" s="46">
        <v>46252</v>
      </c>
      <c r="K333" s="47">
        <v>3.9969999999999999</v>
      </c>
      <c r="L333" s="47">
        <v>33.662350000000004</v>
      </c>
      <c r="M333" s="47">
        <v>5286.4247999999998</v>
      </c>
      <c r="N333" s="48">
        <v>1.5616345423164122E-2</v>
      </c>
      <c r="O333" s="48">
        <v>3.2111000000000001E-2</v>
      </c>
      <c r="P333" s="28">
        <v>100.65</v>
      </c>
      <c r="Q333" s="28">
        <v>99.71</v>
      </c>
      <c r="R333" s="48">
        <v>9.4273392839234974E-3</v>
      </c>
    </row>
    <row r="334" spans="1:18" x14ac:dyDescent="0.15">
      <c r="A334" s="29">
        <v>333</v>
      </c>
      <c r="B334" s="28">
        <v>113021</v>
      </c>
      <c r="C334" s="28" t="s">
        <v>1846</v>
      </c>
      <c r="D334" s="28">
        <v>110.35599999999999</v>
      </c>
      <c r="E334" s="48">
        <v>-1.2999999999999999E-3</v>
      </c>
      <c r="F334" s="28">
        <v>6.43</v>
      </c>
      <c r="G334" s="28">
        <v>67.650000000000006</v>
      </c>
      <c r="H334" s="48">
        <v>0.63129999999999997</v>
      </c>
      <c r="I334" s="45">
        <v>173.48599999999999</v>
      </c>
      <c r="J334" s="46">
        <v>45720</v>
      </c>
      <c r="K334" s="47">
        <v>2.54</v>
      </c>
      <c r="L334" s="47">
        <v>399.99664999999999</v>
      </c>
      <c r="M334" s="47">
        <v>1559.4005</v>
      </c>
      <c r="N334" s="48">
        <v>3.532688662348594E-4</v>
      </c>
      <c r="O334" s="48">
        <v>2.2138000000000001E-2</v>
      </c>
      <c r="P334" s="28">
        <v>110.57899999999999</v>
      </c>
      <c r="Q334" s="28">
        <v>110.23099999999999</v>
      </c>
      <c r="R334" s="48">
        <v>3.1570066496720431E-3</v>
      </c>
    </row>
    <row r="335" spans="1:18" x14ac:dyDescent="0.15">
      <c r="A335" s="29">
        <v>334</v>
      </c>
      <c r="B335" s="28">
        <v>113566</v>
      </c>
      <c r="C335" s="28" t="s">
        <v>180</v>
      </c>
      <c r="D335" s="28">
        <v>126.03</v>
      </c>
      <c r="E335" s="48">
        <v>-7.6E-3</v>
      </c>
      <c r="F335" s="28">
        <v>10.77</v>
      </c>
      <c r="G335" s="28">
        <v>77.25</v>
      </c>
      <c r="H335" s="48">
        <v>0.63149999999999995</v>
      </c>
      <c r="I335" s="45">
        <v>189.18</v>
      </c>
      <c r="J335" s="46">
        <v>46081</v>
      </c>
      <c r="K335" s="47">
        <v>3.5289999999999999</v>
      </c>
      <c r="L335" s="47">
        <v>1.6127199999999999</v>
      </c>
      <c r="M335" s="47">
        <v>1071.0934</v>
      </c>
      <c r="N335" s="48">
        <v>5.2698036643753186E-2</v>
      </c>
      <c r="O335" s="48">
        <v>-6.5510000000000004E-3</v>
      </c>
      <c r="P335" s="28">
        <v>127.8</v>
      </c>
      <c r="Q335" s="28">
        <v>125.76</v>
      </c>
      <c r="R335" s="48">
        <v>1.6221374045801464E-2</v>
      </c>
    </row>
    <row r="336" spans="1:18" x14ac:dyDescent="0.15">
      <c r="A336" s="29">
        <v>335</v>
      </c>
      <c r="B336" s="28">
        <v>128015</v>
      </c>
      <c r="C336" s="28" t="s">
        <v>152</v>
      </c>
      <c r="D336" s="28">
        <v>114.69</v>
      </c>
      <c r="E336" s="48">
        <v>2.0000000000000001E-4</v>
      </c>
      <c r="F336" s="28">
        <v>6.97</v>
      </c>
      <c r="G336" s="28">
        <v>69.73</v>
      </c>
      <c r="H336" s="48">
        <v>0.64480000000000004</v>
      </c>
      <c r="I336" s="45">
        <v>179.17000000000002</v>
      </c>
      <c r="J336" s="46">
        <v>45085</v>
      </c>
      <c r="K336" s="47">
        <v>0.8</v>
      </c>
      <c r="L336" s="47">
        <v>7.7922669999999998</v>
      </c>
      <c r="M336" s="47">
        <v>3322.0714429999998</v>
      </c>
      <c r="N336" s="48">
        <v>3.7172313406558612E-2</v>
      </c>
      <c r="O336" s="48">
        <v>-7.2135999999999992E-2</v>
      </c>
      <c r="P336" s="28">
        <v>115.446</v>
      </c>
      <c r="Q336" s="28">
        <v>114.001</v>
      </c>
      <c r="R336" s="48">
        <v>1.2675327409408629E-2</v>
      </c>
    </row>
    <row r="337" spans="1:18" x14ac:dyDescent="0.15">
      <c r="A337" s="29">
        <v>336</v>
      </c>
      <c r="B337" s="28">
        <v>113535</v>
      </c>
      <c r="C337" s="28" t="s">
        <v>201</v>
      </c>
      <c r="D337" s="28">
        <v>113.998</v>
      </c>
      <c r="E337" s="48">
        <v>-4.3E-3</v>
      </c>
      <c r="F337" s="28">
        <v>12.29</v>
      </c>
      <c r="G337" s="28">
        <v>69.16</v>
      </c>
      <c r="H337" s="48">
        <v>0.64829999999999999</v>
      </c>
      <c r="I337" s="45">
        <v>178.828</v>
      </c>
      <c r="J337" s="46">
        <v>45421</v>
      </c>
      <c r="K337" s="47">
        <v>1.7210000000000001</v>
      </c>
      <c r="L337" s="47">
        <v>4.9961099999999998</v>
      </c>
      <c r="M337" s="47">
        <v>897.56610000000001</v>
      </c>
      <c r="N337" s="48">
        <v>1.5759310691963051E-2</v>
      </c>
      <c r="O337" s="48">
        <v>-1.2874000000000002E-2</v>
      </c>
      <c r="P337" s="28">
        <v>114.57899999999999</v>
      </c>
      <c r="Q337" s="28">
        <v>113.526</v>
      </c>
      <c r="R337" s="48">
        <v>9.2754082765181302E-3</v>
      </c>
    </row>
    <row r="338" spans="1:18" x14ac:dyDescent="0.15">
      <c r="A338" s="29">
        <v>337</v>
      </c>
      <c r="B338" s="28">
        <v>123122</v>
      </c>
      <c r="C338" s="28" t="s">
        <v>164</v>
      </c>
      <c r="D338" s="28">
        <v>123.801</v>
      </c>
      <c r="E338" s="48">
        <v>-1.8500000000000003E-2</v>
      </c>
      <c r="F338" s="28">
        <v>92.77</v>
      </c>
      <c r="G338" s="28">
        <v>75.02</v>
      </c>
      <c r="H338" s="48">
        <v>0.6502</v>
      </c>
      <c r="I338" s="45">
        <v>188.821</v>
      </c>
      <c r="J338" s="46">
        <v>46605</v>
      </c>
      <c r="K338" s="47">
        <v>4.9640000000000004</v>
      </c>
      <c r="L338" s="47">
        <v>5.8063779999999996</v>
      </c>
      <c r="M338" s="47">
        <v>2418.9438049999999</v>
      </c>
      <c r="N338" s="48">
        <v>3.3650871891559429E-2</v>
      </c>
      <c r="O338" s="48">
        <v>-6.3639999999999999E-3</v>
      </c>
      <c r="P338" s="28">
        <v>127.348</v>
      </c>
      <c r="Q338" s="28">
        <v>123.5</v>
      </c>
      <c r="R338" s="48">
        <v>3.1157894736842096E-2</v>
      </c>
    </row>
    <row r="339" spans="1:18" x14ac:dyDescent="0.15">
      <c r="A339" s="29">
        <v>338</v>
      </c>
      <c r="B339" s="28">
        <v>113638</v>
      </c>
      <c r="C339" s="28" t="s">
        <v>258</v>
      </c>
      <c r="D339" s="28">
        <v>124.92400000000001</v>
      </c>
      <c r="E339" s="48">
        <v>-2.35E-2</v>
      </c>
      <c r="F339" s="28">
        <v>16.7</v>
      </c>
      <c r="G339" s="28">
        <v>75.69</v>
      </c>
      <c r="H339" s="48">
        <v>0.65049999999999997</v>
      </c>
      <c r="I339" s="45">
        <v>189.97399999999999</v>
      </c>
      <c r="J339" s="46">
        <v>46750</v>
      </c>
      <c r="K339" s="47">
        <v>5.3620000000000001</v>
      </c>
      <c r="L339" s="47">
        <v>5.9998800000000001</v>
      </c>
      <c r="M339" s="47">
        <v>3309.7433999999998</v>
      </c>
      <c r="N339" s="48">
        <v>4.4157642462509521E-2</v>
      </c>
      <c r="O339" s="48">
        <v>-1.2199E-2</v>
      </c>
      <c r="P339" s="28">
        <v>128.21199999999999</v>
      </c>
      <c r="Q339" s="28">
        <v>124.708</v>
      </c>
      <c r="R339" s="48">
        <v>2.8097636077877849E-2</v>
      </c>
    </row>
    <row r="340" spans="1:18" x14ac:dyDescent="0.15">
      <c r="A340" s="29">
        <v>339</v>
      </c>
      <c r="B340" s="28">
        <v>128072</v>
      </c>
      <c r="C340" s="28" t="s">
        <v>145</v>
      </c>
      <c r="D340" s="28">
        <v>127.32</v>
      </c>
      <c r="E340" s="48">
        <v>-2.9600000000000001E-2</v>
      </c>
      <c r="F340" s="28">
        <v>15.09</v>
      </c>
      <c r="G340" s="28">
        <v>77</v>
      </c>
      <c r="H340" s="48">
        <v>0.65349999999999997</v>
      </c>
      <c r="I340" s="45">
        <v>192.67</v>
      </c>
      <c r="J340" s="46">
        <v>45889</v>
      </c>
      <c r="K340" s="47">
        <v>3.0030000000000001</v>
      </c>
      <c r="L340" s="47">
        <v>3.0178639999999999</v>
      </c>
      <c r="M340" s="47">
        <v>141490.17333210001</v>
      </c>
      <c r="N340" s="48">
        <v>3.6823917107063213</v>
      </c>
      <c r="O340" s="48">
        <v>-3.5477000000000002E-2</v>
      </c>
      <c r="P340" s="28">
        <v>138.16800000000001</v>
      </c>
      <c r="Q340" s="28">
        <v>127</v>
      </c>
      <c r="R340" s="48">
        <v>8.7937007874015802E-2</v>
      </c>
    </row>
    <row r="341" spans="1:18" x14ac:dyDescent="0.15">
      <c r="A341" s="29">
        <v>340</v>
      </c>
      <c r="B341" s="28">
        <v>113579</v>
      </c>
      <c r="C341" s="28" t="s">
        <v>105</v>
      </c>
      <c r="D341" s="28">
        <v>121.093</v>
      </c>
      <c r="E341" s="48">
        <v>-1.5900000000000001E-2</v>
      </c>
      <c r="F341" s="28">
        <v>24.65</v>
      </c>
      <c r="G341" s="28">
        <v>73.099999999999994</v>
      </c>
      <c r="H341" s="48">
        <v>0.65650000000000008</v>
      </c>
      <c r="I341" s="45">
        <v>186.74299999999999</v>
      </c>
      <c r="J341" s="46">
        <v>46135</v>
      </c>
      <c r="K341" s="47">
        <v>3.677</v>
      </c>
      <c r="L341" s="47">
        <v>5.0250300000000001</v>
      </c>
      <c r="M341" s="47">
        <v>655.90530000000001</v>
      </c>
      <c r="N341" s="48">
        <v>1.0779123371372693E-2</v>
      </c>
      <c r="O341" s="48">
        <v>-1.8248E-2</v>
      </c>
      <c r="P341" s="28">
        <v>123.446</v>
      </c>
      <c r="Q341" s="28">
        <v>120.651</v>
      </c>
      <c r="R341" s="48">
        <v>2.3165991164598734E-2</v>
      </c>
    </row>
    <row r="342" spans="1:18" x14ac:dyDescent="0.15">
      <c r="A342" s="29">
        <v>341</v>
      </c>
      <c r="B342" s="28">
        <v>113542</v>
      </c>
      <c r="C342" s="28" t="s">
        <v>165</v>
      </c>
      <c r="D342" s="28">
        <v>111.807</v>
      </c>
      <c r="E342" s="48">
        <v>-8.8000000000000005E-3</v>
      </c>
      <c r="F342" s="28">
        <v>16.079999999999998</v>
      </c>
      <c r="G342" s="28">
        <v>67.41</v>
      </c>
      <c r="H342" s="48">
        <v>0.65859999999999996</v>
      </c>
      <c r="I342" s="45">
        <v>177.667</v>
      </c>
      <c r="J342" s="46">
        <v>45870</v>
      </c>
      <c r="K342" s="47">
        <v>2.9510000000000001</v>
      </c>
      <c r="L342" s="47">
        <v>6.02719</v>
      </c>
      <c r="M342" s="47">
        <v>513.33699999999999</v>
      </c>
      <c r="N342" s="48">
        <v>7.6176092457176364E-3</v>
      </c>
      <c r="O342" s="48">
        <v>4.5669999999999999E-3</v>
      </c>
      <c r="P342" s="28">
        <v>113.164</v>
      </c>
      <c r="Q342" s="28">
        <v>111.6</v>
      </c>
      <c r="R342" s="48">
        <v>1.4014336917562788E-2</v>
      </c>
    </row>
    <row r="343" spans="1:18" x14ac:dyDescent="0.15">
      <c r="A343" s="29">
        <v>342</v>
      </c>
      <c r="B343" s="28">
        <v>127006</v>
      </c>
      <c r="C343" s="28" t="s">
        <v>1841</v>
      </c>
      <c r="D343" s="28">
        <v>118.19499999999999</v>
      </c>
      <c r="E343" s="48">
        <v>-6.8000000000000005E-3</v>
      </c>
      <c r="F343" s="28">
        <v>19.93</v>
      </c>
      <c r="G343" s="28">
        <v>71.25</v>
      </c>
      <c r="H343" s="48">
        <v>0.65890000000000004</v>
      </c>
      <c r="I343" s="45">
        <v>184.08499999999998</v>
      </c>
      <c r="J343" s="46">
        <v>45364</v>
      </c>
      <c r="K343" s="47">
        <v>1.5640000000000001</v>
      </c>
      <c r="L343" s="47">
        <v>24.072220000000002</v>
      </c>
      <c r="M343" s="47">
        <v>15371.380320599999</v>
      </c>
      <c r="N343" s="48">
        <v>5.4025353747593256E-2</v>
      </c>
      <c r="O343" s="48">
        <v>-6.4340999999999995E-2</v>
      </c>
      <c r="P343" s="28">
        <v>120</v>
      </c>
      <c r="Q343" s="28">
        <v>117.232</v>
      </c>
      <c r="R343" s="48">
        <v>2.361130066875939E-2</v>
      </c>
    </row>
    <row r="344" spans="1:18" x14ac:dyDescent="0.15">
      <c r="A344" s="29">
        <v>343</v>
      </c>
      <c r="B344" s="28">
        <v>123136</v>
      </c>
      <c r="C344" s="28" t="s">
        <v>255</v>
      </c>
      <c r="D344" s="28">
        <v>136.85</v>
      </c>
      <c r="E344" s="48">
        <v>-1.3600000000000001E-2</v>
      </c>
      <c r="F344" s="28">
        <v>17.440000000000001</v>
      </c>
      <c r="G344" s="28">
        <v>82.4</v>
      </c>
      <c r="H344" s="48">
        <v>0.66079999999999994</v>
      </c>
      <c r="I344" s="45">
        <v>202.93</v>
      </c>
      <c r="J344" s="46">
        <v>46773</v>
      </c>
      <c r="K344" s="47">
        <v>5.4249999999999998</v>
      </c>
      <c r="L344" s="47">
        <v>4.5979130000000001</v>
      </c>
      <c r="M344" s="47">
        <v>35637.965487499998</v>
      </c>
      <c r="N344" s="48">
        <v>0.56637927303034763</v>
      </c>
      <c r="O344" s="48">
        <v>-2.3267000000000003E-2</v>
      </c>
      <c r="P344" s="28">
        <v>139.946</v>
      </c>
      <c r="Q344" s="28">
        <v>135.501</v>
      </c>
      <c r="R344" s="48">
        <v>3.2804185946967129E-2</v>
      </c>
    </row>
    <row r="345" spans="1:18" x14ac:dyDescent="0.15">
      <c r="A345" s="29">
        <v>344</v>
      </c>
      <c r="B345" s="28">
        <v>123109</v>
      </c>
      <c r="C345" s="28" t="s">
        <v>1981</v>
      </c>
      <c r="D345" s="28">
        <v>118.76</v>
      </c>
      <c r="E345" s="48">
        <v>-1.84E-2</v>
      </c>
      <c r="F345" s="28">
        <v>27.88</v>
      </c>
      <c r="G345" s="28">
        <v>71.38</v>
      </c>
      <c r="H345" s="48">
        <v>0.66379999999999995</v>
      </c>
      <c r="I345" s="45">
        <v>185.14</v>
      </c>
      <c r="J345" s="46">
        <v>46478</v>
      </c>
      <c r="K345" s="47">
        <v>4.6159999999999997</v>
      </c>
      <c r="L345" s="47">
        <v>4.5955410000000008</v>
      </c>
      <c r="M345" s="47">
        <v>3499.0943060000004</v>
      </c>
      <c r="N345" s="48">
        <v>6.4113400730028844E-2</v>
      </c>
      <c r="O345" s="48">
        <v>3.4009999999999999E-3</v>
      </c>
      <c r="P345" s="28">
        <v>120.999</v>
      </c>
      <c r="Q345" s="28">
        <v>117.65</v>
      </c>
      <c r="R345" s="48">
        <v>2.8465788355291028E-2</v>
      </c>
    </row>
    <row r="346" spans="1:18" x14ac:dyDescent="0.15">
      <c r="A346" s="29">
        <v>345</v>
      </c>
      <c r="B346" s="28">
        <v>127051</v>
      </c>
      <c r="C346" s="28" t="s">
        <v>236</v>
      </c>
      <c r="D346" s="28">
        <v>119.801</v>
      </c>
      <c r="E346" s="48">
        <v>-1.3999999999999999E-2</v>
      </c>
      <c r="F346" s="28">
        <v>61.85</v>
      </c>
      <c r="G346" s="28">
        <v>71.8</v>
      </c>
      <c r="H346" s="48">
        <v>0.66849999999999998</v>
      </c>
      <c r="I346" s="45">
        <v>186.65100000000001</v>
      </c>
      <c r="J346" s="46">
        <v>46708</v>
      </c>
      <c r="K346" s="47">
        <v>5.2469999999999999</v>
      </c>
      <c r="L346" s="47">
        <v>5.25976</v>
      </c>
      <c r="M346" s="47">
        <v>4609.0892237000007</v>
      </c>
      <c r="N346" s="48">
        <v>7.3145690525268342E-2</v>
      </c>
      <c r="O346" s="48">
        <v>2.0999999999999999E-3</v>
      </c>
      <c r="P346" s="28">
        <v>121.7</v>
      </c>
      <c r="Q346" s="28">
        <v>119.65</v>
      </c>
      <c r="R346" s="48">
        <v>1.7133305474300017E-2</v>
      </c>
    </row>
    <row r="347" spans="1:18" x14ac:dyDescent="0.15">
      <c r="A347" s="29">
        <v>346</v>
      </c>
      <c r="B347" s="28">
        <v>113043</v>
      </c>
      <c r="C347" s="28" t="s">
        <v>1853</v>
      </c>
      <c r="D347" s="28">
        <v>109.25</v>
      </c>
      <c r="E347" s="48">
        <v>-7.0999999999999995E-3</v>
      </c>
      <c r="F347" s="28">
        <v>11.49</v>
      </c>
      <c r="G347" s="28">
        <v>65.36</v>
      </c>
      <c r="H347" s="48">
        <v>0.6715000000000001</v>
      </c>
      <c r="I347" s="45">
        <v>176.4</v>
      </c>
      <c r="J347" s="46">
        <v>46366</v>
      </c>
      <c r="K347" s="47">
        <v>4.3099999999999996</v>
      </c>
      <c r="L347" s="47">
        <v>37.997570000000003</v>
      </c>
      <c r="M347" s="47">
        <v>2213.2521000000002</v>
      </c>
      <c r="N347" s="48">
        <v>5.3315515854476759E-3</v>
      </c>
      <c r="O347" s="48">
        <v>1.6130000000000001E-3</v>
      </c>
      <c r="P347" s="28">
        <v>110.32599999999999</v>
      </c>
      <c r="Q347" s="28">
        <v>108.51</v>
      </c>
      <c r="R347" s="48">
        <v>1.6735784720302169E-2</v>
      </c>
    </row>
    <row r="348" spans="1:18" x14ac:dyDescent="0.15">
      <c r="A348" s="29">
        <v>347</v>
      </c>
      <c r="B348" s="28">
        <v>123128</v>
      </c>
      <c r="C348" s="28" t="s">
        <v>1865</v>
      </c>
      <c r="D348" s="28">
        <v>109</v>
      </c>
      <c r="E348" s="48">
        <v>2.8000000000000004E-3</v>
      </c>
      <c r="F348" s="28">
        <v>25.02</v>
      </c>
      <c r="G348" s="28">
        <v>65.069999999999993</v>
      </c>
      <c r="H348" s="48">
        <v>0.67510000000000003</v>
      </c>
      <c r="I348" s="45">
        <v>176.51</v>
      </c>
      <c r="J348" s="46">
        <v>46692</v>
      </c>
      <c r="K348" s="47">
        <v>5.2030000000000003</v>
      </c>
      <c r="L348" s="47">
        <v>13.794155999999999</v>
      </c>
      <c r="M348" s="47">
        <v>4666.9382429999996</v>
      </c>
      <c r="N348" s="48">
        <v>3.1039193107201511E-2</v>
      </c>
      <c r="O348" s="48">
        <v>1.0722000000000001E-2</v>
      </c>
      <c r="P348" s="28">
        <v>110.4</v>
      </c>
      <c r="Q348" s="28">
        <v>108.9</v>
      </c>
      <c r="R348" s="48">
        <v>1.3774104683195591E-2</v>
      </c>
    </row>
    <row r="349" spans="1:18" x14ac:dyDescent="0.15">
      <c r="A349" s="29">
        <v>348</v>
      </c>
      <c r="B349" s="28">
        <v>128026</v>
      </c>
      <c r="C349" s="28" t="s">
        <v>178</v>
      </c>
      <c r="D349" s="28">
        <v>108.86199999999999</v>
      </c>
      <c r="E349" s="48">
        <v>-2.8000000000000004E-3</v>
      </c>
      <c r="F349" s="28">
        <v>11.26</v>
      </c>
      <c r="G349" s="28">
        <v>64.92</v>
      </c>
      <c r="H349" s="48">
        <v>0.67689999999999995</v>
      </c>
      <c r="I349" s="45">
        <v>176.55199999999999</v>
      </c>
      <c r="J349" s="46">
        <v>45273</v>
      </c>
      <c r="K349" s="47">
        <v>1.3149999999999999</v>
      </c>
      <c r="L349" s="47">
        <v>4.0878940000000004</v>
      </c>
      <c r="M349" s="47">
        <v>1318.6003699999999</v>
      </c>
      <c r="N349" s="48">
        <v>2.963038254397872E-2</v>
      </c>
      <c r="O349" s="48">
        <v>-7.5060000000000005E-3</v>
      </c>
      <c r="P349" s="28">
        <v>109.28700000000001</v>
      </c>
      <c r="Q349" s="28">
        <v>108.465</v>
      </c>
      <c r="R349" s="48">
        <v>7.5784815378232857E-3</v>
      </c>
    </row>
    <row r="350" spans="1:18" x14ac:dyDescent="0.15">
      <c r="A350" s="29">
        <v>349</v>
      </c>
      <c r="B350" s="28">
        <v>123049</v>
      </c>
      <c r="C350" s="28" t="s">
        <v>179</v>
      </c>
      <c r="D350" s="28">
        <v>112.2</v>
      </c>
      <c r="E350" s="48">
        <v>-2.9999999999999997E-4</v>
      </c>
      <c r="F350" s="28">
        <v>7.28</v>
      </c>
      <c r="G350" s="28">
        <v>66.209999999999994</v>
      </c>
      <c r="H350" s="48">
        <v>0.69459999999999988</v>
      </c>
      <c r="I350" s="45">
        <v>181.66</v>
      </c>
      <c r="J350" s="46">
        <v>46125</v>
      </c>
      <c r="K350" s="47">
        <v>3.649</v>
      </c>
      <c r="L350" s="47">
        <v>9.1698550000000001</v>
      </c>
      <c r="M350" s="47">
        <v>552.23402399999998</v>
      </c>
      <c r="N350" s="48">
        <v>5.3674478731209523E-3</v>
      </c>
      <c r="O350" s="48">
        <v>2.7233999999999998E-2</v>
      </c>
      <c r="P350" s="28">
        <v>112.45</v>
      </c>
      <c r="Q350" s="28">
        <v>111.05200000000001</v>
      </c>
      <c r="R350" s="48">
        <v>1.2588697186903397E-2</v>
      </c>
    </row>
    <row r="351" spans="1:18" x14ac:dyDescent="0.15">
      <c r="A351" s="29">
        <v>350</v>
      </c>
      <c r="B351" s="28">
        <v>110081</v>
      </c>
      <c r="C351" s="28" t="s">
        <v>1858</v>
      </c>
      <c r="D351" s="28">
        <v>120.5</v>
      </c>
      <c r="E351" s="48">
        <v>-1.5800000000000002E-2</v>
      </c>
      <c r="F351" s="28">
        <v>96.69</v>
      </c>
      <c r="G351" s="28">
        <v>71.06</v>
      </c>
      <c r="H351" s="48">
        <v>0.69579999999999997</v>
      </c>
      <c r="I351" s="45">
        <v>190.07999999999998</v>
      </c>
      <c r="J351" s="46">
        <v>46596</v>
      </c>
      <c r="K351" s="47">
        <v>4.9400000000000004</v>
      </c>
      <c r="L351" s="47">
        <v>85.982039999999998</v>
      </c>
      <c r="M351" s="47">
        <v>11921.4053</v>
      </c>
      <c r="N351" s="48">
        <v>1.1506219678713143E-2</v>
      </c>
      <c r="O351" s="48">
        <v>-1.5223E-2</v>
      </c>
      <c r="P351" s="28">
        <v>123.3</v>
      </c>
      <c r="Q351" s="28">
        <v>119.697</v>
      </c>
      <c r="R351" s="48">
        <v>3.0101005037720195E-2</v>
      </c>
    </row>
    <row r="352" spans="1:18" x14ac:dyDescent="0.15">
      <c r="A352" s="29">
        <v>351</v>
      </c>
      <c r="B352" s="28">
        <v>123143</v>
      </c>
      <c r="C352" s="28" t="s">
        <v>801</v>
      </c>
      <c r="D352" s="28">
        <v>175.40899999999999</v>
      </c>
      <c r="E352" s="48">
        <v>-5.5899999999999998E-2</v>
      </c>
      <c r="F352" s="28">
        <v>23.33</v>
      </c>
      <c r="G352" s="28">
        <v>102.91</v>
      </c>
      <c r="H352" s="48">
        <v>0.70450000000000002</v>
      </c>
      <c r="I352" s="45">
        <v>245.85899999999998</v>
      </c>
      <c r="J352" s="46">
        <v>46843</v>
      </c>
      <c r="K352" s="47">
        <v>5.6159999999999997</v>
      </c>
      <c r="L352" s="47">
        <v>3.3</v>
      </c>
      <c r="M352" s="47">
        <v>9042.6560456999996</v>
      </c>
      <c r="N352" s="48">
        <v>0.15621768562201896</v>
      </c>
      <c r="O352" s="48">
        <v>-6.9972000000000006E-2</v>
      </c>
      <c r="P352" s="28">
        <v>187.5</v>
      </c>
      <c r="Q352" s="28">
        <v>172.21100000000001</v>
      </c>
      <c r="R352" s="48">
        <v>8.8780623769677811E-2</v>
      </c>
    </row>
    <row r="353" spans="1:18" x14ac:dyDescent="0.15">
      <c r="A353" s="29">
        <v>352</v>
      </c>
      <c r="B353" s="28">
        <v>128131</v>
      </c>
      <c r="C353" s="28" t="s">
        <v>1866</v>
      </c>
      <c r="D353" s="28">
        <v>117.3</v>
      </c>
      <c r="E353" s="48">
        <v>-1.43E-2</v>
      </c>
      <c r="F353" s="28">
        <v>18.87</v>
      </c>
      <c r="G353" s="28">
        <v>68.73</v>
      </c>
      <c r="H353" s="48">
        <v>0.70669999999999999</v>
      </c>
      <c r="I353" s="45">
        <v>187.97</v>
      </c>
      <c r="J353" s="46">
        <v>46272</v>
      </c>
      <c r="K353" s="47">
        <v>4.0519999999999996</v>
      </c>
      <c r="L353" s="47">
        <v>13.997867000000003</v>
      </c>
      <c r="M353" s="47">
        <v>891.67454250000003</v>
      </c>
      <c r="N353" s="48">
        <v>5.4305834623491677E-3</v>
      </c>
      <c r="O353" s="48">
        <v>-5.1980000000000004E-3</v>
      </c>
      <c r="P353" s="28">
        <v>119.806</v>
      </c>
      <c r="Q353" s="28">
        <v>115.9</v>
      </c>
      <c r="R353" s="48">
        <v>3.3701466781708295E-2</v>
      </c>
    </row>
    <row r="354" spans="1:18" x14ac:dyDescent="0.15">
      <c r="A354" s="29">
        <v>353</v>
      </c>
      <c r="B354" s="28">
        <v>113593</v>
      </c>
      <c r="C354" s="28" t="s">
        <v>60</v>
      </c>
      <c r="D354" s="28">
        <v>117.253</v>
      </c>
      <c r="E354" s="48">
        <v>-1.1299999999999999E-2</v>
      </c>
      <c r="F354" s="28">
        <v>21.1</v>
      </c>
      <c r="G354" s="28">
        <v>68.58</v>
      </c>
      <c r="H354" s="48">
        <v>0.7097</v>
      </c>
      <c r="I354" s="45">
        <v>188.22300000000001</v>
      </c>
      <c r="J354" s="46">
        <v>46223</v>
      </c>
      <c r="K354" s="47">
        <v>3.9180000000000001</v>
      </c>
      <c r="L354" s="47">
        <v>3.9977800000000001</v>
      </c>
      <c r="M354" s="47">
        <v>1442.3972000000001</v>
      </c>
      <c r="N354" s="48">
        <v>3.0771028779372763E-2</v>
      </c>
      <c r="O354" s="48">
        <v>7.3619999999999996E-3</v>
      </c>
      <c r="P354" s="28">
        <v>118.866</v>
      </c>
      <c r="Q354" s="28">
        <v>117.018</v>
      </c>
      <c r="R354" s="48">
        <v>1.5792442188381266E-2</v>
      </c>
    </row>
    <row r="355" spans="1:18" x14ac:dyDescent="0.15">
      <c r="A355" s="29">
        <v>354</v>
      </c>
      <c r="B355" s="28">
        <v>113595</v>
      </c>
      <c r="C355" s="28" t="s">
        <v>132</v>
      </c>
      <c r="D355" s="28">
        <v>107.006</v>
      </c>
      <c r="E355" s="48">
        <v>-1.9E-3</v>
      </c>
      <c r="F355" s="28">
        <v>6.92</v>
      </c>
      <c r="G355" s="28">
        <v>62.57</v>
      </c>
      <c r="H355" s="48">
        <v>0.71019999999999994</v>
      </c>
      <c r="I355" s="45">
        <v>178.02600000000001</v>
      </c>
      <c r="J355" s="46">
        <v>46224</v>
      </c>
      <c r="K355" s="47">
        <v>3.9209999999999998</v>
      </c>
      <c r="L355" s="47">
        <v>3.2977400000000001</v>
      </c>
      <c r="M355" s="47">
        <v>2012.8261</v>
      </c>
      <c r="N355" s="48">
        <v>5.7040288468740132E-2</v>
      </c>
      <c r="O355" s="48">
        <v>3.9005999999999999E-2</v>
      </c>
      <c r="P355" s="28">
        <v>107.65</v>
      </c>
      <c r="Q355" s="28">
        <v>106.48</v>
      </c>
      <c r="R355" s="48">
        <v>1.0987978963185591E-2</v>
      </c>
    </row>
    <row r="356" spans="1:18" x14ac:dyDescent="0.15">
      <c r="A356" s="29">
        <v>355</v>
      </c>
      <c r="B356" s="28">
        <v>123064</v>
      </c>
      <c r="C356" s="28" t="s">
        <v>133</v>
      </c>
      <c r="D356" s="28">
        <v>119.35599999999999</v>
      </c>
      <c r="E356" s="48">
        <v>-5.4000000000000003E-3</v>
      </c>
      <c r="F356" s="28">
        <v>51.71</v>
      </c>
      <c r="G356" s="28">
        <v>69.430000000000007</v>
      </c>
      <c r="H356" s="48">
        <v>0.71909999999999996</v>
      </c>
      <c r="I356" s="45">
        <v>191.26599999999999</v>
      </c>
      <c r="J356" s="46">
        <v>46266</v>
      </c>
      <c r="K356" s="47">
        <v>4.0359999999999996</v>
      </c>
      <c r="L356" s="47">
        <v>5.9801729999999997</v>
      </c>
      <c r="M356" s="47">
        <v>1284.1434980000001</v>
      </c>
      <c r="N356" s="48">
        <v>1.7991010355125847E-2</v>
      </c>
      <c r="O356" s="48">
        <v>-9.7949999999999999E-3</v>
      </c>
      <c r="P356" s="28">
        <v>120.22799999999999</v>
      </c>
      <c r="Q356" s="28">
        <v>119.22</v>
      </c>
      <c r="R356" s="48">
        <v>8.4549572219425901E-3</v>
      </c>
    </row>
    <row r="357" spans="1:18" x14ac:dyDescent="0.15">
      <c r="A357" s="29">
        <v>356</v>
      </c>
      <c r="B357" s="28">
        <v>110062</v>
      </c>
      <c r="C357" s="28" t="s">
        <v>1859</v>
      </c>
      <c r="D357" s="28">
        <v>110.84</v>
      </c>
      <c r="E357" s="48">
        <v>-3.7000000000000002E-3</v>
      </c>
      <c r="F357" s="28">
        <v>22.77</v>
      </c>
      <c r="G357" s="28">
        <v>64.38</v>
      </c>
      <c r="H357" s="48">
        <v>0.72170000000000001</v>
      </c>
      <c r="I357" s="45">
        <v>183.01</v>
      </c>
      <c r="J357" s="46">
        <v>45993</v>
      </c>
      <c r="K357" s="47">
        <v>3.2879999999999998</v>
      </c>
      <c r="L357" s="47">
        <v>30.87621</v>
      </c>
      <c r="M357" s="47">
        <v>690.06780000000003</v>
      </c>
      <c r="N357" s="48">
        <v>2.0163747930260082E-3</v>
      </c>
      <c r="O357" s="48">
        <v>-1.5160000000000002E-3</v>
      </c>
      <c r="P357" s="28">
        <v>111.6</v>
      </c>
      <c r="Q357" s="28">
        <v>110.5</v>
      </c>
      <c r="R357" s="48">
        <v>9.9547511312216685E-3</v>
      </c>
    </row>
    <row r="358" spans="1:18" x14ac:dyDescent="0.15">
      <c r="A358" s="29">
        <v>357</v>
      </c>
      <c r="B358" s="28">
        <v>123056</v>
      </c>
      <c r="C358" s="28" t="s">
        <v>147</v>
      </c>
      <c r="D358" s="28">
        <v>111.006</v>
      </c>
      <c r="E358" s="48">
        <v>-3.0000000000000001E-3</v>
      </c>
      <c r="F358" s="28">
        <v>11.09</v>
      </c>
      <c r="G358" s="28">
        <v>64.47</v>
      </c>
      <c r="H358" s="48">
        <v>0.72180000000000011</v>
      </c>
      <c r="I358" s="45">
        <v>183.18600000000001</v>
      </c>
      <c r="J358" s="46">
        <v>46197</v>
      </c>
      <c r="K358" s="47">
        <v>3.847</v>
      </c>
      <c r="L358" s="47">
        <v>5.8400359999999996</v>
      </c>
      <c r="M358" s="47">
        <v>694.49404179999999</v>
      </c>
      <c r="N358" s="48">
        <v>1.0712887553078325E-2</v>
      </c>
      <c r="O358" s="48">
        <v>2.0840999999999998E-2</v>
      </c>
      <c r="P358" s="28">
        <v>111.91500000000001</v>
      </c>
      <c r="Q358" s="28">
        <v>110.85</v>
      </c>
      <c r="R358" s="48">
        <v>9.6075778078485528E-3</v>
      </c>
    </row>
    <row r="359" spans="1:18" x14ac:dyDescent="0.15">
      <c r="A359" s="29">
        <v>358</v>
      </c>
      <c r="B359" s="28">
        <v>123096</v>
      </c>
      <c r="C359" s="28" t="s">
        <v>194</v>
      </c>
      <c r="D359" s="28">
        <v>108.98</v>
      </c>
      <c r="E359" s="48">
        <v>-1.5E-3</v>
      </c>
      <c r="F359" s="28">
        <v>8.27</v>
      </c>
      <c r="G359" s="28">
        <v>63.24</v>
      </c>
      <c r="H359" s="48">
        <v>0.72329999999999994</v>
      </c>
      <c r="I359" s="45">
        <v>181.31</v>
      </c>
      <c r="J359" s="46">
        <v>46413</v>
      </c>
      <c r="K359" s="47">
        <v>4.4379999999999997</v>
      </c>
      <c r="L359" s="47">
        <v>8.1692149999999994</v>
      </c>
      <c r="M359" s="47">
        <v>760.77759040000001</v>
      </c>
      <c r="N359" s="48">
        <v>8.5453642959358121E-3</v>
      </c>
      <c r="O359" s="48">
        <v>2.9363999999999998E-2</v>
      </c>
      <c r="P359" s="28">
        <v>109.4</v>
      </c>
      <c r="Q359" s="28">
        <v>108.51</v>
      </c>
      <c r="R359" s="48">
        <v>8.2020090314256795E-3</v>
      </c>
    </row>
    <row r="360" spans="1:18" x14ac:dyDescent="0.15">
      <c r="A360" s="29">
        <v>359</v>
      </c>
      <c r="B360" s="28">
        <v>127047</v>
      </c>
      <c r="C360" s="28" t="s">
        <v>1840</v>
      </c>
      <c r="D360" s="28">
        <v>105.226</v>
      </c>
      <c r="E360" s="48">
        <v>0</v>
      </c>
      <c r="F360" s="28">
        <v>13.34</v>
      </c>
      <c r="G360" s="28">
        <v>60.64</v>
      </c>
      <c r="H360" s="48">
        <v>0.73530000000000006</v>
      </c>
      <c r="I360" s="45">
        <v>178.756</v>
      </c>
      <c r="J360" s="46">
        <v>46685</v>
      </c>
      <c r="K360" s="47">
        <v>5.1840000000000002</v>
      </c>
      <c r="L360" s="47">
        <v>14.998974</v>
      </c>
      <c r="M360" s="47">
        <v>2435.1927475000002</v>
      </c>
      <c r="N360" s="48">
        <v>1.5429388972800788E-2</v>
      </c>
      <c r="O360" s="48">
        <v>2.6842999999999999E-2</v>
      </c>
      <c r="P360" s="28">
        <v>105.52</v>
      </c>
      <c r="Q360" s="28">
        <v>104.788</v>
      </c>
      <c r="R360" s="48">
        <v>6.9855326945833431E-3</v>
      </c>
    </row>
    <row r="361" spans="1:18" x14ac:dyDescent="0.15">
      <c r="A361" s="29">
        <v>360</v>
      </c>
      <c r="B361" s="28">
        <v>128079</v>
      </c>
      <c r="C361" s="28" t="s">
        <v>93</v>
      </c>
      <c r="D361" s="28">
        <v>149</v>
      </c>
      <c r="E361" s="48">
        <v>-2.5899999999999999E-2</v>
      </c>
      <c r="F361" s="28">
        <v>8.2899999999999991</v>
      </c>
      <c r="G361" s="28">
        <v>85.65</v>
      </c>
      <c r="H361" s="48">
        <v>0.73959999999999992</v>
      </c>
      <c r="I361" s="45">
        <v>222.95999999999998</v>
      </c>
      <c r="J361" s="46">
        <v>45951</v>
      </c>
      <c r="K361" s="47">
        <v>3.173</v>
      </c>
      <c r="L361" s="47">
        <v>1.5197890000000001</v>
      </c>
      <c r="M361" s="47">
        <v>14854.011005300001</v>
      </c>
      <c r="N361" s="48">
        <v>0.65595519528604995</v>
      </c>
      <c r="O361" s="48">
        <v>-7.5115000000000001E-2</v>
      </c>
      <c r="P361" s="28">
        <v>155</v>
      </c>
      <c r="Q361" s="28">
        <v>149</v>
      </c>
      <c r="R361" s="48">
        <v>4.0268456375838924E-2</v>
      </c>
    </row>
    <row r="362" spans="1:18" x14ac:dyDescent="0.15">
      <c r="A362" s="29">
        <v>361</v>
      </c>
      <c r="B362" s="28">
        <v>113608</v>
      </c>
      <c r="C362" s="28" t="s">
        <v>65</v>
      </c>
      <c r="D362" s="28">
        <v>115.98099999999999</v>
      </c>
      <c r="E362" s="48">
        <v>7.8000000000000005E-3</v>
      </c>
      <c r="F362" s="28">
        <v>17.72</v>
      </c>
      <c r="G362" s="28">
        <v>66.53</v>
      </c>
      <c r="H362" s="48">
        <v>0.74329999999999996</v>
      </c>
      <c r="I362" s="45">
        <v>190.31099999999998</v>
      </c>
      <c r="J362" s="46">
        <v>46335</v>
      </c>
      <c r="K362" s="47">
        <v>4.2249999999999996</v>
      </c>
      <c r="L362" s="47">
        <v>4.1998499999999996</v>
      </c>
      <c r="M362" s="47">
        <v>14722.6631</v>
      </c>
      <c r="N362" s="48">
        <v>0.30224960755427527</v>
      </c>
      <c r="O362" s="48">
        <v>1.0529E-2</v>
      </c>
      <c r="P362" s="28">
        <v>118.96</v>
      </c>
      <c r="Q362" s="28">
        <v>114.92</v>
      </c>
      <c r="R362" s="48">
        <v>3.5154890358510195E-2</v>
      </c>
    </row>
    <row r="363" spans="1:18" x14ac:dyDescent="0.15">
      <c r="A363" s="29">
        <v>362</v>
      </c>
      <c r="B363" s="28">
        <v>127024</v>
      </c>
      <c r="C363" s="28" t="s">
        <v>1863</v>
      </c>
      <c r="D363" s="28">
        <v>108.7</v>
      </c>
      <c r="E363" s="48">
        <v>-5.0000000000000001E-3</v>
      </c>
      <c r="F363" s="28">
        <v>8.09</v>
      </c>
      <c r="G363" s="28">
        <v>62.3</v>
      </c>
      <c r="H363" s="48">
        <v>0.74480000000000002</v>
      </c>
      <c r="I363" s="45">
        <v>183.18</v>
      </c>
      <c r="J363" s="46">
        <v>46330</v>
      </c>
      <c r="K363" s="47">
        <v>4.2110000000000003</v>
      </c>
      <c r="L363" s="47">
        <v>14.760617000000002</v>
      </c>
      <c r="M363" s="47">
        <v>510.09623660000005</v>
      </c>
      <c r="N363" s="48">
        <v>3.179201566447559E-3</v>
      </c>
      <c r="O363" s="48">
        <v>1.2874000000000002E-2</v>
      </c>
      <c r="P363" s="28">
        <v>109.42</v>
      </c>
      <c r="Q363" s="28">
        <v>108.318</v>
      </c>
      <c r="R363" s="48">
        <v>1.0173747668900866E-2</v>
      </c>
    </row>
    <row r="364" spans="1:18" x14ac:dyDescent="0.15">
      <c r="A364" s="29">
        <v>363</v>
      </c>
      <c r="B364" s="28">
        <v>123011</v>
      </c>
      <c r="C364" s="28" t="s">
        <v>159</v>
      </c>
      <c r="D364" s="28">
        <v>125.85</v>
      </c>
      <c r="E364" s="48">
        <v>-1.9E-2</v>
      </c>
      <c r="F364" s="28">
        <v>29.76</v>
      </c>
      <c r="G364" s="28">
        <v>72.08</v>
      </c>
      <c r="H364" s="48">
        <v>0.746</v>
      </c>
      <c r="I364" s="45">
        <v>200.45</v>
      </c>
      <c r="J364" s="46">
        <v>45491</v>
      </c>
      <c r="K364" s="47">
        <v>1.9119999999999999</v>
      </c>
      <c r="L364" s="47">
        <v>2.5060280000000001</v>
      </c>
      <c r="M364" s="47">
        <v>2770.6657041000003</v>
      </c>
      <c r="N364" s="48">
        <v>8.7850652190394438E-2</v>
      </c>
      <c r="O364" s="48">
        <v>-5.1604000000000004E-2</v>
      </c>
      <c r="P364" s="28">
        <v>128.94300000000001</v>
      </c>
      <c r="Q364" s="28">
        <v>125.8</v>
      </c>
      <c r="R364" s="48">
        <v>2.498410174880775E-2</v>
      </c>
    </row>
    <row r="365" spans="1:18" x14ac:dyDescent="0.15">
      <c r="A365" s="29">
        <v>364</v>
      </c>
      <c r="B365" s="28">
        <v>123004</v>
      </c>
      <c r="C365" s="28" t="s">
        <v>168</v>
      </c>
      <c r="D365" s="28">
        <v>107.9</v>
      </c>
      <c r="E365" s="48">
        <v>-2.3E-3</v>
      </c>
      <c r="F365" s="28">
        <v>3.82</v>
      </c>
      <c r="G365" s="28">
        <v>61.78</v>
      </c>
      <c r="H365" s="48">
        <v>0.74650000000000005</v>
      </c>
      <c r="I365" s="45">
        <v>182.55</v>
      </c>
      <c r="J365" s="46">
        <v>45278</v>
      </c>
      <c r="K365" s="47">
        <v>1.329</v>
      </c>
      <c r="L365" s="47">
        <v>8.0317070000000008</v>
      </c>
      <c r="M365" s="47">
        <v>1178.3301332999999</v>
      </c>
      <c r="N365" s="48">
        <v>1.3596830463959811E-2</v>
      </c>
      <c r="O365" s="48">
        <v>-2.8149999999999998E-3</v>
      </c>
      <c r="P365" s="28">
        <v>108.286</v>
      </c>
      <c r="Q365" s="28">
        <v>107.56</v>
      </c>
      <c r="R365" s="48">
        <v>6.7497210859055329E-3</v>
      </c>
    </row>
    <row r="366" spans="1:18" x14ac:dyDescent="0.15">
      <c r="A366" s="29">
        <v>365</v>
      </c>
      <c r="B366" s="28">
        <v>113597</v>
      </c>
      <c r="C366" s="28" t="s">
        <v>146</v>
      </c>
      <c r="D366" s="28">
        <v>123.29</v>
      </c>
      <c r="E366" s="48">
        <v>-1.2199999999999999E-2</v>
      </c>
      <c r="F366" s="28">
        <v>16.36</v>
      </c>
      <c r="G366" s="28">
        <v>70.05</v>
      </c>
      <c r="H366" s="48">
        <v>0.76</v>
      </c>
      <c r="I366" s="45">
        <v>199.29000000000002</v>
      </c>
      <c r="J366" s="46">
        <v>46233</v>
      </c>
      <c r="K366" s="47">
        <v>3.9449999999999998</v>
      </c>
      <c r="L366" s="47">
        <v>2.9834100000000001</v>
      </c>
      <c r="M366" s="47">
        <v>2286.4819000000002</v>
      </c>
      <c r="N366" s="48">
        <v>6.2162285570711698E-2</v>
      </c>
      <c r="O366" s="48">
        <v>2.0999999999999999E-5</v>
      </c>
      <c r="P366" s="28">
        <v>124.901</v>
      </c>
      <c r="Q366" s="28">
        <v>123</v>
      </c>
      <c r="R366" s="48">
        <v>1.5455284552845498E-2</v>
      </c>
    </row>
    <row r="367" spans="1:18" x14ac:dyDescent="0.15">
      <c r="A367" s="29">
        <v>366</v>
      </c>
      <c r="B367" s="28">
        <v>123138</v>
      </c>
      <c r="C367" s="28" t="s">
        <v>770</v>
      </c>
      <c r="D367" s="28">
        <v>138.80000000000001</v>
      </c>
      <c r="E367" s="48">
        <v>-5.0000000000000001E-3</v>
      </c>
      <c r="F367" s="28">
        <v>26.61</v>
      </c>
      <c r="G367" s="28">
        <v>78.5</v>
      </c>
      <c r="H367" s="48">
        <v>0.76819999999999988</v>
      </c>
      <c r="I367" s="45">
        <v>215.62</v>
      </c>
      <c r="J367" s="46">
        <v>46814</v>
      </c>
      <c r="K367" s="47">
        <v>5.5369999999999999</v>
      </c>
      <c r="L367" s="47">
        <v>2.4</v>
      </c>
      <c r="M367" s="47">
        <v>79235.614872899998</v>
      </c>
      <c r="N367" s="48">
        <v>2.3785907442633283</v>
      </c>
      <c r="O367" s="48">
        <v>-2.3963999999999999E-2</v>
      </c>
      <c r="P367" s="28">
        <v>146</v>
      </c>
      <c r="Q367" s="28">
        <v>137.4</v>
      </c>
      <c r="R367" s="48">
        <v>6.2590975254730674E-2</v>
      </c>
    </row>
    <row r="368" spans="1:18" x14ac:dyDescent="0.15">
      <c r="A368" s="29">
        <v>367</v>
      </c>
      <c r="B368" s="28">
        <v>128069</v>
      </c>
      <c r="C368" s="28" t="s">
        <v>160</v>
      </c>
      <c r="D368" s="28">
        <v>119.95</v>
      </c>
      <c r="E368" s="48">
        <v>-1.2800000000000001E-2</v>
      </c>
      <c r="F368" s="28">
        <v>17.97</v>
      </c>
      <c r="G368" s="28">
        <v>67.78</v>
      </c>
      <c r="H368" s="48">
        <v>0.76969999999999994</v>
      </c>
      <c r="I368" s="45">
        <v>196.92000000000002</v>
      </c>
      <c r="J368" s="46">
        <v>45832</v>
      </c>
      <c r="K368" s="47">
        <v>2.847</v>
      </c>
      <c r="L368" s="47">
        <v>2.99281</v>
      </c>
      <c r="M368" s="47">
        <v>1963.3981210000002</v>
      </c>
      <c r="N368" s="48">
        <v>5.4692650735157299E-2</v>
      </c>
      <c r="O368" s="48">
        <v>-4.9189999999999998E-3</v>
      </c>
      <c r="P368" s="28">
        <v>121.79900000000001</v>
      </c>
      <c r="Q368" s="28">
        <v>119.25</v>
      </c>
      <c r="R368" s="48">
        <v>2.1375262054507394E-2</v>
      </c>
    </row>
    <row r="369" spans="1:18" x14ac:dyDescent="0.15">
      <c r="A369" s="29">
        <v>368</v>
      </c>
      <c r="B369" s="28">
        <v>123124</v>
      </c>
      <c r="C369" s="28" t="s">
        <v>183</v>
      </c>
      <c r="D369" s="28">
        <v>122.004</v>
      </c>
      <c r="E369" s="48">
        <v>-1.8200000000000001E-2</v>
      </c>
      <c r="F369" s="28">
        <v>29.64</v>
      </c>
      <c r="G369" s="28">
        <v>68.489999999999995</v>
      </c>
      <c r="H369" s="48">
        <v>0.78129999999999999</v>
      </c>
      <c r="I369" s="45">
        <v>200.13400000000001</v>
      </c>
      <c r="J369" s="46">
        <v>46615</v>
      </c>
      <c r="K369" s="47">
        <v>4.992</v>
      </c>
      <c r="L369" s="47">
        <v>5.2277290000000001</v>
      </c>
      <c r="M369" s="47">
        <v>1587.5572359999999</v>
      </c>
      <c r="N369" s="48">
        <v>2.4890994914787416E-2</v>
      </c>
      <c r="O369" s="48">
        <v>-1.8987E-2</v>
      </c>
      <c r="P369" s="28">
        <v>125.233</v>
      </c>
      <c r="Q369" s="28">
        <v>121.55</v>
      </c>
      <c r="R369" s="48">
        <v>3.0300287947346828E-2</v>
      </c>
    </row>
    <row r="370" spans="1:18" x14ac:dyDescent="0.15">
      <c r="A370" s="29">
        <v>369</v>
      </c>
      <c r="B370" s="28">
        <v>128035</v>
      </c>
      <c r="C370" s="28" t="s">
        <v>1867</v>
      </c>
      <c r="D370" s="28">
        <v>115.285</v>
      </c>
      <c r="E370" s="48">
        <v>-2.1299999999999999E-2</v>
      </c>
      <c r="F370" s="28">
        <v>51.79</v>
      </c>
      <c r="G370" s="28">
        <v>64.680000000000007</v>
      </c>
      <c r="H370" s="48">
        <v>0.78239999999999998</v>
      </c>
      <c r="I370" s="45">
        <v>193.52499999999998</v>
      </c>
      <c r="J370" s="46">
        <v>45328</v>
      </c>
      <c r="K370" s="47">
        <v>1.466</v>
      </c>
      <c r="L370" s="47">
        <v>22.992636000000001</v>
      </c>
      <c r="M370" s="47">
        <v>14527.3281174</v>
      </c>
      <c r="N370" s="48">
        <v>5.480550423650337E-2</v>
      </c>
      <c r="O370" s="48">
        <v>-5.2447000000000001E-2</v>
      </c>
      <c r="P370" s="28">
        <v>116.998</v>
      </c>
      <c r="Q370" s="28">
        <v>114.02500000000001</v>
      </c>
      <c r="R370" s="48">
        <v>2.6073229554922157E-2</v>
      </c>
    </row>
    <row r="371" spans="1:18" x14ac:dyDescent="0.15">
      <c r="A371" s="29">
        <v>370</v>
      </c>
      <c r="B371" s="28">
        <v>118004</v>
      </c>
      <c r="C371" s="28" t="s">
        <v>260</v>
      </c>
      <c r="D371" s="28">
        <v>115.31699999999999</v>
      </c>
      <c r="E371" s="48">
        <v>-1.0500000000000001E-2</v>
      </c>
      <c r="F371" s="28">
        <v>35.56</v>
      </c>
      <c r="G371" s="28">
        <v>64.23</v>
      </c>
      <c r="H371" s="48">
        <v>0.79540000000000011</v>
      </c>
      <c r="I371" s="45">
        <v>194.857</v>
      </c>
      <c r="J371" s="46">
        <v>46756</v>
      </c>
      <c r="K371" s="47">
        <v>5.3780000000000001</v>
      </c>
      <c r="L371" s="47">
        <v>4.6499800000000002</v>
      </c>
      <c r="M371" s="47">
        <v>2827.3272000000002</v>
      </c>
      <c r="N371" s="48">
        <v>5.2726828656778829E-2</v>
      </c>
      <c r="O371" s="48">
        <v>9.1649999999999995E-3</v>
      </c>
      <c r="P371" s="28">
        <v>116.99</v>
      </c>
      <c r="Q371" s="28">
        <v>114.899</v>
      </c>
      <c r="R371" s="48">
        <v>1.8198591806717151E-2</v>
      </c>
    </row>
    <row r="372" spans="1:18" x14ac:dyDescent="0.15">
      <c r="A372" s="29">
        <v>371</v>
      </c>
      <c r="B372" s="28">
        <v>128136</v>
      </c>
      <c r="C372" s="28" t="s">
        <v>1871</v>
      </c>
      <c r="D372" s="28">
        <v>117.999</v>
      </c>
      <c r="E372" s="48">
        <v>-1.15E-2</v>
      </c>
      <c r="F372" s="28">
        <v>57.75</v>
      </c>
      <c r="G372" s="28">
        <v>64.760000000000005</v>
      </c>
      <c r="H372" s="48">
        <v>0.82209999999999994</v>
      </c>
      <c r="I372" s="45">
        <v>200.209</v>
      </c>
      <c r="J372" s="46">
        <v>46329</v>
      </c>
      <c r="K372" s="47">
        <v>4.2080000000000002</v>
      </c>
      <c r="L372" s="47">
        <v>29.992930999999999</v>
      </c>
      <c r="M372" s="47">
        <v>5841.6964383000004</v>
      </c>
      <c r="N372" s="48">
        <v>1.6505996551183854E-2</v>
      </c>
      <c r="O372" s="48">
        <v>-1.2907999999999999E-2</v>
      </c>
      <c r="P372" s="28">
        <v>119.95</v>
      </c>
      <c r="Q372" s="28">
        <v>116.99</v>
      </c>
      <c r="R372" s="48">
        <v>2.5301307804085887E-2</v>
      </c>
    </row>
    <row r="373" spans="1:18" x14ac:dyDescent="0.15">
      <c r="A373" s="29">
        <v>372</v>
      </c>
      <c r="B373" s="28">
        <v>113578</v>
      </c>
      <c r="C373" s="28" t="s">
        <v>162</v>
      </c>
      <c r="D373" s="28">
        <v>106.928</v>
      </c>
      <c r="E373" s="48">
        <v>-1.0200000000000001E-2</v>
      </c>
      <c r="F373" s="28">
        <v>5.25</v>
      </c>
      <c r="G373" s="28">
        <v>58.67</v>
      </c>
      <c r="H373" s="48">
        <v>0.82250000000000001</v>
      </c>
      <c r="I373" s="45">
        <v>189.178</v>
      </c>
      <c r="J373" s="46">
        <v>46132</v>
      </c>
      <c r="K373" s="47">
        <v>3.6680000000000001</v>
      </c>
      <c r="L373" s="47">
        <v>3.8380200000000002</v>
      </c>
      <c r="M373" s="47">
        <v>2183.2624999999998</v>
      </c>
      <c r="N373" s="48">
        <v>5.319946661655852E-2</v>
      </c>
      <c r="O373" s="48">
        <v>2.6029E-2</v>
      </c>
      <c r="P373" s="28">
        <v>108.8</v>
      </c>
      <c r="Q373" s="28">
        <v>106.5</v>
      </c>
      <c r="R373" s="48">
        <v>2.1596244131455371E-2</v>
      </c>
    </row>
    <row r="374" spans="1:18" x14ac:dyDescent="0.15">
      <c r="A374" s="29">
        <v>373</v>
      </c>
      <c r="B374" s="28">
        <v>113623</v>
      </c>
      <c r="C374" s="28" t="s">
        <v>1850</v>
      </c>
      <c r="D374" s="28">
        <v>113.089</v>
      </c>
      <c r="E374" s="48">
        <v>-6.6E-3</v>
      </c>
      <c r="F374" s="28">
        <v>16.25</v>
      </c>
      <c r="G374" s="28">
        <v>61.66</v>
      </c>
      <c r="H374" s="48">
        <v>0.83409999999999995</v>
      </c>
      <c r="I374" s="45">
        <v>196.499</v>
      </c>
      <c r="J374" s="46">
        <v>46485</v>
      </c>
      <c r="K374" s="47">
        <v>4.6360000000000001</v>
      </c>
      <c r="L374" s="47">
        <v>24.999500000000001</v>
      </c>
      <c r="M374" s="47">
        <v>1036.9698000000001</v>
      </c>
      <c r="N374" s="48">
        <v>3.6678741161768028E-3</v>
      </c>
      <c r="O374" s="48">
        <v>7.1159999999999999E-3</v>
      </c>
      <c r="P374" s="28">
        <v>114.3</v>
      </c>
      <c r="Q374" s="28">
        <v>112.223</v>
      </c>
      <c r="R374" s="48">
        <v>1.8507792520249845E-2</v>
      </c>
    </row>
    <row r="375" spans="1:18" x14ac:dyDescent="0.15">
      <c r="A375" s="29">
        <v>374</v>
      </c>
      <c r="B375" s="28">
        <v>128124</v>
      </c>
      <c r="C375" s="28" t="s">
        <v>158</v>
      </c>
      <c r="D375" s="28">
        <v>104.279</v>
      </c>
      <c r="E375" s="48">
        <v>-1.2999999999999999E-3</v>
      </c>
      <c r="F375" s="28">
        <v>21.24</v>
      </c>
      <c r="G375" s="28">
        <v>56.59</v>
      </c>
      <c r="H375" s="48">
        <v>0.8427</v>
      </c>
      <c r="I375" s="45">
        <v>188.54899999999998</v>
      </c>
      <c r="J375" s="46">
        <v>46231</v>
      </c>
      <c r="K375" s="47">
        <v>3.94</v>
      </c>
      <c r="L375" s="47">
        <v>7.376169</v>
      </c>
      <c r="M375" s="47">
        <v>2183.4874381999998</v>
      </c>
      <c r="N375" s="48">
        <v>2.8387227703362321E-2</v>
      </c>
      <c r="O375" s="48">
        <v>1.2657E-2</v>
      </c>
      <c r="P375" s="28">
        <v>104.651</v>
      </c>
      <c r="Q375" s="28">
        <v>103.85</v>
      </c>
      <c r="R375" s="48">
        <v>7.7130476649013187E-3</v>
      </c>
    </row>
    <row r="376" spans="1:18" x14ac:dyDescent="0.15">
      <c r="A376" s="29">
        <v>375</v>
      </c>
      <c r="B376" s="28">
        <v>127041</v>
      </c>
      <c r="C376" s="28" t="s">
        <v>184</v>
      </c>
      <c r="D376" s="28">
        <v>115.197</v>
      </c>
      <c r="E376" s="48">
        <v>-7.1999999999999998E-3</v>
      </c>
      <c r="F376" s="28">
        <v>26.84</v>
      </c>
      <c r="G376" s="28">
        <v>62.44</v>
      </c>
      <c r="H376" s="48">
        <v>0.84489999999999998</v>
      </c>
      <c r="I376" s="45">
        <v>199.68700000000001</v>
      </c>
      <c r="J376" s="46">
        <v>46215</v>
      </c>
      <c r="K376" s="47">
        <v>3.8959999999999999</v>
      </c>
      <c r="L376" s="47">
        <v>5.9994909999999999</v>
      </c>
      <c r="M376" s="47">
        <v>1079.2689153000001</v>
      </c>
      <c r="N376" s="48">
        <v>1.5616154371026382E-2</v>
      </c>
      <c r="O376" s="48">
        <v>1.6552000000000001E-2</v>
      </c>
      <c r="P376" s="28">
        <v>116.41</v>
      </c>
      <c r="Q376" s="28">
        <v>114.751</v>
      </c>
      <c r="R376" s="48">
        <v>1.4457390349539365E-2</v>
      </c>
    </row>
    <row r="377" spans="1:18" x14ac:dyDescent="0.15">
      <c r="A377" s="29">
        <v>376</v>
      </c>
      <c r="B377" s="28">
        <v>128116</v>
      </c>
      <c r="C377" s="28" t="s">
        <v>172</v>
      </c>
      <c r="D377" s="28">
        <v>109.31</v>
      </c>
      <c r="E377" s="48">
        <v>-5.7999999999999996E-3</v>
      </c>
      <c r="F377" s="28">
        <v>29.22</v>
      </c>
      <c r="G377" s="28">
        <v>59.07</v>
      </c>
      <c r="H377" s="48">
        <v>0.85049999999999992</v>
      </c>
      <c r="I377" s="45">
        <v>194.36</v>
      </c>
      <c r="J377" s="46">
        <v>46202</v>
      </c>
      <c r="K377" s="47">
        <v>3.86</v>
      </c>
      <c r="L377" s="47">
        <v>6.4919890000000002</v>
      </c>
      <c r="M377" s="47">
        <v>2474.2712460000002</v>
      </c>
      <c r="N377" s="48">
        <v>3.4866603141478283E-2</v>
      </c>
      <c r="O377" s="48">
        <v>1.2071E-2</v>
      </c>
      <c r="P377" s="28">
        <v>110.063</v>
      </c>
      <c r="Q377" s="28">
        <v>109.023</v>
      </c>
      <c r="R377" s="48">
        <v>9.5392715298607302E-3</v>
      </c>
    </row>
    <row r="378" spans="1:18" x14ac:dyDescent="0.15">
      <c r="A378" s="29">
        <v>377</v>
      </c>
      <c r="B378" s="28">
        <v>113042</v>
      </c>
      <c r="C378" s="28" t="s">
        <v>1854</v>
      </c>
      <c r="D378" s="28">
        <v>106.848</v>
      </c>
      <c r="E378" s="48">
        <v>-8.0000000000000004E-4</v>
      </c>
      <c r="F378" s="28">
        <v>10.23</v>
      </c>
      <c r="G378" s="28">
        <v>57.28</v>
      </c>
      <c r="H378" s="48">
        <v>0.86540000000000006</v>
      </c>
      <c r="I378" s="45">
        <v>193.38800000000001</v>
      </c>
      <c r="J378" s="46">
        <v>46412</v>
      </c>
      <c r="K378" s="47">
        <v>4.4359999999999999</v>
      </c>
      <c r="L378" s="47">
        <v>199.98602</v>
      </c>
      <c r="M378" s="47">
        <v>5299.4883</v>
      </c>
      <c r="N378" s="48">
        <v>2.4800926363279302E-3</v>
      </c>
      <c r="O378" s="48">
        <v>2.8593999999999998E-2</v>
      </c>
      <c r="P378" s="28">
        <v>106.932</v>
      </c>
      <c r="Q378" s="28">
        <v>106.702</v>
      </c>
      <c r="R378" s="48">
        <v>2.1555359787070907E-3</v>
      </c>
    </row>
    <row r="379" spans="1:18" x14ac:dyDescent="0.15">
      <c r="A379" s="29">
        <v>378</v>
      </c>
      <c r="B379" s="28">
        <v>123099</v>
      </c>
      <c r="C379" s="28" t="s">
        <v>226</v>
      </c>
      <c r="D379" s="28">
        <v>115.45</v>
      </c>
      <c r="E379" s="48">
        <v>-1.01E-2</v>
      </c>
      <c r="F379" s="28">
        <v>45.84</v>
      </c>
      <c r="G379" s="28">
        <v>61.19</v>
      </c>
      <c r="H379" s="48">
        <v>0.88670000000000004</v>
      </c>
      <c r="I379" s="45">
        <v>204.12</v>
      </c>
      <c r="J379" s="46">
        <v>46427</v>
      </c>
      <c r="K379" s="47">
        <v>4.4770000000000003</v>
      </c>
      <c r="L379" s="47">
        <v>8.4993090000000002</v>
      </c>
      <c r="M379" s="47">
        <v>701.98573480000005</v>
      </c>
      <c r="N379" s="48">
        <v>7.154029569719768E-3</v>
      </c>
      <c r="O379" s="48">
        <v>1.4711E-2</v>
      </c>
      <c r="P379" s="28">
        <v>116.629</v>
      </c>
      <c r="Q379" s="28">
        <v>114.703</v>
      </c>
      <c r="R379" s="48">
        <v>1.6791191163265145E-2</v>
      </c>
    </row>
    <row r="380" spans="1:18" x14ac:dyDescent="0.15">
      <c r="A380" s="29">
        <v>379</v>
      </c>
      <c r="B380" s="28">
        <v>128118</v>
      </c>
      <c r="C380" s="28" t="s">
        <v>143</v>
      </c>
      <c r="D380" s="28">
        <v>116.04</v>
      </c>
      <c r="E380" s="48">
        <v>2.9999999999999997E-4</v>
      </c>
      <c r="F380" s="28">
        <v>21.35</v>
      </c>
      <c r="G380" s="28">
        <v>61.45</v>
      </c>
      <c r="H380" s="48">
        <v>0.88840000000000008</v>
      </c>
      <c r="I380" s="45">
        <v>204.88</v>
      </c>
      <c r="J380" s="46">
        <v>46205</v>
      </c>
      <c r="K380" s="47">
        <v>3.8679999999999999</v>
      </c>
      <c r="L380" s="47">
        <v>2.9983399999999998</v>
      </c>
      <c r="M380" s="47">
        <v>19873.543963200002</v>
      </c>
      <c r="N380" s="48">
        <v>0.57119805658200162</v>
      </c>
      <c r="O380" s="48">
        <v>1.1116999999999998E-2</v>
      </c>
      <c r="P380" s="28">
        <v>120</v>
      </c>
      <c r="Q380" s="28">
        <v>115.2</v>
      </c>
      <c r="R380" s="48">
        <v>4.1666666666666644E-2</v>
      </c>
    </row>
    <row r="381" spans="1:18" x14ac:dyDescent="0.15">
      <c r="A381" s="29">
        <v>380</v>
      </c>
      <c r="B381" s="28">
        <v>123116</v>
      </c>
      <c r="C381" s="28" t="s">
        <v>197</v>
      </c>
      <c r="D381" s="28">
        <v>118.578</v>
      </c>
      <c r="E381" s="48">
        <v>-1.3100000000000001E-2</v>
      </c>
      <c r="F381" s="28">
        <v>49.79</v>
      </c>
      <c r="G381" s="28">
        <v>62.62</v>
      </c>
      <c r="H381" s="48">
        <v>0.89359999999999995</v>
      </c>
      <c r="I381" s="45">
        <v>207.93799999999999</v>
      </c>
      <c r="J381" s="46">
        <v>46547</v>
      </c>
      <c r="K381" s="47">
        <v>4.8049999999999997</v>
      </c>
      <c r="L381" s="47">
        <v>3.7812089999999996</v>
      </c>
      <c r="M381" s="47">
        <v>1612.4996073999998</v>
      </c>
      <c r="N381" s="48">
        <v>3.5963737047268476E-2</v>
      </c>
      <c r="O381" s="48">
        <v>4.3030000000000004E-3</v>
      </c>
      <c r="P381" s="28">
        <v>120.80200000000001</v>
      </c>
      <c r="Q381" s="28">
        <v>118.236</v>
      </c>
      <c r="R381" s="48">
        <v>2.1702357995872681E-2</v>
      </c>
    </row>
    <row r="382" spans="1:18" x14ac:dyDescent="0.15">
      <c r="A382" s="29">
        <v>381</v>
      </c>
      <c r="B382" s="28">
        <v>128142</v>
      </c>
      <c r="C382" s="28" t="s">
        <v>185</v>
      </c>
      <c r="D382" s="28">
        <v>113.9</v>
      </c>
      <c r="E382" s="48">
        <v>-2.5999999999999999E-3</v>
      </c>
      <c r="F382" s="28">
        <v>18.399999999999999</v>
      </c>
      <c r="G382" s="28">
        <v>59.84</v>
      </c>
      <c r="H382" s="48">
        <v>0.90339999999999998</v>
      </c>
      <c r="I382" s="45">
        <v>204.24</v>
      </c>
      <c r="J382" s="46">
        <v>46374</v>
      </c>
      <c r="K382" s="47">
        <v>4.3319999999999999</v>
      </c>
      <c r="L382" s="47">
        <v>7.1797839999999997</v>
      </c>
      <c r="M382" s="47">
        <v>423.83941059999995</v>
      </c>
      <c r="N382" s="48">
        <v>5.182821289068113E-3</v>
      </c>
      <c r="O382" s="48">
        <v>1.8540000000000002E-3</v>
      </c>
      <c r="P382" s="28">
        <v>114.39</v>
      </c>
      <c r="Q382" s="28">
        <v>113.43300000000001</v>
      </c>
      <c r="R382" s="48">
        <v>8.4366983153050142E-3</v>
      </c>
    </row>
    <row r="383" spans="1:18" x14ac:dyDescent="0.15">
      <c r="A383" s="29">
        <v>382</v>
      </c>
      <c r="B383" s="28">
        <v>123108</v>
      </c>
      <c r="C383" s="28" t="s">
        <v>1864</v>
      </c>
      <c r="D383" s="28">
        <v>115.002</v>
      </c>
      <c r="E383" s="48">
        <v>-1.4000000000000002E-3</v>
      </c>
      <c r="F383" s="28">
        <v>29.23</v>
      </c>
      <c r="G383" s="28">
        <v>59.84</v>
      </c>
      <c r="H383" s="48">
        <v>0.92180000000000006</v>
      </c>
      <c r="I383" s="45">
        <v>207.18200000000002</v>
      </c>
      <c r="J383" s="46">
        <v>46111</v>
      </c>
      <c r="K383" s="47">
        <v>3.6110000000000002</v>
      </c>
      <c r="L383" s="47">
        <v>16.37734</v>
      </c>
      <c r="M383" s="47">
        <v>1062.9832175000001</v>
      </c>
      <c r="N383" s="48">
        <v>5.6438784169327572E-3</v>
      </c>
      <c r="O383" s="48">
        <v>-1.0375000000000001E-2</v>
      </c>
      <c r="P383" s="28">
        <v>115.485</v>
      </c>
      <c r="Q383" s="28">
        <v>114.9</v>
      </c>
      <c r="R383" s="48">
        <v>5.0913838120103892E-3</v>
      </c>
    </row>
    <row r="384" spans="1:18" x14ac:dyDescent="0.15">
      <c r="A384" s="29">
        <v>383</v>
      </c>
      <c r="B384" s="28">
        <v>113616</v>
      </c>
      <c r="C384" s="28" t="s">
        <v>1860</v>
      </c>
      <c r="D384" s="28">
        <v>123.761</v>
      </c>
      <c r="E384" s="48">
        <v>-6.1999999999999998E-3</v>
      </c>
      <c r="F384" s="28">
        <v>164.44</v>
      </c>
      <c r="G384" s="28">
        <v>64.13</v>
      </c>
      <c r="H384" s="48">
        <v>0.92980000000000007</v>
      </c>
      <c r="I384" s="45">
        <v>216.74099999999999</v>
      </c>
      <c r="J384" s="46">
        <v>46384</v>
      </c>
      <c r="K384" s="47">
        <v>4.359</v>
      </c>
      <c r="L384" s="47">
        <v>24.333159999999999</v>
      </c>
      <c r="M384" s="47">
        <v>3762.7015000000001</v>
      </c>
      <c r="N384" s="48">
        <v>1.2494458673260753E-2</v>
      </c>
      <c r="O384" s="48">
        <v>-7.9880000000000003E-3</v>
      </c>
      <c r="P384" s="28">
        <v>125.5</v>
      </c>
      <c r="Q384" s="28">
        <v>123.08</v>
      </c>
      <c r="R384" s="48">
        <v>1.966200844978877E-2</v>
      </c>
    </row>
    <row r="385" spans="1:18" x14ac:dyDescent="0.15">
      <c r="A385" s="29">
        <v>384</v>
      </c>
      <c r="B385" s="28">
        <v>110076</v>
      </c>
      <c r="C385" s="28" t="s">
        <v>1868</v>
      </c>
      <c r="D385" s="28">
        <v>114.077</v>
      </c>
      <c r="E385" s="48">
        <v>-8.6E-3</v>
      </c>
      <c r="F385" s="28">
        <v>33.89</v>
      </c>
      <c r="G385" s="28">
        <v>58.9</v>
      </c>
      <c r="H385" s="48">
        <v>0.93680000000000008</v>
      </c>
      <c r="I385" s="45">
        <v>207.75700000000001</v>
      </c>
      <c r="J385" s="46">
        <v>46328</v>
      </c>
      <c r="K385" s="47">
        <v>4.2050000000000001</v>
      </c>
      <c r="L385" s="47">
        <v>18.424399999999999</v>
      </c>
      <c r="M385" s="47">
        <v>4338.5174999999999</v>
      </c>
      <c r="N385" s="48">
        <v>2.0641911335538644E-2</v>
      </c>
      <c r="O385" s="48">
        <v>1.534E-3</v>
      </c>
      <c r="P385" s="28">
        <v>118.38</v>
      </c>
      <c r="Q385" s="28">
        <v>113.601</v>
      </c>
      <c r="R385" s="48">
        <v>4.2068291652362186E-2</v>
      </c>
    </row>
    <row r="386" spans="1:18" x14ac:dyDescent="0.15">
      <c r="A386" s="29">
        <v>385</v>
      </c>
      <c r="B386" s="28">
        <v>113624</v>
      </c>
      <c r="C386" s="28" t="s">
        <v>167</v>
      </c>
      <c r="D386" s="28">
        <v>112.255</v>
      </c>
      <c r="E386" s="48">
        <v>-7.4999999999999997E-3</v>
      </c>
      <c r="F386" s="28">
        <v>46.38</v>
      </c>
      <c r="G386" s="28">
        <v>56.88</v>
      </c>
      <c r="H386" s="48">
        <v>0.97349999999999992</v>
      </c>
      <c r="I386" s="45">
        <v>209.60499999999999</v>
      </c>
      <c r="J386" s="46">
        <v>46505</v>
      </c>
      <c r="K386" s="47">
        <v>4.6900000000000004</v>
      </c>
      <c r="L386" s="47">
        <v>4.0491000000000001</v>
      </c>
      <c r="M386" s="47">
        <v>1783.3353999999999</v>
      </c>
      <c r="N386" s="48">
        <v>3.9234564268435912E-2</v>
      </c>
      <c r="O386" s="48">
        <v>1.6666E-2</v>
      </c>
      <c r="P386" s="28">
        <v>113.571</v>
      </c>
      <c r="Q386" s="28">
        <v>111.905</v>
      </c>
      <c r="R386" s="48">
        <v>1.4887627898664017E-2</v>
      </c>
    </row>
    <row r="387" spans="1:18" x14ac:dyDescent="0.15">
      <c r="A387" s="29">
        <v>386</v>
      </c>
      <c r="B387" s="28">
        <v>123126</v>
      </c>
      <c r="C387" s="28" t="s">
        <v>171</v>
      </c>
      <c r="D387" s="28">
        <v>117.54</v>
      </c>
      <c r="E387" s="48">
        <v>-5.6000000000000008E-3</v>
      </c>
      <c r="F387" s="28">
        <v>17.68</v>
      </c>
      <c r="G387" s="28">
        <v>58.77</v>
      </c>
      <c r="H387" s="48">
        <v>1</v>
      </c>
      <c r="I387" s="45">
        <v>217.54000000000002</v>
      </c>
      <c r="J387" s="46">
        <v>46640</v>
      </c>
      <c r="K387" s="47">
        <v>5.0599999999999996</v>
      </c>
      <c r="L387" s="47">
        <v>3.3996160000000004</v>
      </c>
      <c r="M387" s="47">
        <v>576.69413870000005</v>
      </c>
      <c r="N387" s="48">
        <v>1.4432115189108644E-2</v>
      </c>
      <c r="O387" s="48">
        <v>2.0133999999999999E-2</v>
      </c>
      <c r="P387" s="28">
        <v>118.54900000000001</v>
      </c>
      <c r="Q387" s="28">
        <v>117.01</v>
      </c>
      <c r="R387" s="48">
        <v>1.3152721989573552E-2</v>
      </c>
    </row>
    <row r="388" spans="1:18" x14ac:dyDescent="0.15">
      <c r="A388" s="29">
        <v>387</v>
      </c>
      <c r="B388" s="28">
        <v>127057</v>
      </c>
      <c r="C388" s="28" t="s">
        <v>761</v>
      </c>
      <c r="D388" s="28">
        <v>254.501</v>
      </c>
      <c r="E388" s="48">
        <v>-3.1800000000000002E-2</v>
      </c>
      <c r="F388" s="28">
        <v>26.41</v>
      </c>
      <c r="G388" s="28">
        <v>126.77</v>
      </c>
      <c r="H388" s="48">
        <v>1.0076000000000001</v>
      </c>
      <c r="I388" s="45">
        <v>355.26100000000002</v>
      </c>
      <c r="J388" s="46">
        <v>46815</v>
      </c>
      <c r="K388" s="47">
        <v>5.54</v>
      </c>
      <c r="L388" s="47">
        <v>2.76</v>
      </c>
      <c r="M388" s="47">
        <v>31252.5046353</v>
      </c>
      <c r="N388" s="48">
        <v>0.44492443034306006</v>
      </c>
      <c r="O388" s="48">
        <v>-0.12701499999999999</v>
      </c>
      <c r="P388" s="28">
        <v>268.8</v>
      </c>
      <c r="Q388" s="28">
        <v>253.56</v>
      </c>
      <c r="R388" s="48">
        <v>6.0104117368670169E-2</v>
      </c>
    </row>
    <row r="389" spans="1:18" x14ac:dyDescent="0.15">
      <c r="A389" s="29">
        <v>388</v>
      </c>
      <c r="B389" s="28">
        <v>123076</v>
      </c>
      <c r="C389" s="28" t="s">
        <v>150</v>
      </c>
      <c r="D389" s="28">
        <v>108.52</v>
      </c>
      <c r="E389" s="48">
        <v>-1.6200000000000003E-2</v>
      </c>
      <c r="F389" s="28">
        <v>18.899999999999999</v>
      </c>
      <c r="G389" s="28">
        <v>53.97</v>
      </c>
      <c r="H389" s="48">
        <v>1.0106999999999999</v>
      </c>
      <c r="I389" s="45">
        <v>209.58999999999997</v>
      </c>
      <c r="J389" s="46">
        <v>46345</v>
      </c>
      <c r="K389" s="47">
        <v>4.2519999999999998</v>
      </c>
      <c r="L389" s="47">
        <v>8.4985510000000009</v>
      </c>
      <c r="M389" s="47">
        <v>2463.0335276999999</v>
      </c>
      <c r="N389" s="48">
        <v>2.6706418703657912E-2</v>
      </c>
      <c r="O389" s="48">
        <v>2.0521999999999999E-2</v>
      </c>
      <c r="P389" s="28">
        <v>111.099</v>
      </c>
      <c r="Q389" s="28">
        <v>108.52</v>
      </c>
      <c r="R389" s="48">
        <v>2.3765204570586139E-2</v>
      </c>
    </row>
    <row r="390" spans="1:18" x14ac:dyDescent="0.15">
      <c r="A390" s="29">
        <v>389</v>
      </c>
      <c r="B390" s="28">
        <v>110059</v>
      </c>
      <c r="C390" s="28" t="s">
        <v>1861</v>
      </c>
      <c r="D390" s="28">
        <v>107.625</v>
      </c>
      <c r="E390" s="48">
        <v>-5.0000000000000001E-4</v>
      </c>
      <c r="F390" s="28">
        <v>13.56</v>
      </c>
      <c r="G390" s="28">
        <v>53.1</v>
      </c>
      <c r="H390" s="48">
        <v>1.0268000000000002</v>
      </c>
      <c r="I390" s="45">
        <v>210.30500000000001</v>
      </c>
      <c r="J390" s="46">
        <v>45958</v>
      </c>
      <c r="K390" s="47">
        <v>3.1920000000000002</v>
      </c>
      <c r="L390" s="47">
        <v>499.98633000000001</v>
      </c>
      <c r="M390" s="47">
        <v>14367.495500000001</v>
      </c>
      <c r="N390" s="48">
        <v>2.6699908605001838E-3</v>
      </c>
      <c r="O390" s="48">
        <v>2.6831000000000001E-2</v>
      </c>
      <c r="P390" s="28">
        <v>107.783</v>
      </c>
      <c r="Q390" s="28">
        <v>107.503</v>
      </c>
      <c r="R390" s="48">
        <v>2.6045784768797256E-3</v>
      </c>
    </row>
    <row r="391" spans="1:18" x14ac:dyDescent="0.15">
      <c r="A391" s="29">
        <v>390</v>
      </c>
      <c r="B391" s="28">
        <v>113573</v>
      </c>
      <c r="C391" s="28" t="s">
        <v>136</v>
      </c>
      <c r="D391" s="28">
        <v>119.64700000000001</v>
      </c>
      <c r="E391" s="48">
        <v>1.1999999999999999E-3</v>
      </c>
      <c r="F391" s="28">
        <v>18.75</v>
      </c>
      <c r="G391" s="28">
        <v>58.72</v>
      </c>
      <c r="H391" s="48">
        <v>1.0376000000000001</v>
      </c>
      <c r="I391" s="45">
        <v>223.40700000000001</v>
      </c>
      <c r="J391" s="46">
        <v>46129</v>
      </c>
      <c r="K391" s="47">
        <v>3.66</v>
      </c>
      <c r="L391" s="47">
        <v>2.6983299999999999</v>
      </c>
      <c r="M391" s="47">
        <v>9573.6298999999999</v>
      </c>
      <c r="N391" s="48">
        <v>0.29653759352547804</v>
      </c>
      <c r="O391" s="48">
        <v>8.8830000000000003E-3</v>
      </c>
      <c r="P391" s="28">
        <v>124.5</v>
      </c>
      <c r="Q391" s="28">
        <v>119.46</v>
      </c>
      <c r="R391" s="48">
        <v>4.2189854344550533E-2</v>
      </c>
    </row>
    <row r="392" spans="1:18" x14ac:dyDescent="0.15">
      <c r="A392" s="29">
        <v>391</v>
      </c>
      <c r="B392" s="28">
        <v>123018</v>
      </c>
      <c r="C392" s="28" t="s">
        <v>76</v>
      </c>
      <c r="D392" s="28">
        <v>240</v>
      </c>
      <c r="E392" s="48">
        <v>-4.0999999999999995E-3</v>
      </c>
      <c r="F392" s="28">
        <v>8.15</v>
      </c>
      <c r="G392" s="28">
        <v>117.3</v>
      </c>
      <c r="H392" s="48">
        <v>1.046</v>
      </c>
      <c r="I392" s="45">
        <v>344.6</v>
      </c>
      <c r="J392" s="46">
        <v>45646</v>
      </c>
      <c r="K392" s="47">
        <v>2.3370000000000002</v>
      </c>
      <c r="L392" s="47">
        <v>0.54212199999999999</v>
      </c>
      <c r="M392" s="47">
        <v>6056.0078210000001</v>
      </c>
      <c r="N392" s="48">
        <v>0.46545548641880119</v>
      </c>
      <c r="O392" s="48">
        <v>-0.277785</v>
      </c>
      <c r="P392" s="28">
        <v>243.989</v>
      </c>
      <c r="Q392" s="28">
        <v>237.36699999999999</v>
      </c>
      <c r="R392" s="48">
        <v>2.7897727990832823E-2</v>
      </c>
    </row>
    <row r="393" spans="1:18" x14ac:dyDescent="0.15">
      <c r="A393" s="29">
        <v>392</v>
      </c>
      <c r="B393" s="28">
        <v>123101</v>
      </c>
      <c r="C393" s="28" t="s">
        <v>142</v>
      </c>
      <c r="D393" s="28">
        <v>116</v>
      </c>
      <c r="E393" s="48">
        <v>-1.0200000000000001E-2</v>
      </c>
      <c r="F393" s="28">
        <v>26.16</v>
      </c>
      <c r="G393" s="28">
        <v>56.57</v>
      </c>
      <c r="H393" s="48">
        <v>1.0506</v>
      </c>
      <c r="I393" s="45">
        <v>221.06</v>
      </c>
      <c r="J393" s="46">
        <v>46456</v>
      </c>
      <c r="K393" s="47">
        <v>4.556</v>
      </c>
      <c r="L393" s="47">
        <v>6.6976060000000004</v>
      </c>
      <c r="M393" s="47">
        <v>3189.2690736</v>
      </c>
      <c r="N393" s="48">
        <v>4.105003923841568E-2</v>
      </c>
      <c r="O393" s="48">
        <v>-2.3219999999999998E-3</v>
      </c>
      <c r="P393" s="28">
        <v>117.2</v>
      </c>
      <c r="Q393" s="28">
        <v>114.64</v>
      </c>
      <c r="R393" s="48">
        <v>2.2330774598743913E-2</v>
      </c>
    </row>
    <row r="394" spans="1:18" x14ac:dyDescent="0.15">
      <c r="A394" s="29">
        <v>393</v>
      </c>
      <c r="B394" s="28">
        <v>128074</v>
      </c>
      <c r="C394" s="28" t="s">
        <v>192</v>
      </c>
      <c r="D394" s="28">
        <v>113.444</v>
      </c>
      <c r="E394" s="48">
        <v>4.5000000000000005E-3</v>
      </c>
      <c r="F394" s="28">
        <v>16.97</v>
      </c>
      <c r="G394" s="28">
        <v>54.21</v>
      </c>
      <c r="H394" s="48">
        <v>1.0927</v>
      </c>
      <c r="I394" s="45">
        <v>222.714</v>
      </c>
      <c r="J394" s="46">
        <v>45923</v>
      </c>
      <c r="K394" s="47">
        <v>3.0960000000000001</v>
      </c>
      <c r="L394" s="47">
        <v>6.824916</v>
      </c>
      <c r="M394" s="47">
        <v>3022.2580496</v>
      </c>
      <c r="N394" s="48">
        <v>3.9034866756223224E-2</v>
      </c>
      <c r="O394" s="48">
        <v>1.6739E-2</v>
      </c>
      <c r="P394" s="28">
        <v>114.444</v>
      </c>
      <c r="Q394" s="28">
        <v>112.75</v>
      </c>
      <c r="R394" s="48">
        <v>1.5024390243902463E-2</v>
      </c>
    </row>
    <row r="395" spans="1:18" x14ac:dyDescent="0.15">
      <c r="A395" s="29">
        <v>394</v>
      </c>
      <c r="B395" s="28">
        <v>113605</v>
      </c>
      <c r="C395" s="28" t="s">
        <v>1875</v>
      </c>
      <c r="D395" s="28">
        <v>112.69799999999999</v>
      </c>
      <c r="E395" s="48">
        <v>-2.2000000000000001E-3</v>
      </c>
      <c r="F395" s="28">
        <v>57.13</v>
      </c>
      <c r="G395" s="28">
        <v>53.75</v>
      </c>
      <c r="H395" s="48">
        <v>1.0967</v>
      </c>
      <c r="I395" s="45">
        <v>222.36799999999999</v>
      </c>
      <c r="J395" s="46">
        <v>46317</v>
      </c>
      <c r="K395" s="47">
        <v>4.1749999999999998</v>
      </c>
      <c r="L395" s="47">
        <v>14.04745</v>
      </c>
      <c r="M395" s="47">
        <v>1176.4276</v>
      </c>
      <c r="N395" s="48">
        <v>7.4310725441986171E-3</v>
      </c>
      <c r="O395" s="48">
        <v>4.744E-3</v>
      </c>
      <c r="P395" s="28">
        <v>114.211</v>
      </c>
      <c r="Q395" s="28">
        <v>112.17700000000001</v>
      </c>
      <c r="R395" s="48">
        <v>1.8132059156511511E-2</v>
      </c>
    </row>
    <row r="396" spans="1:18" x14ac:dyDescent="0.15">
      <c r="A396" s="29">
        <v>395</v>
      </c>
      <c r="B396" s="28">
        <v>123113</v>
      </c>
      <c r="C396" s="28" t="s">
        <v>1878</v>
      </c>
      <c r="D396" s="28">
        <v>111.2</v>
      </c>
      <c r="E396" s="48">
        <v>-9.0000000000000011E-3</v>
      </c>
      <c r="F396" s="28">
        <v>56.48</v>
      </c>
      <c r="G396" s="28">
        <v>52.34</v>
      </c>
      <c r="H396" s="48">
        <v>1.1246</v>
      </c>
      <c r="I396" s="45">
        <v>223.66</v>
      </c>
      <c r="J396" s="46">
        <v>46496</v>
      </c>
      <c r="K396" s="47">
        <v>4.6660000000000004</v>
      </c>
      <c r="L396" s="47">
        <v>10.248582000000001</v>
      </c>
      <c r="M396" s="47">
        <v>978.26762599999995</v>
      </c>
      <c r="N396" s="48">
        <v>8.5839882409196426E-3</v>
      </c>
      <c r="O396" s="48">
        <v>1.3233999999999999E-2</v>
      </c>
      <c r="P396" s="28">
        <v>112.492</v>
      </c>
      <c r="Q396" s="28">
        <v>111.148</v>
      </c>
      <c r="R396" s="48">
        <v>1.2091985460827081E-2</v>
      </c>
    </row>
    <row r="397" spans="1:18" x14ac:dyDescent="0.15">
      <c r="A397" s="29">
        <v>396</v>
      </c>
      <c r="B397" s="28">
        <v>127044</v>
      </c>
      <c r="C397" s="28" t="s">
        <v>1873</v>
      </c>
      <c r="D397" s="28">
        <v>111.26</v>
      </c>
      <c r="E397" s="48">
        <v>5.1000000000000004E-3</v>
      </c>
      <c r="F397" s="28">
        <v>26.63</v>
      </c>
      <c r="G397" s="28">
        <v>52.2</v>
      </c>
      <c r="H397" s="48">
        <v>1.1314</v>
      </c>
      <c r="I397" s="45">
        <v>224.4</v>
      </c>
      <c r="J397" s="46">
        <v>46615</v>
      </c>
      <c r="K397" s="47">
        <v>4.992</v>
      </c>
      <c r="L397" s="47">
        <v>11.688836</v>
      </c>
      <c r="M397" s="47">
        <v>6029.5361868</v>
      </c>
      <c r="N397" s="48">
        <v>4.6363219386523422E-2</v>
      </c>
      <c r="O397" s="48">
        <v>9.947000000000001E-3</v>
      </c>
      <c r="P397" s="28">
        <v>112.681</v>
      </c>
      <c r="Q397" s="28">
        <v>110.97499999999999</v>
      </c>
      <c r="R397" s="48">
        <v>1.5372831718855626E-2</v>
      </c>
    </row>
    <row r="398" spans="1:18" x14ac:dyDescent="0.15">
      <c r="A398" s="29">
        <v>397</v>
      </c>
      <c r="B398" s="28">
        <v>113625</v>
      </c>
      <c r="C398" s="28" t="s">
        <v>141</v>
      </c>
      <c r="D398" s="28">
        <v>113.93899999999999</v>
      </c>
      <c r="E398" s="48">
        <v>-1.34E-2</v>
      </c>
      <c r="F398" s="28">
        <v>73.53</v>
      </c>
      <c r="G398" s="28">
        <v>52.96</v>
      </c>
      <c r="H398" s="48">
        <v>1.1514</v>
      </c>
      <c r="I398" s="45">
        <v>229.07900000000001</v>
      </c>
      <c r="J398" s="46">
        <v>46549</v>
      </c>
      <c r="K398" s="47">
        <v>4.8109999999999999</v>
      </c>
      <c r="L398" s="47">
        <v>5.8254999999999999</v>
      </c>
      <c r="M398" s="47">
        <v>853.66859999999997</v>
      </c>
      <c r="N398" s="48">
        <v>1.2861265310205948E-2</v>
      </c>
      <c r="O398" s="48">
        <v>1.7378999999999999E-2</v>
      </c>
      <c r="P398" s="28">
        <v>115.776</v>
      </c>
      <c r="Q398" s="28">
        <v>113.87</v>
      </c>
      <c r="R398" s="48">
        <v>1.6738385878633456E-2</v>
      </c>
    </row>
    <row r="399" spans="1:18" x14ac:dyDescent="0.15">
      <c r="A399" s="29">
        <v>398</v>
      </c>
      <c r="B399" s="28">
        <v>128041</v>
      </c>
      <c r="C399" s="28" t="s">
        <v>130</v>
      </c>
      <c r="D399" s="28">
        <v>270.92</v>
      </c>
      <c r="E399" s="48">
        <v>-3.5900000000000001E-2</v>
      </c>
      <c r="F399" s="28">
        <v>6.82</v>
      </c>
      <c r="G399" s="28">
        <v>124.63</v>
      </c>
      <c r="H399" s="48">
        <v>1.1738</v>
      </c>
      <c r="I399" s="45">
        <v>388.3</v>
      </c>
      <c r="J399" s="46">
        <v>45490</v>
      </c>
      <c r="K399" s="47">
        <v>1.91</v>
      </c>
      <c r="L399" s="47">
        <v>0.52926700000000004</v>
      </c>
      <c r="M399" s="47">
        <v>6326.6916959999999</v>
      </c>
      <c r="N399" s="48">
        <v>0.441225687181236</v>
      </c>
      <c r="O399" s="48">
        <v>-0.37249099999999996</v>
      </c>
      <c r="P399" s="28">
        <v>283.79000000000002</v>
      </c>
      <c r="Q399" s="28">
        <v>268</v>
      </c>
      <c r="R399" s="48">
        <v>5.8917910447761269E-2</v>
      </c>
    </row>
    <row r="400" spans="1:18" x14ac:dyDescent="0.15">
      <c r="A400" s="29">
        <v>399</v>
      </c>
      <c r="B400" s="28">
        <v>128108</v>
      </c>
      <c r="C400" s="28" t="s">
        <v>1872</v>
      </c>
      <c r="D400" s="28">
        <v>103.251</v>
      </c>
      <c r="E400" s="48">
        <v>-6.1999999999999998E-3</v>
      </c>
      <c r="F400" s="28">
        <v>18.239999999999998</v>
      </c>
      <c r="G400" s="28">
        <v>47.42</v>
      </c>
      <c r="H400" s="48">
        <v>1.1774</v>
      </c>
      <c r="I400" s="45">
        <v>220.99099999999999</v>
      </c>
      <c r="J400" s="46">
        <v>46170</v>
      </c>
      <c r="K400" s="47">
        <v>3.7730000000000001</v>
      </c>
      <c r="L400" s="47">
        <v>15.210892000000003</v>
      </c>
      <c r="M400" s="47">
        <v>2059.1394835999999</v>
      </c>
      <c r="N400" s="48">
        <v>1.3111030173387318E-2</v>
      </c>
      <c r="O400" s="48">
        <v>2.2938999999999998E-2</v>
      </c>
      <c r="P400" s="28">
        <v>104.07</v>
      </c>
      <c r="Q400" s="28">
        <v>103.078</v>
      </c>
      <c r="R400" s="48">
        <v>9.6237800500590838E-3</v>
      </c>
    </row>
    <row r="401" spans="1:18" x14ac:dyDescent="0.15">
      <c r="A401" s="29">
        <v>400</v>
      </c>
      <c r="B401" s="28">
        <v>113646</v>
      </c>
      <c r="C401" s="28" t="s">
        <v>1879</v>
      </c>
      <c r="D401" s="28">
        <v>205.869</v>
      </c>
      <c r="E401" s="48">
        <v>-1.03E-2</v>
      </c>
      <c r="F401" s="28">
        <v>8.76</v>
      </c>
      <c r="G401" s="28">
        <v>93.49</v>
      </c>
      <c r="H401" s="48">
        <v>1.202</v>
      </c>
      <c r="I401" s="45">
        <v>326.06900000000002</v>
      </c>
      <c r="J401" s="46">
        <v>46857</v>
      </c>
      <c r="K401" s="47">
        <v>5.6550000000000002</v>
      </c>
      <c r="L401" s="47">
        <v>1.45868</v>
      </c>
      <c r="M401" s="47">
        <v>26728.6296</v>
      </c>
      <c r="N401" s="48">
        <v>0.89007316856884366</v>
      </c>
      <c r="O401" s="48">
        <v>-0.10151099999999999</v>
      </c>
      <c r="P401" s="28">
        <v>220.57</v>
      </c>
      <c r="Q401" s="28">
        <v>205.11699999999999</v>
      </c>
      <c r="R401" s="48">
        <v>7.533749031040822E-2</v>
      </c>
    </row>
    <row r="402" spans="1:18" x14ac:dyDescent="0.15">
      <c r="A402" s="29">
        <v>401</v>
      </c>
      <c r="B402" s="28">
        <v>128125</v>
      </c>
      <c r="C402" s="28" t="s">
        <v>140</v>
      </c>
      <c r="D402" s="28">
        <v>110.92400000000001</v>
      </c>
      <c r="E402" s="48">
        <v>-6.0000000000000001E-3</v>
      </c>
      <c r="F402" s="28">
        <v>25.09</v>
      </c>
      <c r="G402" s="28">
        <v>49.34</v>
      </c>
      <c r="H402" s="48">
        <v>1.2482</v>
      </c>
      <c r="I402" s="45">
        <v>235.744</v>
      </c>
      <c r="J402" s="46">
        <v>46233</v>
      </c>
      <c r="K402" s="47">
        <v>3.9449999999999998</v>
      </c>
      <c r="L402" s="47">
        <v>4.4980140000000004</v>
      </c>
      <c r="M402" s="47">
        <v>324.58115420000001</v>
      </c>
      <c r="N402" s="48">
        <v>6.50544448713562E-3</v>
      </c>
      <c r="O402" s="48">
        <v>1.4959E-2</v>
      </c>
      <c r="P402" s="28">
        <v>111.678</v>
      </c>
      <c r="Q402" s="28">
        <v>110.71299999999999</v>
      </c>
      <c r="R402" s="48">
        <v>8.716230252996518E-3</v>
      </c>
    </row>
    <row r="403" spans="1:18" x14ac:dyDescent="0.15">
      <c r="A403" s="29">
        <v>402</v>
      </c>
      <c r="B403" s="28">
        <v>113633</v>
      </c>
      <c r="C403" s="28" t="s">
        <v>1870</v>
      </c>
      <c r="D403" s="28">
        <v>115.10899999999999</v>
      </c>
      <c r="E403" s="48">
        <v>-7.4000000000000003E-3</v>
      </c>
      <c r="F403" s="28">
        <v>177.08</v>
      </c>
      <c r="G403" s="28">
        <v>50.46</v>
      </c>
      <c r="H403" s="48">
        <v>1.2812000000000001</v>
      </c>
      <c r="I403" s="45">
        <v>243.22899999999998</v>
      </c>
      <c r="J403" s="46">
        <v>46721</v>
      </c>
      <c r="K403" s="47">
        <v>5.282</v>
      </c>
      <c r="L403" s="47">
        <v>10.398440000000001</v>
      </c>
      <c r="M403" s="47">
        <v>1187.5151000000001</v>
      </c>
      <c r="N403" s="48">
        <v>9.9211420846269643E-3</v>
      </c>
      <c r="O403" s="48">
        <v>-1.5E-5</v>
      </c>
      <c r="P403" s="28">
        <v>116.277</v>
      </c>
      <c r="Q403" s="28">
        <v>115</v>
      </c>
      <c r="R403" s="48">
        <v>1.1104347826086965E-2</v>
      </c>
    </row>
    <row r="404" spans="1:18" x14ac:dyDescent="0.15">
      <c r="A404" s="29">
        <v>403</v>
      </c>
      <c r="B404" s="28">
        <v>123117</v>
      </c>
      <c r="C404" s="28" t="s">
        <v>138</v>
      </c>
      <c r="D404" s="28">
        <v>113</v>
      </c>
      <c r="E404" s="48">
        <v>-6.9999999999999993E-3</v>
      </c>
      <c r="F404" s="28">
        <v>89.68</v>
      </c>
      <c r="G404" s="28">
        <v>49.51</v>
      </c>
      <c r="H404" s="48">
        <v>1.2824</v>
      </c>
      <c r="I404" s="45">
        <v>241.24</v>
      </c>
      <c r="J404" s="46">
        <v>46561</v>
      </c>
      <c r="K404" s="47">
        <v>4.8440000000000003</v>
      </c>
      <c r="L404" s="47">
        <v>9.9990059999999996</v>
      </c>
      <c r="M404" s="47">
        <v>372.16857959999999</v>
      </c>
      <c r="N404" s="48">
        <v>3.293854662250773E-3</v>
      </c>
      <c r="O404" s="48">
        <v>3.3250000000000003E-3</v>
      </c>
      <c r="P404" s="28">
        <v>114.048</v>
      </c>
      <c r="Q404" s="28">
        <v>112.88800000000001</v>
      </c>
      <c r="R404" s="48">
        <v>1.0275671461979986E-2</v>
      </c>
    </row>
    <row r="405" spans="1:18" x14ac:dyDescent="0.15">
      <c r="A405" s="29">
        <v>404</v>
      </c>
      <c r="B405" s="28">
        <v>127046</v>
      </c>
      <c r="C405" s="28" t="s">
        <v>1877</v>
      </c>
      <c r="D405" s="28">
        <v>114.983</v>
      </c>
      <c r="E405" s="48">
        <v>-0.01</v>
      </c>
      <c r="F405" s="28">
        <v>47.44</v>
      </c>
      <c r="G405" s="28">
        <v>49.43</v>
      </c>
      <c r="H405" s="48">
        <v>1.3262</v>
      </c>
      <c r="I405" s="45">
        <v>247.60300000000001</v>
      </c>
      <c r="J405" s="46">
        <v>46659</v>
      </c>
      <c r="K405" s="47">
        <v>5.1120000000000001</v>
      </c>
      <c r="L405" s="47">
        <v>11.278002000000001</v>
      </c>
      <c r="M405" s="47">
        <v>1794.4161006000002</v>
      </c>
      <c r="N405" s="48">
        <v>1.3837491098996867E-2</v>
      </c>
      <c r="O405" s="48">
        <v>2.0299999999999997E-4</v>
      </c>
      <c r="P405" s="28">
        <v>116.2</v>
      </c>
      <c r="Q405" s="28">
        <v>114.9</v>
      </c>
      <c r="R405" s="48">
        <v>1.1314186248912072E-2</v>
      </c>
    </row>
    <row r="406" spans="1:18" x14ac:dyDescent="0.15">
      <c r="A406" s="29">
        <v>405</v>
      </c>
      <c r="B406" s="28">
        <v>123119</v>
      </c>
      <c r="C406" s="28" t="s">
        <v>1869</v>
      </c>
      <c r="D406" s="28">
        <v>123.5</v>
      </c>
      <c r="E406" s="48">
        <v>4.3899999999999995E-2</v>
      </c>
      <c r="F406" s="28">
        <v>66.510000000000005</v>
      </c>
      <c r="G406" s="28">
        <v>52.97</v>
      </c>
      <c r="H406" s="48">
        <v>1.3315000000000001</v>
      </c>
      <c r="I406" s="45">
        <v>256.64999999999998</v>
      </c>
      <c r="J406" s="46">
        <v>46583</v>
      </c>
      <c r="K406" s="47">
        <v>4.9039999999999999</v>
      </c>
      <c r="L406" s="47">
        <v>19.994665000000001</v>
      </c>
      <c r="M406" s="47">
        <v>59621.332821700002</v>
      </c>
      <c r="N406" s="48">
        <v>0.24144632006377173</v>
      </c>
      <c r="O406" s="48">
        <v>-1.1495999999999999E-2</v>
      </c>
      <c r="P406" s="28">
        <v>126.79</v>
      </c>
      <c r="Q406" s="28">
        <v>123</v>
      </c>
      <c r="R406" s="48">
        <v>3.0813008130081351E-2</v>
      </c>
    </row>
    <row r="407" spans="1:18" x14ac:dyDescent="0.15">
      <c r="A407" s="29">
        <v>406</v>
      </c>
      <c r="B407" s="28">
        <v>123135</v>
      </c>
      <c r="C407" s="28" t="s">
        <v>1880</v>
      </c>
      <c r="D407" s="28">
        <v>159.91999999999999</v>
      </c>
      <c r="E407" s="48">
        <v>-4.8099999999999997E-2</v>
      </c>
      <c r="F407" s="28">
        <v>54.43</v>
      </c>
      <c r="G407" s="28">
        <v>67.790000000000006</v>
      </c>
      <c r="H407" s="48">
        <v>1.3591</v>
      </c>
      <c r="I407" s="45">
        <v>295.83</v>
      </c>
      <c r="J407" s="46">
        <v>46749</v>
      </c>
      <c r="K407" s="47">
        <v>5.359</v>
      </c>
      <c r="L407" s="47">
        <v>2.0977869999999998</v>
      </c>
      <c r="M407" s="47">
        <v>28997.143739300001</v>
      </c>
      <c r="N407" s="48">
        <v>0.86435281453985924</v>
      </c>
      <c r="O407" s="48">
        <v>-5.1025000000000001E-2</v>
      </c>
      <c r="P407" s="28">
        <v>171.554</v>
      </c>
      <c r="Q407" s="28">
        <v>158</v>
      </c>
      <c r="R407" s="48">
        <v>8.5784810126582289E-2</v>
      </c>
    </row>
    <row r="408" spans="1:18" x14ac:dyDescent="0.15">
      <c r="A408" s="29">
        <v>407</v>
      </c>
      <c r="B408" s="28">
        <v>128138</v>
      </c>
      <c r="C408" s="28" t="s">
        <v>139</v>
      </c>
      <c r="D408" s="28">
        <v>120.97</v>
      </c>
      <c r="E408" s="48">
        <v>5.1999999999999998E-3</v>
      </c>
      <c r="F408" s="28">
        <v>25.23</v>
      </c>
      <c r="G408" s="28">
        <v>50.97</v>
      </c>
      <c r="H408" s="48">
        <v>1.3734</v>
      </c>
      <c r="I408" s="45">
        <v>258.31</v>
      </c>
      <c r="J408" s="46">
        <v>46343</v>
      </c>
      <c r="K408" s="47">
        <v>4.2469999999999999</v>
      </c>
      <c r="L408" s="47">
        <v>4.1990839999999992</v>
      </c>
      <c r="M408" s="47">
        <v>2184.4309234000002</v>
      </c>
      <c r="N408" s="48">
        <v>4.3003724680039303E-2</v>
      </c>
      <c r="O408" s="48">
        <v>2.8742E-2</v>
      </c>
      <c r="P408" s="28">
        <v>121.429</v>
      </c>
      <c r="Q408" s="28">
        <v>120.39700000000001</v>
      </c>
      <c r="R408" s="48">
        <v>8.5716421505518947E-3</v>
      </c>
    </row>
    <row r="409" spans="1:18" x14ac:dyDescent="0.15">
      <c r="A409" s="29">
        <v>408</v>
      </c>
      <c r="B409" s="28">
        <v>123034</v>
      </c>
      <c r="C409" s="28" t="s">
        <v>1982</v>
      </c>
      <c r="D409" s="28">
        <v>315.60700000000003</v>
      </c>
      <c r="E409" s="48">
        <v>-4.7899999999999998E-2</v>
      </c>
      <c r="F409" s="28">
        <v>7.93</v>
      </c>
      <c r="G409" s="28">
        <v>128.5</v>
      </c>
      <c r="H409" s="48">
        <v>1.4561000000000002</v>
      </c>
      <c r="I409" s="45">
        <v>461.21700000000004</v>
      </c>
      <c r="J409" s="46">
        <v>45965</v>
      </c>
      <c r="K409" s="47">
        <v>3.2109999999999999</v>
      </c>
      <c r="L409" s="47">
        <v>0.77832100000000004</v>
      </c>
      <c r="M409" s="47">
        <v>15467.612797999998</v>
      </c>
      <c r="N409" s="48">
        <v>0.629677124835062</v>
      </c>
      <c r="O409" s="48">
        <v>-0.26858199999999999</v>
      </c>
      <c r="P409" s="28">
        <v>331.6</v>
      </c>
      <c r="Q409" s="28">
        <v>313.95100000000002</v>
      </c>
      <c r="R409" s="48">
        <v>5.6215778895432729E-2</v>
      </c>
    </row>
    <row r="410" spans="1:18" x14ac:dyDescent="0.15">
      <c r="A410" s="29">
        <v>409</v>
      </c>
      <c r="B410" s="28">
        <v>123093</v>
      </c>
      <c r="C410" s="28" t="s">
        <v>134</v>
      </c>
      <c r="D410" s="28">
        <v>123.18</v>
      </c>
      <c r="E410" s="48">
        <v>-0.02</v>
      </c>
      <c r="F410" s="28">
        <v>49.09</v>
      </c>
      <c r="G410" s="28">
        <v>49.11</v>
      </c>
      <c r="H410" s="48">
        <v>1.5082</v>
      </c>
      <c r="I410" s="45">
        <v>274</v>
      </c>
      <c r="J410" s="46">
        <v>46406</v>
      </c>
      <c r="K410" s="47">
        <v>4.4189999999999996</v>
      </c>
      <c r="L410" s="47">
        <v>2.499781</v>
      </c>
      <c r="M410" s="47">
        <v>3138.0467719999997</v>
      </c>
      <c r="N410" s="48">
        <v>0.10191010517876131</v>
      </c>
      <c r="O410" s="48">
        <v>1.0462000000000001E-2</v>
      </c>
      <c r="P410" s="28">
        <v>125.53</v>
      </c>
      <c r="Q410" s="28">
        <v>123.04</v>
      </c>
      <c r="R410" s="48">
        <v>2.0237321196358866E-2</v>
      </c>
    </row>
    <row r="411" spans="1:18" x14ac:dyDescent="0.15">
      <c r="A411" s="29">
        <v>410</v>
      </c>
      <c r="B411" s="28">
        <v>110044</v>
      </c>
      <c r="C411" s="28" t="s">
        <v>131</v>
      </c>
      <c r="D411" s="28">
        <v>209.21700000000001</v>
      </c>
      <c r="E411" s="48">
        <v>5.3E-3</v>
      </c>
      <c r="F411" s="28">
        <v>6.84</v>
      </c>
      <c r="G411" s="28">
        <v>81.87</v>
      </c>
      <c r="H411" s="48">
        <v>1.5555000000000001</v>
      </c>
      <c r="I411" s="45">
        <v>364.76700000000005</v>
      </c>
      <c r="J411" s="46">
        <v>45470</v>
      </c>
      <c r="K411" s="47">
        <v>1.855</v>
      </c>
      <c r="L411" s="47">
        <v>0.70743999999999996</v>
      </c>
      <c r="M411" s="47">
        <v>21889.1073</v>
      </c>
      <c r="N411" s="48">
        <v>1.4789090541540455</v>
      </c>
      <c r="O411" s="48">
        <v>-0.29509799999999997</v>
      </c>
      <c r="P411" s="28">
        <v>219.5</v>
      </c>
      <c r="Q411" s="28">
        <v>208</v>
      </c>
      <c r="R411" s="48">
        <v>5.5288461538461536E-2</v>
      </c>
    </row>
    <row r="412" spans="1:18" x14ac:dyDescent="0.15">
      <c r="A412" s="29">
        <v>411</v>
      </c>
      <c r="B412" s="28">
        <v>123104</v>
      </c>
      <c r="C412" s="28" t="s">
        <v>166</v>
      </c>
      <c r="D412" s="28">
        <v>115.788</v>
      </c>
      <c r="E412" s="48">
        <v>-1.2999999999999999E-3</v>
      </c>
      <c r="F412" s="28">
        <v>17.72</v>
      </c>
      <c r="G412" s="28">
        <v>44.53</v>
      </c>
      <c r="H412" s="48">
        <v>1.6002000000000001</v>
      </c>
      <c r="I412" s="45">
        <v>275.80799999999999</v>
      </c>
      <c r="J412" s="46">
        <v>46462</v>
      </c>
      <c r="K412" s="47">
        <v>4.5730000000000004</v>
      </c>
      <c r="L412" s="47">
        <v>9.7010520000000007</v>
      </c>
      <c r="M412" s="47">
        <v>661.64766650000001</v>
      </c>
      <c r="N412" s="48">
        <v>5.890394747428182E-3</v>
      </c>
      <c r="O412" s="48">
        <v>1.6813999999999999E-2</v>
      </c>
      <c r="P412" s="28">
        <v>117.3</v>
      </c>
      <c r="Q412" s="28">
        <v>115.16</v>
      </c>
      <c r="R412" s="48">
        <v>1.8582841264327896E-2</v>
      </c>
    </row>
    <row r="413" spans="1:18" x14ac:dyDescent="0.15">
      <c r="A413" s="29">
        <v>412</v>
      </c>
      <c r="B413" s="28">
        <v>123104</v>
      </c>
      <c r="C413" s="28" t="s">
        <v>166</v>
      </c>
      <c r="D413" s="28">
        <v>115.788</v>
      </c>
      <c r="E413" s="48">
        <v>-1.2999999999999999E-3</v>
      </c>
      <c r="F413" s="28">
        <v>17.72</v>
      </c>
      <c r="G413" s="28">
        <v>44.53</v>
      </c>
      <c r="H413" s="48">
        <v>1.6002000000000001</v>
      </c>
      <c r="I413" s="45">
        <v>275.80799999999999</v>
      </c>
      <c r="J413" s="46">
        <v>46462</v>
      </c>
      <c r="K413" s="47">
        <v>4.5730000000000004</v>
      </c>
      <c r="L413" s="47">
        <v>9.7010520000000007</v>
      </c>
      <c r="M413" s="47">
        <v>661.64766650000001</v>
      </c>
      <c r="N413" s="48">
        <v>5.890394747428182E-3</v>
      </c>
      <c r="O413" s="48">
        <v>1.6813999999999999E-2</v>
      </c>
      <c r="P413" s="28">
        <v>117.3</v>
      </c>
      <c r="Q413" s="28">
        <v>115.16</v>
      </c>
      <c r="R413" s="48">
        <v>1.8582841264327896E-2</v>
      </c>
    </row>
    <row r="414" spans="1:18" x14ac:dyDescent="0.15">
      <c r="A414" s="29">
        <v>413</v>
      </c>
      <c r="B414" s="28">
        <v>113589</v>
      </c>
      <c r="C414" s="28" t="s">
        <v>137</v>
      </c>
      <c r="D414" s="28">
        <v>100.48</v>
      </c>
      <c r="E414" s="48">
        <v>-4.7999999999999996E-3</v>
      </c>
      <c r="F414" s="28">
        <v>12.29</v>
      </c>
      <c r="G414" s="28">
        <v>37.43</v>
      </c>
      <c r="H414" s="48">
        <v>1.6844999999999999</v>
      </c>
      <c r="I414" s="45">
        <v>268.93</v>
      </c>
      <c r="J414" s="46">
        <v>46197</v>
      </c>
      <c r="K414" s="47">
        <v>3.847</v>
      </c>
      <c r="L414" s="47">
        <v>5.99587</v>
      </c>
      <c r="M414" s="47">
        <v>831.52200000000005</v>
      </c>
      <c r="N414" s="48">
        <v>1.380199639329233E-2</v>
      </c>
      <c r="O414" s="48">
        <v>3.4693000000000002E-2</v>
      </c>
      <c r="P414" s="28">
        <v>101.06</v>
      </c>
      <c r="Q414" s="28">
        <v>99.8</v>
      </c>
      <c r="R414" s="48">
        <v>1.2625250501002055E-2</v>
      </c>
    </row>
    <row r="415" spans="1:18" x14ac:dyDescent="0.15">
      <c r="A415" s="29">
        <v>414</v>
      </c>
      <c r="B415" s="28">
        <v>113589</v>
      </c>
      <c r="C415" s="28" t="s">
        <v>137</v>
      </c>
      <c r="D415" s="28">
        <v>100.48</v>
      </c>
      <c r="E415" s="48">
        <v>-4.7999999999999996E-3</v>
      </c>
      <c r="F415" s="28">
        <v>12.29</v>
      </c>
      <c r="G415" s="28">
        <v>37.43</v>
      </c>
      <c r="H415" s="48">
        <v>1.6844999999999999</v>
      </c>
      <c r="I415" s="45">
        <v>268.93</v>
      </c>
      <c r="J415" s="46">
        <v>46197</v>
      </c>
      <c r="K415" s="47">
        <v>3.847</v>
      </c>
      <c r="L415" s="47">
        <v>5.99587</v>
      </c>
      <c r="M415" s="47">
        <v>831.52200000000005</v>
      </c>
      <c r="N415" s="48">
        <v>1.380199639329233E-2</v>
      </c>
      <c r="O415" s="48">
        <v>3.4693000000000002E-2</v>
      </c>
      <c r="P415" s="28">
        <v>101.06</v>
      </c>
      <c r="Q415" s="28">
        <v>99.8</v>
      </c>
      <c r="R415" s="48">
        <v>1.2625250501002055E-2</v>
      </c>
    </row>
  </sheetData>
  <autoFilter ref="A1:R411"/>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19</xdr:col>
                    <xdr:colOff>209550</xdr:colOff>
                    <xdr:row>2</xdr:row>
                    <xdr:rowOff>47625</xdr:rowOff>
                  </from>
                  <to>
                    <xdr:col>20</xdr:col>
                    <xdr:colOff>514350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416"/>
  <sheetViews>
    <sheetView zoomScaleNormal="100" workbookViewId="0">
      <pane ySplit="2" topLeftCell="A3" activePane="bottomLeft" state="frozen"/>
      <selection pane="bottomLeft" activeCell="M6" sqref="M6"/>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7" customWidth="1"/>
    <col min="9" max="10" width="12.25" style="7" bestFit="1" customWidth="1"/>
    <col min="11" max="11" width="8.5" style="7" bestFit="1" customWidth="1"/>
    <col min="12" max="12" width="10.125" style="58" bestFit="1" customWidth="1"/>
    <col min="13" max="13" width="10.125" style="32" customWidth="1"/>
    <col min="14" max="14" width="12.25" style="7" bestFit="1" customWidth="1"/>
    <col min="15" max="16" width="9" style="7"/>
    <col min="17" max="17" width="3.75" style="17" customWidth="1"/>
    <col min="18" max="19" width="12.25" style="7" bestFit="1" customWidth="1"/>
    <col min="20" max="20" width="8.375" style="7" customWidth="1"/>
    <col min="21" max="21" width="12.25" style="7" bestFit="1" customWidth="1"/>
    <col min="22" max="16384" width="9" style="7"/>
  </cols>
  <sheetData>
    <row r="1" spans="1:21" x14ac:dyDescent="0.15">
      <c r="A1" s="8" t="s">
        <v>262</v>
      </c>
      <c r="B1" s="8"/>
      <c r="C1" s="49" t="s">
        <v>1983</v>
      </c>
      <c r="D1" s="12"/>
      <c r="E1" s="12"/>
      <c r="I1" s="8" t="s">
        <v>1885</v>
      </c>
      <c r="J1" s="8"/>
      <c r="K1" s="33" t="s">
        <v>1886</v>
      </c>
      <c r="L1" s="55"/>
      <c r="M1" s="34"/>
      <c r="N1" s="33"/>
      <c r="O1" s="33"/>
      <c r="P1" s="33"/>
      <c r="R1" s="8" t="s">
        <v>796</v>
      </c>
    </row>
    <row r="2" spans="1:21" s="6" customFormat="1" x14ac:dyDescent="0.15">
      <c r="A2" s="6" t="s">
        <v>59</v>
      </c>
      <c r="B2" s="6" t="s">
        <v>58</v>
      </c>
      <c r="C2" s="6" t="s">
        <v>57</v>
      </c>
      <c r="D2" s="4" t="s">
        <v>253</v>
      </c>
      <c r="E2" s="4" t="s">
        <v>785</v>
      </c>
      <c r="H2" s="18"/>
      <c r="I2" s="6" t="s">
        <v>1881</v>
      </c>
      <c r="J2" s="6" t="s">
        <v>1882</v>
      </c>
      <c r="K2" s="6" t="s">
        <v>1774</v>
      </c>
      <c r="L2" s="56" t="s">
        <v>35</v>
      </c>
      <c r="M2" s="31" t="s">
        <v>1884</v>
      </c>
      <c r="N2" s="4" t="s">
        <v>237</v>
      </c>
      <c r="Q2" s="18"/>
      <c r="R2" s="6" t="s">
        <v>59</v>
      </c>
      <c r="S2" s="6" t="s">
        <v>58</v>
      </c>
      <c r="T2" s="6" t="s">
        <v>57</v>
      </c>
      <c r="U2" s="4" t="s">
        <v>237</v>
      </c>
    </row>
    <row r="3" spans="1:21" x14ac:dyDescent="0.15">
      <c r="A3" s="1">
        <v>123012</v>
      </c>
      <c r="B3" s="1" t="s">
        <v>56</v>
      </c>
      <c r="C3" s="7">
        <f>VLOOKUP(A3,$I$1:$K$1000,3,FALSE)</f>
        <v>245.48</v>
      </c>
      <c r="D3" s="5">
        <f>MATCH(A3,$I$1:$I$1000,0)-2</f>
        <v>33</v>
      </c>
      <c r="E3" s="5">
        <f t="shared" ref="E3:E40" si="0">MATCH(A3,$R$1:$R$200,0)-2</f>
        <v>1</v>
      </c>
      <c r="H3" s="17">
        <v>1</v>
      </c>
      <c r="I3">
        <v>123086</v>
      </c>
      <c r="J3" t="s">
        <v>1930</v>
      </c>
      <c r="K3">
        <v>169.7</v>
      </c>
      <c r="L3" s="57">
        <v>-1.0700000000000001E-2</v>
      </c>
      <c r="M3" s="20">
        <v>1.091539</v>
      </c>
      <c r="N3" s="5" t="str">
        <f>IF(ISNA(MATCH(I3,$A$3:$A$1000,0)),"未买","Yes")</f>
        <v>未买</v>
      </c>
      <c r="Q3" s="17">
        <v>1</v>
      </c>
      <c r="R3" s="7">
        <v>123012</v>
      </c>
      <c r="S3" s="7" t="s">
        <v>56</v>
      </c>
      <c r="T3" s="7">
        <f>VLOOKUP(R3,$I$1:$K$1000,3,FALSE)</f>
        <v>245.48</v>
      </c>
      <c r="U3" s="5" t="str">
        <f t="shared" ref="U3:U34" si="1">IF(ISNA(MATCH(R3,$A$2:$A$301,0)),"未买","Yes")</f>
        <v>Yes</v>
      </c>
    </row>
    <row r="4" spans="1:21" x14ac:dyDescent="0.15">
      <c r="A4" s="1">
        <v>123045</v>
      </c>
      <c r="B4" s="1" t="s">
        <v>106</v>
      </c>
      <c r="C4" s="7">
        <f t="shared" ref="C4:C40" si="2">VLOOKUP(A4,$I$1:$K$1000,3,FALSE)</f>
        <v>164.386</v>
      </c>
      <c r="D4" s="5">
        <f t="shared" ref="D4:D40" si="3">MATCH(A4,$I$1:$I$1000,0)-2</f>
        <v>2</v>
      </c>
      <c r="E4" s="5">
        <f t="shared" si="0"/>
        <v>33</v>
      </c>
      <c r="H4" s="17">
        <v>2</v>
      </c>
      <c r="I4">
        <v>123045</v>
      </c>
      <c r="J4" t="s">
        <v>1988</v>
      </c>
      <c r="K4">
        <v>164.386</v>
      </c>
      <c r="L4" s="57">
        <v>-7.9000000000000008E-3</v>
      </c>
      <c r="M4" s="20">
        <v>0.86870000000000003</v>
      </c>
      <c r="N4" s="5" t="str">
        <f t="shared" ref="N4:N67" si="4">IF(ISNA(MATCH(I4,$A$3:$A$1000,0)),"未买","Yes")</f>
        <v>Yes</v>
      </c>
      <c r="Q4" s="17">
        <v>2</v>
      </c>
      <c r="R4" s="7">
        <v>113541</v>
      </c>
      <c r="S4" s="7" t="s">
        <v>44</v>
      </c>
      <c r="T4" s="7" t="e">
        <f t="shared" ref="T4:T37" si="5">VLOOKUP(R4,$I$1:$K$1000,3,FALSE)</f>
        <v>#N/A</v>
      </c>
      <c r="U4" s="5" t="str">
        <f t="shared" si="1"/>
        <v>Yes</v>
      </c>
    </row>
    <row r="5" spans="1:21" x14ac:dyDescent="0.15">
      <c r="A5" s="1">
        <v>123052</v>
      </c>
      <c r="B5" s="1" t="s">
        <v>775</v>
      </c>
      <c r="C5" s="7">
        <f t="shared" si="2"/>
        <v>154.239</v>
      </c>
      <c r="D5" s="5">
        <f t="shared" si="3"/>
        <v>117</v>
      </c>
      <c r="E5" s="5" t="e">
        <f t="shared" si="0"/>
        <v>#N/A</v>
      </c>
      <c r="H5" s="17">
        <v>3</v>
      </c>
      <c r="I5">
        <v>123084</v>
      </c>
      <c r="J5" t="s">
        <v>1986</v>
      </c>
      <c r="K5">
        <v>154</v>
      </c>
      <c r="L5" s="57">
        <v>-6.0999999999999995E-3</v>
      </c>
      <c r="M5" s="20">
        <v>0.70291099999999995</v>
      </c>
      <c r="N5" s="5" t="str">
        <f t="shared" si="4"/>
        <v>未买</v>
      </c>
      <c r="Q5" s="17">
        <v>3</v>
      </c>
      <c r="R5" s="7">
        <v>128100</v>
      </c>
      <c r="S5" s="7" t="s">
        <v>48</v>
      </c>
      <c r="T5" s="7">
        <f t="shared" si="5"/>
        <v>99.3</v>
      </c>
      <c r="U5" s="5" t="str">
        <f t="shared" si="1"/>
        <v>Yes</v>
      </c>
    </row>
    <row r="6" spans="1:21" x14ac:dyDescent="0.15">
      <c r="A6" s="1">
        <v>123057</v>
      </c>
      <c r="B6" s="1" t="s">
        <v>776</v>
      </c>
      <c r="C6" s="7">
        <f t="shared" si="2"/>
        <v>235.77</v>
      </c>
      <c r="D6" s="5">
        <f t="shared" si="3"/>
        <v>20</v>
      </c>
      <c r="E6" s="5">
        <f t="shared" si="0"/>
        <v>26</v>
      </c>
      <c r="H6" s="17">
        <v>4</v>
      </c>
      <c r="I6">
        <v>113620</v>
      </c>
      <c r="J6" t="s">
        <v>1933</v>
      </c>
      <c r="K6">
        <v>140.93100000000001</v>
      </c>
      <c r="L6" s="57">
        <v>-5.1999999999999998E-3</v>
      </c>
      <c r="M6" s="20">
        <v>2.4529800000000002</v>
      </c>
      <c r="N6" s="5" t="str">
        <f t="shared" si="4"/>
        <v>未买</v>
      </c>
      <c r="Q6" s="17">
        <v>4</v>
      </c>
      <c r="R6" s="7">
        <v>128085</v>
      </c>
      <c r="S6" s="7" t="s">
        <v>782</v>
      </c>
      <c r="T6" s="7">
        <f t="shared" si="5"/>
        <v>118.086</v>
      </c>
      <c r="U6" s="5" t="str">
        <f t="shared" si="1"/>
        <v>Yes</v>
      </c>
    </row>
    <row r="7" spans="1:21" x14ac:dyDescent="0.15">
      <c r="A7" s="1">
        <v>123067</v>
      </c>
      <c r="B7" s="1" t="s">
        <v>777</v>
      </c>
      <c r="C7" s="7">
        <f t="shared" si="2"/>
        <v>297.8</v>
      </c>
      <c r="D7" s="5">
        <f t="shared" si="3"/>
        <v>24</v>
      </c>
      <c r="E7" s="5" t="e">
        <f t="shared" si="0"/>
        <v>#N/A</v>
      </c>
      <c r="H7" s="17">
        <v>5</v>
      </c>
      <c r="I7">
        <v>127048</v>
      </c>
      <c r="J7" t="s">
        <v>1990</v>
      </c>
      <c r="K7">
        <v>218</v>
      </c>
      <c r="L7" s="57">
        <v>8.0000000000000004E-4</v>
      </c>
      <c r="M7" s="20">
        <v>1.901635</v>
      </c>
      <c r="N7" s="5" t="str">
        <f t="shared" si="4"/>
        <v>未买</v>
      </c>
      <c r="Q7" s="17">
        <v>5</v>
      </c>
      <c r="R7" s="7">
        <v>113567</v>
      </c>
      <c r="S7" s="7" t="s">
        <v>43</v>
      </c>
      <c r="T7" s="7">
        <f t="shared" si="5"/>
        <v>159.803</v>
      </c>
      <c r="U7" s="5" t="str">
        <f t="shared" si="1"/>
        <v>Yes</v>
      </c>
    </row>
    <row r="8" spans="1:21" x14ac:dyDescent="0.15">
      <c r="A8" s="1">
        <v>123073</v>
      </c>
      <c r="B8" s="1" t="s">
        <v>778</v>
      </c>
      <c r="C8" s="7" t="e">
        <f t="shared" si="2"/>
        <v>#N/A</v>
      </c>
      <c r="D8" s="5" t="e">
        <f t="shared" si="3"/>
        <v>#N/A</v>
      </c>
      <c r="E8" s="5" t="e">
        <f t="shared" si="0"/>
        <v>#N/A</v>
      </c>
      <c r="H8" s="17">
        <v>6</v>
      </c>
      <c r="I8">
        <v>123097</v>
      </c>
      <c r="J8" t="s">
        <v>1987</v>
      </c>
      <c r="K8">
        <v>140.608</v>
      </c>
      <c r="L8" s="57">
        <v>2.8999999999999998E-3</v>
      </c>
      <c r="M8" s="20">
        <v>1.443425</v>
      </c>
      <c r="N8" s="5" t="str">
        <f t="shared" si="4"/>
        <v>未买</v>
      </c>
      <c r="Q8" s="17">
        <v>6</v>
      </c>
      <c r="R8" s="7">
        <v>113525</v>
      </c>
      <c r="S8" s="7" t="s">
        <v>129</v>
      </c>
      <c r="T8" s="7">
        <f t="shared" si="5"/>
        <v>208.31700000000001</v>
      </c>
      <c r="U8" s="5" t="str">
        <f t="shared" si="1"/>
        <v>Yes</v>
      </c>
    </row>
    <row r="9" spans="1:21" x14ac:dyDescent="0.15">
      <c r="A9" s="1">
        <v>123080</v>
      </c>
      <c r="B9" s="1" t="s">
        <v>54</v>
      </c>
      <c r="C9" s="7">
        <f t="shared" si="2"/>
        <v>141.83500000000001</v>
      </c>
      <c r="D9" s="5">
        <f t="shared" si="3"/>
        <v>56</v>
      </c>
      <c r="E9" s="5" t="e">
        <f t="shared" si="0"/>
        <v>#N/A</v>
      </c>
      <c r="H9" s="17">
        <v>7</v>
      </c>
      <c r="I9">
        <v>123023</v>
      </c>
      <c r="J9" t="s">
        <v>193</v>
      </c>
      <c r="K9">
        <v>149.13999999999999</v>
      </c>
      <c r="L9" s="57">
        <v>3.0000000000000001E-3</v>
      </c>
      <c r="M9" s="20">
        <v>5.293596</v>
      </c>
      <c r="N9" s="5" t="str">
        <f t="shared" si="4"/>
        <v>未买</v>
      </c>
      <c r="Q9" s="17">
        <v>7</v>
      </c>
      <c r="R9" s="7">
        <v>113585</v>
      </c>
      <c r="S9" s="7" t="s">
        <v>790</v>
      </c>
      <c r="T9" s="7">
        <f t="shared" si="5"/>
        <v>176.827</v>
      </c>
      <c r="U9" s="5" t="str">
        <f t="shared" si="1"/>
        <v>Yes</v>
      </c>
    </row>
    <row r="10" spans="1:21" x14ac:dyDescent="0.15">
      <c r="A10" s="1">
        <v>123089</v>
      </c>
      <c r="B10" s="1" t="s">
        <v>779</v>
      </c>
      <c r="C10" s="7">
        <f t="shared" si="2"/>
        <v>156.476</v>
      </c>
      <c r="D10" s="5">
        <f t="shared" si="3"/>
        <v>31</v>
      </c>
      <c r="E10" s="5" t="e">
        <f t="shared" si="0"/>
        <v>#N/A</v>
      </c>
      <c r="H10" s="17">
        <v>8</v>
      </c>
      <c r="I10">
        <v>123027</v>
      </c>
      <c r="J10" t="s">
        <v>1965</v>
      </c>
      <c r="K10">
        <v>464.40100000000001</v>
      </c>
      <c r="L10" s="57">
        <v>1.8000000000000002E-2</v>
      </c>
      <c r="M10" s="20">
        <v>1.0660290000000001</v>
      </c>
      <c r="N10" s="5" t="str">
        <f t="shared" si="4"/>
        <v>未买</v>
      </c>
      <c r="Q10" s="17">
        <v>8</v>
      </c>
      <c r="R10" s="7">
        <v>128040</v>
      </c>
      <c r="S10" s="7" t="s">
        <v>49</v>
      </c>
      <c r="T10" s="7">
        <f t="shared" si="5"/>
        <v>152.001</v>
      </c>
      <c r="U10" s="5" t="str">
        <f t="shared" si="1"/>
        <v>Yes</v>
      </c>
    </row>
    <row r="11" spans="1:21" x14ac:dyDescent="0.15">
      <c r="A11" s="1">
        <v>123137</v>
      </c>
      <c r="B11" s="1" t="s">
        <v>767</v>
      </c>
      <c r="C11" s="7">
        <f t="shared" si="2"/>
        <v>194</v>
      </c>
      <c r="D11" s="5">
        <f t="shared" si="3"/>
        <v>17</v>
      </c>
      <c r="E11" s="5" t="e">
        <f t="shared" si="0"/>
        <v>#N/A</v>
      </c>
      <c r="H11" s="17">
        <v>9</v>
      </c>
      <c r="I11">
        <v>113626</v>
      </c>
      <c r="J11" t="s">
        <v>1989</v>
      </c>
      <c r="K11">
        <v>278.25599999999997</v>
      </c>
      <c r="L11" s="57">
        <v>2.3199999999999998E-2</v>
      </c>
      <c r="M11" s="20">
        <v>8.7978799999999993</v>
      </c>
      <c r="N11" s="5" t="str">
        <f t="shared" si="4"/>
        <v>未买</v>
      </c>
      <c r="Q11" s="17">
        <v>9</v>
      </c>
      <c r="R11" s="7">
        <v>113537</v>
      </c>
      <c r="S11" s="7" t="s">
        <v>803</v>
      </c>
      <c r="T11" s="7">
        <f t="shared" si="5"/>
        <v>465.35500000000002</v>
      </c>
      <c r="U11" s="5" t="str">
        <f t="shared" si="1"/>
        <v>未买</v>
      </c>
    </row>
    <row r="12" spans="1:21" x14ac:dyDescent="0.15">
      <c r="A12" s="1">
        <v>127003</v>
      </c>
      <c r="B12" s="1" t="s">
        <v>53</v>
      </c>
      <c r="C12" s="7" t="e">
        <f t="shared" si="2"/>
        <v>#N/A</v>
      </c>
      <c r="D12" s="5" t="e">
        <f t="shared" si="3"/>
        <v>#N/A</v>
      </c>
      <c r="E12" s="5" t="e">
        <f t="shared" si="0"/>
        <v>#N/A</v>
      </c>
      <c r="H12" s="17">
        <v>10</v>
      </c>
      <c r="I12">
        <v>110061</v>
      </c>
      <c r="J12" t="s">
        <v>1943</v>
      </c>
      <c r="K12">
        <v>152.33000000000001</v>
      </c>
      <c r="L12" s="57">
        <v>2.41E-2</v>
      </c>
      <c r="M12" s="20">
        <v>39.491070000000001</v>
      </c>
      <c r="N12" s="5" t="str">
        <f t="shared" si="4"/>
        <v>未买</v>
      </c>
      <c r="Q12" s="17">
        <v>10</v>
      </c>
      <c r="R12" s="7">
        <v>113027</v>
      </c>
      <c r="S12" s="7" t="s">
        <v>46</v>
      </c>
      <c r="T12" s="7">
        <f t="shared" si="5"/>
        <v>151.256</v>
      </c>
      <c r="U12" s="5" t="str">
        <f t="shared" si="1"/>
        <v>Yes</v>
      </c>
    </row>
    <row r="13" spans="1:21" x14ac:dyDescent="0.15">
      <c r="A13" s="1">
        <v>127007</v>
      </c>
      <c r="B13" s="1" t="s">
        <v>789</v>
      </c>
      <c r="C13" s="7">
        <f t="shared" si="2"/>
        <v>149.101</v>
      </c>
      <c r="D13" s="5">
        <f t="shared" si="3"/>
        <v>79</v>
      </c>
      <c r="E13" s="5">
        <f t="shared" si="0"/>
        <v>11</v>
      </c>
      <c r="H13" s="17">
        <v>11</v>
      </c>
      <c r="I13">
        <v>128087</v>
      </c>
      <c r="J13" t="s">
        <v>117</v>
      </c>
      <c r="K13">
        <v>134.9</v>
      </c>
      <c r="L13" s="57">
        <v>2.41E-2</v>
      </c>
      <c r="M13" s="20">
        <v>6.4905280000000003</v>
      </c>
      <c r="N13" s="5" t="str">
        <f t="shared" si="4"/>
        <v>未买</v>
      </c>
      <c r="Q13" s="17">
        <v>11</v>
      </c>
      <c r="R13" s="7">
        <v>127007</v>
      </c>
      <c r="S13" s="7" t="s">
        <v>789</v>
      </c>
      <c r="T13" s="7">
        <f t="shared" si="5"/>
        <v>149.101</v>
      </c>
      <c r="U13" s="5" t="str">
        <f t="shared" si="1"/>
        <v>Yes</v>
      </c>
    </row>
    <row r="14" spans="1:21" x14ac:dyDescent="0.15">
      <c r="A14" s="1">
        <v>127030</v>
      </c>
      <c r="B14" s="1" t="s">
        <v>764</v>
      </c>
      <c r="C14" s="7">
        <f t="shared" si="2"/>
        <v>197.46600000000001</v>
      </c>
      <c r="D14" s="5">
        <f t="shared" si="3"/>
        <v>86</v>
      </c>
      <c r="E14" s="5" t="e">
        <f t="shared" si="0"/>
        <v>#N/A</v>
      </c>
      <c r="H14" s="17">
        <v>12</v>
      </c>
      <c r="I14">
        <v>113635</v>
      </c>
      <c r="J14" t="s">
        <v>1849</v>
      </c>
      <c r="K14">
        <v>142.69200000000001</v>
      </c>
      <c r="L14" s="57">
        <v>2.4900000000000002E-2</v>
      </c>
      <c r="M14" s="20">
        <v>13.49591</v>
      </c>
      <c r="N14" s="5" t="str">
        <f t="shared" si="4"/>
        <v>未买</v>
      </c>
      <c r="Q14" s="17">
        <v>12</v>
      </c>
      <c r="R14" s="7">
        <v>113016</v>
      </c>
      <c r="S14" s="7" t="s">
        <v>124</v>
      </c>
      <c r="T14" s="7">
        <f t="shared" si="5"/>
        <v>430.56799999999998</v>
      </c>
      <c r="U14" s="5" t="str">
        <f t="shared" si="1"/>
        <v>未买</v>
      </c>
    </row>
    <row r="15" spans="1:21" x14ac:dyDescent="0.15">
      <c r="A15" s="1">
        <v>128013</v>
      </c>
      <c r="B15" s="1" t="s">
        <v>52</v>
      </c>
      <c r="C15" s="7" t="e">
        <f t="shared" si="2"/>
        <v>#N/A</v>
      </c>
      <c r="D15" s="5" t="e">
        <f t="shared" si="3"/>
        <v>#N/A</v>
      </c>
      <c r="E15" s="5">
        <f t="shared" si="0"/>
        <v>21</v>
      </c>
      <c r="H15" s="17">
        <v>13</v>
      </c>
      <c r="I15">
        <v>110085</v>
      </c>
      <c r="J15" t="s">
        <v>1785</v>
      </c>
      <c r="K15">
        <v>160.505</v>
      </c>
      <c r="L15" s="57">
        <v>2.6800000000000001E-2</v>
      </c>
      <c r="M15" s="20">
        <v>120</v>
      </c>
      <c r="N15" s="5" t="str">
        <f t="shared" si="4"/>
        <v>未买</v>
      </c>
      <c r="Q15" s="17">
        <v>13</v>
      </c>
      <c r="R15" s="7">
        <v>113548</v>
      </c>
      <c r="S15" s="7" t="s">
        <v>804</v>
      </c>
      <c r="T15" s="7" t="e">
        <f t="shared" si="5"/>
        <v>#N/A</v>
      </c>
      <c r="U15" s="5" t="str">
        <f t="shared" si="1"/>
        <v>未买</v>
      </c>
    </row>
    <row r="16" spans="1:21" x14ac:dyDescent="0.15">
      <c r="A16" s="1">
        <v>128025</v>
      </c>
      <c r="B16" s="1" t="s">
        <v>50</v>
      </c>
      <c r="C16" s="7">
        <f t="shared" si="2"/>
        <v>127.7</v>
      </c>
      <c r="D16" s="5">
        <f t="shared" si="3"/>
        <v>183</v>
      </c>
      <c r="E16" s="5" t="e">
        <f t="shared" si="0"/>
        <v>#N/A</v>
      </c>
      <c r="H16" s="17">
        <v>14</v>
      </c>
      <c r="I16">
        <v>118001</v>
      </c>
      <c r="J16" t="s">
        <v>224</v>
      </c>
      <c r="K16">
        <v>131.63999999999999</v>
      </c>
      <c r="L16" s="57">
        <v>2.7099999999999999E-2</v>
      </c>
      <c r="M16" s="20">
        <v>5.9797599999999997</v>
      </c>
      <c r="N16" s="5" t="str">
        <f t="shared" si="4"/>
        <v>未买</v>
      </c>
      <c r="Q16" s="17">
        <v>14</v>
      </c>
      <c r="R16" s="7">
        <v>123046</v>
      </c>
      <c r="S16" s="7" t="s">
        <v>805</v>
      </c>
      <c r="T16" s="7">
        <f t="shared" si="5"/>
        <v>387.995</v>
      </c>
      <c r="U16" s="5" t="str">
        <f t="shared" si="1"/>
        <v>未买</v>
      </c>
    </row>
    <row r="17" spans="1:21" x14ac:dyDescent="0.15">
      <c r="A17" s="1">
        <v>128029</v>
      </c>
      <c r="B17" s="1" t="s">
        <v>780</v>
      </c>
      <c r="C17" s="7">
        <f t="shared" si="2"/>
        <v>150.75700000000001</v>
      </c>
      <c r="D17" s="5">
        <f t="shared" si="3"/>
        <v>36</v>
      </c>
      <c r="E17" s="5">
        <f t="shared" si="0"/>
        <v>18</v>
      </c>
      <c r="H17" s="17">
        <v>15</v>
      </c>
      <c r="I17">
        <v>123121</v>
      </c>
      <c r="J17" t="s">
        <v>1992</v>
      </c>
      <c r="K17">
        <v>204</v>
      </c>
      <c r="L17" s="57">
        <v>2.7799999999999998E-2</v>
      </c>
      <c r="M17" s="20">
        <v>8.3625550000000004</v>
      </c>
      <c r="N17" s="5" t="str">
        <f t="shared" si="4"/>
        <v>未买</v>
      </c>
      <c r="Q17" s="17">
        <v>15</v>
      </c>
      <c r="R17" s="7">
        <v>113568</v>
      </c>
      <c r="S17" s="7" t="s">
        <v>127</v>
      </c>
      <c r="T17" s="7" t="e">
        <f t="shared" si="5"/>
        <v>#N/A</v>
      </c>
      <c r="U17" s="5" t="str">
        <f t="shared" si="1"/>
        <v>Yes</v>
      </c>
    </row>
    <row r="18" spans="1:21" x14ac:dyDescent="0.15">
      <c r="A18" s="1">
        <v>128036</v>
      </c>
      <c r="B18" s="1" t="s">
        <v>169</v>
      </c>
      <c r="C18" s="7">
        <f t="shared" si="2"/>
        <v>146.05199999999999</v>
      </c>
      <c r="D18" s="5">
        <f t="shared" si="3"/>
        <v>281</v>
      </c>
      <c r="E18" s="5">
        <f t="shared" si="0"/>
        <v>23</v>
      </c>
      <c r="H18" s="17">
        <v>16</v>
      </c>
      <c r="I18">
        <v>113537</v>
      </c>
      <c r="J18" t="s">
        <v>1940</v>
      </c>
      <c r="K18">
        <v>465.35500000000002</v>
      </c>
      <c r="L18" s="57">
        <v>3.3599999999999998E-2</v>
      </c>
      <c r="M18" s="20">
        <v>1.37564</v>
      </c>
      <c r="N18" s="5" t="str">
        <f t="shared" si="4"/>
        <v>未买</v>
      </c>
      <c r="Q18" s="17">
        <v>16</v>
      </c>
      <c r="R18" s="7">
        <v>128106</v>
      </c>
      <c r="S18" s="7" t="s">
        <v>784</v>
      </c>
      <c r="T18" s="7">
        <f t="shared" si="5"/>
        <v>285.5</v>
      </c>
      <c r="U18" s="5" t="str">
        <f t="shared" si="1"/>
        <v>Yes</v>
      </c>
    </row>
    <row r="19" spans="1:21" x14ac:dyDescent="0.15">
      <c r="A19" s="1">
        <v>128037</v>
      </c>
      <c r="B19" s="1" t="s">
        <v>72</v>
      </c>
      <c r="C19" s="7">
        <f t="shared" si="2"/>
        <v>120.9</v>
      </c>
      <c r="D19" s="5">
        <f t="shared" si="3"/>
        <v>170</v>
      </c>
      <c r="E19" s="5" t="e">
        <f t="shared" si="0"/>
        <v>#N/A</v>
      </c>
      <c r="H19" s="17">
        <v>17</v>
      </c>
      <c r="I19">
        <v>123137</v>
      </c>
      <c r="J19" t="s">
        <v>767</v>
      </c>
      <c r="K19">
        <v>194</v>
      </c>
      <c r="L19" s="57">
        <v>3.4000000000000002E-2</v>
      </c>
      <c r="M19" s="20">
        <v>8.967231</v>
      </c>
      <c r="N19" s="5" t="str">
        <f t="shared" si="4"/>
        <v>Yes</v>
      </c>
      <c r="Q19" s="17">
        <v>17</v>
      </c>
      <c r="R19" s="7">
        <v>128091</v>
      </c>
      <c r="S19" s="7" t="s">
        <v>783</v>
      </c>
      <c r="T19" s="7">
        <f t="shared" si="5"/>
        <v>166</v>
      </c>
      <c r="U19" s="5" t="str">
        <f t="shared" si="1"/>
        <v>Yes</v>
      </c>
    </row>
    <row r="20" spans="1:21" x14ac:dyDescent="0.15">
      <c r="A20" s="1">
        <v>128040</v>
      </c>
      <c r="B20" s="1" t="s">
        <v>49</v>
      </c>
      <c r="C20" s="7">
        <f t="shared" si="2"/>
        <v>152.001</v>
      </c>
      <c r="D20" s="5">
        <f t="shared" si="3"/>
        <v>84</v>
      </c>
      <c r="E20" s="5">
        <f t="shared" si="0"/>
        <v>8</v>
      </c>
      <c r="H20" s="17">
        <v>18</v>
      </c>
      <c r="I20">
        <v>128046</v>
      </c>
      <c r="J20" t="s">
        <v>1931</v>
      </c>
      <c r="K20">
        <v>187.99</v>
      </c>
      <c r="L20" s="57">
        <v>3.4500000000000003E-2</v>
      </c>
      <c r="M20" s="20">
        <v>7.1901260000000002</v>
      </c>
      <c r="N20" s="5" t="str">
        <f t="shared" si="4"/>
        <v>Yes</v>
      </c>
      <c r="Q20" s="17">
        <v>18</v>
      </c>
      <c r="R20" s="7">
        <v>128029</v>
      </c>
      <c r="S20" s="7" t="s">
        <v>780</v>
      </c>
      <c r="T20" s="7">
        <f t="shared" si="5"/>
        <v>150.75700000000001</v>
      </c>
      <c r="U20" s="5" t="str">
        <f t="shared" si="1"/>
        <v>Yes</v>
      </c>
    </row>
    <row r="21" spans="1:21" x14ac:dyDescent="0.15">
      <c r="A21" s="1">
        <v>128046</v>
      </c>
      <c r="B21" s="1" t="s">
        <v>781</v>
      </c>
      <c r="C21" s="7">
        <f t="shared" si="2"/>
        <v>187.99</v>
      </c>
      <c r="D21" s="5">
        <f t="shared" si="3"/>
        <v>18</v>
      </c>
      <c r="E21" s="5">
        <f t="shared" si="0"/>
        <v>32</v>
      </c>
      <c r="H21" s="17">
        <v>19</v>
      </c>
      <c r="I21">
        <v>123085</v>
      </c>
      <c r="J21" t="s">
        <v>1936</v>
      </c>
      <c r="K21">
        <v>200.11500000000001</v>
      </c>
      <c r="L21" s="57">
        <v>0.04</v>
      </c>
      <c r="M21" s="20">
        <v>6.599778999999999</v>
      </c>
      <c r="N21" s="5" t="str">
        <f t="shared" si="4"/>
        <v>未买</v>
      </c>
      <c r="Q21" s="17">
        <v>19</v>
      </c>
      <c r="R21" s="7">
        <v>113504</v>
      </c>
      <c r="S21" s="7" t="s">
        <v>123</v>
      </c>
      <c r="T21" s="7">
        <f t="shared" si="5"/>
        <v>173.131</v>
      </c>
      <c r="U21" s="5" t="str">
        <f t="shared" si="1"/>
        <v>Yes</v>
      </c>
    </row>
    <row r="22" spans="1:21" x14ac:dyDescent="0.15">
      <c r="A22" s="1">
        <v>128053</v>
      </c>
      <c r="B22" s="1" t="s">
        <v>61</v>
      </c>
      <c r="C22" s="7">
        <f t="shared" si="2"/>
        <v>136.62</v>
      </c>
      <c r="D22" s="5">
        <f t="shared" si="3"/>
        <v>325</v>
      </c>
      <c r="E22" s="5" t="e">
        <f t="shared" si="0"/>
        <v>#N/A</v>
      </c>
      <c r="H22" s="17">
        <v>20</v>
      </c>
      <c r="I22">
        <v>123057</v>
      </c>
      <c r="J22" t="s">
        <v>1993</v>
      </c>
      <c r="K22">
        <v>235.77</v>
      </c>
      <c r="L22" s="57">
        <v>4.5199999999999997E-2</v>
      </c>
      <c r="M22" s="20">
        <v>2.0647899999999999</v>
      </c>
      <c r="N22" s="5" t="str">
        <f t="shared" si="4"/>
        <v>Yes</v>
      </c>
      <c r="Q22" s="17">
        <v>20</v>
      </c>
      <c r="R22" s="7">
        <v>128111</v>
      </c>
      <c r="S22" s="7" t="s">
        <v>806</v>
      </c>
      <c r="T22" s="7">
        <f t="shared" si="5"/>
        <v>898.44</v>
      </c>
      <c r="U22" s="5" t="str">
        <f t="shared" si="1"/>
        <v>未买</v>
      </c>
    </row>
    <row r="23" spans="1:21" x14ac:dyDescent="0.15">
      <c r="A23" s="1">
        <v>128066</v>
      </c>
      <c r="B23" s="1" t="s">
        <v>97</v>
      </c>
      <c r="C23" s="7">
        <f t="shared" si="2"/>
        <v>118.78</v>
      </c>
      <c r="D23" s="5">
        <f t="shared" si="3"/>
        <v>133</v>
      </c>
      <c r="E23" s="5" t="e">
        <f t="shared" si="0"/>
        <v>#N/A</v>
      </c>
      <c r="H23" s="17">
        <v>21</v>
      </c>
      <c r="I23">
        <v>123107</v>
      </c>
      <c r="J23" t="s">
        <v>1995</v>
      </c>
      <c r="K23">
        <v>145.601</v>
      </c>
      <c r="L23" s="57">
        <v>4.5700000000000005E-2</v>
      </c>
      <c r="M23" s="20">
        <v>77.390163999999999</v>
      </c>
      <c r="N23" s="5" t="str">
        <f t="shared" si="4"/>
        <v>未买</v>
      </c>
      <c r="Q23" s="17">
        <v>21</v>
      </c>
      <c r="R23" s="7">
        <v>128013</v>
      </c>
      <c r="S23" s="7" t="s">
        <v>52</v>
      </c>
      <c r="T23" s="7" t="e">
        <f t="shared" si="5"/>
        <v>#N/A</v>
      </c>
      <c r="U23" s="5" t="str">
        <f t="shared" si="1"/>
        <v>Yes</v>
      </c>
    </row>
    <row r="24" spans="1:21" x14ac:dyDescent="0.15">
      <c r="A24" s="1">
        <v>128076</v>
      </c>
      <c r="B24" s="1" t="s">
        <v>125</v>
      </c>
      <c r="C24" s="7">
        <f t="shared" si="2"/>
        <v>132.209</v>
      </c>
      <c r="D24" s="5">
        <f t="shared" si="3"/>
        <v>187</v>
      </c>
      <c r="E24" s="5">
        <f t="shared" si="0"/>
        <v>34</v>
      </c>
      <c r="H24" s="17">
        <v>22</v>
      </c>
      <c r="I24">
        <v>113534</v>
      </c>
      <c r="J24" t="s">
        <v>1935</v>
      </c>
      <c r="K24">
        <v>420.88299999999998</v>
      </c>
      <c r="L24" s="57">
        <v>4.82E-2</v>
      </c>
      <c r="M24" s="20">
        <v>3.9336000000000002</v>
      </c>
      <c r="N24" s="5" t="str">
        <f t="shared" si="4"/>
        <v>未买</v>
      </c>
      <c r="Q24" s="17">
        <v>22</v>
      </c>
      <c r="R24" s="7">
        <v>113039</v>
      </c>
      <c r="S24" s="7" t="s">
        <v>45</v>
      </c>
      <c r="T24" s="7">
        <f t="shared" si="5"/>
        <v>157.70599999999999</v>
      </c>
      <c r="U24" s="5" t="str">
        <f t="shared" si="1"/>
        <v>Yes</v>
      </c>
    </row>
    <row r="25" spans="1:21" x14ac:dyDescent="0.15">
      <c r="A25" s="1">
        <v>128085</v>
      </c>
      <c r="B25" s="1" t="s">
        <v>782</v>
      </c>
      <c r="C25" s="7">
        <f t="shared" si="2"/>
        <v>118.086</v>
      </c>
      <c r="D25" s="5">
        <f t="shared" si="3"/>
        <v>165</v>
      </c>
      <c r="E25" s="5">
        <f t="shared" si="0"/>
        <v>4</v>
      </c>
      <c r="H25" s="17">
        <v>23</v>
      </c>
      <c r="I25">
        <v>123105</v>
      </c>
      <c r="J25" t="s">
        <v>1991</v>
      </c>
      <c r="K25">
        <v>154.5</v>
      </c>
      <c r="L25" s="57">
        <v>6.4699999999999994E-2</v>
      </c>
      <c r="M25" s="20">
        <v>7.9967679999999985</v>
      </c>
      <c r="N25" s="5" t="str">
        <f t="shared" si="4"/>
        <v>未买</v>
      </c>
      <c r="Q25" s="17">
        <v>23</v>
      </c>
      <c r="R25" s="7">
        <v>128036</v>
      </c>
      <c r="S25" s="7" t="s">
        <v>169</v>
      </c>
      <c r="T25" s="7">
        <f t="shared" si="5"/>
        <v>146.05199999999999</v>
      </c>
      <c r="U25" s="5" t="str">
        <f t="shared" si="1"/>
        <v>Yes</v>
      </c>
    </row>
    <row r="26" spans="1:21" x14ac:dyDescent="0.15">
      <c r="A26" s="1">
        <v>128091</v>
      </c>
      <c r="B26" s="1" t="s">
        <v>783</v>
      </c>
      <c r="C26" s="7">
        <f t="shared" si="2"/>
        <v>166</v>
      </c>
      <c r="D26" s="5">
        <f t="shared" si="3"/>
        <v>167</v>
      </c>
      <c r="E26" s="5">
        <f t="shared" si="0"/>
        <v>17</v>
      </c>
      <c r="H26" s="17">
        <v>24</v>
      </c>
      <c r="I26">
        <v>123067</v>
      </c>
      <c r="J26" t="s">
        <v>1953</v>
      </c>
      <c r="K26">
        <v>297.8</v>
      </c>
      <c r="L26" s="57">
        <v>6.6400000000000001E-2</v>
      </c>
      <c r="M26" s="20">
        <v>2.3972380000000002</v>
      </c>
      <c r="N26" s="5" t="str">
        <f t="shared" si="4"/>
        <v>Yes</v>
      </c>
      <c r="Q26" s="17">
        <v>24</v>
      </c>
      <c r="R26" s="7">
        <v>113570</v>
      </c>
      <c r="S26" s="7" t="s">
        <v>42</v>
      </c>
      <c r="T26" s="7">
        <f t="shared" si="5"/>
        <v>130.93</v>
      </c>
      <c r="U26" s="5" t="str">
        <f t="shared" si="1"/>
        <v>Yes</v>
      </c>
    </row>
    <row r="27" spans="1:21" x14ac:dyDescent="0.15">
      <c r="A27" s="1">
        <v>128100</v>
      </c>
      <c r="B27" s="1" t="s">
        <v>48</v>
      </c>
      <c r="C27" s="7">
        <f t="shared" si="2"/>
        <v>99.3</v>
      </c>
      <c r="D27" s="5">
        <f t="shared" si="3"/>
        <v>115</v>
      </c>
      <c r="E27" s="5">
        <f t="shared" si="0"/>
        <v>3</v>
      </c>
      <c r="H27" s="17">
        <v>25</v>
      </c>
      <c r="I27">
        <v>113567</v>
      </c>
      <c r="J27" t="s">
        <v>1968</v>
      </c>
      <c r="K27">
        <v>159.803</v>
      </c>
      <c r="L27" s="57">
        <v>7.0599999999999996E-2</v>
      </c>
      <c r="M27" s="20">
        <v>1.9350400000000001</v>
      </c>
      <c r="N27" s="5" t="str">
        <f t="shared" si="4"/>
        <v>Yes</v>
      </c>
      <c r="Q27" s="17">
        <v>25</v>
      </c>
      <c r="R27" s="7">
        <v>128017</v>
      </c>
      <c r="S27" s="7" t="s">
        <v>807</v>
      </c>
      <c r="T27" s="7">
        <f t="shared" si="5"/>
        <v>238.65799999999999</v>
      </c>
      <c r="U27" s="5" t="str">
        <f t="shared" si="1"/>
        <v>未买</v>
      </c>
    </row>
    <row r="28" spans="1:21" x14ac:dyDescent="0.15">
      <c r="A28" s="1">
        <v>128106</v>
      </c>
      <c r="B28" s="1" t="s">
        <v>784</v>
      </c>
      <c r="C28" s="7">
        <f t="shared" si="2"/>
        <v>285.5</v>
      </c>
      <c r="D28" s="5">
        <f t="shared" si="3"/>
        <v>35</v>
      </c>
      <c r="E28" s="5">
        <f t="shared" si="0"/>
        <v>16</v>
      </c>
      <c r="H28" s="17">
        <v>26</v>
      </c>
      <c r="I28">
        <v>113025</v>
      </c>
      <c r="J28" t="s">
        <v>1941</v>
      </c>
      <c r="K28">
        <v>385.14100000000002</v>
      </c>
      <c r="L28" s="57">
        <v>7.2400000000000006E-2</v>
      </c>
      <c r="M28" s="20">
        <v>10.14775</v>
      </c>
      <c r="N28" s="5" t="str">
        <f t="shared" si="4"/>
        <v>未买</v>
      </c>
      <c r="Q28" s="17">
        <v>26</v>
      </c>
      <c r="R28" s="7">
        <v>123057</v>
      </c>
      <c r="S28" s="7" t="s">
        <v>776</v>
      </c>
      <c r="T28" s="7">
        <f t="shared" si="5"/>
        <v>235.77</v>
      </c>
      <c r="U28" s="5" t="str">
        <f t="shared" si="1"/>
        <v>Yes</v>
      </c>
    </row>
    <row r="29" spans="1:21" x14ac:dyDescent="0.15">
      <c r="A29" s="1">
        <v>113027</v>
      </c>
      <c r="B29" s="1" t="s">
        <v>46</v>
      </c>
      <c r="C29" s="7">
        <f t="shared" si="2"/>
        <v>151.256</v>
      </c>
      <c r="D29" s="5">
        <f t="shared" si="3"/>
        <v>101</v>
      </c>
      <c r="E29" s="5">
        <f t="shared" si="0"/>
        <v>10</v>
      </c>
      <c r="H29" s="17">
        <v>27</v>
      </c>
      <c r="I29">
        <v>110052</v>
      </c>
      <c r="J29" t="s">
        <v>1803</v>
      </c>
      <c r="K29">
        <v>131.30099999999999</v>
      </c>
      <c r="L29" s="57">
        <v>7.3700000000000002E-2</v>
      </c>
      <c r="M29" s="20">
        <v>9.1335700000000006</v>
      </c>
      <c r="N29" s="5" t="str">
        <f t="shared" si="4"/>
        <v>未买</v>
      </c>
      <c r="Q29" s="17">
        <v>27</v>
      </c>
      <c r="R29" s="7">
        <v>113030</v>
      </c>
      <c r="S29" s="7" t="s">
        <v>95</v>
      </c>
      <c r="T29" s="7">
        <f t="shared" si="5"/>
        <v>124.89700000000001</v>
      </c>
      <c r="U29" s="5" t="str">
        <f t="shared" si="1"/>
        <v>未买</v>
      </c>
    </row>
    <row r="30" spans="1:21" x14ac:dyDescent="0.15">
      <c r="A30" s="1">
        <v>113039</v>
      </c>
      <c r="B30" s="1" t="s">
        <v>45</v>
      </c>
      <c r="C30" s="7">
        <f t="shared" si="2"/>
        <v>157.70599999999999</v>
      </c>
      <c r="D30" s="5">
        <f t="shared" si="3"/>
        <v>46</v>
      </c>
      <c r="E30" s="5">
        <f t="shared" si="0"/>
        <v>22</v>
      </c>
      <c r="H30" s="17">
        <v>28</v>
      </c>
      <c r="I30">
        <v>123062</v>
      </c>
      <c r="J30" t="s">
        <v>101</v>
      </c>
      <c r="K30">
        <v>203</v>
      </c>
      <c r="L30" s="57">
        <v>7.6600000000000001E-2</v>
      </c>
      <c r="M30" s="20">
        <v>1.9472229999999999</v>
      </c>
      <c r="N30" s="5" t="str">
        <f t="shared" si="4"/>
        <v>未买</v>
      </c>
      <c r="Q30" s="17">
        <v>28</v>
      </c>
      <c r="R30" s="7">
        <v>123060</v>
      </c>
      <c r="S30" s="7" t="s">
        <v>808</v>
      </c>
      <c r="T30" s="7">
        <f t="shared" si="5"/>
        <v>240.3</v>
      </c>
      <c r="U30" s="5" t="str">
        <f t="shared" si="1"/>
        <v>未买</v>
      </c>
    </row>
    <row r="31" spans="1:21" x14ac:dyDescent="0.15">
      <c r="A31" s="1">
        <v>113504</v>
      </c>
      <c r="B31" s="1" t="s">
        <v>123</v>
      </c>
      <c r="C31" s="7">
        <f t="shared" si="2"/>
        <v>173.131</v>
      </c>
      <c r="D31" s="5">
        <f t="shared" si="3"/>
        <v>91</v>
      </c>
      <c r="E31" s="5">
        <f t="shared" si="0"/>
        <v>19</v>
      </c>
      <c r="H31" s="17">
        <v>29</v>
      </c>
      <c r="I31">
        <v>128081</v>
      </c>
      <c r="J31" t="s">
        <v>91</v>
      </c>
      <c r="K31">
        <v>126.62</v>
      </c>
      <c r="L31" s="57">
        <v>7.8E-2</v>
      </c>
      <c r="M31" s="20">
        <v>30.054753999999999</v>
      </c>
      <c r="N31" s="5" t="str">
        <f t="shared" si="4"/>
        <v>未买</v>
      </c>
      <c r="Q31" s="17">
        <v>29</v>
      </c>
      <c r="R31" s="7">
        <v>123083</v>
      </c>
      <c r="S31" s="7" t="s">
        <v>110</v>
      </c>
      <c r="T31" s="7">
        <f t="shared" si="5"/>
        <v>221.50200000000001</v>
      </c>
      <c r="U31" s="5" t="str">
        <f t="shared" si="1"/>
        <v>未买</v>
      </c>
    </row>
    <row r="32" spans="1:21" x14ac:dyDescent="0.15">
      <c r="A32" s="1">
        <v>113525</v>
      </c>
      <c r="B32" s="1" t="s">
        <v>129</v>
      </c>
      <c r="C32" s="7">
        <f t="shared" si="2"/>
        <v>208.31700000000001</v>
      </c>
      <c r="D32" s="5">
        <f t="shared" si="3"/>
        <v>147</v>
      </c>
      <c r="E32" s="5">
        <f t="shared" si="0"/>
        <v>6</v>
      </c>
      <c r="H32" s="17">
        <v>30</v>
      </c>
      <c r="I32">
        <v>113629</v>
      </c>
      <c r="J32" t="s">
        <v>79</v>
      </c>
      <c r="K32">
        <v>148.095</v>
      </c>
      <c r="L32" s="57">
        <v>7.8700000000000006E-2</v>
      </c>
      <c r="M32" s="20">
        <v>6.1954700000000003</v>
      </c>
      <c r="N32" s="5" t="str">
        <f t="shared" si="4"/>
        <v>未买</v>
      </c>
      <c r="Q32" s="17">
        <v>30</v>
      </c>
      <c r="R32" s="7">
        <v>113534</v>
      </c>
      <c r="S32" s="7" t="s">
        <v>809</v>
      </c>
      <c r="T32" s="7">
        <f t="shared" si="5"/>
        <v>420.88299999999998</v>
      </c>
      <c r="U32" s="5" t="str">
        <f t="shared" si="1"/>
        <v>未买</v>
      </c>
    </row>
    <row r="33" spans="1:21" x14ac:dyDescent="0.15">
      <c r="A33" s="1">
        <v>113526</v>
      </c>
      <c r="B33" s="1" t="s">
        <v>135</v>
      </c>
      <c r="C33" s="7">
        <f t="shared" si="2"/>
        <v>139.48500000000001</v>
      </c>
      <c r="D33" s="5">
        <f t="shared" si="3"/>
        <v>200</v>
      </c>
      <c r="E33" s="5" t="e">
        <f t="shared" si="0"/>
        <v>#N/A</v>
      </c>
      <c r="H33" s="17">
        <v>31</v>
      </c>
      <c r="I33">
        <v>123089</v>
      </c>
      <c r="J33" t="s">
        <v>1996</v>
      </c>
      <c r="K33">
        <v>156.476</v>
      </c>
      <c r="L33" s="57">
        <v>7.9600000000000004E-2</v>
      </c>
      <c r="M33" s="20">
        <v>3.0623879999999999</v>
      </c>
      <c r="N33" s="5" t="str">
        <f t="shared" si="4"/>
        <v>Yes</v>
      </c>
      <c r="Q33" s="17">
        <v>31</v>
      </c>
      <c r="R33" s="7">
        <v>128128</v>
      </c>
      <c r="S33" s="7" t="s">
        <v>810</v>
      </c>
      <c r="T33" s="7">
        <f t="shared" si="5"/>
        <v>159.34800000000001</v>
      </c>
      <c r="U33" s="5" t="str">
        <f t="shared" si="1"/>
        <v>未买</v>
      </c>
    </row>
    <row r="34" spans="1:21" x14ac:dyDescent="0.15">
      <c r="A34" s="1">
        <v>113541</v>
      </c>
      <c r="B34" s="1" t="s">
        <v>44</v>
      </c>
      <c r="C34" s="7" t="e">
        <f t="shared" si="2"/>
        <v>#N/A</v>
      </c>
      <c r="D34" s="5" t="e">
        <f t="shared" si="3"/>
        <v>#N/A</v>
      </c>
      <c r="E34" s="5">
        <f t="shared" si="0"/>
        <v>2</v>
      </c>
      <c r="H34" s="17">
        <v>32</v>
      </c>
      <c r="I34">
        <v>110053</v>
      </c>
      <c r="J34" t="s">
        <v>1778</v>
      </c>
      <c r="K34">
        <v>125.32599999999999</v>
      </c>
      <c r="L34" s="57">
        <v>8.2699999999999996E-2</v>
      </c>
      <c r="M34" s="20">
        <v>199.99178000000001</v>
      </c>
      <c r="N34" s="5" t="str">
        <f t="shared" si="4"/>
        <v>未买</v>
      </c>
      <c r="Q34" s="17">
        <v>32</v>
      </c>
      <c r="R34" s="7">
        <v>128046</v>
      </c>
      <c r="S34" s="7" t="s">
        <v>781</v>
      </c>
      <c r="T34" s="7">
        <f t="shared" si="5"/>
        <v>187.99</v>
      </c>
      <c r="U34" s="5" t="str">
        <f t="shared" si="1"/>
        <v>Yes</v>
      </c>
    </row>
    <row r="35" spans="1:21" x14ac:dyDescent="0.15">
      <c r="A35" s="1">
        <v>113565</v>
      </c>
      <c r="B35" s="1" t="s">
        <v>119</v>
      </c>
      <c r="C35" s="7">
        <f t="shared" si="2"/>
        <v>124.723</v>
      </c>
      <c r="D35" s="5">
        <f t="shared" si="3"/>
        <v>247</v>
      </c>
      <c r="E35" s="5" t="e">
        <f t="shared" si="0"/>
        <v>#N/A</v>
      </c>
      <c r="H35" s="17">
        <v>33</v>
      </c>
      <c r="I35">
        <v>123012</v>
      </c>
      <c r="J35" t="s">
        <v>1945</v>
      </c>
      <c r="K35">
        <v>245.48</v>
      </c>
      <c r="L35" s="57">
        <v>8.4399999999999989E-2</v>
      </c>
      <c r="M35" s="20">
        <v>1.2237709999999999</v>
      </c>
      <c r="N35" s="5" t="str">
        <f t="shared" si="4"/>
        <v>Yes</v>
      </c>
      <c r="Q35" s="17">
        <v>33</v>
      </c>
      <c r="R35" s="7">
        <v>123045</v>
      </c>
      <c r="S35" s="7" t="s">
        <v>106</v>
      </c>
      <c r="T35" s="7">
        <f t="shared" si="5"/>
        <v>164.386</v>
      </c>
      <c r="U35" s="5" t="str">
        <f t="shared" ref="U35:U37" si="6">IF(ISNA(MATCH(R35,$A$2:$A$301,0)),"未买","Yes")</f>
        <v>Yes</v>
      </c>
    </row>
    <row r="36" spans="1:21" x14ac:dyDescent="0.15">
      <c r="A36" s="1">
        <v>113567</v>
      </c>
      <c r="B36" s="1" t="s">
        <v>43</v>
      </c>
      <c r="C36" s="7">
        <f t="shared" si="2"/>
        <v>159.803</v>
      </c>
      <c r="D36" s="5">
        <f t="shared" si="3"/>
        <v>25</v>
      </c>
      <c r="E36" s="5">
        <f t="shared" si="0"/>
        <v>5</v>
      </c>
      <c r="H36" s="17">
        <v>34</v>
      </c>
      <c r="I36">
        <v>123123</v>
      </c>
      <c r="J36" t="s">
        <v>1998</v>
      </c>
      <c r="K36">
        <v>191.29</v>
      </c>
      <c r="L36" s="57">
        <v>8.539999999999999E-2</v>
      </c>
      <c r="M36" s="20">
        <v>5.1594720000000001</v>
      </c>
      <c r="N36" s="5" t="str">
        <f t="shared" si="4"/>
        <v>未买</v>
      </c>
      <c r="Q36" s="17">
        <v>34</v>
      </c>
      <c r="R36" s="7">
        <v>128076</v>
      </c>
      <c r="S36" s="7" t="s">
        <v>125</v>
      </c>
      <c r="T36" s="7">
        <f t="shared" si="5"/>
        <v>132.209</v>
      </c>
      <c r="U36" s="5" t="str">
        <f t="shared" si="6"/>
        <v>Yes</v>
      </c>
    </row>
    <row r="37" spans="1:21" x14ac:dyDescent="0.15">
      <c r="A37" s="1">
        <v>113568</v>
      </c>
      <c r="B37" s="1" t="s">
        <v>127</v>
      </c>
      <c r="C37" s="7" t="e">
        <f t="shared" si="2"/>
        <v>#N/A</v>
      </c>
      <c r="D37" s="5" t="e">
        <f t="shared" si="3"/>
        <v>#N/A</v>
      </c>
      <c r="E37" s="5">
        <f t="shared" si="0"/>
        <v>15</v>
      </c>
      <c r="H37" s="17">
        <v>35</v>
      </c>
      <c r="I37">
        <v>128106</v>
      </c>
      <c r="J37" t="s">
        <v>1932</v>
      </c>
      <c r="K37">
        <v>285.5</v>
      </c>
      <c r="L37" s="57">
        <v>8.8200000000000001E-2</v>
      </c>
      <c r="M37" s="20">
        <v>2.8909929999999999</v>
      </c>
      <c r="N37" s="5" t="str">
        <f t="shared" si="4"/>
        <v>Yes</v>
      </c>
      <c r="Q37" s="17">
        <v>35</v>
      </c>
      <c r="R37" s="7">
        <v>110055</v>
      </c>
      <c r="S37" s="7" t="s">
        <v>811</v>
      </c>
      <c r="T37" s="7">
        <f t="shared" si="5"/>
        <v>215.19</v>
      </c>
      <c r="U37" s="5" t="str">
        <f t="shared" si="6"/>
        <v>未买</v>
      </c>
    </row>
    <row r="38" spans="1:21" x14ac:dyDescent="0.15">
      <c r="A38" s="1">
        <v>113570</v>
      </c>
      <c r="B38" s="1" t="s">
        <v>42</v>
      </c>
      <c r="C38" s="7">
        <f t="shared" si="2"/>
        <v>130.93</v>
      </c>
      <c r="D38" s="5">
        <f t="shared" si="3"/>
        <v>111</v>
      </c>
      <c r="E38" s="5">
        <f t="shared" si="0"/>
        <v>24</v>
      </c>
      <c r="H38" s="17">
        <v>36</v>
      </c>
      <c r="I38">
        <v>128029</v>
      </c>
      <c r="J38" t="s">
        <v>1948</v>
      </c>
      <c r="K38">
        <v>150.75700000000001</v>
      </c>
      <c r="L38" s="57">
        <v>8.9099999999999999E-2</v>
      </c>
      <c r="M38" s="20">
        <v>9.0856969999999997</v>
      </c>
      <c r="N38" s="5" t="str">
        <f t="shared" si="4"/>
        <v>Yes</v>
      </c>
      <c r="Q38" s="17">
        <v>36</v>
      </c>
      <c r="U38" s="5"/>
    </row>
    <row r="39" spans="1:21" x14ac:dyDescent="0.15">
      <c r="A39" s="1">
        <v>113585</v>
      </c>
      <c r="B39" s="1" t="s">
        <v>790</v>
      </c>
      <c r="C39" s="7">
        <f t="shared" si="2"/>
        <v>176.827</v>
      </c>
      <c r="D39" s="5">
        <f t="shared" si="3"/>
        <v>72</v>
      </c>
      <c r="E39" s="5">
        <f t="shared" si="0"/>
        <v>7</v>
      </c>
      <c r="H39" s="17">
        <v>37</v>
      </c>
      <c r="I39">
        <v>110084</v>
      </c>
      <c r="J39" t="s">
        <v>257</v>
      </c>
      <c r="K39">
        <v>125.501</v>
      </c>
      <c r="L39" s="57">
        <v>8.9600000000000013E-2</v>
      </c>
      <c r="M39" s="20">
        <v>9.9956999999999994</v>
      </c>
      <c r="N39" s="5" t="str">
        <f t="shared" si="4"/>
        <v>未买</v>
      </c>
      <c r="Q39" s="17">
        <v>37</v>
      </c>
      <c r="U39" s="5"/>
    </row>
    <row r="40" spans="1:21" x14ac:dyDescent="0.15">
      <c r="A40" s="1">
        <v>113591</v>
      </c>
      <c r="B40" s="1" t="s">
        <v>41</v>
      </c>
      <c r="C40" s="7">
        <f t="shared" si="2"/>
        <v>135.88800000000001</v>
      </c>
      <c r="D40" s="5">
        <f t="shared" si="3"/>
        <v>39</v>
      </c>
      <c r="E40" s="5" t="e">
        <f t="shared" si="0"/>
        <v>#N/A</v>
      </c>
      <c r="H40" s="17">
        <v>38</v>
      </c>
      <c r="I40">
        <v>110077</v>
      </c>
      <c r="J40" t="s">
        <v>1777</v>
      </c>
      <c r="K40">
        <v>132.29499999999999</v>
      </c>
      <c r="L40" s="57">
        <v>9.0999999999999998E-2</v>
      </c>
      <c r="M40" s="20">
        <v>17.674520000000001</v>
      </c>
      <c r="N40" s="5" t="str">
        <f t="shared" si="4"/>
        <v>未买</v>
      </c>
      <c r="Q40" s="17">
        <v>38</v>
      </c>
      <c r="U40" s="5"/>
    </row>
    <row r="41" spans="1:21" x14ac:dyDescent="0.15">
      <c r="D41" s="5"/>
      <c r="E41" s="5"/>
      <c r="H41" s="17">
        <v>39</v>
      </c>
      <c r="I41">
        <v>113591</v>
      </c>
      <c r="J41" t="s">
        <v>41</v>
      </c>
      <c r="K41">
        <v>135.88800000000001</v>
      </c>
      <c r="L41" s="57">
        <v>9.1600000000000001E-2</v>
      </c>
      <c r="M41" s="20">
        <v>4.7749600000000001</v>
      </c>
      <c r="N41" s="5" t="str">
        <f t="shared" si="4"/>
        <v>Yes</v>
      </c>
      <c r="Q41" s="17">
        <v>39</v>
      </c>
      <c r="U41" s="5"/>
    </row>
    <row r="42" spans="1:21" x14ac:dyDescent="0.15">
      <c r="D42" s="5"/>
      <c r="E42" s="5"/>
      <c r="H42" s="17">
        <v>40</v>
      </c>
      <c r="I42">
        <v>113642</v>
      </c>
      <c r="J42" t="s">
        <v>1827</v>
      </c>
      <c r="K42">
        <v>180.45500000000001</v>
      </c>
      <c r="L42" s="57">
        <v>9.3699999999999992E-2</v>
      </c>
      <c r="M42" s="20">
        <v>24.7</v>
      </c>
      <c r="N42" s="5" t="str">
        <f t="shared" si="4"/>
        <v>未买</v>
      </c>
      <c r="Q42" s="17">
        <v>40</v>
      </c>
      <c r="U42" s="5"/>
    </row>
    <row r="43" spans="1:21" x14ac:dyDescent="0.15">
      <c r="D43" s="5"/>
      <c r="E43" s="5"/>
      <c r="H43" s="17">
        <v>41</v>
      </c>
      <c r="I43">
        <v>128042</v>
      </c>
      <c r="J43" t="s">
        <v>191</v>
      </c>
      <c r="K43">
        <v>142.499</v>
      </c>
      <c r="L43" s="57">
        <v>9.6500000000000002E-2</v>
      </c>
      <c r="M43" s="20">
        <v>4.1549820000000004</v>
      </c>
      <c r="N43" s="5" t="str">
        <f t="shared" si="4"/>
        <v>未买</v>
      </c>
      <c r="Q43" s="17">
        <v>41</v>
      </c>
    </row>
    <row r="44" spans="1:21" x14ac:dyDescent="0.15">
      <c r="D44" s="5"/>
      <c r="E44" s="5"/>
      <c r="H44" s="17">
        <v>42</v>
      </c>
      <c r="I44">
        <v>128141</v>
      </c>
      <c r="J44" t="s">
        <v>1994</v>
      </c>
      <c r="K44">
        <v>152.41399999999999</v>
      </c>
      <c r="L44" s="57">
        <v>9.8100000000000007E-2</v>
      </c>
      <c r="M44" s="20">
        <v>12.701485</v>
      </c>
      <c r="N44" s="5" t="str">
        <f t="shared" si="4"/>
        <v>未买</v>
      </c>
      <c r="Q44" s="17">
        <v>42</v>
      </c>
    </row>
    <row r="45" spans="1:21" x14ac:dyDescent="0.15">
      <c r="D45" s="5"/>
      <c r="E45" s="5"/>
      <c r="H45" s="17">
        <v>43</v>
      </c>
      <c r="I45">
        <v>128145</v>
      </c>
      <c r="J45" t="s">
        <v>2003</v>
      </c>
      <c r="K45">
        <v>153.5</v>
      </c>
      <c r="L45" s="57">
        <v>0.1011</v>
      </c>
      <c r="M45" s="20">
        <v>3.7684000000000002</v>
      </c>
      <c r="N45" s="5" t="str">
        <f t="shared" si="4"/>
        <v>未买</v>
      </c>
      <c r="Q45" s="17">
        <v>43</v>
      </c>
    </row>
    <row r="46" spans="1:21" x14ac:dyDescent="0.15">
      <c r="D46" s="5"/>
      <c r="E46" s="5"/>
      <c r="H46" s="17">
        <v>44</v>
      </c>
      <c r="I46">
        <v>127036</v>
      </c>
      <c r="J46" t="s">
        <v>1999</v>
      </c>
      <c r="K46">
        <v>151.66</v>
      </c>
      <c r="L46" s="57">
        <v>0.10390000000000001</v>
      </c>
      <c r="M46" s="20">
        <v>29.987891999999999</v>
      </c>
      <c r="N46" s="5" t="str">
        <f t="shared" si="4"/>
        <v>未买</v>
      </c>
      <c r="Q46" s="17">
        <v>44</v>
      </c>
    </row>
    <row r="47" spans="1:21" x14ac:dyDescent="0.15">
      <c r="D47" s="5"/>
      <c r="E47" s="5"/>
      <c r="H47" s="17">
        <v>45</v>
      </c>
      <c r="I47">
        <v>128111</v>
      </c>
      <c r="J47" t="s">
        <v>1929</v>
      </c>
      <c r="K47">
        <v>898.44</v>
      </c>
      <c r="L47" s="57">
        <v>0.10630000000000001</v>
      </c>
      <c r="M47" s="20">
        <v>1.149276</v>
      </c>
      <c r="N47" s="5" t="str">
        <f t="shared" si="4"/>
        <v>未买</v>
      </c>
      <c r="Q47" s="17">
        <v>45</v>
      </c>
    </row>
    <row r="48" spans="1:21" x14ac:dyDescent="0.15">
      <c r="D48" s="5"/>
      <c r="E48" s="5"/>
      <c r="H48" s="17">
        <v>46</v>
      </c>
      <c r="I48">
        <v>113039</v>
      </c>
      <c r="J48" t="s">
        <v>1997</v>
      </c>
      <c r="K48">
        <v>157.70599999999999</v>
      </c>
      <c r="L48" s="57">
        <v>0.10859999999999999</v>
      </c>
      <c r="M48" s="20">
        <v>2.8825599999999998</v>
      </c>
      <c r="N48" s="5" t="str">
        <f t="shared" si="4"/>
        <v>Yes</v>
      </c>
      <c r="Q48" s="17">
        <v>46</v>
      </c>
    </row>
    <row r="49" spans="4:17" x14ac:dyDescent="0.15">
      <c r="D49" s="5"/>
      <c r="E49" s="5"/>
      <c r="H49" s="17">
        <v>47</v>
      </c>
      <c r="I49">
        <v>128073</v>
      </c>
      <c r="J49" t="s">
        <v>96</v>
      </c>
      <c r="K49">
        <v>138.1</v>
      </c>
      <c r="L49" s="57">
        <v>0.10920000000000001</v>
      </c>
      <c r="M49" s="20">
        <v>2.987339</v>
      </c>
      <c r="N49" s="5" t="str">
        <f t="shared" si="4"/>
        <v>未买</v>
      </c>
      <c r="Q49" s="17">
        <v>47</v>
      </c>
    </row>
    <row r="50" spans="4:17" x14ac:dyDescent="0.15">
      <c r="D50" s="5"/>
      <c r="E50" s="5"/>
      <c r="H50" s="17">
        <v>48</v>
      </c>
      <c r="I50">
        <v>118003</v>
      </c>
      <c r="J50" t="s">
        <v>234</v>
      </c>
      <c r="K50">
        <v>149.34700000000001</v>
      </c>
      <c r="L50" s="57">
        <v>0.1139</v>
      </c>
      <c r="M50" s="20">
        <v>7.99892</v>
      </c>
      <c r="N50" s="5" t="str">
        <f t="shared" si="4"/>
        <v>未买</v>
      </c>
      <c r="Q50" s="17">
        <v>48</v>
      </c>
    </row>
    <row r="51" spans="4:17" x14ac:dyDescent="0.15">
      <c r="D51" s="5"/>
      <c r="E51" s="5"/>
      <c r="H51" s="17">
        <v>49</v>
      </c>
      <c r="I51">
        <v>127058</v>
      </c>
      <c r="J51" t="s">
        <v>1789</v>
      </c>
      <c r="K51">
        <v>146.69999999999999</v>
      </c>
      <c r="L51" s="57">
        <v>0.1153</v>
      </c>
      <c r="M51" s="20">
        <v>30</v>
      </c>
      <c r="N51" s="5" t="str">
        <f t="shared" si="4"/>
        <v>未买</v>
      </c>
      <c r="Q51" s="17">
        <v>49</v>
      </c>
    </row>
    <row r="52" spans="4:17" x14ac:dyDescent="0.15">
      <c r="D52" s="5"/>
      <c r="E52" s="5"/>
      <c r="H52" s="17">
        <v>50</v>
      </c>
      <c r="I52">
        <v>127035</v>
      </c>
      <c r="J52" t="s">
        <v>211</v>
      </c>
      <c r="K52">
        <v>136.255</v>
      </c>
      <c r="L52" s="57">
        <v>0.11550000000000001</v>
      </c>
      <c r="M52" s="20">
        <v>6.2618859999999996</v>
      </c>
      <c r="N52" s="5" t="str">
        <f t="shared" si="4"/>
        <v>未买</v>
      </c>
      <c r="Q52" s="17">
        <v>50</v>
      </c>
    </row>
    <row r="53" spans="4:17" x14ac:dyDescent="0.15">
      <c r="D53" s="5"/>
      <c r="E53" s="5"/>
      <c r="H53" s="17">
        <v>51</v>
      </c>
      <c r="I53">
        <v>127027</v>
      </c>
      <c r="J53" t="s">
        <v>1934</v>
      </c>
      <c r="K53">
        <v>146.36699999999999</v>
      </c>
      <c r="L53" s="57">
        <v>0.1159</v>
      </c>
      <c r="M53" s="20">
        <v>19.473855</v>
      </c>
      <c r="N53" s="5" t="str">
        <f t="shared" si="4"/>
        <v>未买</v>
      </c>
      <c r="Q53" s="17">
        <v>51</v>
      </c>
    </row>
    <row r="54" spans="4:17" x14ac:dyDescent="0.15">
      <c r="D54" s="5"/>
      <c r="E54" s="5"/>
      <c r="H54" s="17">
        <v>52</v>
      </c>
      <c r="I54">
        <v>128083</v>
      </c>
      <c r="J54" t="s">
        <v>176</v>
      </c>
      <c r="K54">
        <v>135.101</v>
      </c>
      <c r="L54" s="57">
        <v>0.11609999999999999</v>
      </c>
      <c r="M54" s="20">
        <v>8.768122</v>
      </c>
      <c r="N54" s="5" t="str">
        <f t="shared" si="4"/>
        <v>未买</v>
      </c>
      <c r="Q54" s="17">
        <v>52</v>
      </c>
    </row>
    <row r="55" spans="4:17" x14ac:dyDescent="0.15">
      <c r="D55" s="5"/>
      <c r="E55" s="5"/>
      <c r="H55" s="17">
        <v>53</v>
      </c>
      <c r="I55">
        <v>128128</v>
      </c>
      <c r="J55" t="s">
        <v>1937</v>
      </c>
      <c r="K55">
        <v>159.34800000000001</v>
      </c>
      <c r="L55" s="57">
        <v>0.1166</v>
      </c>
      <c r="M55" s="20">
        <v>6.7980559999999999</v>
      </c>
      <c r="N55" s="5" t="str">
        <f t="shared" si="4"/>
        <v>未买</v>
      </c>
      <c r="Q55" s="17">
        <v>53</v>
      </c>
    </row>
    <row r="56" spans="4:17" x14ac:dyDescent="0.15">
      <c r="D56" s="5"/>
      <c r="E56" s="5"/>
      <c r="H56" s="17">
        <v>54</v>
      </c>
      <c r="I56">
        <v>123092</v>
      </c>
      <c r="J56" t="s">
        <v>1938</v>
      </c>
      <c r="K56">
        <v>316.80700000000002</v>
      </c>
      <c r="L56" s="57">
        <v>0.1215</v>
      </c>
      <c r="M56" s="20">
        <v>4.1420130000000004</v>
      </c>
      <c r="N56" s="5" t="str">
        <f t="shared" si="4"/>
        <v>未买</v>
      </c>
      <c r="Q56" s="17">
        <v>54</v>
      </c>
    </row>
    <row r="57" spans="4:17" x14ac:dyDescent="0.15">
      <c r="D57" s="5"/>
      <c r="E57" s="5"/>
      <c r="H57" s="17">
        <v>55</v>
      </c>
      <c r="I57">
        <v>113050</v>
      </c>
      <c r="J57" t="s">
        <v>1780</v>
      </c>
      <c r="K57">
        <v>120.60599999999999</v>
      </c>
      <c r="L57" s="57">
        <v>0.1222</v>
      </c>
      <c r="M57" s="20">
        <v>169.82982000000001</v>
      </c>
      <c r="N57" s="5" t="str">
        <f t="shared" si="4"/>
        <v>未买</v>
      </c>
      <c r="Q57" s="17">
        <v>55</v>
      </c>
    </row>
    <row r="58" spans="4:17" x14ac:dyDescent="0.15">
      <c r="D58" s="5"/>
      <c r="E58" s="5"/>
      <c r="H58" s="17">
        <v>56</v>
      </c>
      <c r="I58">
        <v>123080</v>
      </c>
      <c r="J58" t="s">
        <v>54</v>
      </c>
      <c r="K58">
        <v>141.83500000000001</v>
      </c>
      <c r="L58" s="57">
        <v>0.12240000000000001</v>
      </c>
      <c r="M58" s="20">
        <v>2.4344610000000002</v>
      </c>
      <c r="N58" s="5" t="str">
        <f t="shared" si="4"/>
        <v>Yes</v>
      </c>
      <c r="Q58" s="17">
        <v>56</v>
      </c>
    </row>
    <row r="59" spans="4:17" x14ac:dyDescent="0.15">
      <c r="D59" s="5"/>
      <c r="E59" s="5"/>
      <c r="H59" s="17">
        <v>57</v>
      </c>
      <c r="I59">
        <v>128121</v>
      </c>
      <c r="J59" t="s">
        <v>47</v>
      </c>
      <c r="K59">
        <v>137.9</v>
      </c>
      <c r="L59" s="57">
        <v>0.12740000000000001</v>
      </c>
      <c r="M59" s="20">
        <v>6.6985820000000009</v>
      </c>
      <c r="N59" s="5" t="str">
        <f t="shared" si="4"/>
        <v>未买</v>
      </c>
      <c r="Q59" s="17">
        <v>57</v>
      </c>
    </row>
    <row r="60" spans="4:17" x14ac:dyDescent="0.15">
      <c r="D60" s="5"/>
      <c r="E60" s="5"/>
      <c r="H60" s="17">
        <v>58</v>
      </c>
      <c r="I60">
        <v>127045</v>
      </c>
      <c r="J60" t="s">
        <v>1793</v>
      </c>
      <c r="K60">
        <v>138.70699999999999</v>
      </c>
      <c r="L60" s="57">
        <v>0.1295</v>
      </c>
      <c r="M60" s="20">
        <v>95.443213</v>
      </c>
      <c r="N60" s="5" t="str">
        <f t="shared" si="4"/>
        <v>未买</v>
      </c>
      <c r="Q60" s="17">
        <v>58</v>
      </c>
    </row>
    <row r="61" spans="4:17" x14ac:dyDescent="0.15">
      <c r="D61" s="5"/>
      <c r="E61" s="5"/>
      <c r="H61" s="17">
        <v>59</v>
      </c>
      <c r="I61">
        <v>127029</v>
      </c>
      <c r="J61" t="s">
        <v>1784</v>
      </c>
      <c r="K61">
        <v>132.6</v>
      </c>
      <c r="L61" s="57">
        <v>0.12970000000000001</v>
      </c>
      <c r="M61" s="20">
        <v>8.1886150000000004</v>
      </c>
      <c r="N61" s="5" t="str">
        <f t="shared" si="4"/>
        <v>未买</v>
      </c>
      <c r="Q61" s="17">
        <v>59</v>
      </c>
    </row>
    <row r="62" spans="4:17" x14ac:dyDescent="0.15">
      <c r="D62" s="5"/>
      <c r="E62" s="5"/>
      <c r="H62" s="17">
        <v>60</v>
      </c>
      <c r="I62">
        <v>113502</v>
      </c>
      <c r="J62" t="s">
        <v>128</v>
      </c>
      <c r="K62">
        <v>161.494</v>
      </c>
      <c r="L62" s="57">
        <v>0.1358</v>
      </c>
      <c r="M62" s="20">
        <v>1.8424100000000001</v>
      </c>
      <c r="N62" s="5" t="str">
        <f t="shared" si="4"/>
        <v>未买</v>
      </c>
      <c r="Q62" s="17">
        <v>60</v>
      </c>
    </row>
    <row r="63" spans="4:17" x14ac:dyDescent="0.15">
      <c r="D63" s="5"/>
      <c r="E63" s="5"/>
      <c r="H63" s="17">
        <v>61</v>
      </c>
      <c r="I63">
        <v>127040</v>
      </c>
      <c r="J63" t="s">
        <v>1776</v>
      </c>
      <c r="K63">
        <v>126.715</v>
      </c>
      <c r="L63" s="57">
        <v>0.1363</v>
      </c>
      <c r="M63" s="20">
        <v>39.873088000000003</v>
      </c>
      <c r="N63" s="5" t="str">
        <f t="shared" si="4"/>
        <v>未买</v>
      </c>
      <c r="Q63" s="17">
        <v>61</v>
      </c>
    </row>
    <row r="64" spans="4:17" x14ac:dyDescent="0.15">
      <c r="D64" s="5"/>
      <c r="E64" s="5"/>
      <c r="H64" s="17">
        <v>62</v>
      </c>
      <c r="I64">
        <v>128048</v>
      </c>
      <c r="J64" t="s">
        <v>1782</v>
      </c>
      <c r="K64">
        <v>125.29</v>
      </c>
      <c r="L64" s="57">
        <v>0.13970000000000002</v>
      </c>
      <c r="M64" s="20">
        <v>24.970385</v>
      </c>
      <c r="N64" s="5" t="str">
        <f t="shared" si="4"/>
        <v>未买</v>
      </c>
      <c r="Q64" s="17">
        <v>62</v>
      </c>
    </row>
    <row r="65" spans="4:17" x14ac:dyDescent="0.15">
      <c r="D65" s="5"/>
      <c r="E65" s="5"/>
      <c r="H65" s="17">
        <v>63</v>
      </c>
      <c r="I65">
        <v>123063</v>
      </c>
      <c r="J65" t="s">
        <v>90</v>
      </c>
      <c r="K65">
        <v>135.809</v>
      </c>
      <c r="L65" s="57">
        <v>0.1406</v>
      </c>
      <c r="M65" s="20">
        <v>6.3456270000000004</v>
      </c>
      <c r="N65" s="5" t="str">
        <f t="shared" si="4"/>
        <v>未买</v>
      </c>
      <c r="Q65" s="17">
        <v>63</v>
      </c>
    </row>
    <row r="66" spans="4:17" x14ac:dyDescent="0.15">
      <c r="D66" s="5"/>
      <c r="E66" s="5"/>
      <c r="H66" s="17">
        <v>64</v>
      </c>
      <c r="I66">
        <v>127043</v>
      </c>
      <c r="J66" t="s">
        <v>1939</v>
      </c>
      <c r="K66">
        <v>155.261</v>
      </c>
      <c r="L66" s="57">
        <v>0.14169999999999999</v>
      </c>
      <c r="M66" s="20">
        <v>10.446543999999999</v>
      </c>
      <c r="N66" s="5" t="str">
        <f t="shared" si="4"/>
        <v>未买</v>
      </c>
      <c r="Q66" s="17">
        <v>64</v>
      </c>
    </row>
    <row r="67" spans="4:17" x14ac:dyDescent="0.15">
      <c r="D67" s="5"/>
      <c r="E67" s="5"/>
      <c r="H67" s="17">
        <v>65</v>
      </c>
      <c r="I67">
        <v>128034</v>
      </c>
      <c r="J67" t="s">
        <v>1790</v>
      </c>
      <c r="K67">
        <v>123.301</v>
      </c>
      <c r="L67" s="57">
        <v>0.14199999999999999</v>
      </c>
      <c r="M67" s="20">
        <v>17.579557000000001</v>
      </c>
      <c r="N67" s="5" t="str">
        <f t="shared" si="4"/>
        <v>未买</v>
      </c>
      <c r="Q67" s="17">
        <v>65</v>
      </c>
    </row>
    <row r="68" spans="4:17" x14ac:dyDescent="0.15">
      <c r="D68" s="5"/>
      <c r="E68" s="5"/>
      <c r="H68" s="17">
        <v>66</v>
      </c>
      <c r="I68">
        <v>123120</v>
      </c>
      <c r="J68" t="s">
        <v>220</v>
      </c>
      <c r="K68">
        <v>147</v>
      </c>
      <c r="L68" s="57">
        <v>0.14380000000000001</v>
      </c>
      <c r="M68" s="20">
        <v>7.9838550000000001</v>
      </c>
      <c r="N68" s="5" t="str">
        <f t="shared" ref="N68:N131" si="7">IF(ISNA(MATCH(I68,$A$3:$A$1000,0)),"未买","Yes")</f>
        <v>未买</v>
      </c>
      <c r="Q68" s="17">
        <v>66</v>
      </c>
    </row>
    <row r="69" spans="4:17" x14ac:dyDescent="0.15">
      <c r="D69" s="5"/>
      <c r="E69" s="5"/>
      <c r="H69" s="17">
        <v>67</v>
      </c>
      <c r="I69">
        <v>113615</v>
      </c>
      <c r="J69" t="s">
        <v>1942</v>
      </c>
      <c r="K69">
        <v>193.80799999999999</v>
      </c>
      <c r="L69" s="57">
        <v>0.14460000000000001</v>
      </c>
      <c r="M69" s="20">
        <v>8.4797799999999999</v>
      </c>
      <c r="N69" s="5" t="str">
        <f t="shared" si="7"/>
        <v>未买</v>
      </c>
      <c r="Q69" s="17">
        <v>67</v>
      </c>
    </row>
    <row r="70" spans="4:17" x14ac:dyDescent="0.15">
      <c r="D70" s="5"/>
      <c r="E70" s="5"/>
      <c r="H70" s="17">
        <v>68</v>
      </c>
      <c r="I70">
        <v>123112</v>
      </c>
      <c r="J70" t="s">
        <v>122</v>
      </c>
      <c r="K70">
        <v>156.59299999999999</v>
      </c>
      <c r="L70" s="57">
        <v>0.1449</v>
      </c>
      <c r="M70" s="20">
        <v>2.4525509999999997</v>
      </c>
      <c r="N70" s="5" t="str">
        <f t="shared" si="7"/>
        <v>未买</v>
      </c>
      <c r="Q70" s="17">
        <v>68</v>
      </c>
    </row>
    <row r="71" spans="4:17" x14ac:dyDescent="0.15">
      <c r="D71" s="5"/>
      <c r="E71" s="5"/>
      <c r="H71" s="17">
        <v>69</v>
      </c>
      <c r="I71">
        <v>128021</v>
      </c>
      <c r="J71" t="s">
        <v>51</v>
      </c>
      <c r="K71">
        <v>142.5</v>
      </c>
      <c r="L71" s="57">
        <v>0.1449</v>
      </c>
      <c r="M71" s="20">
        <v>2.6517219999999999</v>
      </c>
      <c r="N71" s="5" t="str">
        <f t="shared" si="7"/>
        <v>未买</v>
      </c>
      <c r="Q71" s="17">
        <v>69</v>
      </c>
    </row>
    <row r="72" spans="4:17" x14ac:dyDescent="0.15">
      <c r="D72" s="5"/>
      <c r="E72" s="5"/>
      <c r="H72" s="17">
        <v>70</v>
      </c>
      <c r="I72">
        <v>128130</v>
      </c>
      <c r="J72" t="s">
        <v>103</v>
      </c>
      <c r="K72">
        <v>121.22799999999999</v>
      </c>
      <c r="L72" s="57">
        <v>0.14499999999999999</v>
      </c>
      <c r="M72" s="20">
        <v>9.98672</v>
      </c>
      <c r="N72" s="5" t="str">
        <f t="shared" si="7"/>
        <v>未买</v>
      </c>
      <c r="Q72" s="17">
        <v>70</v>
      </c>
    </row>
    <row r="73" spans="4:17" x14ac:dyDescent="0.15">
      <c r="D73" s="5"/>
      <c r="E73" s="5"/>
      <c r="H73" s="17">
        <v>71</v>
      </c>
      <c r="I73">
        <v>128114</v>
      </c>
      <c r="J73" t="s">
        <v>1781</v>
      </c>
      <c r="K73">
        <v>110.577</v>
      </c>
      <c r="L73" s="57">
        <v>0.14529999999999998</v>
      </c>
      <c r="M73" s="20">
        <v>13.331268</v>
      </c>
      <c r="N73" s="5" t="str">
        <f t="shared" si="7"/>
        <v>未买</v>
      </c>
      <c r="Q73" s="17">
        <v>71</v>
      </c>
    </row>
    <row r="74" spans="4:17" x14ac:dyDescent="0.15">
      <c r="D74" s="5"/>
      <c r="E74" s="5"/>
      <c r="H74" s="17">
        <v>72</v>
      </c>
      <c r="I74">
        <v>113585</v>
      </c>
      <c r="J74" t="s">
        <v>1951</v>
      </c>
      <c r="K74">
        <v>176.827</v>
      </c>
      <c r="L74" s="57">
        <v>0.1474</v>
      </c>
      <c r="M74" s="20">
        <v>1.0025299999999999</v>
      </c>
      <c r="N74" s="5" t="str">
        <f t="shared" si="7"/>
        <v>Yes</v>
      </c>
      <c r="Q74" s="17">
        <v>72</v>
      </c>
    </row>
    <row r="75" spans="4:17" x14ac:dyDescent="0.15">
      <c r="D75" s="5"/>
      <c r="E75" s="5"/>
      <c r="H75" s="17">
        <v>73</v>
      </c>
      <c r="I75">
        <v>113598</v>
      </c>
      <c r="J75" t="s">
        <v>99</v>
      </c>
      <c r="K75">
        <v>141.26</v>
      </c>
      <c r="L75" s="57">
        <v>0.14749999999999999</v>
      </c>
      <c r="M75" s="20">
        <v>2.7525900000000001</v>
      </c>
      <c r="N75" s="5" t="str">
        <f t="shared" si="7"/>
        <v>未买</v>
      </c>
      <c r="Q75" s="17">
        <v>73</v>
      </c>
    </row>
    <row r="76" spans="4:17" x14ac:dyDescent="0.15">
      <c r="D76" s="5"/>
      <c r="E76" s="5"/>
      <c r="H76" s="17">
        <v>74</v>
      </c>
      <c r="I76">
        <v>113637</v>
      </c>
      <c r="J76" t="s">
        <v>254</v>
      </c>
      <c r="K76">
        <v>155.5</v>
      </c>
      <c r="L76" s="57">
        <v>0.1487</v>
      </c>
      <c r="M76" s="20">
        <v>7.9980500000000001</v>
      </c>
      <c r="N76" s="5" t="str">
        <f t="shared" si="7"/>
        <v>未买</v>
      </c>
      <c r="Q76" s="17">
        <v>74</v>
      </c>
    </row>
    <row r="77" spans="4:17" x14ac:dyDescent="0.15">
      <c r="D77" s="5"/>
      <c r="E77" s="5"/>
      <c r="H77" s="17">
        <v>75</v>
      </c>
      <c r="I77">
        <v>113051</v>
      </c>
      <c r="J77" t="s">
        <v>1961</v>
      </c>
      <c r="K77">
        <v>158.91399999999999</v>
      </c>
      <c r="L77" s="57">
        <v>0.14949999999999999</v>
      </c>
      <c r="M77" s="20">
        <v>29.98903</v>
      </c>
      <c r="N77" s="5" t="str">
        <f t="shared" si="7"/>
        <v>未买</v>
      </c>
      <c r="Q77" s="17">
        <v>75</v>
      </c>
    </row>
    <row r="78" spans="4:17" x14ac:dyDescent="0.15">
      <c r="D78" s="5"/>
      <c r="E78" s="5"/>
      <c r="H78" s="17">
        <v>76</v>
      </c>
      <c r="I78">
        <v>123148</v>
      </c>
      <c r="J78" t="s">
        <v>2002</v>
      </c>
      <c r="K78">
        <v>219.298</v>
      </c>
      <c r="L78" s="57">
        <v>0.1525</v>
      </c>
      <c r="M78" s="20">
        <v>4.2</v>
      </c>
      <c r="N78" s="5" t="str">
        <f t="shared" si="7"/>
        <v>未买</v>
      </c>
      <c r="Q78" s="17">
        <v>76</v>
      </c>
    </row>
    <row r="79" spans="4:17" x14ac:dyDescent="0.15">
      <c r="D79" s="5"/>
      <c r="E79" s="5"/>
      <c r="H79" s="17">
        <v>77</v>
      </c>
      <c r="I79">
        <v>123083</v>
      </c>
      <c r="J79" t="s">
        <v>2001</v>
      </c>
      <c r="K79">
        <v>221.50200000000001</v>
      </c>
      <c r="L79" s="57">
        <v>0.15279999999999999</v>
      </c>
      <c r="M79" s="20">
        <v>5.482621</v>
      </c>
      <c r="N79" s="5" t="str">
        <f t="shared" si="7"/>
        <v>未买</v>
      </c>
      <c r="Q79" s="17">
        <v>77</v>
      </c>
    </row>
    <row r="80" spans="4:17" x14ac:dyDescent="0.15">
      <c r="D80" s="5"/>
      <c r="E80" s="5"/>
      <c r="H80" s="17">
        <v>78</v>
      </c>
      <c r="I80">
        <v>110043</v>
      </c>
      <c r="J80" t="s">
        <v>1775</v>
      </c>
      <c r="K80">
        <v>123.904</v>
      </c>
      <c r="L80" s="57">
        <v>0.154</v>
      </c>
      <c r="M80" s="20">
        <v>29.21339</v>
      </c>
      <c r="N80" s="5" t="str">
        <f t="shared" si="7"/>
        <v>未买</v>
      </c>
      <c r="Q80" s="17">
        <v>78</v>
      </c>
    </row>
    <row r="81" spans="4:17" x14ac:dyDescent="0.15">
      <c r="D81" s="5"/>
      <c r="E81" s="5"/>
      <c r="H81" s="17">
        <v>79</v>
      </c>
      <c r="I81">
        <v>127007</v>
      </c>
      <c r="J81" t="s">
        <v>789</v>
      </c>
      <c r="K81">
        <v>149.101</v>
      </c>
      <c r="L81" s="57">
        <v>0.15720000000000001</v>
      </c>
      <c r="M81" s="20">
        <v>3.689994</v>
      </c>
      <c r="N81" s="5" t="str">
        <f t="shared" si="7"/>
        <v>Yes</v>
      </c>
      <c r="Q81" s="17">
        <v>79</v>
      </c>
    </row>
    <row r="82" spans="4:17" x14ac:dyDescent="0.15">
      <c r="D82" s="5"/>
      <c r="E82" s="5"/>
      <c r="H82" s="17">
        <v>80</v>
      </c>
      <c r="I82">
        <v>128082</v>
      </c>
      <c r="J82" t="s">
        <v>1976</v>
      </c>
      <c r="K82">
        <v>184.8</v>
      </c>
      <c r="L82" s="57">
        <v>0.15960000000000002</v>
      </c>
      <c r="M82" s="20">
        <v>2.0300029999999998</v>
      </c>
      <c r="N82" s="5" t="str">
        <f t="shared" si="7"/>
        <v>未买</v>
      </c>
      <c r="Q82" s="17">
        <v>80</v>
      </c>
    </row>
    <row r="83" spans="4:17" x14ac:dyDescent="0.15">
      <c r="D83" s="5"/>
      <c r="E83" s="5"/>
      <c r="H83" s="17">
        <v>81</v>
      </c>
      <c r="I83">
        <v>128109</v>
      </c>
      <c r="J83" t="s">
        <v>1964</v>
      </c>
      <c r="K83">
        <v>152.07499999999999</v>
      </c>
      <c r="L83" s="57">
        <v>0.16059999999999999</v>
      </c>
      <c r="M83" s="20">
        <v>18.225304999999999</v>
      </c>
      <c r="N83" s="5" t="str">
        <f t="shared" si="7"/>
        <v>未买</v>
      </c>
      <c r="Q83" s="17">
        <v>81</v>
      </c>
    </row>
    <row r="84" spans="4:17" x14ac:dyDescent="0.15">
      <c r="D84" s="5"/>
      <c r="E84" s="5"/>
      <c r="H84" s="17">
        <v>82</v>
      </c>
      <c r="I84">
        <v>123125</v>
      </c>
      <c r="J84" t="s">
        <v>208</v>
      </c>
      <c r="K84">
        <v>135.233</v>
      </c>
      <c r="L84" s="57">
        <v>0.16079999999999997</v>
      </c>
      <c r="M84" s="20">
        <v>8.9987899999999996</v>
      </c>
      <c r="N84" s="5" t="str">
        <f t="shared" si="7"/>
        <v>未买</v>
      </c>
      <c r="Q84" s="17">
        <v>82</v>
      </c>
    </row>
    <row r="85" spans="4:17" x14ac:dyDescent="0.15">
      <c r="D85" s="5"/>
      <c r="E85" s="5"/>
      <c r="H85" s="17">
        <v>83</v>
      </c>
      <c r="I85">
        <v>110068</v>
      </c>
      <c r="J85" t="s">
        <v>1779</v>
      </c>
      <c r="K85">
        <v>134.661</v>
      </c>
      <c r="L85" s="57">
        <v>0.1636</v>
      </c>
      <c r="M85" s="20">
        <v>19.995080000000002</v>
      </c>
      <c r="N85" s="5" t="str">
        <f t="shared" si="7"/>
        <v>未买</v>
      </c>
      <c r="Q85" s="17">
        <v>83</v>
      </c>
    </row>
    <row r="86" spans="4:17" x14ac:dyDescent="0.15">
      <c r="D86" s="5"/>
      <c r="E86" s="5"/>
      <c r="H86" s="17">
        <v>84</v>
      </c>
      <c r="I86">
        <v>128040</v>
      </c>
      <c r="J86" t="s">
        <v>1959</v>
      </c>
      <c r="K86">
        <v>152.001</v>
      </c>
      <c r="L86" s="57">
        <v>0.16820000000000002</v>
      </c>
      <c r="M86" s="20">
        <v>2.0050219999999999</v>
      </c>
      <c r="N86" s="5" t="str">
        <f t="shared" si="7"/>
        <v>Yes</v>
      </c>
      <c r="Q86" s="17">
        <v>84</v>
      </c>
    </row>
    <row r="87" spans="4:17" x14ac:dyDescent="0.15">
      <c r="D87" s="5"/>
      <c r="E87" s="5"/>
      <c r="H87" s="17">
        <v>85</v>
      </c>
      <c r="I87">
        <v>110079</v>
      </c>
      <c r="J87" t="s">
        <v>1787</v>
      </c>
      <c r="K87">
        <v>122.85</v>
      </c>
      <c r="L87" s="57">
        <v>0.16839999999999999</v>
      </c>
      <c r="M87" s="20">
        <v>149.99012999999999</v>
      </c>
      <c r="N87" s="5" t="str">
        <f t="shared" si="7"/>
        <v>未买</v>
      </c>
      <c r="Q87" s="17">
        <v>85</v>
      </c>
    </row>
    <row r="88" spans="4:17" x14ac:dyDescent="0.15">
      <c r="D88" s="5"/>
      <c r="E88" s="5"/>
      <c r="H88" s="17">
        <v>86</v>
      </c>
      <c r="I88">
        <v>127030</v>
      </c>
      <c r="J88" t="s">
        <v>2000</v>
      </c>
      <c r="K88">
        <v>197.46600000000001</v>
      </c>
      <c r="L88" s="57">
        <v>0.1734</v>
      </c>
      <c r="M88" s="20">
        <v>49.981101000000002</v>
      </c>
      <c r="N88" s="5" t="str">
        <f t="shared" si="7"/>
        <v>Yes</v>
      </c>
      <c r="Q88" s="17">
        <v>86</v>
      </c>
    </row>
    <row r="89" spans="4:17" x14ac:dyDescent="0.15">
      <c r="D89" s="5"/>
      <c r="E89" s="5"/>
      <c r="H89" s="17">
        <v>87</v>
      </c>
      <c r="I89">
        <v>110074</v>
      </c>
      <c r="J89" t="s">
        <v>1944</v>
      </c>
      <c r="K89">
        <v>195.41200000000001</v>
      </c>
      <c r="L89" s="57">
        <v>0.17370000000000002</v>
      </c>
      <c r="M89" s="20">
        <v>5.0954699999999997</v>
      </c>
      <c r="N89" s="5" t="str">
        <f t="shared" si="7"/>
        <v>未买</v>
      </c>
      <c r="Q89" s="17">
        <v>87</v>
      </c>
    </row>
    <row r="90" spans="4:17" x14ac:dyDescent="0.15">
      <c r="D90" s="5"/>
      <c r="E90" s="5"/>
      <c r="H90" s="17">
        <v>88</v>
      </c>
      <c r="I90">
        <v>128075</v>
      </c>
      <c r="J90" t="s">
        <v>121</v>
      </c>
      <c r="K90">
        <v>130</v>
      </c>
      <c r="L90" s="57">
        <v>0.17379999999999998</v>
      </c>
      <c r="M90" s="20">
        <v>5.4374510000000003</v>
      </c>
      <c r="N90" s="5" t="str">
        <f t="shared" si="7"/>
        <v>未买</v>
      </c>
      <c r="Q90" s="17">
        <v>88</v>
      </c>
    </row>
    <row r="91" spans="4:17" x14ac:dyDescent="0.15">
      <c r="D91" s="5"/>
      <c r="E91" s="5"/>
      <c r="H91" s="17">
        <v>89</v>
      </c>
      <c r="I91">
        <v>123147</v>
      </c>
      <c r="J91" t="s">
        <v>1975</v>
      </c>
      <c r="K91">
        <v>140.4</v>
      </c>
      <c r="L91" s="57">
        <v>0.17449999999999999</v>
      </c>
      <c r="M91" s="20">
        <v>5.7053700000000003</v>
      </c>
      <c r="N91" s="5" t="str">
        <f t="shared" si="7"/>
        <v>未买</v>
      </c>
      <c r="Q91" s="17">
        <v>89</v>
      </c>
    </row>
    <row r="92" spans="4:17" x14ac:dyDescent="0.15">
      <c r="D92" s="5"/>
      <c r="E92" s="5"/>
      <c r="H92" s="17">
        <v>90</v>
      </c>
      <c r="I92">
        <v>128140</v>
      </c>
      <c r="J92" t="s">
        <v>1957</v>
      </c>
      <c r="K92">
        <v>177</v>
      </c>
      <c r="L92" s="57">
        <v>0.17670000000000002</v>
      </c>
      <c r="M92" s="20">
        <v>10.896390999999999</v>
      </c>
      <c r="N92" s="5" t="str">
        <f t="shared" si="7"/>
        <v>未买</v>
      </c>
      <c r="Q92" s="17">
        <v>90</v>
      </c>
    </row>
    <row r="93" spans="4:17" x14ac:dyDescent="0.15">
      <c r="D93" s="5"/>
      <c r="E93" s="5"/>
      <c r="H93" s="17">
        <v>91</v>
      </c>
      <c r="I93">
        <v>113504</v>
      </c>
      <c r="J93" t="s">
        <v>1955</v>
      </c>
      <c r="K93">
        <v>173.131</v>
      </c>
      <c r="L93" s="57">
        <v>0.1797</v>
      </c>
      <c r="M93" s="20">
        <v>4.6274699999999998</v>
      </c>
      <c r="N93" s="5" t="str">
        <f t="shared" si="7"/>
        <v>Yes</v>
      </c>
      <c r="Q93" s="17">
        <v>91</v>
      </c>
    </row>
    <row r="94" spans="4:17" x14ac:dyDescent="0.15">
      <c r="D94" s="5"/>
      <c r="E94" s="5"/>
      <c r="H94" s="17">
        <v>92</v>
      </c>
      <c r="I94">
        <v>110083</v>
      </c>
      <c r="J94" t="s">
        <v>1792</v>
      </c>
      <c r="K94">
        <v>119.753</v>
      </c>
      <c r="L94" s="57">
        <v>0.18359999999999999</v>
      </c>
      <c r="M94" s="20">
        <v>49.982089999999999</v>
      </c>
      <c r="N94" s="5" t="str">
        <f t="shared" si="7"/>
        <v>未买</v>
      </c>
      <c r="Q94" s="17">
        <v>92</v>
      </c>
    </row>
    <row r="95" spans="4:17" x14ac:dyDescent="0.15">
      <c r="D95" s="5"/>
      <c r="E95" s="5"/>
      <c r="H95" s="17">
        <v>93</v>
      </c>
      <c r="I95">
        <v>113044</v>
      </c>
      <c r="J95" t="s">
        <v>1788</v>
      </c>
      <c r="K95">
        <v>110.80500000000001</v>
      </c>
      <c r="L95" s="57">
        <v>0.18600000000000003</v>
      </c>
      <c r="M95" s="20">
        <v>319.98975000000002</v>
      </c>
      <c r="N95" s="5" t="str">
        <f t="shared" si="7"/>
        <v>未买</v>
      </c>
      <c r="Q95" s="17">
        <v>93</v>
      </c>
    </row>
    <row r="96" spans="4:17" x14ac:dyDescent="0.15">
      <c r="D96" s="5"/>
      <c r="E96" s="5"/>
      <c r="H96" s="17">
        <v>94</v>
      </c>
      <c r="I96">
        <v>128017</v>
      </c>
      <c r="J96" t="s">
        <v>1949</v>
      </c>
      <c r="K96">
        <v>238.65799999999999</v>
      </c>
      <c r="L96" s="57">
        <v>0.188</v>
      </c>
      <c r="M96" s="20">
        <v>5.5181570000000004</v>
      </c>
      <c r="N96" s="5" t="str">
        <f t="shared" si="7"/>
        <v>未买</v>
      </c>
      <c r="Q96" s="17">
        <v>94</v>
      </c>
    </row>
    <row r="97" spans="4:17" x14ac:dyDescent="0.15">
      <c r="D97" s="5"/>
      <c r="E97" s="5"/>
      <c r="H97" s="17">
        <v>95</v>
      </c>
      <c r="I97">
        <v>127038</v>
      </c>
      <c r="J97" t="s">
        <v>1966</v>
      </c>
      <c r="K97">
        <v>196.36099999999999</v>
      </c>
      <c r="L97" s="57">
        <v>0.18840000000000001</v>
      </c>
      <c r="M97" s="20">
        <v>14.936515999999999</v>
      </c>
      <c r="N97" s="5" t="str">
        <f t="shared" si="7"/>
        <v>未买</v>
      </c>
      <c r="Q97" s="17">
        <v>95</v>
      </c>
    </row>
    <row r="98" spans="4:17" x14ac:dyDescent="0.15">
      <c r="D98" s="5"/>
      <c r="E98" s="5"/>
      <c r="H98" s="17">
        <v>96</v>
      </c>
      <c r="I98">
        <v>128095</v>
      </c>
      <c r="J98" t="s">
        <v>1946</v>
      </c>
      <c r="K98">
        <v>364.005</v>
      </c>
      <c r="L98" s="57">
        <v>0.18859999999999999</v>
      </c>
      <c r="M98" s="20">
        <v>4.5392849999999996</v>
      </c>
      <c r="N98" s="5" t="str">
        <f t="shared" si="7"/>
        <v>未买</v>
      </c>
      <c r="Q98" s="17">
        <v>96</v>
      </c>
    </row>
    <row r="99" spans="4:17" x14ac:dyDescent="0.15">
      <c r="D99" s="5"/>
      <c r="E99" s="5"/>
      <c r="H99" s="17">
        <v>97</v>
      </c>
      <c r="I99">
        <v>123127</v>
      </c>
      <c r="J99" t="s">
        <v>111</v>
      </c>
      <c r="K99">
        <v>131.36000000000001</v>
      </c>
      <c r="L99" s="57">
        <v>0.19010000000000002</v>
      </c>
      <c r="M99" s="20">
        <v>3.9995210000000001</v>
      </c>
      <c r="N99" s="5" t="str">
        <f t="shared" si="7"/>
        <v>未买</v>
      </c>
      <c r="Q99" s="17">
        <v>97</v>
      </c>
    </row>
    <row r="100" spans="4:17" x14ac:dyDescent="0.15">
      <c r="D100" s="5"/>
      <c r="E100" s="5"/>
      <c r="H100" s="17">
        <v>98</v>
      </c>
      <c r="I100">
        <v>123078</v>
      </c>
      <c r="J100" t="s">
        <v>1954</v>
      </c>
      <c r="K100">
        <v>175.5</v>
      </c>
      <c r="L100" s="57">
        <v>0.19390000000000002</v>
      </c>
      <c r="M100" s="20">
        <v>6.183713</v>
      </c>
      <c r="N100" s="5" t="str">
        <f t="shared" si="7"/>
        <v>未买</v>
      </c>
      <c r="Q100" s="17">
        <v>98</v>
      </c>
    </row>
    <row r="101" spans="4:17" x14ac:dyDescent="0.15">
      <c r="D101" s="5"/>
      <c r="E101" s="5"/>
      <c r="H101" s="17">
        <v>99</v>
      </c>
      <c r="I101">
        <v>123133</v>
      </c>
      <c r="J101" t="s">
        <v>259</v>
      </c>
      <c r="K101">
        <v>135</v>
      </c>
      <c r="L101" s="57">
        <v>0.19399999999999998</v>
      </c>
      <c r="M101" s="20">
        <v>7.199567</v>
      </c>
      <c r="N101" s="5" t="str">
        <f t="shared" si="7"/>
        <v>未买</v>
      </c>
      <c r="Q101" s="17">
        <v>99</v>
      </c>
    </row>
    <row r="102" spans="4:17" x14ac:dyDescent="0.15">
      <c r="H102" s="17">
        <v>100</v>
      </c>
      <c r="I102">
        <v>123139</v>
      </c>
      <c r="J102" t="s">
        <v>769</v>
      </c>
      <c r="K102">
        <v>168</v>
      </c>
      <c r="L102" s="57">
        <v>0.19420000000000001</v>
      </c>
      <c r="M102" s="20">
        <v>4.3</v>
      </c>
      <c r="N102" s="5" t="str">
        <f t="shared" si="7"/>
        <v>未买</v>
      </c>
      <c r="Q102" s="17">
        <v>100</v>
      </c>
    </row>
    <row r="103" spans="4:17" x14ac:dyDescent="0.15">
      <c r="H103" s="17">
        <v>101</v>
      </c>
      <c r="I103">
        <v>113027</v>
      </c>
      <c r="J103" t="s">
        <v>1960</v>
      </c>
      <c r="K103">
        <v>151.256</v>
      </c>
      <c r="L103" s="57">
        <v>0.1943</v>
      </c>
      <c r="M103" s="20">
        <v>2.3868</v>
      </c>
      <c r="N103" s="5" t="str">
        <f t="shared" si="7"/>
        <v>Yes</v>
      </c>
      <c r="Q103" s="17">
        <v>101</v>
      </c>
    </row>
    <row r="104" spans="4:17" x14ac:dyDescent="0.15">
      <c r="H104" s="17">
        <v>102</v>
      </c>
      <c r="I104">
        <v>128119</v>
      </c>
      <c r="J104" t="s">
        <v>227</v>
      </c>
      <c r="K104">
        <v>122.42</v>
      </c>
      <c r="L104" s="57">
        <v>0.19589999999999999</v>
      </c>
      <c r="M104" s="20">
        <v>9.4606510000000004</v>
      </c>
      <c r="N104" s="5" t="str">
        <f t="shared" si="7"/>
        <v>未买</v>
      </c>
      <c r="Q104" s="17">
        <v>102</v>
      </c>
    </row>
    <row r="105" spans="4:17" x14ac:dyDescent="0.15">
      <c r="H105" s="17">
        <v>103</v>
      </c>
      <c r="I105">
        <v>123144</v>
      </c>
      <c r="J105" t="s">
        <v>1834</v>
      </c>
      <c r="K105">
        <v>142.44999999999999</v>
      </c>
      <c r="L105" s="57">
        <v>0.19600000000000001</v>
      </c>
      <c r="M105" s="20">
        <v>6</v>
      </c>
      <c r="N105" s="5" t="str">
        <f t="shared" si="7"/>
        <v>未买</v>
      </c>
      <c r="Q105" s="17">
        <v>103</v>
      </c>
    </row>
    <row r="106" spans="4:17" x14ac:dyDescent="0.15">
      <c r="H106" s="17">
        <v>104</v>
      </c>
      <c r="I106">
        <v>123146</v>
      </c>
      <c r="J106" t="s">
        <v>1795</v>
      </c>
      <c r="K106">
        <v>121.197</v>
      </c>
      <c r="L106" s="57">
        <v>0.19760000000000003</v>
      </c>
      <c r="M106" s="20">
        <v>8.64</v>
      </c>
      <c r="N106" s="5" t="str">
        <f t="shared" si="7"/>
        <v>未买</v>
      </c>
      <c r="Q106" s="17">
        <v>104</v>
      </c>
    </row>
    <row r="107" spans="4:17" x14ac:dyDescent="0.15">
      <c r="H107" s="17">
        <v>105</v>
      </c>
      <c r="I107">
        <v>127065</v>
      </c>
      <c r="J107" t="s">
        <v>2007</v>
      </c>
      <c r="K107">
        <v>212.67</v>
      </c>
      <c r="L107" s="57">
        <v>0.19829999999999998</v>
      </c>
      <c r="M107" s="20">
        <v>4.3979999999999997</v>
      </c>
      <c r="N107" s="5" t="str">
        <f t="shared" si="7"/>
        <v>未买</v>
      </c>
      <c r="Q107" s="17">
        <v>105</v>
      </c>
    </row>
    <row r="108" spans="4:17" x14ac:dyDescent="0.15">
      <c r="H108" s="17">
        <v>106</v>
      </c>
      <c r="I108">
        <v>113600</v>
      </c>
      <c r="J108" t="s">
        <v>256</v>
      </c>
      <c r="K108">
        <v>137.30199999999999</v>
      </c>
      <c r="L108" s="57">
        <v>0.19899999999999998</v>
      </c>
      <c r="M108" s="20">
        <v>4.5326599999999999</v>
      </c>
      <c r="N108" s="5" t="str">
        <f t="shared" si="7"/>
        <v>未买</v>
      </c>
      <c r="Q108" s="17">
        <v>106</v>
      </c>
    </row>
    <row r="109" spans="4:17" x14ac:dyDescent="0.15">
      <c r="H109" s="17">
        <v>107</v>
      </c>
      <c r="I109">
        <v>123088</v>
      </c>
      <c r="J109" t="s">
        <v>219</v>
      </c>
      <c r="K109">
        <v>138.80000000000001</v>
      </c>
      <c r="L109" s="57">
        <v>0.19899999999999998</v>
      </c>
      <c r="M109" s="20">
        <v>3.0112640000000002</v>
      </c>
      <c r="N109" s="5" t="str">
        <f t="shared" si="7"/>
        <v>未买</v>
      </c>
      <c r="Q109" s="17">
        <v>107</v>
      </c>
    </row>
    <row r="110" spans="4:17" x14ac:dyDescent="0.15">
      <c r="H110" s="17">
        <v>108</v>
      </c>
      <c r="I110">
        <v>110080</v>
      </c>
      <c r="J110" t="s">
        <v>215</v>
      </c>
      <c r="K110">
        <v>117.708</v>
      </c>
      <c r="L110" s="57">
        <v>0.1996</v>
      </c>
      <c r="M110" s="20">
        <v>15.491149999999999</v>
      </c>
      <c r="N110" s="5" t="str">
        <f t="shared" si="7"/>
        <v>未买</v>
      </c>
      <c r="Q110" s="17">
        <v>108</v>
      </c>
    </row>
    <row r="111" spans="4:17" x14ac:dyDescent="0.15">
      <c r="H111" s="17">
        <v>109</v>
      </c>
      <c r="I111">
        <v>113631</v>
      </c>
      <c r="J111" t="s">
        <v>207</v>
      </c>
      <c r="K111">
        <v>121.07</v>
      </c>
      <c r="L111" s="57">
        <v>0.19989999999999999</v>
      </c>
      <c r="M111" s="20">
        <v>9.2997200000000007</v>
      </c>
      <c r="N111" s="5" t="str">
        <f t="shared" si="7"/>
        <v>未买</v>
      </c>
      <c r="Q111" s="17">
        <v>109</v>
      </c>
    </row>
    <row r="112" spans="4:17" x14ac:dyDescent="0.15">
      <c r="H112" s="17">
        <v>110</v>
      </c>
      <c r="I112">
        <v>127049</v>
      </c>
      <c r="J112" t="s">
        <v>1797</v>
      </c>
      <c r="K112">
        <v>128.37</v>
      </c>
      <c r="L112" s="57">
        <v>0.2006</v>
      </c>
      <c r="M112" s="20">
        <v>81.437252000000001</v>
      </c>
      <c r="N112" s="5" t="str">
        <f t="shared" si="7"/>
        <v>未买</v>
      </c>
      <c r="Q112" s="17">
        <v>110</v>
      </c>
    </row>
    <row r="113" spans="8:17" x14ac:dyDescent="0.15">
      <c r="H113" s="17">
        <v>111</v>
      </c>
      <c r="I113">
        <v>113570</v>
      </c>
      <c r="J113" t="s">
        <v>42</v>
      </c>
      <c r="K113">
        <v>130.93</v>
      </c>
      <c r="L113" s="57">
        <v>0.20199999999999999</v>
      </c>
      <c r="M113" s="20">
        <v>2.79928</v>
      </c>
      <c r="N113" s="5" t="str">
        <f t="shared" si="7"/>
        <v>Yes</v>
      </c>
      <c r="Q113" s="17">
        <v>111</v>
      </c>
    </row>
    <row r="114" spans="8:17" x14ac:dyDescent="0.15">
      <c r="H114" s="17">
        <v>112</v>
      </c>
      <c r="I114">
        <v>111000</v>
      </c>
      <c r="J114" t="s">
        <v>83</v>
      </c>
      <c r="K114">
        <v>138.661</v>
      </c>
      <c r="L114" s="57">
        <v>0.20199999999999999</v>
      </c>
      <c r="M114" s="20">
        <v>9.9938099999999999</v>
      </c>
      <c r="N114" s="5" t="str">
        <f t="shared" si="7"/>
        <v>未买</v>
      </c>
      <c r="Q114" s="17">
        <v>112</v>
      </c>
    </row>
    <row r="115" spans="8:17" x14ac:dyDescent="0.15">
      <c r="H115" s="17">
        <v>113</v>
      </c>
      <c r="I115">
        <v>127037</v>
      </c>
      <c r="J115" t="s">
        <v>216</v>
      </c>
      <c r="K115">
        <v>174.5</v>
      </c>
      <c r="L115" s="57">
        <v>0.2034</v>
      </c>
      <c r="M115" s="20">
        <v>6.9953789999999989</v>
      </c>
      <c r="N115" s="5" t="str">
        <f t="shared" si="7"/>
        <v>未买</v>
      </c>
      <c r="Q115" s="17">
        <v>113</v>
      </c>
    </row>
    <row r="116" spans="8:17" x14ac:dyDescent="0.15">
      <c r="H116" s="17">
        <v>114</v>
      </c>
      <c r="I116">
        <v>113516</v>
      </c>
      <c r="J116" t="s">
        <v>1799</v>
      </c>
      <c r="K116">
        <v>119.19799999999999</v>
      </c>
      <c r="L116" s="57">
        <v>0.20350000000000001</v>
      </c>
      <c r="M116" s="20">
        <v>12.88598</v>
      </c>
      <c r="N116" s="5" t="str">
        <f t="shared" si="7"/>
        <v>未买</v>
      </c>
      <c r="Q116" s="17">
        <v>114</v>
      </c>
    </row>
    <row r="117" spans="8:17" x14ac:dyDescent="0.15">
      <c r="H117" s="17">
        <v>115</v>
      </c>
      <c r="I117">
        <v>128100</v>
      </c>
      <c r="J117" t="s">
        <v>48</v>
      </c>
      <c r="K117">
        <v>99.3</v>
      </c>
      <c r="L117" s="57">
        <v>0.2036</v>
      </c>
      <c r="M117" s="20">
        <v>7.9816349999999998</v>
      </c>
      <c r="N117" s="5" t="str">
        <f t="shared" si="7"/>
        <v>Yes</v>
      </c>
      <c r="Q117" s="17">
        <v>115</v>
      </c>
    </row>
    <row r="118" spans="8:17" x14ac:dyDescent="0.15">
      <c r="H118" s="17">
        <v>116</v>
      </c>
      <c r="I118">
        <v>113648</v>
      </c>
      <c r="J118" t="s">
        <v>1842</v>
      </c>
      <c r="K118">
        <v>158.86199999999999</v>
      </c>
      <c r="L118" s="57">
        <v>0.20489999999999997</v>
      </c>
      <c r="M118" s="20">
        <v>10</v>
      </c>
      <c r="N118" s="5" t="str">
        <f t="shared" si="7"/>
        <v>未买</v>
      </c>
      <c r="Q118" s="17">
        <v>116</v>
      </c>
    </row>
    <row r="119" spans="8:17" x14ac:dyDescent="0.15">
      <c r="H119" s="17">
        <v>117</v>
      </c>
      <c r="I119">
        <v>123052</v>
      </c>
      <c r="J119" t="s">
        <v>1973</v>
      </c>
      <c r="K119">
        <v>154.239</v>
      </c>
      <c r="L119" s="57">
        <v>0.20649999999999999</v>
      </c>
      <c r="M119" s="20">
        <v>1.5036590000000001</v>
      </c>
      <c r="N119" s="5" t="str">
        <f t="shared" si="7"/>
        <v>Yes</v>
      </c>
      <c r="Q119" s="17">
        <v>117</v>
      </c>
    </row>
    <row r="120" spans="8:17" x14ac:dyDescent="0.15">
      <c r="H120" s="17">
        <v>118</v>
      </c>
      <c r="I120">
        <v>123071</v>
      </c>
      <c r="J120" t="s">
        <v>1952</v>
      </c>
      <c r="K120">
        <v>186.58</v>
      </c>
      <c r="L120" s="57">
        <v>0.20649999999999999</v>
      </c>
      <c r="M120" s="20">
        <v>6.9418110000000004</v>
      </c>
      <c r="N120" s="5" t="str">
        <f t="shared" si="7"/>
        <v>未买</v>
      </c>
      <c r="Q120" s="17">
        <v>118</v>
      </c>
    </row>
    <row r="121" spans="8:17" x14ac:dyDescent="0.15">
      <c r="H121" s="17">
        <v>119</v>
      </c>
      <c r="I121">
        <v>123046</v>
      </c>
      <c r="J121" t="s">
        <v>1970</v>
      </c>
      <c r="K121">
        <v>387.995</v>
      </c>
      <c r="L121" s="57">
        <v>0.20749999999999999</v>
      </c>
      <c r="M121" s="20">
        <v>0.58530099999999996</v>
      </c>
      <c r="N121" s="5" t="str">
        <f t="shared" si="7"/>
        <v>未买</v>
      </c>
      <c r="Q121" s="17">
        <v>119</v>
      </c>
    </row>
    <row r="122" spans="8:17" x14ac:dyDescent="0.15">
      <c r="H122" s="17">
        <v>120</v>
      </c>
      <c r="I122">
        <v>113634</v>
      </c>
      <c r="J122" t="s">
        <v>233</v>
      </c>
      <c r="K122">
        <v>141.91999999999999</v>
      </c>
      <c r="L122" s="57">
        <v>0.2082</v>
      </c>
      <c r="M122" s="20">
        <v>7.5131399999999999</v>
      </c>
      <c r="N122" s="5" t="str">
        <f t="shared" si="7"/>
        <v>未买</v>
      </c>
      <c r="Q122" s="17">
        <v>120</v>
      </c>
    </row>
    <row r="123" spans="8:17" x14ac:dyDescent="0.15">
      <c r="H123" s="17">
        <v>121</v>
      </c>
      <c r="I123">
        <v>110038</v>
      </c>
      <c r="J123" t="s">
        <v>100</v>
      </c>
      <c r="K123">
        <v>130.649</v>
      </c>
      <c r="L123" s="57">
        <v>0.20960000000000001</v>
      </c>
      <c r="M123" s="20">
        <v>6.3014200000000002</v>
      </c>
      <c r="N123" s="5" t="str">
        <f t="shared" si="7"/>
        <v>未买</v>
      </c>
      <c r="Q123" s="17">
        <v>121</v>
      </c>
    </row>
    <row r="124" spans="8:17" x14ac:dyDescent="0.15">
      <c r="H124" s="17">
        <v>122</v>
      </c>
      <c r="I124">
        <v>113640</v>
      </c>
      <c r="J124" t="s">
        <v>765</v>
      </c>
      <c r="K124">
        <v>129.22</v>
      </c>
      <c r="L124" s="57">
        <v>0.20989999999999998</v>
      </c>
      <c r="M124" s="20">
        <v>9.5721100000000003</v>
      </c>
      <c r="N124" s="5" t="str">
        <f t="shared" si="7"/>
        <v>未买</v>
      </c>
      <c r="Q124" s="17">
        <v>122</v>
      </c>
    </row>
    <row r="125" spans="8:17" x14ac:dyDescent="0.15">
      <c r="H125" s="17">
        <v>123</v>
      </c>
      <c r="I125">
        <v>128022</v>
      </c>
      <c r="J125" t="s">
        <v>148</v>
      </c>
      <c r="K125">
        <v>129.19999999999999</v>
      </c>
      <c r="L125" s="57">
        <v>0.21260000000000001</v>
      </c>
      <c r="M125" s="20">
        <v>4.5499499999999999</v>
      </c>
      <c r="N125" s="5" t="str">
        <f t="shared" si="7"/>
        <v>未买</v>
      </c>
      <c r="Q125" s="17">
        <v>123</v>
      </c>
    </row>
    <row r="126" spans="8:17" x14ac:dyDescent="0.15">
      <c r="H126" s="17">
        <v>124</v>
      </c>
      <c r="I126">
        <v>123103</v>
      </c>
      <c r="J126" t="s">
        <v>799</v>
      </c>
      <c r="K126">
        <v>151.5</v>
      </c>
      <c r="L126" s="57">
        <v>0.21780000000000002</v>
      </c>
      <c r="M126" s="20">
        <v>2.494453</v>
      </c>
      <c r="N126" s="5" t="str">
        <f t="shared" si="7"/>
        <v>未买</v>
      </c>
      <c r="Q126" s="17">
        <v>124</v>
      </c>
    </row>
    <row r="127" spans="8:17" x14ac:dyDescent="0.15">
      <c r="H127" s="17">
        <v>125</v>
      </c>
      <c r="I127">
        <v>113549</v>
      </c>
      <c r="J127" t="s">
        <v>98</v>
      </c>
      <c r="K127">
        <v>126.777</v>
      </c>
      <c r="L127" s="57">
        <v>0.21909999999999999</v>
      </c>
      <c r="M127" s="20">
        <v>8.0470299999999995</v>
      </c>
      <c r="N127" s="5" t="str">
        <f t="shared" si="7"/>
        <v>未买</v>
      </c>
      <c r="Q127" s="17">
        <v>125</v>
      </c>
    </row>
    <row r="128" spans="8:17" x14ac:dyDescent="0.15">
      <c r="H128" s="17">
        <v>126</v>
      </c>
      <c r="I128">
        <v>113033</v>
      </c>
      <c r="J128" t="s">
        <v>89</v>
      </c>
      <c r="K128">
        <v>109.26600000000001</v>
      </c>
      <c r="L128" s="57">
        <v>0.21989999999999998</v>
      </c>
      <c r="M128" s="20">
        <v>17.997959999999999</v>
      </c>
      <c r="N128" s="5" t="str">
        <f t="shared" si="7"/>
        <v>未买</v>
      </c>
      <c r="Q128" s="17">
        <v>126</v>
      </c>
    </row>
    <row r="129" spans="8:17" x14ac:dyDescent="0.15">
      <c r="H129" s="17">
        <v>127</v>
      </c>
      <c r="I129">
        <v>127020</v>
      </c>
      <c r="J129" t="s">
        <v>1802</v>
      </c>
      <c r="K129">
        <v>119.22</v>
      </c>
      <c r="L129" s="57">
        <v>0.2218</v>
      </c>
      <c r="M129" s="20">
        <v>30.227927000000001</v>
      </c>
      <c r="N129" s="5" t="str">
        <f t="shared" si="7"/>
        <v>未买</v>
      </c>
      <c r="Q129" s="17">
        <v>127</v>
      </c>
    </row>
    <row r="130" spans="8:17" x14ac:dyDescent="0.15">
      <c r="H130" s="17">
        <v>128</v>
      </c>
      <c r="I130">
        <v>127059</v>
      </c>
      <c r="J130" t="s">
        <v>1857</v>
      </c>
      <c r="K130">
        <v>160.5</v>
      </c>
      <c r="L130" s="57">
        <v>0.22640000000000002</v>
      </c>
      <c r="M130" s="20">
        <v>3.8</v>
      </c>
      <c r="N130" s="5" t="str">
        <f t="shared" si="7"/>
        <v>未买</v>
      </c>
      <c r="Q130" s="17">
        <v>128</v>
      </c>
    </row>
    <row r="131" spans="8:17" x14ac:dyDescent="0.15">
      <c r="H131" s="17">
        <v>129</v>
      </c>
      <c r="I131">
        <v>113505</v>
      </c>
      <c r="J131" t="s">
        <v>223</v>
      </c>
      <c r="K131">
        <v>122.78100000000001</v>
      </c>
      <c r="L131" s="57">
        <v>0.2278</v>
      </c>
      <c r="M131" s="20">
        <v>7.4973799999999997</v>
      </c>
      <c r="N131" s="5" t="str">
        <f t="shared" si="7"/>
        <v>未买</v>
      </c>
      <c r="Q131" s="17">
        <v>129</v>
      </c>
    </row>
    <row r="132" spans="8:17" x14ac:dyDescent="0.15">
      <c r="H132" s="17">
        <v>130</v>
      </c>
      <c r="I132">
        <v>127014</v>
      </c>
      <c r="J132" t="s">
        <v>214</v>
      </c>
      <c r="K132">
        <v>163.9</v>
      </c>
      <c r="L132" s="57">
        <v>0.2293</v>
      </c>
      <c r="M132" s="20">
        <v>5.3442860000000003</v>
      </c>
      <c r="N132" s="5" t="str">
        <f t="shared" ref="N132:N195" si="8">IF(ISNA(MATCH(I132,$A$3:$A$1000,0)),"未买","Yes")</f>
        <v>未买</v>
      </c>
      <c r="Q132" s="17">
        <v>130</v>
      </c>
    </row>
    <row r="133" spans="8:17" x14ac:dyDescent="0.15">
      <c r="H133" s="17">
        <v>131</v>
      </c>
      <c r="I133">
        <v>110048</v>
      </c>
      <c r="J133" t="s">
        <v>1962</v>
      </c>
      <c r="K133">
        <v>201.10900000000001</v>
      </c>
      <c r="L133" s="57">
        <v>0.23019999999999999</v>
      </c>
      <c r="M133" s="20">
        <v>12.76177</v>
      </c>
      <c r="N133" s="5" t="str">
        <f t="shared" si="8"/>
        <v>未买</v>
      </c>
      <c r="Q133" s="17">
        <v>131</v>
      </c>
    </row>
    <row r="134" spans="8:17" x14ac:dyDescent="0.15">
      <c r="H134" s="17">
        <v>132</v>
      </c>
      <c r="I134">
        <v>123060</v>
      </c>
      <c r="J134" t="s">
        <v>1956</v>
      </c>
      <c r="K134">
        <v>240.3</v>
      </c>
      <c r="L134" s="57">
        <v>0.23070000000000002</v>
      </c>
      <c r="M134" s="20">
        <v>3.096285</v>
      </c>
      <c r="N134" s="5" t="str">
        <f t="shared" si="8"/>
        <v>未买</v>
      </c>
      <c r="Q134" s="17">
        <v>132</v>
      </c>
    </row>
    <row r="135" spans="8:17" x14ac:dyDescent="0.15">
      <c r="H135" s="17">
        <v>133</v>
      </c>
      <c r="I135">
        <v>128066</v>
      </c>
      <c r="J135" t="s">
        <v>97</v>
      </c>
      <c r="K135">
        <v>118.78</v>
      </c>
      <c r="L135" s="57">
        <v>0.23280000000000001</v>
      </c>
      <c r="M135" s="20">
        <v>4.6105619999999998</v>
      </c>
      <c r="N135" s="5" t="str">
        <f t="shared" si="8"/>
        <v>Yes</v>
      </c>
      <c r="Q135" s="17">
        <v>133</v>
      </c>
    </row>
    <row r="136" spans="8:17" x14ac:dyDescent="0.15">
      <c r="H136" s="17">
        <v>134</v>
      </c>
      <c r="I136">
        <v>128090</v>
      </c>
      <c r="J136" t="s">
        <v>118</v>
      </c>
      <c r="K136">
        <v>135</v>
      </c>
      <c r="L136" s="57">
        <v>0.23329999999999998</v>
      </c>
      <c r="M136" s="20">
        <v>3.0989100000000001</v>
      </c>
      <c r="N136" s="5" t="str">
        <f t="shared" si="8"/>
        <v>未买</v>
      </c>
      <c r="Q136" s="17">
        <v>134</v>
      </c>
    </row>
    <row r="137" spans="8:17" x14ac:dyDescent="0.15">
      <c r="H137" s="17">
        <v>135</v>
      </c>
      <c r="I137">
        <v>113048</v>
      </c>
      <c r="J137" t="s">
        <v>1809</v>
      </c>
      <c r="K137">
        <v>137.773</v>
      </c>
      <c r="L137" s="57">
        <v>0.23499999999999999</v>
      </c>
      <c r="M137" s="20">
        <v>22.963509999999999</v>
      </c>
      <c r="N137" s="5" t="str">
        <f t="shared" si="8"/>
        <v>未买</v>
      </c>
      <c r="Q137" s="17">
        <v>135</v>
      </c>
    </row>
    <row r="138" spans="8:17" x14ac:dyDescent="0.15">
      <c r="H138" s="17">
        <v>136</v>
      </c>
      <c r="I138">
        <v>128101</v>
      </c>
      <c r="J138" t="s">
        <v>2013</v>
      </c>
      <c r="K138">
        <v>163.18600000000001</v>
      </c>
      <c r="L138" s="57">
        <v>0.2354</v>
      </c>
      <c r="M138" s="20">
        <v>2.9929809999999999</v>
      </c>
      <c r="N138" s="5" t="str">
        <f t="shared" si="8"/>
        <v>未买</v>
      </c>
      <c r="Q138" s="17">
        <v>136</v>
      </c>
    </row>
    <row r="139" spans="8:17" x14ac:dyDescent="0.15">
      <c r="H139" s="17">
        <v>137</v>
      </c>
      <c r="I139">
        <v>123114</v>
      </c>
      <c r="J139" t="s">
        <v>1950</v>
      </c>
      <c r="K139">
        <v>160.61500000000001</v>
      </c>
      <c r="L139" s="57">
        <v>0.23719999999999999</v>
      </c>
      <c r="M139" s="20">
        <v>9.0082140000000006</v>
      </c>
      <c r="N139" s="5" t="str">
        <f t="shared" si="8"/>
        <v>未买</v>
      </c>
      <c r="Q139" s="17">
        <v>137</v>
      </c>
    </row>
    <row r="140" spans="8:17" x14ac:dyDescent="0.15">
      <c r="H140" s="17">
        <v>138</v>
      </c>
      <c r="I140">
        <v>113011</v>
      </c>
      <c r="J140" t="s">
        <v>1791</v>
      </c>
      <c r="K140">
        <v>105.143</v>
      </c>
      <c r="L140" s="57">
        <v>0.2402</v>
      </c>
      <c r="M140" s="20">
        <v>241.98838000000001</v>
      </c>
      <c r="N140" s="5" t="str">
        <f t="shared" si="8"/>
        <v>未买</v>
      </c>
      <c r="Q140" s="17">
        <v>138</v>
      </c>
    </row>
    <row r="141" spans="8:17" x14ac:dyDescent="0.15">
      <c r="H141" s="17">
        <v>139</v>
      </c>
      <c r="I141">
        <v>110060</v>
      </c>
      <c r="J141" t="s">
        <v>199</v>
      </c>
      <c r="K141">
        <v>123.621</v>
      </c>
      <c r="L141" s="57">
        <v>0.24079999999999999</v>
      </c>
      <c r="M141" s="20">
        <v>7.0625099999999996</v>
      </c>
      <c r="N141" s="5" t="str">
        <f t="shared" si="8"/>
        <v>未买</v>
      </c>
      <c r="Q141" s="17">
        <v>139</v>
      </c>
    </row>
    <row r="142" spans="8:17" x14ac:dyDescent="0.15">
      <c r="H142" s="17">
        <v>140</v>
      </c>
      <c r="I142">
        <v>113055</v>
      </c>
      <c r="J142" t="s">
        <v>1786</v>
      </c>
      <c r="K142">
        <v>127.673</v>
      </c>
      <c r="L142" s="57">
        <v>0.2462</v>
      </c>
      <c r="M142" s="20">
        <v>80</v>
      </c>
      <c r="N142" s="5" t="str">
        <f t="shared" si="8"/>
        <v>未买</v>
      </c>
      <c r="Q142" s="17">
        <v>140</v>
      </c>
    </row>
    <row r="143" spans="8:17" x14ac:dyDescent="0.15">
      <c r="H143" s="17">
        <v>141</v>
      </c>
      <c r="I143">
        <v>113060</v>
      </c>
      <c r="J143" t="s">
        <v>2005</v>
      </c>
      <c r="K143">
        <v>131.99</v>
      </c>
      <c r="L143" s="57">
        <v>0.2462</v>
      </c>
      <c r="M143" s="20">
        <v>70</v>
      </c>
      <c r="N143" s="5" t="str">
        <f t="shared" si="8"/>
        <v>未买</v>
      </c>
      <c r="Q143" s="17">
        <v>141</v>
      </c>
    </row>
    <row r="144" spans="8:17" x14ac:dyDescent="0.15">
      <c r="H144" s="17">
        <v>142</v>
      </c>
      <c r="I144">
        <v>110056</v>
      </c>
      <c r="J144" t="s">
        <v>1839</v>
      </c>
      <c r="K144">
        <v>146.33000000000001</v>
      </c>
      <c r="L144" s="57">
        <v>0.24629999999999999</v>
      </c>
      <c r="M144" s="20">
        <v>17.100809999999999</v>
      </c>
      <c r="N144" s="5" t="str">
        <f t="shared" si="8"/>
        <v>未买</v>
      </c>
      <c r="Q144" s="17">
        <v>142</v>
      </c>
    </row>
    <row r="145" spans="8:17" x14ac:dyDescent="0.15">
      <c r="H145" s="17">
        <v>143</v>
      </c>
      <c r="I145">
        <v>123150</v>
      </c>
      <c r="J145" t="s">
        <v>2008</v>
      </c>
      <c r="K145">
        <v>128</v>
      </c>
      <c r="L145" s="57">
        <v>0.24739999999999998</v>
      </c>
      <c r="M145" s="20">
        <v>11.39</v>
      </c>
      <c r="N145" s="5" t="str">
        <f t="shared" si="8"/>
        <v>未买</v>
      </c>
      <c r="Q145" s="17">
        <v>143</v>
      </c>
    </row>
    <row r="146" spans="8:17" x14ac:dyDescent="0.15">
      <c r="H146" s="17">
        <v>144</v>
      </c>
      <c r="I146">
        <v>123031</v>
      </c>
      <c r="J146" t="s">
        <v>1978</v>
      </c>
      <c r="K146">
        <v>406.2</v>
      </c>
      <c r="L146" s="57">
        <v>0.25059999999999999</v>
      </c>
      <c r="M146" s="20">
        <v>0.52975899999999998</v>
      </c>
      <c r="N146" s="5" t="str">
        <f t="shared" si="8"/>
        <v>未买</v>
      </c>
      <c r="Q146" s="17">
        <v>144</v>
      </c>
    </row>
    <row r="147" spans="8:17" x14ac:dyDescent="0.15">
      <c r="H147" s="17">
        <v>145</v>
      </c>
      <c r="I147">
        <v>113546</v>
      </c>
      <c r="J147" t="s">
        <v>86</v>
      </c>
      <c r="K147">
        <v>130.56399999999999</v>
      </c>
      <c r="L147" s="57">
        <v>0.25209999999999999</v>
      </c>
      <c r="M147" s="20">
        <v>2.2964600000000002</v>
      </c>
      <c r="N147" s="5" t="str">
        <f t="shared" si="8"/>
        <v>未买</v>
      </c>
      <c r="Q147" s="17">
        <v>145</v>
      </c>
    </row>
    <row r="148" spans="8:17" x14ac:dyDescent="0.15">
      <c r="H148" s="17">
        <v>146</v>
      </c>
      <c r="I148">
        <v>127063</v>
      </c>
      <c r="J148" t="s">
        <v>1969</v>
      </c>
      <c r="K148">
        <v>130.488</v>
      </c>
      <c r="L148" s="57">
        <v>0.25309999999999999</v>
      </c>
      <c r="M148" s="20">
        <v>18</v>
      </c>
      <c r="N148" s="5" t="str">
        <f t="shared" si="8"/>
        <v>未买</v>
      </c>
      <c r="Q148" s="17">
        <v>146</v>
      </c>
    </row>
    <row r="149" spans="8:17" x14ac:dyDescent="0.15">
      <c r="H149" s="17">
        <v>147</v>
      </c>
      <c r="I149">
        <v>113525</v>
      </c>
      <c r="J149" t="s">
        <v>1947</v>
      </c>
      <c r="K149">
        <v>208.31700000000001</v>
      </c>
      <c r="L149" s="57">
        <v>0.25420000000000004</v>
      </c>
      <c r="M149" s="20">
        <v>1.85328</v>
      </c>
      <c r="N149" s="5" t="str">
        <f t="shared" si="8"/>
        <v>Yes</v>
      </c>
      <c r="Q149" s="17">
        <v>147</v>
      </c>
    </row>
    <row r="150" spans="8:17" x14ac:dyDescent="0.15">
      <c r="H150" s="17">
        <v>148</v>
      </c>
      <c r="I150">
        <v>127012</v>
      </c>
      <c r="J150" t="s">
        <v>1804</v>
      </c>
      <c r="K150">
        <v>114.54300000000001</v>
      </c>
      <c r="L150" s="57">
        <v>0.25619999999999998</v>
      </c>
      <c r="M150" s="20">
        <v>49.998221000000001</v>
      </c>
      <c r="N150" s="5" t="str">
        <f t="shared" si="8"/>
        <v>未买</v>
      </c>
      <c r="Q150" s="17">
        <v>148</v>
      </c>
    </row>
    <row r="151" spans="8:17" x14ac:dyDescent="0.15">
      <c r="H151" s="17">
        <v>149</v>
      </c>
      <c r="I151">
        <v>123130</v>
      </c>
      <c r="J151" t="s">
        <v>70</v>
      </c>
      <c r="K151">
        <v>137.52600000000001</v>
      </c>
      <c r="L151" s="57">
        <v>0.25690000000000002</v>
      </c>
      <c r="M151" s="20">
        <v>3.7555860000000001</v>
      </c>
      <c r="N151" s="5" t="str">
        <f t="shared" si="8"/>
        <v>未买</v>
      </c>
      <c r="Q151" s="17">
        <v>149</v>
      </c>
    </row>
    <row r="152" spans="8:17" x14ac:dyDescent="0.15">
      <c r="H152" s="17">
        <v>150</v>
      </c>
      <c r="I152">
        <v>113649</v>
      </c>
      <c r="J152" t="s">
        <v>2004</v>
      </c>
      <c r="K152">
        <v>128.24299999999999</v>
      </c>
      <c r="L152" s="57">
        <v>0.25780000000000003</v>
      </c>
      <c r="M152" s="20">
        <v>5</v>
      </c>
      <c r="N152" s="5" t="str">
        <f t="shared" si="8"/>
        <v>未买</v>
      </c>
      <c r="Q152" s="17">
        <v>150</v>
      </c>
    </row>
    <row r="153" spans="8:17" x14ac:dyDescent="0.15">
      <c r="H153" s="17">
        <v>151</v>
      </c>
      <c r="I153">
        <v>123110</v>
      </c>
      <c r="J153" t="s">
        <v>104</v>
      </c>
      <c r="K153">
        <v>132.51599999999999</v>
      </c>
      <c r="L153" s="57">
        <v>0.25790000000000002</v>
      </c>
      <c r="M153" s="20">
        <v>2.6979160000000002</v>
      </c>
      <c r="N153" s="5" t="str">
        <f t="shared" si="8"/>
        <v>未买</v>
      </c>
      <c r="Q153" s="17">
        <v>151</v>
      </c>
    </row>
    <row r="154" spans="8:17" x14ac:dyDescent="0.15">
      <c r="H154" s="17">
        <v>152</v>
      </c>
      <c r="I154">
        <v>123022</v>
      </c>
      <c r="J154" t="s">
        <v>1825</v>
      </c>
      <c r="K154">
        <v>169.84</v>
      </c>
      <c r="L154" s="57">
        <v>0.2581</v>
      </c>
      <c r="M154" s="20">
        <v>2.5626959999999999</v>
      </c>
      <c r="N154" s="5" t="str">
        <f t="shared" si="8"/>
        <v>未买</v>
      </c>
      <c r="Q154" s="17">
        <v>152</v>
      </c>
    </row>
    <row r="155" spans="8:17" x14ac:dyDescent="0.15">
      <c r="H155" s="17">
        <v>153</v>
      </c>
      <c r="I155">
        <v>128023</v>
      </c>
      <c r="J155" t="s">
        <v>198</v>
      </c>
      <c r="K155">
        <v>132.9</v>
      </c>
      <c r="L155" s="57">
        <v>0.26129999999999998</v>
      </c>
      <c r="M155" s="20">
        <v>9.9863379999999999</v>
      </c>
      <c r="N155" s="5" t="str">
        <f t="shared" si="8"/>
        <v>未买</v>
      </c>
      <c r="Q155" s="17">
        <v>153</v>
      </c>
    </row>
    <row r="156" spans="8:17" x14ac:dyDescent="0.15">
      <c r="H156" s="17">
        <v>154</v>
      </c>
      <c r="I156">
        <v>113545</v>
      </c>
      <c r="J156" t="s">
        <v>84</v>
      </c>
      <c r="K156">
        <v>125.095</v>
      </c>
      <c r="L156" s="57">
        <v>0.26219999999999999</v>
      </c>
      <c r="M156" s="20">
        <v>9.8652899999999999</v>
      </c>
      <c r="N156" s="5" t="str">
        <f t="shared" si="8"/>
        <v>未买</v>
      </c>
      <c r="Q156" s="17">
        <v>154</v>
      </c>
    </row>
    <row r="157" spans="8:17" x14ac:dyDescent="0.15">
      <c r="H157" s="17">
        <v>155</v>
      </c>
      <c r="I157">
        <v>123091</v>
      </c>
      <c r="J157" t="s">
        <v>225</v>
      </c>
      <c r="K157">
        <v>134</v>
      </c>
      <c r="L157" s="57">
        <v>0.26329999999999998</v>
      </c>
      <c r="M157" s="20">
        <v>5.4975389999999997</v>
      </c>
      <c r="N157" s="5" t="str">
        <f t="shared" si="8"/>
        <v>未买</v>
      </c>
      <c r="Q157" s="17">
        <v>155</v>
      </c>
    </row>
    <row r="158" spans="8:17" x14ac:dyDescent="0.15">
      <c r="H158" s="17">
        <v>156</v>
      </c>
      <c r="I158">
        <v>123098</v>
      </c>
      <c r="J158" t="s">
        <v>2006</v>
      </c>
      <c r="K158">
        <v>130.93899999999999</v>
      </c>
      <c r="L158" s="57">
        <v>0.26390000000000002</v>
      </c>
      <c r="M158" s="20">
        <v>4.2359669999999996</v>
      </c>
      <c r="N158" s="5" t="str">
        <f t="shared" si="8"/>
        <v>未买</v>
      </c>
      <c r="Q158" s="17">
        <v>156</v>
      </c>
    </row>
    <row r="159" spans="8:17" x14ac:dyDescent="0.15">
      <c r="H159" s="17">
        <v>157</v>
      </c>
      <c r="I159">
        <v>110055</v>
      </c>
      <c r="J159" t="s">
        <v>1958</v>
      </c>
      <c r="K159">
        <v>215.19</v>
      </c>
      <c r="L159" s="57">
        <v>0.26440000000000002</v>
      </c>
      <c r="M159" s="20">
        <v>2.43486</v>
      </c>
      <c r="N159" s="5" t="str">
        <f t="shared" si="8"/>
        <v>未买</v>
      </c>
      <c r="Q159" s="17">
        <v>157</v>
      </c>
    </row>
    <row r="160" spans="8:17" x14ac:dyDescent="0.15">
      <c r="H160" s="17">
        <v>158</v>
      </c>
      <c r="I160">
        <v>123087</v>
      </c>
      <c r="J160" t="s">
        <v>71</v>
      </c>
      <c r="K160">
        <v>130.86199999999999</v>
      </c>
      <c r="L160" s="57">
        <v>0.26450000000000001</v>
      </c>
      <c r="M160" s="20">
        <v>4.1892120000000004</v>
      </c>
      <c r="N160" s="5" t="str">
        <f t="shared" si="8"/>
        <v>未买</v>
      </c>
      <c r="Q160" s="17">
        <v>158</v>
      </c>
    </row>
    <row r="161" spans="8:17" x14ac:dyDescent="0.15">
      <c r="H161" s="17">
        <v>159</v>
      </c>
      <c r="I161">
        <v>123149</v>
      </c>
      <c r="J161" t="s">
        <v>2010</v>
      </c>
      <c r="K161">
        <v>137.87200000000001</v>
      </c>
      <c r="L161" s="57">
        <v>0.26450000000000001</v>
      </c>
      <c r="M161" s="20">
        <v>14.847200000000001</v>
      </c>
      <c r="N161" s="5" t="str">
        <f t="shared" si="8"/>
        <v>未买</v>
      </c>
      <c r="Q161" s="17">
        <v>159</v>
      </c>
    </row>
    <row r="162" spans="8:17" x14ac:dyDescent="0.15">
      <c r="H162" s="17">
        <v>160</v>
      </c>
      <c r="I162">
        <v>127028</v>
      </c>
      <c r="J162" t="s">
        <v>62</v>
      </c>
      <c r="K162">
        <v>120.66</v>
      </c>
      <c r="L162" s="57">
        <v>0.26850000000000002</v>
      </c>
      <c r="M162" s="20">
        <v>5.9824450000000002</v>
      </c>
      <c r="N162" s="5" t="str">
        <f t="shared" si="8"/>
        <v>未买</v>
      </c>
      <c r="Q162" s="17">
        <v>160</v>
      </c>
    </row>
    <row r="163" spans="8:17" x14ac:dyDescent="0.15">
      <c r="H163" s="17">
        <v>161</v>
      </c>
      <c r="I163">
        <v>110057</v>
      </c>
      <c r="J163" t="s">
        <v>1798</v>
      </c>
      <c r="K163">
        <v>118.752</v>
      </c>
      <c r="L163" s="57">
        <v>0.27010000000000001</v>
      </c>
      <c r="M163" s="20">
        <v>16.15494</v>
      </c>
      <c r="N163" s="5" t="str">
        <f t="shared" si="8"/>
        <v>未买</v>
      </c>
      <c r="Q163" s="17">
        <v>161</v>
      </c>
    </row>
    <row r="164" spans="8:17" x14ac:dyDescent="0.15">
      <c r="H164" s="17">
        <v>162</v>
      </c>
      <c r="I164">
        <v>113582</v>
      </c>
      <c r="J164" t="s">
        <v>1963</v>
      </c>
      <c r="K164">
        <v>260.28899999999999</v>
      </c>
      <c r="L164" s="57">
        <v>0.27110000000000001</v>
      </c>
      <c r="M164" s="20">
        <v>4.1764799999999997</v>
      </c>
      <c r="N164" s="5" t="str">
        <f t="shared" si="8"/>
        <v>未买</v>
      </c>
      <c r="Q164" s="17">
        <v>162</v>
      </c>
    </row>
    <row r="165" spans="8:17" x14ac:dyDescent="0.15">
      <c r="H165" s="17">
        <v>163</v>
      </c>
      <c r="I165">
        <v>128133</v>
      </c>
      <c r="J165" t="s">
        <v>209</v>
      </c>
      <c r="K165">
        <v>122.449</v>
      </c>
      <c r="L165" s="57">
        <v>0.27129999999999999</v>
      </c>
      <c r="M165" s="20">
        <v>7.994078</v>
      </c>
      <c r="N165" s="5" t="str">
        <f t="shared" si="8"/>
        <v>未买</v>
      </c>
      <c r="Q165" s="17">
        <v>163</v>
      </c>
    </row>
    <row r="166" spans="8:17" x14ac:dyDescent="0.15">
      <c r="H166" s="17">
        <v>164</v>
      </c>
      <c r="I166">
        <v>123129</v>
      </c>
      <c r="J166" t="s">
        <v>228</v>
      </c>
      <c r="K166">
        <v>119.05</v>
      </c>
      <c r="L166" s="57">
        <v>0.27529999999999999</v>
      </c>
      <c r="M166" s="20">
        <v>5.9998880000000003</v>
      </c>
      <c r="N166" s="5" t="str">
        <f t="shared" si="8"/>
        <v>未买</v>
      </c>
      <c r="Q166" s="17">
        <v>164</v>
      </c>
    </row>
    <row r="167" spans="8:17" x14ac:dyDescent="0.15">
      <c r="H167" s="17">
        <v>165</v>
      </c>
      <c r="I167">
        <v>128085</v>
      </c>
      <c r="J167" t="s">
        <v>1967</v>
      </c>
      <c r="K167">
        <v>118.086</v>
      </c>
      <c r="L167" s="57">
        <v>0.27550000000000002</v>
      </c>
      <c r="M167" s="20">
        <v>3.3735580000000001</v>
      </c>
      <c r="N167" s="5" t="str">
        <f t="shared" si="8"/>
        <v>Yes</v>
      </c>
      <c r="Q167" s="17">
        <v>165</v>
      </c>
    </row>
    <row r="168" spans="8:17" x14ac:dyDescent="0.15">
      <c r="H168" s="17">
        <v>166</v>
      </c>
      <c r="I168">
        <v>113632</v>
      </c>
      <c r="J168" t="s">
        <v>1874</v>
      </c>
      <c r="K168">
        <v>130.352</v>
      </c>
      <c r="L168" s="57">
        <v>0.2777</v>
      </c>
      <c r="M168" s="20">
        <v>20.499179999999999</v>
      </c>
      <c r="N168" s="5" t="str">
        <f t="shared" si="8"/>
        <v>未买</v>
      </c>
      <c r="Q168" s="17">
        <v>166</v>
      </c>
    </row>
    <row r="169" spans="8:17" x14ac:dyDescent="0.15">
      <c r="H169" s="17">
        <v>167</v>
      </c>
      <c r="I169">
        <v>128091</v>
      </c>
      <c r="J169" t="s">
        <v>1979</v>
      </c>
      <c r="K169">
        <v>166</v>
      </c>
      <c r="L169" s="57">
        <v>0.27860000000000001</v>
      </c>
      <c r="M169" s="20">
        <v>1.539763</v>
      </c>
      <c r="N169" s="5" t="str">
        <f t="shared" si="8"/>
        <v>Yes</v>
      </c>
      <c r="Q169" s="17">
        <v>167</v>
      </c>
    </row>
    <row r="170" spans="8:17" x14ac:dyDescent="0.15">
      <c r="H170" s="17">
        <v>168</v>
      </c>
      <c r="I170">
        <v>113636</v>
      </c>
      <c r="J170" t="s">
        <v>232</v>
      </c>
      <c r="K170">
        <v>139.43799999999999</v>
      </c>
      <c r="L170" s="57">
        <v>0.27940000000000004</v>
      </c>
      <c r="M170" s="20">
        <v>9.99559</v>
      </c>
      <c r="N170" s="5" t="str">
        <f t="shared" si="8"/>
        <v>未买</v>
      </c>
      <c r="Q170" s="17">
        <v>168</v>
      </c>
    </row>
    <row r="171" spans="8:17" x14ac:dyDescent="0.15">
      <c r="H171" s="17">
        <v>169</v>
      </c>
      <c r="I171">
        <v>113532</v>
      </c>
      <c r="J171" t="s">
        <v>186</v>
      </c>
      <c r="K171">
        <v>119.497</v>
      </c>
      <c r="L171" s="57">
        <v>0.28260000000000002</v>
      </c>
      <c r="M171" s="20">
        <v>4.5854799999999996</v>
      </c>
      <c r="N171" s="5" t="str">
        <f t="shared" si="8"/>
        <v>未买</v>
      </c>
      <c r="Q171" s="17">
        <v>169</v>
      </c>
    </row>
    <row r="172" spans="8:17" x14ac:dyDescent="0.15">
      <c r="H172" s="17">
        <v>170</v>
      </c>
      <c r="I172">
        <v>128037</v>
      </c>
      <c r="J172" t="s">
        <v>72</v>
      </c>
      <c r="K172">
        <v>120.9</v>
      </c>
      <c r="L172" s="57">
        <v>0.28360000000000002</v>
      </c>
      <c r="M172" s="20">
        <v>6.0223659999999999</v>
      </c>
      <c r="N172" s="5" t="str">
        <f t="shared" si="8"/>
        <v>Yes</v>
      </c>
      <c r="Q172" s="17">
        <v>170</v>
      </c>
    </row>
    <row r="173" spans="8:17" x14ac:dyDescent="0.15">
      <c r="H173" s="17">
        <v>171</v>
      </c>
      <c r="I173">
        <v>113647</v>
      </c>
      <c r="J173" t="s">
        <v>1821</v>
      </c>
      <c r="K173">
        <v>132.154</v>
      </c>
      <c r="L173" s="57">
        <v>0.28399999999999997</v>
      </c>
      <c r="M173" s="20">
        <v>15</v>
      </c>
      <c r="N173" s="5" t="str">
        <f t="shared" si="8"/>
        <v>未买</v>
      </c>
      <c r="Q173" s="17">
        <v>171</v>
      </c>
    </row>
    <row r="174" spans="8:17" x14ac:dyDescent="0.15">
      <c r="H174" s="17">
        <v>172</v>
      </c>
      <c r="I174">
        <v>123050</v>
      </c>
      <c r="J174" t="s">
        <v>67</v>
      </c>
      <c r="K174">
        <v>134.45400000000001</v>
      </c>
      <c r="L174" s="57">
        <v>0.28760000000000002</v>
      </c>
      <c r="M174" s="20">
        <v>3.7459790000000002</v>
      </c>
      <c r="N174" s="5" t="str">
        <f t="shared" si="8"/>
        <v>未买</v>
      </c>
      <c r="Q174" s="17">
        <v>172</v>
      </c>
    </row>
    <row r="175" spans="8:17" x14ac:dyDescent="0.15">
      <c r="H175" s="17">
        <v>173</v>
      </c>
      <c r="I175">
        <v>118012</v>
      </c>
      <c r="J175" t="s">
        <v>2011</v>
      </c>
      <c r="K175">
        <v>134.881</v>
      </c>
      <c r="L175" s="57">
        <v>0.28789999999999999</v>
      </c>
      <c r="M175" s="20">
        <v>5</v>
      </c>
      <c r="N175" s="5" t="str">
        <f t="shared" si="8"/>
        <v>未买</v>
      </c>
      <c r="Q175" s="17">
        <v>173</v>
      </c>
    </row>
    <row r="176" spans="8:17" x14ac:dyDescent="0.15">
      <c r="H176" s="17">
        <v>174</v>
      </c>
      <c r="I176">
        <v>113609</v>
      </c>
      <c r="J176" t="s">
        <v>82</v>
      </c>
      <c r="K176">
        <v>115.426</v>
      </c>
      <c r="L176" s="57">
        <v>0.2888</v>
      </c>
      <c r="M176" s="20">
        <v>7.3418999999999999</v>
      </c>
      <c r="N176" s="5" t="str">
        <f t="shared" si="8"/>
        <v>未买</v>
      </c>
      <c r="Q176" s="17">
        <v>174</v>
      </c>
    </row>
    <row r="177" spans="8:17" x14ac:dyDescent="0.15">
      <c r="H177" s="17">
        <v>175</v>
      </c>
      <c r="I177">
        <v>123100</v>
      </c>
      <c r="J177" t="s">
        <v>102</v>
      </c>
      <c r="K177">
        <v>132.447</v>
      </c>
      <c r="L177" s="57">
        <v>0.29760000000000003</v>
      </c>
      <c r="M177" s="20">
        <v>3.798197</v>
      </c>
      <c r="N177" s="5" t="str">
        <f t="shared" si="8"/>
        <v>未买</v>
      </c>
      <c r="Q177" s="17">
        <v>175</v>
      </c>
    </row>
    <row r="178" spans="8:17" x14ac:dyDescent="0.15">
      <c r="H178" s="17">
        <v>176</v>
      </c>
      <c r="I178">
        <v>113061</v>
      </c>
      <c r="J178" t="s">
        <v>2012</v>
      </c>
      <c r="K178">
        <v>149.66800000000001</v>
      </c>
      <c r="L178" s="57">
        <v>0.29799999999999999</v>
      </c>
      <c r="M178" s="20">
        <v>25</v>
      </c>
      <c r="N178" s="5" t="str">
        <f t="shared" si="8"/>
        <v>未买</v>
      </c>
      <c r="Q178" s="17">
        <v>176</v>
      </c>
    </row>
    <row r="179" spans="8:17" x14ac:dyDescent="0.15">
      <c r="H179" s="17">
        <v>177</v>
      </c>
      <c r="I179">
        <v>113622</v>
      </c>
      <c r="J179" t="s">
        <v>1862</v>
      </c>
      <c r="K179">
        <v>127.807</v>
      </c>
      <c r="L179" s="57">
        <v>0.2999</v>
      </c>
      <c r="M179" s="20">
        <v>11.49968</v>
      </c>
      <c r="N179" s="5" t="str">
        <f t="shared" si="8"/>
        <v>未买</v>
      </c>
      <c r="Q179" s="17">
        <v>177</v>
      </c>
    </row>
    <row r="180" spans="8:17" x14ac:dyDescent="0.15">
      <c r="H180" s="17">
        <v>178</v>
      </c>
      <c r="I180">
        <v>113057</v>
      </c>
      <c r="J180" t="s">
        <v>1806</v>
      </c>
      <c r="K180">
        <v>118.009</v>
      </c>
      <c r="L180" s="57">
        <v>0.30049999999999999</v>
      </c>
      <c r="M180" s="20">
        <v>78</v>
      </c>
      <c r="N180" s="5" t="str">
        <f t="shared" si="8"/>
        <v>未买</v>
      </c>
      <c r="Q180" s="17">
        <v>178</v>
      </c>
    </row>
    <row r="181" spans="8:17" x14ac:dyDescent="0.15">
      <c r="H181" s="17">
        <v>179</v>
      </c>
      <c r="I181">
        <v>111004</v>
      </c>
      <c r="J181" t="s">
        <v>797</v>
      </c>
      <c r="K181">
        <v>142.35</v>
      </c>
      <c r="L181" s="57">
        <v>0.30519999999999997</v>
      </c>
      <c r="M181" s="20">
        <v>6.73</v>
      </c>
      <c r="N181" s="5" t="str">
        <f t="shared" si="8"/>
        <v>未买</v>
      </c>
      <c r="Q181" s="17">
        <v>179</v>
      </c>
    </row>
    <row r="182" spans="8:17" x14ac:dyDescent="0.15">
      <c r="H182" s="17">
        <v>180</v>
      </c>
      <c r="I182">
        <v>110087</v>
      </c>
      <c r="J182" t="s">
        <v>2015</v>
      </c>
      <c r="K182">
        <v>122.027</v>
      </c>
      <c r="L182" s="57">
        <v>0.3054</v>
      </c>
      <c r="M182" s="20">
        <v>30</v>
      </c>
      <c r="N182" s="5" t="str">
        <f t="shared" si="8"/>
        <v>未买</v>
      </c>
      <c r="Q182" s="17">
        <v>180</v>
      </c>
    </row>
    <row r="183" spans="8:17" x14ac:dyDescent="0.15">
      <c r="H183" s="17">
        <v>181</v>
      </c>
      <c r="I183">
        <v>113017</v>
      </c>
      <c r="J183" t="s">
        <v>107</v>
      </c>
      <c r="K183">
        <v>111.886</v>
      </c>
      <c r="L183" s="57">
        <v>0.30630000000000002</v>
      </c>
      <c r="M183" s="20">
        <v>11.349869999999999</v>
      </c>
      <c r="N183" s="5" t="str">
        <f t="shared" si="8"/>
        <v>未买</v>
      </c>
      <c r="Q183" s="17">
        <v>181</v>
      </c>
    </row>
    <row r="184" spans="8:17" x14ac:dyDescent="0.15">
      <c r="H184" s="17">
        <v>182</v>
      </c>
      <c r="I184">
        <v>118014</v>
      </c>
      <c r="J184" t="s">
        <v>2023</v>
      </c>
      <c r="K184">
        <v>148.517</v>
      </c>
      <c r="L184" s="57">
        <v>0.30709999999999998</v>
      </c>
      <c r="M184" s="20">
        <v>4.8330000000000002</v>
      </c>
      <c r="N184" s="5" t="str">
        <f t="shared" si="8"/>
        <v>未买</v>
      </c>
      <c r="Q184" s="17">
        <v>182</v>
      </c>
    </row>
    <row r="185" spans="8:17" x14ac:dyDescent="0.15">
      <c r="H185" s="17">
        <v>183</v>
      </c>
      <c r="I185">
        <v>128025</v>
      </c>
      <c r="J185" t="s">
        <v>50</v>
      </c>
      <c r="K185">
        <v>127.7</v>
      </c>
      <c r="L185" s="57">
        <v>0.30990000000000001</v>
      </c>
      <c r="M185" s="20">
        <v>2.9765139999999999</v>
      </c>
      <c r="N185" s="5" t="str">
        <f t="shared" si="8"/>
        <v>Yes</v>
      </c>
      <c r="Q185" s="17">
        <v>183</v>
      </c>
    </row>
    <row r="186" spans="8:17" x14ac:dyDescent="0.15">
      <c r="H186" s="17">
        <v>184</v>
      </c>
      <c r="I186">
        <v>128014</v>
      </c>
      <c r="J186" t="s">
        <v>175</v>
      </c>
      <c r="K186">
        <v>129.1</v>
      </c>
      <c r="L186" s="57">
        <v>0.31040000000000001</v>
      </c>
      <c r="M186" s="20">
        <v>3.369488</v>
      </c>
      <c r="N186" s="5" t="str">
        <f t="shared" si="8"/>
        <v>未买</v>
      </c>
      <c r="Q186" s="17">
        <v>184</v>
      </c>
    </row>
    <row r="187" spans="8:17" x14ac:dyDescent="0.15">
      <c r="H187" s="17">
        <v>185</v>
      </c>
      <c r="I187">
        <v>127039</v>
      </c>
      <c r="J187" t="s">
        <v>1794</v>
      </c>
      <c r="K187">
        <v>119.5</v>
      </c>
      <c r="L187" s="57">
        <v>0.3105</v>
      </c>
      <c r="M187" s="20">
        <v>17.631114000000004</v>
      </c>
      <c r="N187" s="5" t="str">
        <f t="shared" si="8"/>
        <v>未买</v>
      </c>
      <c r="Q187" s="17">
        <v>185</v>
      </c>
    </row>
    <row r="188" spans="8:17" x14ac:dyDescent="0.15">
      <c r="H188" s="17">
        <v>186</v>
      </c>
      <c r="I188">
        <v>127019</v>
      </c>
      <c r="J188" t="s">
        <v>163</v>
      </c>
      <c r="K188">
        <v>118.7</v>
      </c>
      <c r="L188" s="57">
        <v>0.31489999999999996</v>
      </c>
      <c r="M188" s="20">
        <v>8.4977850000000004</v>
      </c>
      <c r="N188" s="5" t="str">
        <f t="shared" si="8"/>
        <v>未买</v>
      </c>
      <c r="Q188" s="17">
        <v>186</v>
      </c>
    </row>
    <row r="189" spans="8:17" x14ac:dyDescent="0.15">
      <c r="H189" s="17">
        <v>187</v>
      </c>
      <c r="I189">
        <v>128076</v>
      </c>
      <c r="J189" t="s">
        <v>125</v>
      </c>
      <c r="K189">
        <v>132.209</v>
      </c>
      <c r="L189" s="57">
        <v>0.31670000000000004</v>
      </c>
      <c r="M189" s="20">
        <v>2.137302</v>
      </c>
      <c r="N189" s="5" t="str">
        <f t="shared" si="8"/>
        <v>Yes</v>
      </c>
      <c r="Q189" s="17">
        <v>187</v>
      </c>
    </row>
    <row r="190" spans="8:17" x14ac:dyDescent="0.15">
      <c r="H190" s="17">
        <v>188</v>
      </c>
      <c r="I190">
        <v>127060</v>
      </c>
      <c r="J190" t="s">
        <v>1974</v>
      </c>
      <c r="K190">
        <v>129.001</v>
      </c>
      <c r="L190" s="57">
        <v>0.31780000000000003</v>
      </c>
      <c r="M190" s="20">
        <v>6.4</v>
      </c>
      <c r="N190" s="5" t="str">
        <f t="shared" si="8"/>
        <v>未买</v>
      </c>
      <c r="Q190" s="17">
        <v>188</v>
      </c>
    </row>
    <row r="191" spans="8:17" x14ac:dyDescent="0.15">
      <c r="H191" s="17">
        <v>189</v>
      </c>
      <c r="I191">
        <v>110075</v>
      </c>
      <c r="J191" t="s">
        <v>1801</v>
      </c>
      <c r="K191">
        <v>133.702</v>
      </c>
      <c r="L191" s="57">
        <v>0.31790000000000002</v>
      </c>
      <c r="M191" s="20">
        <v>58.964280000000002</v>
      </c>
      <c r="N191" s="5" t="str">
        <f t="shared" si="8"/>
        <v>未买</v>
      </c>
      <c r="Q191" s="17">
        <v>189</v>
      </c>
    </row>
    <row r="192" spans="8:17" x14ac:dyDescent="0.15">
      <c r="H192" s="17">
        <v>190</v>
      </c>
      <c r="I192">
        <v>127016</v>
      </c>
      <c r="J192" t="s">
        <v>1816</v>
      </c>
      <c r="K192">
        <v>118.881</v>
      </c>
      <c r="L192" s="57">
        <v>0.31900000000000001</v>
      </c>
      <c r="M192" s="20">
        <v>13.998524</v>
      </c>
      <c r="N192" s="5" t="str">
        <f t="shared" si="8"/>
        <v>未买</v>
      </c>
      <c r="Q192" s="17">
        <v>190</v>
      </c>
    </row>
    <row r="193" spans="8:17" x14ac:dyDescent="0.15">
      <c r="H193" s="17">
        <v>191</v>
      </c>
      <c r="I193">
        <v>123035</v>
      </c>
      <c r="J193" t="s">
        <v>120</v>
      </c>
      <c r="K193">
        <v>134.42400000000001</v>
      </c>
      <c r="L193" s="57">
        <v>0.31940000000000002</v>
      </c>
      <c r="M193" s="20">
        <v>7.9877229999999999</v>
      </c>
      <c r="N193" s="5" t="str">
        <f t="shared" si="8"/>
        <v>未买</v>
      </c>
      <c r="Q193" s="17">
        <v>191</v>
      </c>
    </row>
    <row r="194" spans="8:17" x14ac:dyDescent="0.15">
      <c r="H194" s="17">
        <v>192</v>
      </c>
      <c r="I194">
        <v>128044</v>
      </c>
      <c r="J194" t="s">
        <v>126</v>
      </c>
      <c r="K194">
        <v>114.41</v>
      </c>
      <c r="L194" s="57">
        <v>0.32130000000000003</v>
      </c>
      <c r="M194" s="20">
        <v>6.5727690000000001</v>
      </c>
      <c r="N194" s="5" t="str">
        <f t="shared" si="8"/>
        <v>未买</v>
      </c>
      <c r="Q194" s="17">
        <v>192</v>
      </c>
    </row>
    <row r="195" spans="8:17" x14ac:dyDescent="0.15">
      <c r="H195" s="17">
        <v>193</v>
      </c>
      <c r="I195">
        <v>113577</v>
      </c>
      <c r="J195" t="s">
        <v>112</v>
      </c>
      <c r="K195">
        <v>136.99600000000001</v>
      </c>
      <c r="L195" s="57">
        <v>0.32200000000000001</v>
      </c>
      <c r="M195" s="20">
        <v>1.7774799999999999</v>
      </c>
      <c r="N195" s="5" t="str">
        <f t="shared" si="8"/>
        <v>未买</v>
      </c>
      <c r="Q195" s="17">
        <v>193</v>
      </c>
    </row>
    <row r="196" spans="8:17" x14ac:dyDescent="0.15">
      <c r="H196" s="17">
        <v>194</v>
      </c>
      <c r="I196">
        <v>123044</v>
      </c>
      <c r="J196" t="s">
        <v>157</v>
      </c>
      <c r="K196">
        <v>123.949</v>
      </c>
      <c r="L196" s="57">
        <v>0.32250000000000001</v>
      </c>
      <c r="M196" s="20">
        <v>5.4958900000000002</v>
      </c>
      <c r="N196" s="5" t="str">
        <f t="shared" ref="N196:N259" si="9">IF(ISNA(MATCH(I196,$A$3:$A$1000,0)),"未买","Yes")</f>
        <v>未买</v>
      </c>
      <c r="Q196" s="17">
        <v>194</v>
      </c>
    </row>
    <row r="197" spans="8:17" x14ac:dyDescent="0.15">
      <c r="H197" s="17">
        <v>195</v>
      </c>
      <c r="I197">
        <v>113618</v>
      </c>
      <c r="J197" t="s">
        <v>1796</v>
      </c>
      <c r="K197">
        <v>135.714</v>
      </c>
      <c r="L197" s="57">
        <v>0.32520000000000004</v>
      </c>
      <c r="M197" s="20">
        <v>4.7696500000000004</v>
      </c>
      <c r="N197" s="5" t="str">
        <f t="shared" si="9"/>
        <v>未买</v>
      </c>
      <c r="Q197" s="17">
        <v>195</v>
      </c>
    </row>
    <row r="198" spans="8:17" x14ac:dyDescent="0.15">
      <c r="H198" s="17">
        <v>196</v>
      </c>
      <c r="I198">
        <v>113524</v>
      </c>
      <c r="J198" t="s">
        <v>205</v>
      </c>
      <c r="K198">
        <v>126.96899999999999</v>
      </c>
      <c r="L198" s="57">
        <v>0.32590000000000002</v>
      </c>
      <c r="M198" s="20">
        <v>3.2974899999999998</v>
      </c>
      <c r="N198" s="5" t="str">
        <f t="shared" si="9"/>
        <v>未买</v>
      </c>
      <c r="Q198" s="17">
        <v>196</v>
      </c>
    </row>
    <row r="199" spans="8:17" x14ac:dyDescent="0.15">
      <c r="H199" s="17">
        <v>197</v>
      </c>
      <c r="I199">
        <v>127032</v>
      </c>
      <c r="J199" t="s">
        <v>1811</v>
      </c>
      <c r="K199">
        <v>116.5</v>
      </c>
      <c r="L199" s="57">
        <v>0.32750000000000001</v>
      </c>
      <c r="M199" s="20">
        <v>49.995489999999997</v>
      </c>
      <c r="N199" s="5" t="str">
        <f t="shared" si="9"/>
        <v>未买</v>
      </c>
      <c r="Q199" s="17">
        <v>197</v>
      </c>
    </row>
    <row r="200" spans="8:17" x14ac:dyDescent="0.15">
      <c r="H200" s="17">
        <v>198</v>
      </c>
      <c r="I200">
        <v>113045</v>
      </c>
      <c r="J200" t="s">
        <v>1855</v>
      </c>
      <c r="K200">
        <v>130.09200000000001</v>
      </c>
      <c r="L200" s="57">
        <v>0.32950000000000002</v>
      </c>
      <c r="M200" s="20">
        <v>34.49933</v>
      </c>
      <c r="N200" s="5" t="str">
        <f t="shared" si="9"/>
        <v>未买</v>
      </c>
      <c r="Q200" s="17">
        <v>198</v>
      </c>
    </row>
    <row r="201" spans="8:17" x14ac:dyDescent="0.15">
      <c r="H201" s="17">
        <v>199</v>
      </c>
      <c r="I201">
        <v>127050</v>
      </c>
      <c r="J201" t="s">
        <v>1844</v>
      </c>
      <c r="K201">
        <v>135.5</v>
      </c>
      <c r="L201" s="57">
        <v>0.33079999999999998</v>
      </c>
      <c r="M201" s="20">
        <v>21.988949000000002</v>
      </c>
      <c r="N201" s="5" t="str">
        <f t="shared" si="9"/>
        <v>未买</v>
      </c>
      <c r="Q201" s="17">
        <v>199</v>
      </c>
    </row>
    <row r="202" spans="8:17" x14ac:dyDescent="0.15">
      <c r="H202" s="17">
        <v>200</v>
      </c>
      <c r="I202">
        <v>113526</v>
      </c>
      <c r="J202" t="s">
        <v>135</v>
      </c>
      <c r="K202">
        <v>139.48500000000001</v>
      </c>
      <c r="L202" s="57">
        <v>0.33200000000000002</v>
      </c>
      <c r="M202" s="20">
        <v>1.9287300000000001</v>
      </c>
      <c r="N202" s="5" t="str">
        <f t="shared" si="9"/>
        <v>Yes</v>
      </c>
      <c r="Q202" s="17">
        <v>200</v>
      </c>
    </row>
    <row r="203" spans="8:17" x14ac:dyDescent="0.15">
      <c r="H203" s="17">
        <v>201</v>
      </c>
      <c r="I203">
        <v>127021</v>
      </c>
      <c r="J203" t="s">
        <v>204</v>
      </c>
      <c r="K203">
        <v>128.09899999999999</v>
      </c>
      <c r="L203" s="57">
        <v>0.33380000000000004</v>
      </c>
      <c r="M203" s="20">
        <v>4.1594360000000004</v>
      </c>
      <c r="N203" s="5" t="str">
        <f t="shared" si="9"/>
        <v>未买</v>
      </c>
      <c r="Q203" s="17">
        <v>201</v>
      </c>
    </row>
    <row r="204" spans="8:17" x14ac:dyDescent="0.15">
      <c r="H204" s="17">
        <v>202</v>
      </c>
      <c r="I204">
        <v>123077</v>
      </c>
      <c r="J204" t="s">
        <v>200</v>
      </c>
      <c r="K204">
        <v>123.649</v>
      </c>
      <c r="L204" s="57">
        <v>0.3372</v>
      </c>
      <c r="M204" s="20">
        <v>9.3674440000000008</v>
      </c>
      <c r="N204" s="5" t="str">
        <f t="shared" si="9"/>
        <v>未买</v>
      </c>
      <c r="Q204" s="17">
        <v>202</v>
      </c>
    </row>
    <row r="205" spans="8:17" x14ac:dyDescent="0.15">
      <c r="H205" s="17">
        <v>203</v>
      </c>
      <c r="I205">
        <v>123152</v>
      </c>
      <c r="J205" t="s">
        <v>2009</v>
      </c>
      <c r="K205">
        <v>169.3</v>
      </c>
      <c r="L205" s="57">
        <v>0.3382</v>
      </c>
      <c r="M205" s="20">
        <v>2.9235000000000002</v>
      </c>
      <c r="N205" s="5" t="str">
        <f t="shared" si="9"/>
        <v>未买</v>
      </c>
      <c r="Q205" s="17">
        <v>203</v>
      </c>
    </row>
    <row r="206" spans="8:17" x14ac:dyDescent="0.15">
      <c r="H206" s="17">
        <v>204</v>
      </c>
      <c r="I206">
        <v>110063</v>
      </c>
      <c r="J206" t="s">
        <v>1805</v>
      </c>
      <c r="K206">
        <v>113.985</v>
      </c>
      <c r="L206" s="57">
        <v>0.3397</v>
      </c>
      <c r="M206" s="20">
        <v>18.44462</v>
      </c>
      <c r="N206" s="5" t="str">
        <f t="shared" si="9"/>
        <v>未买</v>
      </c>
      <c r="Q206" s="17">
        <v>204</v>
      </c>
    </row>
    <row r="207" spans="8:17" x14ac:dyDescent="0.15">
      <c r="H207" s="17">
        <v>205</v>
      </c>
      <c r="I207">
        <v>127064</v>
      </c>
      <c r="J207" t="s">
        <v>2017</v>
      </c>
      <c r="K207">
        <v>173.5</v>
      </c>
      <c r="L207" s="57">
        <v>0.33990000000000004</v>
      </c>
      <c r="M207" s="20">
        <v>11.37</v>
      </c>
      <c r="N207" s="5" t="str">
        <f t="shared" si="9"/>
        <v>未买</v>
      </c>
      <c r="Q207" s="17">
        <v>205</v>
      </c>
    </row>
    <row r="208" spans="8:17" x14ac:dyDescent="0.15">
      <c r="H208" s="17">
        <v>206</v>
      </c>
      <c r="I208">
        <v>110070</v>
      </c>
      <c r="J208" t="s">
        <v>88</v>
      </c>
      <c r="K208">
        <v>124.22199999999999</v>
      </c>
      <c r="L208" s="57">
        <v>0.34060000000000001</v>
      </c>
      <c r="M208" s="20">
        <v>2.17055</v>
      </c>
      <c r="N208" s="5" t="str">
        <f t="shared" si="9"/>
        <v>未买</v>
      </c>
      <c r="Q208" s="17">
        <v>206</v>
      </c>
    </row>
    <row r="209" spans="8:17" x14ac:dyDescent="0.15">
      <c r="H209" s="17">
        <v>207</v>
      </c>
      <c r="I209">
        <v>128137</v>
      </c>
      <c r="J209" t="s">
        <v>2019</v>
      </c>
      <c r="K209">
        <v>135</v>
      </c>
      <c r="L209" s="57">
        <v>0.34649999999999997</v>
      </c>
      <c r="M209" s="20">
        <v>5.9940730000000002</v>
      </c>
      <c r="N209" s="5" t="str">
        <f t="shared" si="9"/>
        <v>未买</v>
      </c>
      <c r="Q209" s="17">
        <v>207</v>
      </c>
    </row>
    <row r="210" spans="8:17" x14ac:dyDescent="0.15">
      <c r="H210" s="17">
        <v>208</v>
      </c>
      <c r="I210">
        <v>118011</v>
      </c>
      <c r="J210" t="s">
        <v>2021</v>
      </c>
      <c r="K210">
        <v>137.59299999999999</v>
      </c>
      <c r="L210" s="57">
        <v>0.34799999999999998</v>
      </c>
      <c r="M210" s="20">
        <v>5</v>
      </c>
      <c r="N210" s="5" t="str">
        <f t="shared" si="9"/>
        <v>未买</v>
      </c>
      <c r="Q210" s="17">
        <v>208</v>
      </c>
    </row>
    <row r="211" spans="8:17" x14ac:dyDescent="0.15">
      <c r="H211" s="17">
        <v>209</v>
      </c>
      <c r="I211">
        <v>127018</v>
      </c>
      <c r="J211" t="s">
        <v>1800</v>
      </c>
      <c r="K211">
        <v>116.39</v>
      </c>
      <c r="L211" s="57">
        <v>0.35210000000000002</v>
      </c>
      <c r="M211" s="20">
        <v>56.310593000000011</v>
      </c>
      <c r="N211" s="5" t="str">
        <f t="shared" si="9"/>
        <v>未买</v>
      </c>
      <c r="Q211" s="17">
        <v>209</v>
      </c>
    </row>
    <row r="212" spans="8:17" x14ac:dyDescent="0.15">
      <c r="H212" s="17">
        <v>210</v>
      </c>
      <c r="I212">
        <v>110047</v>
      </c>
      <c r="J212" t="s">
        <v>1810</v>
      </c>
      <c r="K212">
        <v>114</v>
      </c>
      <c r="L212" s="57">
        <v>0.35700000000000004</v>
      </c>
      <c r="M212" s="20">
        <v>22.461279999999999</v>
      </c>
      <c r="N212" s="5" t="str">
        <f t="shared" si="9"/>
        <v>未买</v>
      </c>
      <c r="Q212" s="17">
        <v>210</v>
      </c>
    </row>
    <row r="213" spans="8:17" x14ac:dyDescent="0.15">
      <c r="H213" s="17">
        <v>211</v>
      </c>
      <c r="I213">
        <v>128127</v>
      </c>
      <c r="J213" t="s">
        <v>202</v>
      </c>
      <c r="K213">
        <v>110.45</v>
      </c>
      <c r="L213" s="57">
        <v>0.35770000000000002</v>
      </c>
      <c r="M213" s="20">
        <v>9.4928229999999996</v>
      </c>
      <c r="N213" s="5" t="str">
        <f t="shared" si="9"/>
        <v>未买</v>
      </c>
      <c r="Q213" s="17">
        <v>211</v>
      </c>
    </row>
    <row r="214" spans="8:17" x14ac:dyDescent="0.15">
      <c r="H214" s="17">
        <v>212</v>
      </c>
      <c r="I214">
        <v>123151</v>
      </c>
      <c r="J214" t="s">
        <v>2014</v>
      </c>
      <c r="K214">
        <v>122.75</v>
      </c>
      <c r="L214" s="57">
        <v>0.36</v>
      </c>
      <c r="M214" s="20">
        <v>7</v>
      </c>
      <c r="N214" s="5" t="str">
        <f t="shared" si="9"/>
        <v>未买</v>
      </c>
      <c r="Q214" s="17">
        <v>212</v>
      </c>
    </row>
    <row r="215" spans="8:17" x14ac:dyDescent="0.15">
      <c r="H215" s="17">
        <v>213</v>
      </c>
      <c r="I215">
        <v>123118</v>
      </c>
      <c r="J215" t="s">
        <v>222</v>
      </c>
      <c r="K215">
        <v>125.5</v>
      </c>
      <c r="L215" s="57">
        <v>0.36030000000000001</v>
      </c>
      <c r="M215" s="20">
        <v>3.1992880000000001</v>
      </c>
      <c r="N215" s="5" t="str">
        <f t="shared" si="9"/>
        <v>未买</v>
      </c>
      <c r="Q215" s="17">
        <v>213</v>
      </c>
    </row>
    <row r="216" spans="8:17" x14ac:dyDescent="0.15">
      <c r="H216" s="17">
        <v>214</v>
      </c>
      <c r="I216">
        <v>113013</v>
      </c>
      <c r="J216" t="s">
        <v>1823</v>
      </c>
      <c r="K216">
        <v>111.523</v>
      </c>
      <c r="L216" s="57">
        <v>0.36099999999999999</v>
      </c>
      <c r="M216" s="20">
        <v>69.901759999999996</v>
      </c>
      <c r="N216" s="5" t="str">
        <f t="shared" si="9"/>
        <v>未买</v>
      </c>
      <c r="Q216" s="17">
        <v>214</v>
      </c>
    </row>
    <row r="217" spans="8:17" x14ac:dyDescent="0.15">
      <c r="H217" s="17">
        <v>215</v>
      </c>
      <c r="I217">
        <v>128049</v>
      </c>
      <c r="J217" t="s">
        <v>189</v>
      </c>
      <c r="K217">
        <v>118.13800000000001</v>
      </c>
      <c r="L217" s="57">
        <v>0.36259999999999998</v>
      </c>
      <c r="M217" s="20">
        <v>3.6314389999999999</v>
      </c>
      <c r="N217" s="5" t="str">
        <f t="shared" si="9"/>
        <v>未买</v>
      </c>
      <c r="Q217" s="17">
        <v>215</v>
      </c>
    </row>
    <row r="218" spans="8:17" x14ac:dyDescent="0.15">
      <c r="H218" s="17">
        <v>216</v>
      </c>
      <c r="I218">
        <v>113016</v>
      </c>
      <c r="J218" t="s">
        <v>1972</v>
      </c>
      <c r="K218">
        <v>430.56799999999998</v>
      </c>
      <c r="L218" s="57">
        <v>0.36590000000000006</v>
      </c>
      <c r="M218" s="20">
        <v>2.06474</v>
      </c>
      <c r="N218" s="5" t="str">
        <f t="shared" si="9"/>
        <v>未买</v>
      </c>
      <c r="Q218" s="17">
        <v>216</v>
      </c>
    </row>
    <row r="219" spans="8:17" x14ac:dyDescent="0.15">
      <c r="H219" s="17">
        <v>217</v>
      </c>
      <c r="I219">
        <v>123142</v>
      </c>
      <c r="J219" t="s">
        <v>763</v>
      </c>
      <c r="K219">
        <v>126.998</v>
      </c>
      <c r="L219" s="57">
        <v>0.3669</v>
      </c>
      <c r="M219" s="20">
        <v>5.5</v>
      </c>
      <c r="N219" s="5" t="str">
        <f t="shared" si="9"/>
        <v>未买</v>
      </c>
      <c r="Q219" s="17">
        <v>217</v>
      </c>
    </row>
    <row r="220" spans="8:17" x14ac:dyDescent="0.15">
      <c r="H220" s="17">
        <v>218</v>
      </c>
      <c r="I220">
        <v>113047</v>
      </c>
      <c r="J220" t="s">
        <v>1820</v>
      </c>
      <c r="K220">
        <v>141.82499999999999</v>
      </c>
      <c r="L220" s="57">
        <v>0.36820000000000003</v>
      </c>
      <c r="M220" s="20">
        <v>14.98672</v>
      </c>
      <c r="N220" s="5" t="str">
        <f t="shared" si="9"/>
        <v>未买</v>
      </c>
      <c r="Q220" s="17">
        <v>218</v>
      </c>
    </row>
    <row r="221" spans="8:17" x14ac:dyDescent="0.15">
      <c r="H221" s="17">
        <v>219</v>
      </c>
      <c r="I221">
        <v>127042</v>
      </c>
      <c r="J221" t="s">
        <v>92</v>
      </c>
      <c r="K221">
        <v>113.492</v>
      </c>
      <c r="L221" s="57">
        <v>0.36869999999999997</v>
      </c>
      <c r="M221" s="20">
        <v>7.4982160000000002</v>
      </c>
      <c r="N221" s="5" t="str">
        <f t="shared" si="9"/>
        <v>未买</v>
      </c>
      <c r="Q221" s="17">
        <v>219</v>
      </c>
    </row>
    <row r="222" spans="8:17" x14ac:dyDescent="0.15">
      <c r="H222" s="17">
        <v>220</v>
      </c>
      <c r="I222">
        <v>113621</v>
      </c>
      <c r="J222" t="s">
        <v>229</v>
      </c>
      <c r="K222">
        <v>154.583</v>
      </c>
      <c r="L222" s="57">
        <v>0.36979999999999996</v>
      </c>
      <c r="M222" s="20">
        <v>5.3670088394000004</v>
      </c>
      <c r="N222" s="5" t="str">
        <f t="shared" si="9"/>
        <v>未买</v>
      </c>
      <c r="Q222" s="17">
        <v>220</v>
      </c>
    </row>
    <row r="223" spans="8:17" x14ac:dyDescent="0.15">
      <c r="H223" s="17">
        <v>221</v>
      </c>
      <c r="I223">
        <v>127054</v>
      </c>
      <c r="J223" t="s">
        <v>766</v>
      </c>
      <c r="K223">
        <v>117.929</v>
      </c>
      <c r="L223" s="57">
        <v>0.3735</v>
      </c>
      <c r="M223" s="20">
        <v>5.1362980000000009</v>
      </c>
      <c r="N223" s="5" t="str">
        <f t="shared" si="9"/>
        <v>未买</v>
      </c>
      <c r="Q223" s="17">
        <v>221</v>
      </c>
    </row>
    <row r="224" spans="8:17" x14ac:dyDescent="0.15">
      <c r="H224" s="17">
        <v>222</v>
      </c>
      <c r="I224">
        <v>110064</v>
      </c>
      <c r="J224" t="s">
        <v>1783</v>
      </c>
      <c r="K224">
        <v>117.958</v>
      </c>
      <c r="L224" s="57">
        <v>0.37560000000000004</v>
      </c>
      <c r="M224" s="20">
        <v>12.645949999999999</v>
      </c>
      <c r="N224" s="5" t="str">
        <f t="shared" si="9"/>
        <v>未买</v>
      </c>
      <c r="Q224" s="17">
        <v>222</v>
      </c>
    </row>
    <row r="225" spans="8:17" x14ac:dyDescent="0.15">
      <c r="H225" s="17">
        <v>223</v>
      </c>
      <c r="I225">
        <v>123134</v>
      </c>
      <c r="J225" t="s">
        <v>261</v>
      </c>
      <c r="K225">
        <v>166.4</v>
      </c>
      <c r="L225" s="57">
        <v>0.37969999999999998</v>
      </c>
      <c r="M225" s="20">
        <v>2.7871619999999999</v>
      </c>
      <c r="N225" s="5" t="str">
        <f t="shared" si="9"/>
        <v>未买</v>
      </c>
      <c r="Q225" s="17">
        <v>223</v>
      </c>
    </row>
    <row r="226" spans="8:17" x14ac:dyDescent="0.15">
      <c r="H226" s="17">
        <v>224</v>
      </c>
      <c r="I226">
        <v>127061</v>
      </c>
      <c r="J226" t="s">
        <v>1971</v>
      </c>
      <c r="K226">
        <v>117.3</v>
      </c>
      <c r="L226" s="57">
        <v>0.38109999999999999</v>
      </c>
      <c r="M226" s="20">
        <v>35.9</v>
      </c>
      <c r="N226" s="5" t="str">
        <f t="shared" si="9"/>
        <v>未买</v>
      </c>
      <c r="Q226" s="17">
        <v>224</v>
      </c>
    </row>
    <row r="227" spans="8:17" x14ac:dyDescent="0.15">
      <c r="H227" s="17">
        <v>225</v>
      </c>
      <c r="I227">
        <v>127031</v>
      </c>
      <c r="J227" t="s">
        <v>174</v>
      </c>
      <c r="K227">
        <v>128.9</v>
      </c>
      <c r="L227" s="57">
        <v>0.3851</v>
      </c>
      <c r="M227" s="20">
        <v>9.99939</v>
      </c>
      <c r="N227" s="5" t="str">
        <f t="shared" si="9"/>
        <v>未买</v>
      </c>
      <c r="Q227" s="17">
        <v>225</v>
      </c>
    </row>
    <row r="228" spans="8:17" x14ac:dyDescent="0.15">
      <c r="H228" s="17">
        <v>226</v>
      </c>
      <c r="I228">
        <v>127026</v>
      </c>
      <c r="J228" t="s">
        <v>217</v>
      </c>
      <c r="K228">
        <v>122.42700000000001</v>
      </c>
      <c r="L228" s="57">
        <v>0.38700000000000001</v>
      </c>
      <c r="M228" s="20">
        <v>6.99709</v>
      </c>
      <c r="N228" s="5" t="str">
        <f t="shared" si="9"/>
        <v>未买</v>
      </c>
      <c r="Q228" s="17">
        <v>226</v>
      </c>
    </row>
    <row r="229" spans="8:17" x14ac:dyDescent="0.15">
      <c r="H229" s="17">
        <v>227</v>
      </c>
      <c r="I229">
        <v>113602</v>
      </c>
      <c r="J229" t="s">
        <v>1831</v>
      </c>
      <c r="K229">
        <v>126.941</v>
      </c>
      <c r="L229" s="57">
        <v>0.3876</v>
      </c>
      <c r="M229" s="20">
        <v>17.798739999999999</v>
      </c>
      <c r="N229" s="5" t="str">
        <f t="shared" si="9"/>
        <v>未买</v>
      </c>
      <c r="Q229" s="17">
        <v>227</v>
      </c>
    </row>
    <row r="230" spans="8:17" x14ac:dyDescent="0.15">
      <c r="H230" s="17">
        <v>228</v>
      </c>
      <c r="I230">
        <v>128120</v>
      </c>
      <c r="J230" t="s">
        <v>113</v>
      </c>
      <c r="K230">
        <v>138.48400000000001</v>
      </c>
      <c r="L230" s="57">
        <v>0.38799999999999996</v>
      </c>
      <c r="M230" s="20">
        <v>2.5986929999999999</v>
      </c>
      <c r="N230" s="5" t="str">
        <f t="shared" si="9"/>
        <v>未买</v>
      </c>
      <c r="Q230" s="17">
        <v>228</v>
      </c>
    </row>
    <row r="231" spans="8:17" x14ac:dyDescent="0.15">
      <c r="H231" s="17">
        <v>229</v>
      </c>
      <c r="I231">
        <v>128071</v>
      </c>
      <c r="J231" t="s">
        <v>87</v>
      </c>
      <c r="K231">
        <v>117.33</v>
      </c>
      <c r="L231" s="57">
        <v>0.39</v>
      </c>
      <c r="M231" s="20">
        <v>2.999336</v>
      </c>
      <c r="N231" s="5" t="str">
        <f t="shared" si="9"/>
        <v>未买</v>
      </c>
      <c r="Q231" s="17">
        <v>229</v>
      </c>
    </row>
    <row r="232" spans="8:17" x14ac:dyDescent="0.15">
      <c r="H232" s="17">
        <v>230</v>
      </c>
      <c r="I232">
        <v>113628</v>
      </c>
      <c r="J232" t="s">
        <v>212</v>
      </c>
      <c r="K232">
        <v>115.18</v>
      </c>
      <c r="L232" s="57">
        <v>0.39039999999999997</v>
      </c>
      <c r="M232" s="20">
        <v>4.1497599999999997</v>
      </c>
      <c r="N232" s="5" t="str">
        <f t="shared" si="9"/>
        <v>未买</v>
      </c>
      <c r="Q232" s="17">
        <v>230</v>
      </c>
    </row>
    <row r="233" spans="8:17" x14ac:dyDescent="0.15">
      <c r="H233" s="17">
        <v>231</v>
      </c>
      <c r="I233">
        <v>113053</v>
      </c>
      <c r="J233" t="s">
        <v>1815</v>
      </c>
      <c r="K233">
        <v>132.654</v>
      </c>
      <c r="L233" s="57">
        <v>0.39079999999999998</v>
      </c>
      <c r="M233" s="20">
        <v>69.967070000000007</v>
      </c>
      <c r="N233" s="5" t="str">
        <f t="shared" si="9"/>
        <v>未买</v>
      </c>
      <c r="Q233" s="17">
        <v>231</v>
      </c>
    </row>
    <row r="234" spans="8:17" x14ac:dyDescent="0.15">
      <c r="H234" s="17">
        <v>232</v>
      </c>
      <c r="I234">
        <v>113030</v>
      </c>
      <c r="J234" t="s">
        <v>95</v>
      </c>
      <c r="K234">
        <v>124.89700000000001</v>
      </c>
      <c r="L234" s="57">
        <v>0.3921</v>
      </c>
      <c r="M234" s="20">
        <v>2.9504600000000001</v>
      </c>
      <c r="N234" s="5" t="str">
        <f t="shared" si="9"/>
        <v>未买</v>
      </c>
      <c r="Q234" s="17">
        <v>232</v>
      </c>
    </row>
    <row r="235" spans="8:17" x14ac:dyDescent="0.15">
      <c r="H235" s="17">
        <v>233</v>
      </c>
      <c r="I235">
        <v>128144</v>
      </c>
      <c r="J235" t="s">
        <v>210</v>
      </c>
      <c r="K235">
        <v>124</v>
      </c>
      <c r="L235" s="57">
        <v>0.39289999999999997</v>
      </c>
      <c r="M235" s="20">
        <v>9.7941579999999995</v>
      </c>
      <c r="N235" s="5" t="str">
        <f t="shared" si="9"/>
        <v>未买</v>
      </c>
      <c r="Q235" s="17">
        <v>233</v>
      </c>
    </row>
    <row r="236" spans="8:17" x14ac:dyDescent="0.15">
      <c r="H236" s="17">
        <v>234</v>
      </c>
      <c r="I236">
        <v>113619</v>
      </c>
      <c r="J236" t="s">
        <v>213</v>
      </c>
      <c r="K236">
        <v>129.33600000000001</v>
      </c>
      <c r="L236" s="57">
        <v>0.39520000000000005</v>
      </c>
      <c r="M236" s="20">
        <v>9.9967600000000001</v>
      </c>
      <c r="N236" s="5" t="str">
        <f t="shared" si="9"/>
        <v>未买</v>
      </c>
      <c r="Q236" s="17">
        <v>234</v>
      </c>
    </row>
    <row r="237" spans="8:17" x14ac:dyDescent="0.15">
      <c r="H237" s="17">
        <v>235</v>
      </c>
      <c r="I237">
        <v>113024</v>
      </c>
      <c r="J237" t="s">
        <v>1817</v>
      </c>
      <c r="K237">
        <v>117.684</v>
      </c>
      <c r="L237" s="57">
        <v>0.3957</v>
      </c>
      <c r="M237" s="20">
        <v>29.953790000000001</v>
      </c>
      <c r="N237" s="5" t="str">
        <f t="shared" si="9"/>
        <v>未买</v>
      </c>
      <c r="Q237" s="17">
        <v>235</v>
      </c>
    </row>
    <row r="238" spans="8:17" x14ac:dyDescent="0.15">
      <c r="H238" s="17">
        <v>236</v>
      </c>
      <c r="I238">
        <v>128143</v>
      </c>
      <c r="J238" t="s">
        <v>114</v>
      </c>
      <c r="K238">
        <v>136.1</v>
      </c>
      <c r="L238" s="57">
        <v>0.39750000000000002</v>
      </c>
      <c r="M238" s="20">
        <v>2.4419819999999999</v>
      </c>
      <c r="N238" s="5" t="str">
        <f t="shared" si="9"/>
        <v>未买</v>
      </c>
      <c r="Q238" s="17">
        <v>236</v>
      </c>
    </row>
    <row r="239" spans="8:17" x14ac:dyDescent="0.15">
      <c r="H239" s="17">
        <v>237</v>
      </c>
      <c r="I239">
        <v>113641</v>
      </c>
      <c r="J239" t="s">
        <v>1832</v>
      </c>
      <c r="K239">
        <v>131.72900000000001</v>
      </c>
      <c r="L239" s="57">
        <v>0.39990000000000003</v>
      </c>
      <c r="M239" s="20">
        <v>76</v>
      </c>
      <c r="N239" s="5" t="str">
        <f t="shared" si="9"/>
        <v>未买</v>
      </c>
      <c r="Q239" s="17">
        <v>237</v>
      </c>
    </row>
    <row r="240" spans="8:17" x14ac:dyDescent="0.15">
      <c r="H240" s="17">
        <v>238</v>
      </c>
      <c r="I240">
        <v>128033</v>
      </c>
      <c r="J240" t="s">
        <v>68</v>
      </c>
      <c r="K240">
        <v>122.5</v>
      </c>
      <c r="L240" s="57">
        <v>0.40139999999999998</v>
      </c>
      <c r="M240" s="20">
        <v>2.972985</v>
      </c>
      <c r="N240" s="5" t="str">
        <f t="shared" si="9"/>
        <v>未买</v>
      </c>
      <c r="Q240" s="17">
        <v>238</v>
      </c>
    </row>
    <row r="241" spans="8:17" x14ac:dyDescent="0.15">
      <c r="H241" s="17">
        <v>239</v>
      </c>
      <c r="I241">
        <v>128030</v>
      </c>
      <c r="J241" t="s">
        <v>1980</v>
      </c>
      <c r="K241">
        <v>214.45</v>
      </c>
      <c r="L241" s="57">
        <v>0.40310000000000001</v>
      </c>
      <c r="M241" s="20">
        <v>0.84722600000000003</v>
      </c>
      <c r="N241" s="5" t="str">
        <f t="shared" si="9"/>
        <v>未买</v>
      </c>
      <c r="Q241" s="17">
        <v>239</v>
      </c>
    </row>
    <row r="242" spans="8:17" x14ac:dyDescent="0.15">
      <c r="H242" s="17">
        <v>240</v>
      </c>
      <c r="I242">
        <v>123141</v>
      </c>
      <c r="J242" t="s">
        <v>771</v>
      </c>
      <c r="K242">
        <v>136.489</v>
      </c>
      <c r="L242" s="57">
        <v>0.40579999999999999</v>
      </c>
      <c r="M242" s="20">
        <v>3.2126000000000001</v>
      </c>
      <c r="N242" s="5" t="str">
        <f t="shared" si="9"/>
        <v>未买</v>
      </c>
      <c r="Q242" s="17">
        <v>240</v>
      </c>
    </row>
    <row r="243" spans="8:17" x14ac:dyDescent="0.15">
      <c r="H243" s="17">
        <v>241</v>
      </c>
      <c r="I243">
        <v>111001</v>
      </c>
      <c r="J243" t="s">
        <v>206</v>
      </c>
      <c r="K243">
        <v>122.246</v>
      </c>
      <c r="L243" s="57">
        <v>0.41149999999999998</v>
      </c>
      <c r="M243" s="20">
        <v>5.9993999999999996</v>
      </c>
      <c r="N243" s="5" t="str">
        <f t="shared" si="9"/>
        <v>未买</v>
      </c>
      <c r="Q243" s="17">
        <v>241</v>
      </c>
    </row>
    <row r="244" spans="8:17" x14ac:dyDescent="0.15">
      <c r="H244" s="17">
        <v>242</v>
      </c>
      <c r="I244">
        <v>127005</v>
      </c>
      <c r="J244" t="s">
        <v>1826</v>
      </c>
      <c r="K244">
        <v>114.599</v>
      </c>
      <c r="L244" s="57">
        <v>0.41289999999999999</v>
      </c>
      <c r="M244" s="20">
        <v>49.964174999999997</v>
      </c>
      <c r="N244" s="5" t="str">
        <f t="shared" si="9"/>
        <v>未买</v>
      </c>
      <c r="Q244" s="17">
        <v>242</v>
      </c>
    </row>
    <row r="245" spans="8:17" x14ac:dyDescent="0.15">
      <c r="H245" s="17">
        <v>243</v>
      </c>
      <c r="I245">
        <v>123025</v>
      </c>
      <c r="J245" t="s">
        <v>66</v>
      </c>
      <c r="K245">
        <v>137.5</v>
      </c>
      <c r="L245" s="57">
        <v>0.41450000000000004</v>
      </c>
      <c r="M245" s="20">
        <v>3.0864569999999998</v>
      </c>
      <c r="N245" s="5" t="str">
        <f t="shared" si="9"/>
        <v>未买</v>
      </c>
      <c r="Q245" s="17">
        <v>243</v>
      </c>
    </row>
    <row r="246" spans="8:17" x14ac:dyDescent="0.15">
      <c r="H246" s="17">
        <v>244</v>
      </c>
      <c r="I246">
        <v>123010</v>
      </c>
      <c r="J246" t="s">
        <v>182</v>
      </c>
      <c r="K246">
        <v>116.05200000000001</v>
      </c>
      <c r="L246" s="57">
        <v>0.41749999999999998</v>
      </c>
      <c r="M246" s="20">
        <v>4.2960060000000002</v>
      </c>
      <c r="N246" s="5" t="str">
        <f t="shared" si="9"/>
        <v>未买</v>
      </c>
      <c r="Q246" s="17">
        <v>244</v>
      </c>
    </row>
    <row r="247" spans="8:17" x14ac:dyDescent="0.15">
      <c r="H247" s="17">
        <v>245</v>
      </c>
      <c r="I247">
        <v>118008</v>
      </c>
      <c r="J247" t="s">
        <v>2018</v>
      </c>
      <c r="K247">
        <v>148.84899999999999</v>
      </c>
      <c r="L247" s="57">
        <v>0.42170000000000002</v>
      </c>
      <c r="M247" s="20">
        <v>6.94</v>
      </c>
      <c r="N247" s="5" t="str">
        <f t="shared" si="9"/>
        <v>未买</v>
      </c>
      <c r="Q247" s="17">
        <v>245</v>
      </c>
    </row>
    <row r="248" spans="8:17" x14ac:dyDescent="0.15">
      <c r="H248" s="17">
        <v>246</v>
      </c>
      <c r="I248">
        <v>113561</v>
      </c>
      <c r="J248" t="s">
        <v>85</v>
      </c>
      <c r="K248">
        <v>131.13300000000001</v>
      </c>
      <c r="L248" s="57">
        <v>0.42409999999999998</v>
      </c>
      <c r="M248" s="20">
        <v>1.49908</v>
      </c>
      <c r="N248" s="5" t="str">
        <f t="shared" si="9"/>
        <v>未买</v>
      </c>
      <c r="Q248" s="17">
        <v>246</v>
      </c>
    </row>
    <row r="249" spans="8:17" x14ac:dyDescent="0.15">
      <c r="H249" s="17">
        <v>247</v>
      </c>
      <c r="I249">
        <v>113565</v>
      </c>
      <c r="J249" t="s">
        <v>119</v>
      </c>
      <c r="K249">
        <v>124.723</v>
      </c>
      <c r="L249" s="57">
        <v>0.42430000000000001</v>
      </c>
      <c r="M249" s="20">
        <v>2.2490600000000001</v>
      </c>
      <c r="N249" s="5" t="str">
        <f t="shared" si="9"/>
        <v>Yes</v>
      </c>
      <c r="Q249" s="17">
        <v>247</v>
      </c>
    </row>
    <row r="250" spans="8:17" x14ac:dyDescent="0.15">
      <c r="H250" s="17">
        <v>248</v>
      </c>
      <c r="I250">
        <v>113054</v>
      </c>
      <c r="J250" t="s">
        <v>1830</v>
      </c>
      <c r="K250">
        <v>113.16</v>
      </c>
      <c r="L250" s="57">
        <v>0.42479999999999996</v>
      </c>
      <c r="M250" s="20">
        <v>23.6</v>
      </c>
      <c r="N250" s="5" t="str">
        <f t="shared" si="9"/>
        <v>未买</v>
      </c>
      <c r="Q250" s="17">
        <v>248</v>
      </c>
    </row>
    <row r="251" spans="8:17" x14ac:dyDescent="0.15">
      <c r="H251" s="17">
        <v>249</v>
      </c>
      <c r="I251">
        <v>110086</v>
      </c>
      <c r="J251" t="s">
        <v>1808</v>
      </c>
      <c r="K251">
        <v>121.5</v>
      </c>
      <c r="L251" s="57">
        <v>0.42810000000000004</v>
      </c>
      <c r="M251" s="20">
        <v>20</v>
      </c>
      <c r="N251" s="5" t="str">
        <f t="shared" si="9"/>
        <v>未买</v>
      </c>
      <c r="Q251" s="17">
        <v>249</v>
      </c>
    </row>
    <row r="252" spans="8:17" x14ac:dyDescent="0.15">
      <c r="H252" s="17">
        <v>250</v>
      </c>
      <c r="I252">
        <v>123014</v>
      </c>
      <c r="J252" t="s">
        <v>55</v>
      </c>
      <c r="K252">
        <v>149.6</v>
      </c>
      <c r="L252" s="57">
        <v>0.42840000000000006</v>
      </c>
      <c r="M252" s="20">
        <v>1.160315</v>
      </c>
      <c r="N252" s="5" t="str">
        <f t="shared" si="9"/>
        <v>未买</v>
      </c>
      <c r="Q252" s="17">
        <v>250</v>
      </c>
    </row>
    <row r="253" spans="8:17" x14ac:dyDescent="0.15">
      <c r="H253" s="17">
        <v>251</v>
      </c>
      <c r="I253">
        <v>123082</v>
      </c>
      <c r="J253" t="s">
        <v>74</v>
      </c>
      <c r="K253">
        <v>116.3</v>
      </c>
      <c r="L253" s="57">
        <v>0.42930000000000001</v>
      </c>
      <c r="M253" s="20">
        <v>4.9930050000000001</v>
      </c>
      <c r="N253" s="5" t="str">
        <f t="shared" si="9"/>
        <v>未买</v>
      </c>
      <c r="Q253" s="17">
        <v>251</v>
      </c>
    </row>
    <row r="254" spans="8:17" x14ac:dyDescent="0.15">
      <c r="H254" s="17">
        <v>252</v>
      </c>
      <c r="I254">
        <v>113643</v>
      </c>
      <c r="J254" t="s">
        <v>798</v>
      </c>
      <c r="K254">
        <v>123.52200000000001</v>
      </c>
      <c r="L254" s="57">
        <v>0.4335</v>
      </c>
      <c r="M254" s="20">
        <v>5</v>
      </c>
      <c r="N254" s="5" t="str">
        <f t="shared" si="9"/>
        <v>未买</v>
      </c>
      <c r="Q254" s="17">
        <v>252</v>
      </c>
    </row>
    <row r="255" spans="8:17" x14ac:dyDescent="0.15">
      <c r="H255" s="17">
        <v>253</v>
      </c>
      <c r="I255">
        <v>128129</v>
      </c>
      <c r="J255" t="s">
        <v>1822</v>
      </c>
      <c r="K255">
        <v>103.367</v>
      </c>
      <c r="L255" s="57">
        <v>0.43490000000000001</v>
      </c>
      <c r="M255" s="20">
        <v>49.997430999999999</v>
      </c>
      <c r="N255" s="5" t="str">
        <f t="shared" si="9"/>
        <v>未买</v>
      </c>
      <c r="Q255" s="17">
        <v>253</v>
      </c>
    </row>
    <row r="256" spans="8:17" x14ac:dyDescent="0.15">
      <c r="H256" s="17">
        <v>254</v>
      </c>
      <c r="I256">
        <v>113650</v>
      </c>
      <c r="J256" t="s">
        <v>2022</v>
      </c>
      <c r="K256">
        <v>126.489</v>
      </c>
      <c r="L256" s="57">
        <v>0.43700000000000006</v>
      </c>
      <c r="M256" s="20">
        <v>8</v>
      </c>
      <c r="N256" s="5" t="str">
        <f t="shared" si="9"/>
        <v>未买</v>
      </c>
      <c r="Q256" s="17">
        <v>254</v>
      </c>
    </row>
    <row r="257" spans="8:17" x14ac:dyDescent="0.15">
      <c r="H257" s="17">
        <v>255</v>
      </c>
      <c r="I257">
        <v>128039</v>
      </c>
      <c r="J257" t="s">
        <v>116</v>
      </c>
      <c r="K257">
        <v>126.113</v>
      </c>
      <c r="L257" s="57">
        <v>0.441</v>
      </c>
      <c r="M257" s="20">
        <v>2.0239690000000001</v>
      </c>
      <c r="N257" s="5" t="str">
        <f t="shared" si="9"/>
        <v>未买</v>
      </c>
      <c r="Q257" s="17">
        <v>255</v>
      </c>
    </row>
    <row r="258" spans="8:17" x14ac:dyDescent="0.15">
      <c r="H258" s="17">
        <v>256</v>
      </c>
      <c r="I258">
        <v>123002</v>
      </c>
      <c r="J258" t="s">
        <v>80</v>
      </c>
      <c r="K258">
        <v>118.96299999999999</v>
      </c>
      <c r="L258" s="57">
        <v>0.44159999999999999</v>
      </c>
      <c r="M258" s="20">
        <v>2.5214889999999999</v>
      </c>
      <c r="N258" s="5" t="str">
        <f t="shared" si="9"/>
        <v>未买</v>
      </c>
      <c r="Q258" s="17">
        <v>256</v>
      </c>
    </row>
    <row r="259" spans="8:17" x14ac:dyDescent="0.15">
      <c r="H259" s="17">
        <v>257</v>
      </c>
      <c r="I259">
        <v>118013</v>
      </c>
      <c r="J259" t="s">
        <v>2016</v>
      </c>
      <c r="K259">
        <v>137.78100000000001</v>
      </c>
      <c r="L259" s="57">
        <v>0.44170000000000004</v>
      </c>
      <c r="M259" s="20">
        <v>12.8</v>
      </c>
      <c r="N259" s="5" t="str">
        <f t="shared" si="9"/>
        <v>未买</v>
      </c>
      <c r="Q259" s="17">
        <v>257</v>
      </c>
    </row>
    <row r="260" spans="8:17" x14ac:dyDescent="0.15">
      <c r="H260" s="17">
        <v>258</v>
      </c>
      <c r="I260">
        <v>127055</v>
      </c>
      <c r="J260" t="s">
        <v>762</v>
      </c>
      <c r="K260">
        <v>122.70699999999999</v>
      </c>
      <c r="L260" s="57">
        <v>0.44229999999999997</v>
      </c>
      <c r="M260" s="20">
        <v>5.7699800000000003</v>
      </c>
      <c r="N260" s="5" t="str">
        <f t="shared" ref="N260:N323" si="10">IF(ISNA(MATCH(I260,$A$3:$A$1000,0)),"未买","Yes")</f>
        <v>未买</v>
      </c>
      <c r="Q260" s="17">
        <v>258</v>
      </c>
    </row>
    <row r="261" spans="8:17" x14ac:dyDescent="0.15">
      <c r="H261" s="17">
        <v>259</v>
      </c>
      <c r="I261">
        <v>118006</v>
      </c>
      <c r="J261" t="s">
        <v>791</v>
      </c>
      <c r="K261">
        <v>141.90899999999999</v>
      </c>
      <c r="L261" s="57">
        <v>0.44789999999999996</v>
      </c>
      <c r="M261" s="20">
        <v>3.8740000000000001</v>
      </c>
      <c r="N261" s="5" t="str">
        <f t="shared" si="10"/>
        <v>未买</v>
      </c>
      <c r="Q261" s="17">
        <v>259</v>
      </c>
    </row>
    <row r="262" spans="8:17" x14ac:dyDescent="0.15">
      <c r="H262" s="17">
        <v>260</v>
      </c>
      <c r="I262">
        <v>127022</v>
      </c>
      <c r="J262" t="s">
        <v>1819</v>
      </c>
      <c r="K262">
        <v>117.742</v>
      </c>
      <c r="L262" s="57">
        <v>0.45200000000000001</v>
      </c>
      <c r="M262" s="20">
        <v>19.998282</v>
      </c>
      <c r="N262" s="5" t="str">
        <f t="shared" si="10"/>
        <v>未买</v>
      </c>
      <c r="Q262" s="17">
        <v>260</v>
      </c>
    </row>
    <row r="263" spans="8:17" x14ac:dyDescent="0.15">
      <c r="H263" s="17">
        <v>261</v>
      </c>
      <c r="I263">
        <v>113059</v>
      </c>
      <c r="J263" t="s">
        <v>1977</v>
      </c>
      <c r="K263">
        <v>133.744</v>
      </c>
      <c r="L263" s="57">
        <v>0.45390000000000003</v>
      </c>
      <c r="M263" s="20">
        <v>40</v>
      </c>
      <c r="N263" s="5" t="str">
        <f t="shared" si="10"/>
        <v>未买</v>
      </c>
      <c r="Q263" s="17">
        <v>261</v>
      </c>
    </row>
    <row r="264" spans="8:17" x14ac:dyDescent="0.15">
      <c r="H264" s="17">
        <v>262</v>
      </c>
      <c r="I264">
        <v>123106</v>
      </c>
      <c r="J264" t="s">
        <v>63</v>
      </c>
      <c r="K264">
        <v>118.226</v>
      </c>
      <c r="L264" s="57">
        <v>0.45829999999999999</v>
      </c>
      <c r="M264" s="20">
        <v>3.199668</v>
      </c>
      <c r="N264" s="5" t="str">
        <f t="shared" si="10"/>
        <v>未买</v>
      </c>
      <c r="Q264" s="17">
        <v>262</v>
      </c>
    </row>
    <row r="265" spans="8:17" x14ac:dyDescent="0.15">
      <c r="H265" s="17">
        <v>263</v>
      </c>
      <c r="I265">
        <v>113588</v>
      </c>
      <c r="J265" t="s">
        <v>203</v>
      </c>
      <c r="K265">
        <v>114.895</v>
      </c>
      <c r="L265" s="57">
        <v>0.45950000000000002</v>
      </c>
      <c r="M265" s="20">
        <v>5.49885</v>
      </c>
      <c r="N265" s="5" t="str">
        <f t="shared" si="10"/>
        <v>未买</v>
      </c>
      <c r="Q265" s="17">
        <v>263</v>
      </c>
    </row>
    <row r="266" spans="8:17" x14ac:dyDescent="0.15">
      <c r="H266" s="17">
        <v>264</v>
      </c>
      <c r="I266">
        <v>123075</v>
      </c>
      <c r="J266" t="s">
        <v>69</v>
      </c>
      <c r="K266">
        <v>131.80099999999999</v>
      </c>
      <c r="L266" s="57">
        <v>0.45990000000000003</v>
      </c>
      <c r="M266" s="20">
        <v>5.996105</v>
      </c>
      <c r="N266" s="5" t="str">
        <f t="shared" si="10"/>
        <v>未买</v>
      </c>
      <c r="Q266" s="17">
        <v>264</v>
      </c>
    </row>
    <row r="267" spans="8:17" x14ac:dyDescent="0.15">
      <c r="H267" s="17">
        <v>265</v>
      </c>
      <c r="I267">
        <v>123115</v>
      </c>
      <c r="J267" t="s">
        <v>1848</v>
      </c>
      <c r="K267">
        <v>122.048</v>
      </c>
      <c r="L267" s="57">
        <v>0.46200000000000002</v>
      </c>
      <c r="M267" s="20">
        <v>11.946144</v>
      </c>
      <c r="N267" s="5" t="str">
        <f t="shared" si="10"/>
        <v>未买</v>
      </c>
      <c r="Q267" s="17">
        <v>265</v>
      </c>
    </row>
    <row r="268" spans="8:17" x14ac:dyDescent="0.15">
      <c r="H268" s="17">
        <v>266</v>
      </c>
      <c r="I268">
        <v>127033</v>
      </c>
      <c r="J268" t="s">
        <v>1807</v>
      </c>
      <c r="K268">
        <v>116.53100000000001</v>
      </c>
      <c r="L268" s="57">
        <v>0.46889999999999998</v>
      </c>
      <c r="M268" s="20">
        <v>11.594028</v>
      </c>
      <c r="N268" s="5" t="str">
        <f t="shared" si="10"/>
        <v>未买</v>
      </c>
      <c r="Q268" s="17">
        <v>266</v>
      </c>
    </row>
    <row r="269" spans="8:17" x14ac:dyDescent="0.15">
      <c r="H269" s="17">
        <v>267</v>
      </c>
      <c r="I269">
        <v>113046</v>
      </c>
      <c r="J269" t="s">
        <v>1847</v>
      </c>
      <c r="K269">
        <v>116.069</v>
      </c>
      <c r="L269" s="57">
        <v>0.47020000000000001</v>
      </c>
      <c r="M269" s="20">
        <v>14.998760000000001</v>
      </c>
      <c r="N269" s="5" t="str">
        <f t="shared" si="10"/>
        <v>未买</v>
      </c>
      <c r="Q269" s="17">
        <v>267</v>
      </c>
    </row>
    <row r="270" spans="8:17" x14ac:dyDescent="0.15">
      <c r="H270" s="17">
        <v>268</v>
      </c>
      <c r="I270">
        <v>111002</v>
      </c>
      <c r="J270" t="s">
        <v>230</v>
      </c>
      <c r="K270">
        <v>131.81299999999999</v>
      </c>
      <c r="L270" s="57">
        <v>0.4708</v>
      </c>
      <c r="M270" s="20">
        <v>6.6997299999999997</v>
      </c>
      <c r="N270" s="5" t="str">
        <f t="shared" si="10"/>
        <v>未买</v>
      </c>
      <c r="Q270" s="17">
        <v>268</v>
      </c>
    </row>
    <row r="271" spans="8:17" x14ac:dyDescent="0.15">
      <c r="H271" s="17">
        <v>269</v>
      </c>
      <c r="I271">
        <v>118000</v>
      </c>
      <c r="J271" t="s">
        <v>2020</v>
      </c>
      <c r="K271">
        <v>126.066</v>
      </c>
      <c r="L271" s="57">
        <v>0.47100000000000003</v>
      </c>
      <c r="M271" s="20">
        <v>9.7845700000000004</v>
      </c>
      <c r="N271" s="5" t="str">
        <f t="shared" si="10"/>
        <v>未买</v>
      </c>
      <c r="Q271" s="17">
        <v>269</v>
      </c>
    </row>
    <row r="272" spans="8:17" x14ac:dyDescent="0.15">
      <c r="H272" s="17">
        <v>270</v>
      </c>
      <c r="I272">
        <v>128097</v>
      </c>
      <c r="J272" t="s">
        <v>108</v>
      </c>
      <c r="K272">
        <v>116.931</v>
      </c>
      <c r="L272" s="57">
        <v>0.47470000000000001</v>
      </c>
      <c r="M272" s="20">
        <v>4.5856539999999999</v>
      </c>
      <c r="N272" s="5" t="str">
        <f t="shared" si="10"/>
        <v>未买</v>
      </c>
      <c r="Q272" s="17">
        <v>270</v>
      </c>
    </row>
    <row r="273" spans="8:17" x14ac:dyDescent="0.15">
      <c r="H273" s="17">
        <v>271</v>
      </c>
      <c r="I273">
        <v>123048</v>
      </c>
      <c r="J273" t="s">
        <v>218</v>
      </c>
      <c r="K273">
        <v>124.45</v>
      </c>
      <c r="L273" s="57">
        <v>0.47799999999999998</v>
      </c>
      <c r="M273" s="20">
        <v>3.7902360000000002</v>
      </c>
      <c r="N273" s="5" t="str">
        <f t="shared" si="10"/>
        <v>未买</v>
      </c>
      <c r="Q273" s="17">
        <v>271</v>
      </c>
    </row>
    <row r="274" spans="8:17" x14ac:dyDescent="0.15">
      <c r="H274" s="17">
        <v>272</v>
      </c>
      <c r="I274">
        <v>128117</v>
      </c>
      <c r="J274" t="s">
        <v>144</v>
      </c>
      <c r="K274">
        <v>136.02699999999999</v>
      </c>
      <c r="L274" s="57">
        <v>0.47899999999999998</v>
      </c>
      <c r="M274" s="20">
        <v>3.591961</v>
      </c>
      <c r="N274" s="5" t="str">
        <f t="shared" si="10"/>
        <v>未买</v>
      </c>
      <c r="Q274" s="17">
        <v>272</v>
      </c>
    </row>
    <row r="275" spans="8:17" x14ac:dyDescent="0.15">
      <c r="H275" s="17">
        <v>273</v>
      </c>
      <c r="I275">
        <v>111003</v>
      </c>
      <c r="J275" t="s">
        <v>802</v>
      </c>
      <c r="K275">
        <v>148.27000000000001</v>
      </c>
      <c r="L275" s="57">
        <v>0.48170000000000002</v>
      </c>
      <c r="M275" s="20">
        <v>2.04</v>
      </c>
      <c r="N275" s="5" t="str">
        <f t="shared" si="10"/>
        <v>未买</v>
      </c>
      <c r="Q275" s="17">
        <v>273</v>
      </c>
    </row>
    <row r="276" spans="8:17" x14ac:dyDescent="0.15">
      <c r="H276" s="17">
        <v>274</v>
      </c>
      <c r="I276">
        <v>127052</v>
      </c>
      <c r="J276" t="s">
        <v>1876</v>
      </c>
      <c r="K276">
        <v>125.051</v>
      </c>
      <c r="L276" s="57">
        <v>0.48219999999999996</v>
      </c>
      <c r="M276" s="20">
        <v>11.099717999999999</v>
      </c>
      <c r="N276" s="5" t="str">
        <f t="shared" si="10"/>
        <v>未买</v>
      </c>
      <c r="Q276" s="17">
        <v>274</v>
      </c>
    </row>
    <row r="277" spans="8:17" x14ac:dyDescent="0.15">
      <c r="H277" s="17">
        <v>275</v>
      </c>
      <c r="I277">
        <v>127062</v>
      </c>
      <c r="J277" t="s">
        <v>1856</v>
      </c>
      <c r="K277">
        <v>131.70599999999999</v>
      </c>
      <c r="L277" s="57">
        <v>0.48369999999999996</v>
      </c>
      <c r="M277" s="20">
        <v>3.9630000000000001</v>
      </c>
      <c r="N277" s="5" t="str">
        <f t="shared" si="10"/>
        <v>未买</v>
      </c>
      <c r="Q277" s="17">
        <v>275</v>
      </c>
    </row>
    <row r="278" spans="8:17" x14ac:dyDescent="0.15">
      <c r="H278" s="17">
        <v>276</v>
      </c>
      <c r="I278">
        <v>113037</v>
      </c>
      <c r="J278" t="s">
        <v>1833</v>
      </c>
      <c r="K278">
        <v>104.82899999999999</v>
      </c>
      <c r="L278" s="57">
        <v>0.48420000000000002</v>
      </c>
      <c r="M278" s="20">
        <v>44.996139999999997</v>
      </c>
      <c r="N278" s="5" t="str">
        <f t="shared" si="10"/>
        <v>未买</v>
      </c>
      <c r="Q278" s="17">
        <v>276</v>
      </c>
    </row>
    <row r="279" spans="8:17" x14ac:dyDescent="0.15">
      <c r="H279" s="17">
        <v>277</v>
      </c>
      <c r="I279">
        <v>128123</v>
      </c>
      <c r="J279" t="s">
        <v>153</v>
      </c>
      <c r="K279">
        <v>118.4</v>
      </c>
      <c r="L279" s="57">
        <v>0.48649999999999999</v>
      </c>
      <c r="M279" s="20">
        <v>3.1992060000000002</v>
      </c>
      <c r="N279" s="5" t="str">
        <f t="shared" si="10"/>
        <v>未买</v>
      </c>
      <c r="Q279" s="17">
        <v>277</v>
      </c>
    </row>
    <row r="280" spans="8:17" x14ac:dyDescent="0.15">
      <c r="H280" s="17">
        <v>278</v>
      </c>
      <c r="I280">
        <v>127017</v>
      </c>
      <c r="J280" t="s">
        <v>181</v>
      </c>
      <c r="K280">
        <v>118.9</v>
      </c>
      <c r="L280" s="57">
        <v>0.4874</v>
      </c>
      <c r="M280" s="20">
        <v>9.9959450000000007</v>
      </c>
      <c r="N280" s="5" t="str">
        <f t="shared" si="10"/>
        <v>未买</v>
      </c>
      <c r="Q280" s="17">
        <v>278</v>
      </c>
    </row>
    <row r="281" spans="8:17" x14ac:dyDescent="0.15">
      <c r="H281" s="17">
        <v>279</v>
      </c>
      <c r="I281">
        <v>123061</v>
      </c>
      <c r="J281" t="s">
        <v>94</v>
      </c>
      <c r="K281">
        <v>127.40300000000001</v>
      </c>
      <c r="L281" s="57">
        <v>0.4899</v>
      </c>
      <c r="M281" s="20">
        <v>2.49614</v>
      </c>
      <c r="N281" s="5" t="str">
        <f t="shared" si="10"/>
        <v>未买</v>
      </c>
      <c r="Q281" s="17">
        <v>279</v>
      </c>
    </row>
    <row r="282" spans="8:17" x14ac:dyDescent="0.15">
      <c r="H282" s="17">
        <v>280</v>
      </c>
      <c r="I282">
        <v>110058</v>
      </c>
      <c r="J282" t="s">
        <v>77</v>
      </c>
      <c r="K282">
        <v>123.581</v>
      </c>
      <c r="L282" s="57">
        <v>0.49</v>
      </c>
      <c r="M282" s="20">
        <v>2.6102099999999999</v>
      </c>
      <c r="N282" s="5" t="str">
        <f t="shared" si="10"/>
        <v>未买</v>
      </c>
      <c r="Q282" s="17">
        <v>280</v>
      </c>
    </row>
    <row r="283" spans="8:17" x14ac:dyDescent="0.15">
      <c r="H283" s="17">
        <v>281</v>
      </c>
      <c r="I283">
        <v>128036</v>
      </c>
      <c r="J283" t="s">
        <v>169</v>
      </c>
      <c r="K283">
        <v>146.05199999999999</v>
      </c>
      <c r="L283" s="57">
        <v>0.49280000000000002</v>
      </c>
      <c r="M283" s="20">
        <v>1.456431</v>
      </c>
      <c r="N283" s="5" t="str">
        <f t="shared" si="10"/>
        <v>Yes</v>
      </c>
      <c r="Q283" s="17">
        <v>281</v>
      </c>
    </row>
    <row r="284" spans="8:17" x14ac:dyDescent="0.15">
      <c r="H284" s="17">
        <v>282</v>
      </c>
      <c r="I284">
        <v>123059</v>
      </c>
      <c r="J284" t="s">
        <v>195</v>
      </c>
      <c r="K284">
        <v>119.07599999999999</v>
      </c>
      <c r="L284" s="57">
        <v>0.49520000000000003</v>
      </c>
      <c r="M284" s="20">
        <v>3.9124319999999999</v>
      </c>
      <c r="N284" s="5" t="str">
        <f t="shared" si="10"/>
        <v>未买</v>
      </c>
      <c r="Q284" s="17">
        <v>282</v>
      </c>
    </row>
    <row r="285" spans="8:17" x14ac:dyDescent="0.15">
      <c r="H285" s="17">
        <v>283</v>
      </c>
      <c r="I285">
        <v>110067</v>
      </c>
      <c r="J285" t="s">
        <v>1845</v>
      </c>
      <c r="K285">
        <v>110.32899999999999</v>
      </c>
      <c r="L285" s="57">
        <v>0.49719999999999998</v>
      </c>
      <c r="M285" s="20">
        <v>27.99503</v>
      </c>
      <c r="N285" s="5" t="str">
        <f t="shared" si="10"/>
        <v>未买</v>
      </c>
      <c r="Q285" s="17">
        <v>283</v>
      </c>
    </row>
    <row r="286" spans="8:17" x14ac:dyDescent="0.15">
      <c r="H286" s="17">
        <v>284</v>
      </c>
      <c r="I286">
        <v>123153</v>
      </c>
      <c r="J286" t="s">
        <v>2030</v>
      </c>
      <c r="K286">
        <v>139.69999999999999</v>
      </c>
      <c r="L286" s="57">
        <v>0.50070000000000003</v>
      </c>
      <c r="M286" s="20">
        <v>3.4</v>
      </c>
      <c r="N286" s="5" t="str">
        <f t="shared" si="10"/>
        <v>未买</v>
      </c>
      <c r="Q286" s="17">
        <v>284</v>
      </c>
    </row>
    <row r="287" spans="8:17" x14ac:dyDescent="0.15">
      <c r="H287" s="17">
        <v>285</v>
      </c>
      <c r="I287">
        <v>118009</v>
      </c>
      <c r="J287" t="s">
        <v>2025</v>
      </c>
      <c r="K287">
        <v>137.55500000000001</v>
      </c>
      <c r="L287" s="57">
        <v>0.505</v>
      </c>
      <c r="M287" s="20">
        <v>4</v>
      </c>
      <c r="N287" s="5" t="str">
        <f t="shared" si="10"/>
        <v>未买</v>
      </c>
      <c r="Q287" s="17">
        <v>285</v>
      </c>
    </row>
    <row r="288" spans="8:17" x14ac:dyDescent="0.15">
      <c r="H288" s="17">
        <v>286</v>
      </c>
      <c r="I288">
        <v>123131</v>
      </c>
      <c r="J288" t="s">
        <v>231</v>
      </c>
      <c r="K288">
        <v>124.979</v>
      </c>
      <c r="L288" s="57">
        <v>0.50800000000000001</v>
      </c>
      <c r="M288" s="20">
        <v>6.3497060000000003</v>
      </c>
      <c r="N288" s="5" t="str">
        <f t="shared" si="10"/>
        <v>未买</v>
      </c>
      <c r="Q288" s="17">
        <v>286</v>
      </c>
    </row>
    <row r="289" spans="8:17" x14ac:dyDescent="0.15">
      <c r="H289" s="17">
        <v>287</v>
      </c>
      <c r="I289">
        <v>113052</v>
      </c>
      <c r="J289" t="s">
        <v>1824</v>
      </c>
      <c r="K289">
        <v>109.693</v>
      </c>
      <c r="L289" s="57">
        <v>0.50859999999999994</v>
      </c>
      <c r="M289" s="20">
        <v>499.98768999999999</v>
      </c>
      <c r="N289" s="5" t="str">
        <f t="shared" si="10"/>
        <v>未买</v>
      </c>
      <c r="Q289" s="17">
        <v>287</v>
      </c>
    </row>
    <row r="290" spans="8:17" x14ac:dyDescent="0.15">
      <c r="H290" s="17">
        <v>288</v>
      </c>
      <c r="I290">
        <v>111005</v>
      </c>
      <c r="J290" t="s">
        <v>2026</v>
      </c>
      <c r="K290">
        <v>124.994</v>
      </c>
      <c r="L290" s="57">
        <v>0.51119999999999999</v>
      </c>
      <c r="M290" s="20">
        <v>5.7</v>
      </c>
      <c r="N290" s="5" t="str">
        <f t="shared" si="10"/>
        <v>未买</v>
      </c>
      <c r="Q290" s="17">
        <v>288</v>
      </c>
    </row>
    <row r="291" spans="8:17" x14ac:dyDescent="0.15">
      <c r="H291" s="17">
        <v>289</v>
      </c>
      <c r="I291">
        <v>113594</v>
      </c>
      <c r="J291" t="s">
        <v>75</v>
      </c>
      <c r="K291">
        <v>124.15</v>
      </c>
      <c r="L291" s="57">
        <v>0.51239999999999997</v>
      </c>
      <c r="M291" s="20">
        <v>2.9974099999999999</v>
      </c>
      <c r="N291" s="5" t="str">
        <f t="shared" si="10"/>
        <v>未买</v>
      </c>
      <c r="Q291" s="17">
        <v>289</v>
      </c>
    </row>
    <row r="292" spans="8:17" x14ac:dyDescent="0.15">
      <c r="H292" s="17">
        <v>290</v>
      </c>
      <c r="I292">
        <v>128078</v>
      </c>
      <c r="J292" t="s">
        <v>2024</v>
      </c>
      <c r="K292">
        <v>128.88</v>
      </c>
      <c r="L292" s="57">
        <v>0.51770000000000005</v>
      </c>
      <c r="M292" s="20">
        <v>9.5993570000000012</v>
      </c>
      <c r="N292" s="5" t="str">
        <f t="shared" si="10"/>
        <v>未买</v>
      </c>
      <c r="Q292" s="17">
        <v>290</v>
      </c>
    </row>
    <row r="293" spans="8:17" x14ac:dyDescent="0.15">
      <c r="H293" s="17">
        <v>291</v>
      </c>
      <c r="I293" s="7">
        <v>113519</v>
      </c>
      <c r="J293" s="7" t="s">
        <v>161</v>
      </c>
      <c r="K293" s="7">
        <v>119.011</v>
      </c>
      <c r="L293" s="58">
        <v>0.52249999999999996</v>
      </c>
      <c r="M293" s="32">
        <v>6.9610599999999998</v>
      </c>
      <c r="N293" s="5" t="str">
        <f t="shared" si="10"/>
        <v>未买</v>
      </c>
    </row>
    <row r="294" spans="8:17" x14ac:dyDescent="0.15">
      <c r="H294" s="17">
        <v>292</v>
      </c>
      <c r="I294" s="7">
        <v>128056</v>
      </c>
      <c r="J294" s="7" t="s">
        <v>78</v>
      </c>
      <c r="K294" s="7">
        <v>151.29</v>
      </c>
      <c r="L294" s="58">
        <v>0.52429999999999999</v>
      </c>
      <c r="M294" s="32">
        <v>1.722064</v>
      </c>
      <c r="N294" s="5" t="str">
        <f t="shared" si="10"/>
        <v>未买</v>
      </c>
    </row>
    <row r="295" spans="8:17" x14ac:dyDescent="0.15">
      <c r="H295" s="17">
        <v>293</v>
      </c>
      <c r="I295" s="7">
        <v>127034</v>
      </c>
      <c r="J295" s="7" t="s">
        <v>188</v>
      </c>
      <c r="K295" s="7">
        <v>106.77800000000001</v>
      </c>
      <c r="L295" s="58">
        <v>0.52469999999999994</v>
      </c>
      <c r="M295" s="32">
        <v>7.117737</v>
      </c>
      <c r="N295" s="5" t="str">
        <f t="shared" si="10"/>
        <v>未买</v>
      </c>
    </row>
    <row r="296" spans="8:17" x14ac:dyDescent="0.15">
      <c r="H296" s="17">
        <v>294</v>
      </c>
      <c r="I296" s="7">
        <v>128105</v>
      </c>
      <c r="J296" s="7" t="s">
        <v>173</v>
      </c>
      <c r="K296" s="7">
        <v>109.59</v>
      </c>
      <c r="L296" s="58">
        <v>0.52890000000000004</v>
      </c>
      <c r="M296" s="32">
        <v>7.9946400000000004</v>
      </c>
      <c r="N296" s="5" t="str">
        <f t="shared" si="10"/>
        <v>未买</v>
      </c>
    </row>
    <row r="297" spans="8:17" x14ac:dyDescent="0.15">
      <c r="H297" s="17">
        <v>295</v>
      </c>
      <c r="I297" s="7">
        <v>118007</v>
      </c>
      <c r="J297" s="7" t="s">
        <v>800</v>
      </c>
      <c r="K297" s="7">
        <v>135.52000000000001</v>
      </c>
      <c r="L297" s="58">
        <v>0.5292</v>
      </c>
      <c r="M297" s="32">
        <v>2.6743000000000001</v>
      </c>
      <c r="N297" s="5" t="str">
        <f t="shared" si="10"/>
        <v>未买</v>
      </c>
    </row>
    <row r="298" spans="8:17" x14ac:dyDescent="0.15">
      <c r="H298" s="17">
        <v>296</v>
      </c>
      <c r="I298" s="7">
        <v>128122</v>
      </c>
      <c r="J298" s="7" t="s">
        <v>187</v>
      </c>
      <c r="K298" s="7">
        <v>153.5</v>
      </c>
      <c r="L298" s="58">
        <v>0.52950000000000008</v>
      </c>
      <c r="M298" s="32">
        <v>2.6854209999999998</v>
      </c>
      <c r="N298" s="5" t="str">
        <f t="shared" si="10"/>
        <v>未买</v>
      </c>
    </row>
    <row r="299" spans="8:17" x14ac:dyDescent="0.15">
      <c r="H299" s="17">
        <v>297</v>
      </c>
      <c r="I299" s="7">
        <v>113644</v>
      </c>
      <c r="J299" s="7" t="s">
        <v>1843</v>
      </c>
      <c r="K299" s="7">
        <v>117.79300000000001</v>
      </c>
      <c r="L299" s="58">
        <v>0.53700000000000003</v>
      </c>
      <c r="M299" s="32">
        <v>10</v>
      </c>
      <c r="N299" s="5" t="str">
        <f t="shared" si="10"/>
        <v>未买</v>
      </c>
    </row>
    <row r="300" spans="8:17" x14ac:dyDescent="0.15">
      <c r="H300" s="17">
        <v>298</v>
      </c>
      <c r="I300" s="7">
        <v>127015</v>
      </c>
      <c r="J300" s="7" t="s">
        <v>156</v>
      </c>
      <c r="K300" s="7">
        <v>120.3</v>
      </c>
      <c r="L300" s="58">
        <v>0.53780000000000006</v>
      </c>
      <c r="M300" s="32">
        <v>9.4961059999999993</v>
      </c>
      <c r="N300" s="5" t="str">
        <f t="shared" si="10"/>
        <v>未买</v>
      </c>
    </row>
    <row r="301" spans="8:17" x14ac:dyDescent="0.15">
      <c r="H301" s="17">
        <v>299</v>
      </c>
      <c r="I301" s="7">
        <v>113056</v>
      </c>
      <c r="J301" s="7" t="s">
        <v>1836</v>
      </c>
      <c r="K301" s="7">
        <v>100.977</v>
      </c>
      <c r="L301" s="58">
        <v>0.53790000000000004</v>
      </c>
      <c r="M301" s="32">
        <v>130</v>
      </c>
      <c r="N301" s="5" t="str">
        <f t="shared" si="10"/>
        <v>未买</v>
      </c>
    </row>
    <row r="302" spans="8:17" x14ac:dyDescent="0.15">
      <c r="H302" s="17">
        <v>300</v>
      </c>
      <c r="I302" s="7">
        <v>128135</v>
      </c>
      <c r="J302" s="7" t="s">
        <v>1818</v>
      </c>
      <c r="K302" s="7">
        <v>123.57</v>
      </c>
      <c r="L302" s="58">
        <v>0.53959999999999997</v>
      </c>
      <c r="M302" s="32">
        <v>13.398605</v>
      </c>
      <c r="N302" s="5" t="str">
        <f t="shared" si="10"/>
        <v>未买</v>
      </c>
    </row>
    <row r="303" spans="8:17" x14ac:dyDescent="0.15">
      <c r="H303" s="17">
        <v>301</v>
      </c>
      <c r="I303" s="7">
        <v>110082</v>
      </c>
      <c r="J303" s="7" t="s">
        <v>1851</v>
      </c>
      <c r="K303" s="7">
        <v>124.664</v>
      </c>
      <c r="L303" s="58">
        <v>0.53979999999999995</v>
      </c>
      <c r="M303" s="32">
        <v>19.99597</v>
      </c>
      <c r="N303" s="5" t="str">
        <f t="shared" si="10"/>
        <v>未买</v>
      </c>
    </row>
    <row r="304" spans="8:17" x14ac:dyDescent="0.15">
      <c r="H304" s="17">
        <v>302</v>
      </c>
      <c r="I304" s="7">
        <v>123145</v>
      </c>
      <c r="J304" s="7" t="s">
        <v>1828</v>
      </c>
      <c r="K304" s="7">
        <v>131.69999999999999</v>
      </c>
      <c r="L304" s="58">
        <v>0.54289999999999994</v>
      </c>
      <c r="M304" s="32">
        <v>11.5</v>
      </c>
      <c r="N304" s="5" t="str">
        <f t="shared" si="10"/>
        <v>未买</v>
      </c>
    </row>
    <row r="305" spans="8:14" x14ac:dyDescent="0.15">
      <c r="H305" s="17">
        <v>303</v>
      </c>
      <c r="I305" s="7">
        <v>113049</v>
      </c>
      <c r="J305" s="7" t="s">
        <v>1813</v>
      </c>
      <c r="K305" s="7">
        <v>124.001</v>
      </c>
      <c r="L305" s="58">
        <v>0.54610000000000003</v>
      </c>
      <c r="M305" s="32">
        <v>34.95579</v>
      </c>
      <c r="N305" s="5" t="str">
        <f t="shared" si="10"/>
        <v>未买</v>
      </c>
    </row>
    <row r="306" spans="8:14" x14ac:dyDescent="0.15">
      <c r="H306" s="17">
        <v>304</v>
      </c>
      <c r="I306" s="7">
        <v>113058</v>
      </c>
      <c r="J306" s="7" t="s">
        <v>1814</v>
      </c>
      <c r="K306" s="7">
        <v>113.364</v>
      </c>
      <c r="L306" s="58">
        <v>0.5585</v>
      </c>
      <c r="M306" s="32">
        <v>20</v>
      </c>
      <c r="N306" s="5" t="str">
        <f t="shared" si="10"/>
        <v>未买</v>
      </c>
    </row>
    <row r="307" spans="8:14" x14ac:dyDescent="0.15">
      <c r="H307" s="17">
        <v>305</v>
      </c>
      <c r="I307" s="7">
        <v>113606</v>
      </c>
      <c r="J307" s="7" t="s">
        <v>196</v>
      </c>
      <c r="K307" s="7">
        <v>114.13800000000001</v>
      </c>
      <c r="L307" s="58">
        <v>0.56420000000000003</v>
      </c>
      <c r="M307" s="32">
        <v>5.9988700000000001</v>
      </c>
      <c r="N307" s="5" t="str">
        <f t="shared" si="10"/>
        <v>未买</v>
      </c>
    </row>
    <row r="308" spans="8:14" x14ac:dyDescent="0.15">
      <c r="H308" s="17">
        <v>306</v>
      </c>
      <c r="I308" s="7">
        <v>113604</v>
      </c>
      <c r="J308" s="7" t="s">
        <v>151</v>
      </c>
      <c r="K308" s="7">
        <v>112.64100000000001</v>
      </c>
      <c r="L308" s="58">
        <v>0.56820000000000004</v>
      </c>
      <c r="M308" s="32">
        <v>6.3985399999999997</v>
      </c>
      <c r="N308" s="5" t="str">
        <f t="shared" si="10"/>
        <v>未买</v>
      </c>
    </row>
    <row r="309" spans="8:14" x14ac:dyDescent="0.15">
      <c r="H309" s="17">
        <v>307</v>
      </c>
      <c r="I309" s="7">
        <v>113601</v>
      </c>
      <c r="J309" s="7" t="s">
        <v>64</v>
      </c>
      <c r="K309" s="7">
        <v>113.73699999999999</v>
      </c>
      <c r="L309" s="58">
        <v>0.57009999999999994</v>
      </c>
      <c r="M309" s="32">
        <v>5.4288100000000004</v>
      </c>
      <c r="N309" s="5" t="str">
        <f t="shared" si="10"/>
        <v>未买</v>
      </c>
    </row>
    <row r="310" spans="8:14" x14ac:dyDescent="0.15">
      <c r="H310" s="17">
        <v>308</v>
      </c>
      <c r="I310" s="7">
        <v>128132</v>
      </c>
      <c r="J310" s="7" t="s">
        <v>149</v>
      </c>
      <c r="K310" s="7">
        <v>117.7</v>
      </c>
      <c r="L310" s="58">
        <v>0.57179999999999997</v>
      </c>
      <c r="M310" s="32">
        <v>8.4894070000000017</v>
      </c>
      <c r="N310" s="5" t="str">
        <f t="shared" si="10"/>
        <v>未买</v>
      </c>
    </row>
    <row r="311" spans="8:14" x14ac:dyDescent="0.15">
      <c r="H311" s="17">
        <v>309</v>
      </c>
      <c r="I311" s="7">
        <v>123132</v>
      </c>
      <c r="J311" s="7" t="s">
        <v>235</v>
      </c>
      <c r="K311" s="7">
        <v>120.053</v>
      </c>
      <c r="L311" s="58">
        <v>0.57220000000000004</v>
      </c>
      <c r="M311" s="32">
        <v>6.9998389999999997</v>
      </c>
      <c r="N311" s="5" t="str">
        <f t="shared" si="10"/>
        <v>未买</v>
      </c>
    </row>
    <row r="312" spans="8:14" x14ac:dyDescent="0.15">
      <c r="H312" s="17">
        <v>310</v>
      </c>
      <c r="I312" s="7">
        <v>118005</v>
      </c>
      <c r="J312" s="7" t="s">
        <v>768</v>
      </c>
      <c r="K312" s="7">
        <v>133.70599999999999</v>
      </c>
      <c r="L312" s="58">
        <v>0.57320000000000004</v>
      </c>
      <c r="M312" s="32">
        <v>8.2996499999999997</v>
      </c>
      <c r="N312" s="5" t="str">
        <f t="shared" si="10"/>
        <v>未买</v>
      </c>
    </row>
    <row r="313" spans="8:14" x14ac:dyDescent="0.15">
      <c r="H313" s="17">
        <v>311</v>
      </c>
      <c r="I313" s="7">
        <v>127053</v>
      </c>
      <c r="J313" s="7" t="s">
        <v>774</v>
      </c>
      <c r="K313" s="7">
        <v>125.5</v>
      </c>
      <c r="L313" s="58">
        <v>0.57350000000000001</v>
      </c>
      <c r="M313" s="32">
        <v>8.2399199999999997</v>
      </c>
      <c r="N313" s="5" t="str">
        <f t="shared" si="10"/>
        <v>未买</v>
      </c>
    </row>
    <row r="314" spans="8:14" x14ac:dyDescent="0.15">
      <c r="H314" s="17">
        <v>312</v>
      </c>
      <c r="I314" s="7">
        <v>123090</v>
      </c>
      <c r="J314" s="7" t="s">
        <v>170</v>
      </c>
      <c r="K314" s="7">
        <v>122</v>
      </c>
      <c r="L314" s="58">
        <v>0.57700000000000007</v>
      </c>
      <c r="M314" s="32">
        <v>4.9994690000000004</v>
      </c>
      <c r="N314" s="5" t="str">
        <f t="shared" si="10"/>
        <v>未买</v>
      </c>
    </row>
    <row r="315" spans="8:14" x14ac:dyDescent="0.15">
      <c r="H315" s="17">
        <v>313</v>
      </c>
      <c r="I315" s="7">
        <v>127056</v>
      </c>
      <c r="J315" s="7" t="s">
        <v>1837</v>
      </c>
      <c r="K315" s="7">
        <v>119.133</v>
      </c>
      <c r="L315" s="58">
        <v>0.57710000000000006</v>
      </c>
      <c r="M315" s="32">
        <v>50</v>
      </c>
      <c r="N315" s="5" t="str">
        <f t="shared" si="10"/>
        <v>未买</v>
      </c>
    </row>
    <row r="316" spans="8:14" x14ac:dyDescent="0.15">
      <c r="H316" s="17">
        <v>314</v>
      </c>
      <c r="I316" s="7">
        <v>123054</v>
      </c>
      <c r="J316" s="7" t="s">
        <v>81</v>
      </c>
      <c r="K316" s="7">
        <v>135.19</v>
      </c>
      <c r="L316" s="58">
        <v>0.58009999999999995</v>
      </c>
      <c r="M316" s="32">
        <v>2.0730419999999996</v>
      </c>
      <c r="N316" s="5" t="str">
        <f t="shared" si="10"/>
        <v>未买</v>
      </c>
    </row>
    <row r="317" spans="8:14" x14ac:dyDescent="0.15">
      <c r="H317" s="17">
        <v>315</v>
      </c>
      <c r="I317" s="7">
        <v>128070</v>
      </c>
      <c r="J317" s="7" t="s">
        <v>154</v>
      </c>
      <c r="K317" s="7">
        <v>144</v>
      </c>
      <c r="L317" s="58">
        <v>0.5847</v>
      </c>
      <c r="M317" s="32">
        <v>2.2944810000000002</v>
      </c>
      <c r="N317" s="5" t="str">
        <f t="shared" si="10"/>
        <v>未买</v>
      </c>
    </row>
    <row r="318" spans="8:14" x14ac:dyDescent="0.15">
      <c r="H318" s="17">
        <v>316</v>
      </c>
      <c r="I318" s="7">
        <v>113652</v>
      </c>
      <c r="J318" s="7" t="s">
        <v>2029</v>
      </c>
      <c r="K318" s="7">
        <v>129.005</v>
      </c>
      <c r="L318" s="58">
        <v>0.58479999999999999</v>
      </c>
      <c r="M318" s="32">
        <v>14.77</v>
      </c>
      <c r="N318" s="5" t="str">
        <f t="shared" si="10"/>
        <v>未买</v>
      </c>
    </row>
    <row r="319" spans="8:14" x14ac:dyDescent="0.15">
      <c r="H319" s="17">
        <v>317</v>
      </c>
      <c r="I319" s="7">
        <v>113639</v>
      </c>
      <c r="J319" s="7" t="s">
        <v>773</v>
      </c>
      <c r="K319" s="7">
        <v>116.596</v>
      </c>
      <c r="L319" s="58">
        <v>0.58760000000000001</v>
      </c>
      <c r="M319" s="32">
        <v>5.6997200000000001</v>
      </c>
      <c r="N319" s="5" t="str">
        <f t="shared" si="10"/>
        <v>未买</v>
      </c>
    </row>
    <row r="320" spans="8:14" x14ac:dyDescent="0.15">
      <c r="H320" s="17">
        <v>318</v>
      </c>
      <c r="I320" s="7">
        <v>128134</v>
      </c>
      <c r="J320" s="7" t="s">
        <v>1812</v>
      </c>
      <c r="K320" s="7">
        <v>123.39100000000001</v>
      </c>
      <c r="L320" s="58">
        <v>0.58820000000000006</v>
      </c>
      <c r="M320" s="32">
        <v>15.728194999999999</v>
      </c>
      <c r="N320" s="5" t="str">
        <f t="shared" si="10"/>
        <v>未买</v>
      </c>
    </row>
    <row r="321" spans="8:14" x14ac:dyDescent="0.15">
      <c r="H321" s="17">
        <v>319</v>
      </c>
      <c r="I321" s="7">
        <v>113610</v>
      </c>
      <c r="J321" s="7" t="s">
        <v>109</v>
      </c>
      <c r="K321" s="7">
        <v>114.774</v>
      </c>
      <c r="L321" s="58">
        <v>0.59079999999999999</v>
      </c>
      <c r="M321" s="32">
        <v>4.5794100000000002</v>
      </c>
      <c r="N321" s="5" t="str">
        <f t="shared" si="10"/>
        <v>未买</v>
      </c>
    </row>
    <row r="322" spans="8:14" x14ac:dyDescent="0.15">
      <c r="H322" s="17">
        <v>320</v>
      </c>
      <c r="I322" s="7">
        <v>123140</v>
      </c>
      <c r="J322" s="7" t="s">
        <v>772</v>
      </c>
      <c r="K322" s="7">
        <v>159.37799999999999</v>
      </c>
      <c r="L322" s="58">
        <v>0.59119999999999995</v>
      </c>
      <c r="M322" s="32">
        <v>1.72</v>
      </c>
      <c r="N322" s="5" t="str">
        <f t="shared" si="10"/>
        <v>未买</v>
      </c>
    </row>
    <row r="323" spans="8:14" x14ac:dyDescent="0.15">
      <c r="H323" s="17">
        <v>321</v>
      </c>
      <c r="I323" s="7">
        <v>128063</v>
      </c>
      <c r="J323" s="7" t="s">
        <v>190</v>
      </c>
      <c r="K323" s="7">
        <v>120.04900000000001</v>
      </c>
      <c r="L323" s="58">
        <v>0.59509999999999996</v>
      </c>
      <c r="M323" s="32">
        <v>6.2925449999999996</v>
      </c>
      <c r="N323" s="5" t="str">
        <f t="shared" si="10"/>
        <v>未买</v>
      </c>
    </row>
    <row r="324" spans="8:14" x14ac:dyDescent="0.15">
      <c r="H324" s="17">
        <v>322</v>
      </c>
      <c r="I324" s="7">
        <v>113527</v>
      </c>
      <c r="J324" s="7" t="s">
        <v>115</v>
      </c>
      <c r="K324" s="7">
        <v>121.542</v>
      </c>
      <c r="L324" s="58">
        <v>0.59709999999999996</v>
      </c>
      <c r="M324" s="32">
        <v>2.8627699999999998</v>
      </c>
      <c r="N324" s="5" t="str">
        <f t="shared" ref="N324:N387" si="11">IF(ISNA(MATCH(I324,$A$3:$A$1000,0)),"未买","Yes")</f>
        <v>未买</v>
      </c>
    </row>
    <row r="325" spans="8:14" x14ac:dyDescent="0.15">
      <c r="H325" s="17">
        <v>323</v>
      </c>
      <c r="I325" s="7">
        <v>118010</v>
      </c>
      <c r="J325" s="7" t="s">
        <v>2028</v>
      </c>
      <c r="K325" s="7">
        <v>127.096</v>
      </c>
      <c r="L325" s="58">
        <v>0.59750000000000003</v>
      </c>
      <c r="M325" s="32">
        <v>4.4000000000000004</v>
      </c>
      <c r="N325" s="5" t="str">
        <f t="shared" si="11"/>
        <v>未买</v>
      </c>
    </row>
    <row r="326" spans="8:14" x14ac:dyDescent="0.15">
      <c r="H326" s="17">
        <v>324</v>
      </c>
      <c r="I326" s="7">
        <v>127066</v>
      </c>
      <c r="J326" s="7" t="s">
        <v>2027</v>
      </c>
      <c r="K326" s="7">
        <v>134.501</v>
      </c>
      <c r="L326" s="58">
        <v>0.59829999999999994</v>
      </c>
      <c r="M326" s="32">
        <v>15.343705</v>
      </c>
      <c r="N326" s="5" t="str">
        <f t="shared" si="11"/>
        <v>未买</v>
      </c>
    </row>
    <row r="327" spans="8:14" x14ac:dyDescent="0.15">
      <c r="H327" s="17">
        <v>325</v>
      </c>
      <c r="I327" s="7">
        <v>128053</v>
      </c>
      <c r="J327" s="7" t="s">
        <v>61</v>
      </c>
      <c r="K327" s="7">
        <v>136.62</v>
      </c>
      <c r="L327" s="58">
        <v>0.5988</v>
      </c>
      <c r="M327" s="32">
        <v>1.9001300000000001</v>
      </c>
      <c r="N327" s="5" t="str">
        <f t="shared" si="11"/>
        <v>Yes</v>
      </c>
    </row>
    <row r="328" spans="8:14" x14ac:dyDescent="0.15">
      <c r="H328" s="17">
        <v>326</v>
      </c>
      <c r="I328" s="7">
        <v>110045</v>
      </c>
      <c r="J328" s="7" t="s">
        <v>1838</v>
      </c>
      <c r="K328" s="7">
        <v>109.44</v>
      </c>
      <c r="L328" s="58">
        <v>0.60589999999999999</v>
      </c>
      <c r="M328" s="32">
        <v>29.49615</v>
      </c>
      <c r="N328" s="5" t="str">
        <f t="shared" si="11"/>
        <v>未买</v>
      </c>
    </row>
    <row r="329" spans="8:14" x14ac:dyDescent="0.15">
      <c r="H329" s="17">
        <v>327</v>
      </c>
      <c r="I329" s="7">
        <v>113530</v>
      </c>
      <c r="J329" s="7" t="s">
        <v>177</v>
      </c>
      <c r="K329" s="7">
        <v>118.065</v>
      </c>
      <c r="L329" s="58">
        <v>0.60960000000000003</v>
      </c>
      <c r="M329" s="32">
        <v>6.2976000000000001</v>
      </c>
      <c r="N329" s="5" t="str">
        <f t="shared" si="11"/>
        <v>未买</v>
      </c>
    </row>
    <row r="330" spans="8:14" x14ac:dyDescent="0.15">
      <c r="H330" s="17">
        <v>328</v>
      </c>
      <c r="I330" s="7">
        <v>113563</v>
      </c>
      <c r="J330" s="7" t="s">
        <v>155</v>
      </c>
      <c r="K330" s="7">
        <v>113.042</v>
      </c>
      <c r="L330" s="58">
        <v>0.61119999999999997</v>
      </c>
      <c r="M330" s="32">
        <v>8.0190199999999994</v>
      </c>
      <c r="N330" s="5" t="str">
        <f t="shared" si="11"/>
        <v>未买</v>
      </c>
    </row>
    <row r="331" spans="8:14" x14ac:dyDescent="0.15">
      <c r="H331" s="17">
        <v>329</v>
      </c>
      <c r="I331" s="7">
        <v>127025</v>
      </c>
      <c r="J331" s="7" t="s">
        <v>1829</v>
      </c>
      <c r="K331" s="7">
        <v>113.107</v>
      </c>
      <c r="L331" s="58">
        <v>0.61260000000000003</v>
      </c>
      <c r="M331" s="32">
        <v>17.76455</v>
      </c>
      <c r="N331" s="5" t="str">
        <f t="shared" si="11"/>
        <v>未买</v>
      </c>
    </row>
    <row r="332" spans="8:14" x14ac:dyDescent="0.15">
      <c r="H332" s="17">
        <v>330</v>
      </c>
      <c r="I332" s="7">
        <v>110073</v>
      </c>
      <c r="J332" s="7" t="s">
        <v>1852</v>
      </c>
      <c r="K332" s="7">
        <v>106.17</v>
      </c>
      <c r="L332" s="58">
        <v>0.61499999999999999</v>
      </c>
      <c r="M332" s="32">
        <v>79.993160000000003</v>
      </c>
      <c r="N332" s="5" t="str">
        <f t="shared" si="11"/>
        <v>未买</v>
      </c>
    </row>
    <row r="333" spans="8:14" x14ac:dyDescent="0.15">
      <c r="H333" s="17">
        <v>331</v>
      </c>
      <c r="I333" s="7">
        <v>123038</v>
      </c>
      <c r="J333" s="7" t="s">
        <v>73</v>
      </c>
      <c r="K333" s="7">
        <v>145.452</v>
      </c>
      <c r="L333" s="58">
        <v>0.6179</v>
      </c>
      <c r="M333" s="32">
        <v>1.472628</v>
      </c>
      <c r="N333" s="5" t="str">
        <f t="shared" si="11"/>
        <v>未买</v>
      </c>
    </row>
    <row r="334" spans="8:14" x14ac:dyDescent="0.15">
      <c r="H334" s="17">
        <v>332</v>
      </c>
      <c r="I334" s="7">
        <v>110072</v>
      </c>
      <c r="J334" s="7" t="s">
        <v>1835</v>
      </c>
      <c r="K334" s="7">
        <v>100.563</v>
      </c>
      <c r="L334" s="58">
        <v>0.62749999999999995</v>
      </c>
      <c r="M334" s="32">
        <v>33.662350000000004</v>
      </c>
      <c r="N334" s="5" t="str">
        <f t="shared" si="11"/>
        <v>未买</v>
      </c>
    </row>
    <row r="335" spans="8:14" x14ac:dyDescent="0.15">
      <c r="H335" s="17">
        <v>333</v>
      </c>
      <c r="I335" s="7">
        <v>113021</v>
      </c>
      <c r="J335" s="7" t="s">
        <v>1846</v>
      </c>
      <c r="K335" s="7">
        <v>110.35599999999999</v>
      </c>
      <c r="L335" s="58">
        <v>0.63129999999999997</v>
      </c>
      <c r="M335" s="32">
        <v>399.99664999999999</v>
      </c>
      <c r="N335" s="5" t="str">
        <f t="shared" si="11"/>
        <v>未买</v>
      </c>
    </row>
    <row r="336" spans="8:14" x14ac:dyDescent="0.15">
      <c r="H336" s="17">
        <v>334</v>
      </c>
      <c r="I336" s="7">
        <v>113566</v>
      </c>
      <c r="J336" s="7" t="s">
        <v>180</v>
      </c>
      <c r="K336" s="7">
        <v>126.03</v>
      </c>
      <c r="L336" s="58">
        <v>0.63149999999999995</v>
      </c>
      <c r="M336" s="32">
        <v>1.6127199999999999</v>
      </c>
      <c r="N336" s="5" t="str">
        <f t="shared" si="11"/>
        <v>未买</v>
      </c>
    </row>
    <row r="337" spans="8:14" x14ac:dyDescent="0.15">
      <c r="H337" s="17">
        <v>335</v>
      </c>
      <c r="I337" s="7">
        <v>128015</v>
      </c>
      <c r="J337" s="7" t="s">
        <v>152</v>
      </c>
      <c r="K337" s="7">
        <v>114.69</v>
      </c>
      <c r="L337" s="58">
        <v>0.64480000000000004</v>
      </c>
      <c r="M337" s="32">
        <v>7.7922669999999998</v>
      </c>
      <c r="N337" s="5" t="str">
        <f t="shared" si="11"/>
        <v>未买</v>
      </c>
    </row>
    <row r="338" spans="8:14" x14ac:dyDescent="0.15">
      <c r="H338" s="17">
        <v>336</v>
      </c>
      <c r="I338" s="7">
        <v>113535</v>
      </c>
      <c r="J338" s="7" t="s">
        <v>201</v>
      </c>
      <c r="K338" s="7">
        <v>113.998</v>
      </c>
      <c r="L338" s="58">
        <v>0.64829999999999999</v>
      </c>
      <c r="M338" s="32">
        <v>4.9961099999999998</v>
      </c>
      <c r="N338" s="5" t="str">
        <f t="shared" si="11"/>
        <v>未买</v>
      </c>
    </row>
    <row r="339" spans="8:14" x14ac:dyDescent="0.15">
      <c r="H339" s="17">
        <v>337</v>
      </c>
      <c r="I339" s="7">
        <v>123122</v>
      </c>
      <c r="J339" s="7" t="s">
        <v>164</v>
      </c>
      <c r="K339" s="7">
        <v>123.801</v>
      </c>
      <c r="L339" s="58">
        <v>0.6502</v>
      </c>
      <c r="M339" s="32">
        <v>5.8063779999999996</v>
      </c>
      <c r="N339" s="5" t="str">
        <f t="shared" si="11"/>
        <v>未买</v>
      </c>
    </row>
    <row r="340" spans="8:14" x14ac:dyDescent="0.15">
      <c r="H340" s="17">
        <v>338</v>
      </c>
      <c r="I340" s="7">
        <v>113638</v>
      </c>
      <c r="J340" s="7" t="s">
        <v>258</v>
      </c>
      <c r="K340" s="7">
        <v>124.92400000000001</v>
      </c>
      <c r="L340" s="58">
        <v>0.65049999999999997</v>
      </c>
      <c r="M340" s="32">
        <v>5.9998800000000001</v>
      </c>
      <c r="N340" s="5" t="str">
        <f t="shared" si="11"/>
        <v>未买</v>
      </c>
    </row>
    <row r="341" spans="8:14" x14ac:dyDescent="0.15">
      <c r="H341" s="17">
        <v>339</v>
      </c>
      <c r="I341" s="7">
        <v>128072</v>
      </c>
      <c r="J341" s="7" t="s">
        <v>145</v>
      </c>
      <c r="K341" s="7">
        <v>127.32</v>
      </c>
      <c r="L341" s="58">
        <v>0.65349999999999997</v>
      </c>
      <c r="M341" s="32">
        <v>3.0178639999999999</v>
      </c>
      <c r="N341" s="5" t="str">
        <f t="shared" si="11"/>
        <v>未买</v>
      </c>
    </row>
    <row r="342" spans="8:14" x14ac:dyDescent="0.15">
      <c r="H342" s="17">
        <v>340</v>
      </c>
      <c r="I342" s="7">
        <v>113579</v>
      </c>
      <c r="J342" s="7" t="s">
        <v>105</v>
      </c>
      <c r="K342" s="7">
        <v>121.093</v>
      </c>
      <c r="L342" s="58">
        <v>0.65650000000000008</v>
      </c>
      <c r="M342" s="32">
        <v>5.0250300000000001</v>
      </c>
      <c r="N342" s="5" t="str">
        <f t="shared" si="11"/>
        <v>未买</v>
      </c>
    </row>
    <row r="343" spans="8:14" x14ac:dyDescent="0.15">
      <c r="H343" s="17">
        <v>341</v>
      </c>
      <c r="I343" s="7">
        <v>113542</v>
      </c>
      <c r="J343" s="7" t="s">
        <v>165</v>
      </c>
      <c r="K343" s="7">
        <v>111.807</v>
      </c>
      <c r="L343" s="58">
        <v>0.65859999999999996</v>
      </c>
      <c r="M343" s="32">
        <v>6.02719</v>
      </c>
      <c r="N343" s="5" t="str">
        <f t="shared" si="11"/>
        <v>未买</v>
      </c>
    </row>
    <row r="344" spans="8:14" x14ac:dyDescent="0.15">
      <c r="H344" s="17">
        <v>342</v>
      </c>
      <c r="I344" s="7">
        <v>127006</v>
      </c>
      <c r="J344" s="7" t="s">
        <v>1841</v>
      </c>
      <c r="K344" s="7">
        <v>118.19499999999999</v>
      </c>
      <c r="L344" s="58">
        <v>0.65890000000000004</v>
      </c>
      <c r="M344" s="32">
        <v>24.072220000000002</v>
      </c>
      <c r="N344" s="5" t="str">
        <f t="shared" si="11"/>
        <v>未买</v>
      </c>
    </row>
    <row r="345" spans="8:14" x14ac:dyDescent="0.15">
      <c r="H345" s="17">
        <v>343</v>
      </c>
      <c r="I345" s="7">
        <v>123136</v>
      </c>
      <c r="J345" s="7" t="s">
        <v>255</v>
      </c>
      <c r="K345" s="7">
        <v>136.85</v>
      </c>
      <c r="L345" s="58">
        <v>0.66079999999999994</v>
      </c>
      <c r="M345" s="32">
        <v>4.5979130000000001</v>
      </c>
      <c r="N345" s="5" t="str">
        <f t="shared" si="11"/>
        <v>未买</v>
      </c>
    </row>
    <row r="346" spans="8:14" x14ac:dyDescent="0.15">
      <c r="H346" s="17">
        <v>344</v>
      </c>
      <c r="I346" s="7">
        <v>123109</v>
      </c>
      <c r="J346" s="7" t="s">
        <v>1981</v>
      </c>
      <c r="K346" s="7">
        <v>118.76</v>
      </c>
      <c r="L346" s="58">
        <v>0.66379999999999995</v>
      </c>
      <c r="M346" s="32">
        <v>4.5955410000000008</v>
      </c>
      <c r="N346" s="5" t="str">
        <f t="shared" si="11"/>
        <v>未买</v>
      </c>
    </row>
    <row r="347" spans="8:14" x14ac:dyDescent="0.15">
      <c r="H347" s="17">
        <v>345</v>
      </c>
      <c r="I347" s="7">
        <v>127051</v>
      </c>
      <c r="J347" s="7" t="s">
        <v>236</v>
      </c>
      <c r="K347" s="7">
        <v>119.801</v>
      </c>
      <c r="L347" s="58">
        <v>0.66849999999999998</v>
      </c>
      <c r="M347" s="32">
        <v>5.25976</v>
      </c>
      <c r="N347" s="5" t="str">
        <f t="shared" si="11"/>
        <v>未买</v>
      </c>
    </row>
    <row r="348" spans="8:14" x14ac:dyDescent="0.15">
      <c r="H348" s="17">
        <v>346</v>
      </c>
      <c r="I348" s="7">
        <v>113043</v>
      </c>
      <c r="J348" s="7" t="s">
        <v>1853</v>
      </c>
      <c r="K348" s="7">
        <v>109.25</v>
      </c>
      <c r="L348" s="58">
        <v>0.6715000000000001</v>
      </c>
      <c r="M348" s="32">
        <v>37.997570000000003</v>
      </c>
      <c r="N348" s="5" t="str">
        <f t="shared" si="11"/>
        <v>未买</v>
      </c>
    </row>
    <row r="349" spans="8:14" x14ac:dyDescent="0.15">
      <c r="H349" s="17">
        <v>347</v>
      </c>
      <c r="I349" s="7">
        <v>123128</v>
      </c>
      <c r="J349" s="7" t="s">
        <v>1865</v>
      </c>
      <c r="K349" s="7">
        <v>109</v>
      </c>
      <c r="L349" s="58">
        <v>0.67510000000000003</v>
      </c>
      <c r="M349" s="32">
        <v>13.794155999999999</v>
      </c>
      <c r="N349" s="5" t="str">
        <f t="shared" si="11"/>
        <v>未买</v>
      </c>
    </row>
    <row r="350" spans="8:14" x14ac:dyDescent="0.15">
      <c r="H350" s="17">
        <v>348</v>
      </c>
      <c r="I350" s="7">
        <v>128026</v>
      </c>
      <c r="J350" s="7" t="s">
        <v>178</v>
      </c>
      <c r="K350" s="7">
        <v>108.86199999999999</v>
      </c>
      <c r="L350" s="58">
        <v>0.67689999999999995</v>
      </c>
      <c r="M350" s="32">
        <v>4.0878940000000004</v>
      </c>
      <c r="N350" s="5" t="str">
        <f t="shared" si="11"/>
        <v>未买</v>
      </c>
    </row>
    <row r="351" spans="8:14" x14ac:dyDescent="0.15">
      <c r="H351" s="17">
        <v>349</v>
      </c>
      <c r="I351" s="7">
        <v>123049</v>
      </c>
      <c r="J351" s="7" t="s">
        <v>179</v>
      </c>
      <c r="K351" s="7">
        <v>112.2</v>
      </c>
      <c r="L351" s="58">
        <v>0.69459999999999988</v>
      </c>
      <c r="M351" s="32">
        <v>9.1698550000000001</v>
      </c>
      <c r="N351" s="5" t="str">
        <f t="shared" si="11"/>
        <v>未买</v>
      </c>
    </row>
    <row r="352" spans="8:14" x14ac:dyDescent="0.15">
      <c r="H352" s="17">
        <v>350</v>
      </c>
      <c r="I352" s="7">
        <v>110081</v>
      </c>
      <c r="J352" s="7" t="s">
        <v>1858</v>
      </c>
      <c r="K352" s="7">
        <v>120.5</v>
      </c>
      <c r="L352" s="58">
        <v>0.69579999999999997</v>
      </c>
      <c r="M352" s="32">
        <v>85.982039999999998</v>
      </c>
      <c r="N352" s="5" t="str">
        <f t="shared" si="11"/>
        <v>未买</v>
      </c>
    </row>
    <row r="353" spans="8:14" x14ac:dyDescent="0.15">
      <c r="H353" s="17">
        <v>351</v>
      </c>
      <c r="I353" s="7">
        <v>123143</v>
      </c>
      <c r="J353" s="7" t="s">
        <v>801</v>
      </c>
      <c r="K353" s="7">
        <v>175.40899999999999</v>
      </c>
      <c r="L353" s="58">
        <v>0.70450000000000002</v>
      </c>
      <c r="M353" s="32">
        <v>3.3</v>
      </c>
      <c r="N353" s="5" t="str">
        <f t="shared" si="11"/>
        <v>未买</v>
      </c>
    </row>
    <row r="354" spans="8:14" x14ac:dyDescent="0.15">
      <c r="H354" s="17">
        <v>352</v>
      </c>
      <c r="I354" s="7">
        <v>128131</v>
      </c>
      <c r="J354" s="7" t="s">
        <v>1866</v>
      </c>
      <c r="K354" s="7">
        <v>117.3</v>
      </c>
      <c r="L354" s="58">
        <v>0.70669999999999999</v>
      </c>
      <c r="M354" s="32">
        <v>13.997867000000003</v>
      </c>
      <c r="N354" s="5" t="str">
        <f t="shared" si="11"/>
        <v>未买</v>
      </c>
    </row>
    <row r="355" spans="8:14" x14ac:dyDescent="0.15">
      <c r="H355" s="17">
        <v>353</v>
      </c>
      <c r="I355" s="7">
        <v>113593</v>
      </c>
      <c r="J355" s="7" t="s">
        <v>60</v>
      </c>
      <c r="K355" s="7">
        <v>117.253</v>
      </c>
      <c r="L355" s="58">
        <v>0.7097</v>
      </c>
      <c r="M355" s="32">
        <v>3.9977800000000001</v>
      </c>
      <c r="N355" s="5" t="str">
        <f t="shared" si="11"/>
        <v>未买</v>
      </c>
    </row>
    <row r="356" spans="8:14" x14ac:dyDescent="0.15">
      <c r="H356" s="17">
        <v>354</v>
      </c>
      <c r="I356" s="7">
        <v>113595</v>
      </c>
      <c r="J356" s="7" t="s">
        <v>132</v>
      </c>
      <c r="K356" s="7">
        <v>107.006</v>
      </c>
      <c r="L356" s="58">
        <v>0.71019999999999994</v>
      </c>
      <c r="M356" s="32">
        <v>3.2977400000000001</v>
      </c>
      <c r="N356" s="5" t="str">
        <f t="shared" si="11"/>
        <v>未买</v>
      </c>
    </row>
    <row r="357" spans="8:14" x14ac:dyDescent="0.15">
      <c r="H357" s="17">
        <v>355</v>
      </c>
      <c r="I357" s="7">
        <v>123064</v>
      </c>
      <c r="J357" s="7" t="s">
        <v>133</v>
      </c>
      <c r="K357" s="7">
        <v>119.35599999999999</v>
      </c>
      <c r="L357" s="58">
        <v>0.71909999999999996</v>
      </c>
      <c r="M357" s="32">
        <v>5.9801729999999997</v>
      </c>
      <c r="N357" s="5" t="str">
        <f t="shared" si="11"/>
        <v>未买</v>
      </c>
    </row>
    <row r="358" spans="8:14" x14ac:dyDescent="0.15">
      <c r="H358" s="17">
        <v>356</v>
      </c>
      <c r="I358" s="7">
        <v>110062</v>
      </c>
      <c r="J358" s="7" t="s">
        <v>1859</v>
      </c>
      <c r="K358" s="7">
        <v>110.84</v>
      </c>
      <c r="L358" s="58">
        <v>0.72170000000000001</v>
      </c>
      <c r="M358" s="32">
        <v>30.87621</v>
      </c>
      <c r="N358" s="5" t="str">
        <f t="shared" si="11"/>
        <v>未买</v>
      </c>
    </row>
    <row r="359" spans="8:14" x14ac:dyDescent="0.15">
      <c r="H359" s="17">
        <v>357</v>
      </c>
      <c r="I359" s="7">
        <v>123056</v>
      </c>
      <c r="J359" s="7" t="s">
        <v>147</v>
      </c>
      <c r="K359" s="7">
        <v>111.006</v>
      </c>
      <c r="L359" s="58">
        <v>0.72180000000000011</v>
      </c>
      <c r="M359" s="32">
        <v>5.8400359999999996</v>
      </c>
      <c r="N359" s="5" t="str">
        <f t="shared" si="11"/>
        <v>未买</v>
      </c>
    </row>
    <row r="360" spans="8:14" x14ac:dyDescent="0.15">
      <c r="H360" s="17">
        <v>358</v>
      </c>
      <c r="I360" s="7">
        <v>123096</v>
      </c>
      <c r="J360" s="7" t="s">
        <v>194</v>
      </c>
      <c r="K360" s="7">
        <v>108.98</v>
      </c>
      <c r="L360" s="58">
        <v>0.72329999999999994</v>
      </c>
      <c r="M360" s="32">
        <v>8.1692149999999994</v>
      </c>
      <c r="N360" s="5" t="str">
        <f t="shared" si="11"/>
        <v>未买</v>
      </c>
    </row>
    <row r="361" spans="8:14" x14ac:dyDescent="0.15">
      <c r="H361" s="17">
        <v>359</v>
      </c>
      <c r="I361" s="7">
        <v>127047</v>
      </c>
      <c r="J361" s="7" t="s">
        <v>1840</v>
      </c>
      <c r="K361" s="7">
        <v>105.226</v>
      </c>
      <c r="L361" s="58">
        <v>0.73530000000000006</v>
      </c>
      <c r="M361" s="32">
        <v>14.998974</v>
      </c>
      <c r="N361" s="5" t="str">
        <f t="shared" si="11"/>
        <v>未买</v>
      </c>
    </row>
    <row r="362" spans="8:14" x14ac:dyDescent="0.15">
      <c r="H362" s="17">
        <v>360</v>
      </c>
      <c r="I362" s="7">
        <v>128079</v>
      </c>
      <c r="J362" s="7" t="s">
        <v>93</v>
      </c>
      <c r="K362" s="7">
        <v>149</v>
      </c>
      <c r="L362" s="58">
        <v>0.73959999999999992</v>
      </c>
      <c r="M362" s="32">
        <v>1.5197890000000001</v>
      </c>
      <c r="N362" s="5" t="str">
        <f t="shared" si="11"/>
        <v>未买</v>
      </c>
    </row>
    <row r="363" spans="8:14" x14ac:dyDescent="0.15">
      <c r="H363" s="17">
        <v>361</v>
      </c>
      <c r="I363" s="7">
        <v>113608</v>
      </c>
      <c r="J363" s="7" t="s">
        <v>65</v>
      </c>
      <c r="K363" s="7">
        <v>115.98099999999999</v>
      </c>
      <c r="L363" s="58">
        <v>0.74329999999999996</v>
      </c>
      <c r="M363" s="32">
        <v>4.1998499999999996</v>
      </c>
      <c r="N363" s="5" t="str">
        <f t="shared" si="11"/>
        <v>未买</v>
      </c>
    </row>
    <row r="364" spans="8:14" x14ac:dyDescent="0.15">
      <c r="H364" s="17">
        <v>362</v>
      </c>
      <c r="I364" s="7">
        <v>127024</v>
      </c>
      <c r="J364" s="7" t="s">
        <v>1863</v>
      </c>
      <c r="K364" s="7">
        <v>108.7</v>
      </c>
      <c r="L364" s="58">
        <v>0.74480000000000002</v>
      </c>
      <c r="M364" s="32">
        <v>14.760617000000002</v>
      </c>
      <c r="N364" s="5" t="str">
        <f t="shared" si="11"/>
        <v>未买</v>
      </c>
    </row>
    <row r="365" spans="8:14" x14ac:dyDescent="0.15">
      <c r="H365" s="17">
        <v>363</v>
      </c>
      <c r="I365" s="7">
        <v>123011</v>
      </c>
      <c r="J365" s="7" t="s">
        <v>159</v>
      </c>
      <c r="K365" s="7">
        <v>125.85</v>
      </c>
      <c r="L365" s="58">
        <v>0.746</v>
      </c>
      <c r="M365" s="32">
        <v>2.5060280000000001</v>
      </c>
      <c r="N365" s="5" t="str">
        <f t="shared" si="11"/>
        <v>未买</v>
      </c>
    </row>
    <row r="366" spans="8:14" x14ac:dyDescent="0.15">
      <c r="H366" s="17">
        <v>364</v>
      </c>
      <c r="I366" s="7">
        <v>123004</v>
      </c>
      <c r="J366" s="7" t="s">
        <v>168</v>
      </c>
      <c r="K366" s="7">
        <v>107.9</v>
      </c>
      <c r="L366" s="58">
        <v>0.74650000000000005</v>
      </c>
      <c r="M366" s="32">
        <v>8.0317070000000008</v>
      </c>
      <c r="N366" s="5" t="str">
        <f t="shared" si="11"/>
        <v>未买</v>
      </c>
    </row>
    <row r="367" spans="8:14" x14ac:dyDescent="0.15">
      <c r="H367" s="17">
        <v>365</v>
      </c>
      <c r="I367" s="7">
        <v>113597</v>
      </c>
      <c r="J367" s="7" t="s">
        <v>146</v>
      </c>
      <c r="K367" s="7">
        <v>123.29</v>
      </c>
      <c r="L367" s="58">
        <v>0.76</v>
      </c>
      <c r="M367" s="32">
        <v>2.9834100000000001</v>
      </c>
      <c r="N367" s="5" t="str">
        <f t="shared" si="11"/>
        <v>未买</v>
      </c>
    </row>
    <row r="368" spans="8:14" x14ac:dyDescent="0.15">
      <c r="H368" s="17">
        <v>366</v>
      </c>
      <c r="I368" s="7">
        <v>123138</v>
      </c>
      <c r="J368" s="7" t="s">
        <v>770</v>
      </c>
      <c r="K368" s="7">
        <v>138.80000000000001</v>
      </c>
      <c r="L368" s="58">
        <v>0.76819999999999988</v>
      </c>
      <c r="M368" s="32">
        <v>2.4</v>
      </c>
      <c r="N368" s="5" t="str">
        <f t="shared" si="11"/>
        <v>未买</v>
      </c>
    </row>
    <row r="369" spans="8:14" x14ac:dyDescent="0.15">
      <c r="H369" s="17">
        <v>367</v>
      </c>
      <c r="I369" s="7">
        <v>128069</v>
      </c>
      <c r="J369" s="7" t="s">
        <v>160</v>
      </c>
      <c r="K369" s="7">
        <v>119.95</v>
      </c>
      <c r="L369" s="58">
        <v>0.76969999999999994</v>
      </c>
      <c r="M369" s="32">
        <v>2.99281</v>
      </c>
      <c r="N369" s="5" t="str">
        <f t="shared" si="11"/>
        <v>未买</v>
      </c>
    </row>
    <row r="370" spans="8:14" x14ac:dyDescent="0.15">
      <c r="H370" s="17">
        <v>368</v>
      </c>
      <c r="I370" s="7">
        <v>123124</v>
      </c>
      <c r="J370" s="7" t="s">
        <v>183</v>
      </c>
      <c r="K370" s="7">
        <v>122.004</v>
      </c>
      <c r="L370" s="58">
        <v>0.78129999999999999</v>
      </c>
      <c r="M370" s="32">
        <v>5.2277290000000001</v>
      </c>
      <c r="N370" s="5" t="str">
        <f t="shared" si="11"/>
        <v>未买</v>
      </c>
    </row>
    <row r="371" spans="8:14" x14ac:dyDescent="0.15">
      <c r="H371" s="17">
        <v>369</v>
      </c>
      <c r="I371" s="7">
        <v>128035</v>
      </c>
      <c r="J371" s="7" t="s">
        <v>1867</v>
      </c>
      <c r="K371" s="7">
        <v>115.285</v>
      </c>
      <c r="L371" s="58">
        <v>0.78239999999999998</v>
      </c>
      <c r="M371" s="32">
        <v>22.992636000000001</v>
      </c>
      <c r="N371" s="5" t="str">
        <f t="shared" si="11"/>
        <v>未买</v>
      </c>
    </row>
    <row r="372" spans="8:14" x14ac:dyDescent="0.15">
      <c r="H372" s="17">
        <v>370</v>
      </c>
      <c r="I372" s="7">
        <v>118004</v>
      </c>
      <c r="J372" s="7" t="s">
        <v>260</v>
      </c>
      <c r="K372" s="7">
        <v>115.31699999999999</v>
      </c>
      <c r="L372" s="58">
        <v>0.79540000000000011</v>
      </c>
      <c r="M372" s="32">
        <v>4.6499800000000002</v>
      </c>
      <c r="N372" s="5" t="str">
        <f t="shared" si="11"/>
        <v>未买</v>
      </c>
    </row>
    <row r="373" spans="8:14" x14ac:dyDescent="0.15">
      <c r="H373" s="17">
        <v>371</v>
      </c>
      <c r="I373" s="7">
        <v>128136</v>
      </c>
      <c r="J373" s="7" t="s">
        <v>1871</v>
      </c>
      <c r="K373" s="7">
        <v>117.999</v>
      </c>
      <c r="L373" s="58">
        <v>0.82209999999999994</v>
      </c>
      <c r="M373" s="32">
        <v>29.992930999999999</v>
      </c>
      <c r="N373" s="5" t="str">
        <f t="shared" si="11"/>
        <v>未买</v>
      </c>
    </row>
    <row r="374" spans="8:14" x14ac:dyDescent="0.15">
      <c r="H374" s="17">
        <v>372</v>
      </c>
      <c r="I374" s="7">
        <v>113578</v>
      </c>
      <c r="J374" s="7" t="s">
        <v>162</v>
      </c>
      <c r="K374" s="7">
        <v>106.928</v>
      </c>
      <c r="L374" s="58">
        <v>0.82250000000000001</v>
      </c>
      <c r="M374" s="32">
        <v>3.8380200000000002</v>
      </c>
      <c r="N374" s="5" t="str">
        <f t="shared" si="11"/>
        <v>未买</v>
      </c>
    </row>
    <row r="375" spans="8:14" x14ac:dyDescent="0.15">
      <c r="H375" s="17">
        <v>373</v>
      </c>
      <c r="I375" s="7">
        <v>113623</v>
      </c>
      <c r="J375" s="7" t="s">
        <v>1850</v>
      </c>
      <c r="K375" s="7">
        <v>113.089</v>
      </c>
      <c r="L375" s="58">
        <v>0.83409999999999995</v>
      </c>
      <c r="M375" s="32">
        <v>24.999500000000001</v>
      </c>
      <c r="N375" s="5" t="str">
        <f t="shared" si="11"/>
        <v>未买</v>
      </c>
    </row>
    <row r="376" spans="8:14" x14ac:dyDescent="0.15">
      <c r="H376" s="17">
        <v>374</v>
      </c>
      <c r="I376" s="7">
        <v>128124</v>
      </c>
      <c r="J376" s="7" t="s">
        <v>158</v>
      </c>
      <c r="K376" s="7">
        <v>104.279</v>
      </c>
      <c r="L376" s="58">
        <v>0.8427</v>
      </c>
      <c r="M376" s="32">
        <v>7.376169</v>
      </c>
      <c r="N376" s="5" t="str">
        <f t="shared" si="11"/>
        <v>未买</v>
      </c>
    </row>
    <row r="377" spans="8:14" x14ac:dyDescent="0.15">
      <c r="H377" s="17">
        <v>375</v>
      </c>
      <c r="I377" s="7">
        <v>127041</v>
      </c>
      <c r="J377" s="7" t="s">
        <v>184</v>
      </c>
      <c r="K377" s="7">
        <v>115.197</v>
      </c>
      <c r="L377" s="58">
        <v>0.84489999999999998</v>
      </c>
      <c r="M377" s="32">
        <v>5.9994909999999999</v>
      </c>
      <c r="N377" s="5" t="str">
        <f t="shared" si="11"/>
        <v>未买</v>
      </c>
    </row>
    <row r="378" spans="8:14" x14ac:dyDescent="0.15">
      <c r="H378" s="17">
        <v>376</v>
      </c>
      <c r="I378" s="7">
        <v>128116</v>
      </c>
      <c r="J378" s="7" t="s">
        <v>172</v>
      </c>
      <c r="K378" s="7">
        <v>109.31</v>
      </c>
      <c r="L378" s="58">
        <v>0.85049999999999992</v>
      </c>
      <c r="M378" s="32">
        <v>6.4919890000000002</v>
      </c>
      <c r="N378" s="5" t="str">
        <f t="shared" si="11"/>
        <v>未买</v>
      </c>
    </row>
    <row r="379" spans="8:14" x14ac:dyDescent="0.15">
      <c r="H379" s="17">
        <v>377</v>
      </c>
      <c r="I379" s="7">
        <v>113042</v>
      </c>
      <c r="J379" s="7" t="s">
        <v>1854</v>
      </c>
      <c r="K379" s="7">
        <v>106.848</v>
      </c>
      <c r="L379" s="58">
        <v>0.86540000000000006</v>
      </c>
      <c r="M379" s="32">
        <v>199.98602</v>
      </c>
      <c r="N379" s="5" t="str">
        <f t="shared" si="11"/>
        <v>未买</v>
      </c>
    </row>
    <row r="380" spans="8:14" x14ac:dyDescent="0.15">
      <c r="H380" s="17">
        <v>378</v>
      </c>
      <c r="I380" s="7">
        <v>123099</v>
      </c>
      <c r="J380" s="7" t="s">
        <v>226</v>
      </c>
      <c r="K380" s="7">
        <v>115.45</v>
      </c>
      <c r="L380" s="58">
        <v>0.88670000000000004</v>
      </c>
      <c r="M380" s="32">
        <v>8.4993090000000002</v>
      </c>
      <c r="N380" s="5" t="str">
        <f t="shared" si="11"/>
        <v>未买</v>
      </c>
    </row>
    <row r="381" spans="8:14" x14ac:dyDescent="0.15">
      <c r="H381" s="17">
        <v>379</v>
      </c>
      <c r="I381" s="7">
        <v>128118</v>
      </c>
      <c r="J381" s="7" t="s">
        <v>143</v>
      </c>
      <c r="K381" s="7">
        <v>116.04</v>
      </c>
      <c r="L381" s="58">
        <v>0.88840000000000008</v>
      </c>
      <c r="M381" s="32">
        <v>2.9983399999999998</v>
      </c>
      <c r="N381" s="5" t="str">
        <f t="shared" si="11"/>
        <v>未买</v>
      </c>
    </row>
    <row r="382" spans="8:14" x14ac:dyDescent="0.15">
      <c r="H382" s="17">
        <v>380</v>
      </c>
      <c r="I382" s="7">
        <v>123116</v>
      </c>
      <c r="J382" s="7" t="s">
        <v>197</v>
      </c>
      <c r="K382" s="7">
        <v>118.578</v>
      </c>
      <c r="L382" s="58">
        <v>0.89359999999999995</v>
      </c>
      <c r="M382" s="32">
        <v>3.7812089999999996</v>
      </c>
      <c r="N382" s="5" t="str">
        <f t="shared" si="11"/>
        <v>未买</v>
      </c>
    </row>
    <row r="383" spans="8:14" x14ac:dyDescent="0.15">
      <c r="H383" s="17">
        <v>381</v>
      </c>
      <c r="I383" s="7">
        <v>128142</v>
      </c>
      <c r="J383" s="7" t="s">
        <v>185</v>
      </c>
      <c r="K383" s="7">
        <v>113.9</v>
      </c>
      <c r="L383" s="58">
        <v>0.90339999999999998</v>
      </c>
      <c r="M383" s="32">
        <v>7.1797839999999997</v>
      </c>
      <c r="N383" s="5" t="str">
        <f t="shared" si="11"/>
        <v>未买</v>
      </c>
    </row>
    <row r="384" spans="8:14" x14ac:dyDescent="0.15">
      <c r="H384" s="17">
        <v>382</v>
      </c>
      <c r="I384" s="7">
        <v>123108</v>
      </c>
      <c r="J384" s="7" t="s">
        <v>1864</v>
      </c>
      <c r="K384" s="7">
        <v>115.002</v>
      </c>
      <c r="L384" s="58">
        <v>0.92180000000000006</v>
      </c>
      <c r="M384" s="32">
        <v>16.37734</v>
      </c>
      <c r="N384" s="5" t="str">
        <f t="shared" si="11"/>
        <v>未买</v>
      </c>
    </row>
    <row r="385" spans="8:14" x14ac:dyDescent="0.15">
      <c r="H385" s="17">
        <v>383</v>
      </c>
      <c r="I385" s="7">
        <v>113616</v>
      </c>
      <c r="J385" s="7" t="s">
        <v>1860</v>
      </c>
      <c r="K385" s="7">
        <v>123.761</v>
      </c>
      <c r="L385" s="58">
        <v>0.92980000000000007</v>
      </c>
      <c r="M385" s="32">
        <v>24.333159999999999</v>
      </c>
      <c r="N385" s="5" t="str">
        <f t="shared" si="11"/>
        <v>未买</v>
      </c>
    </row>
    <row r="386" spans="8:14" x14ac:dyDescent="0.15">
      <c r="H386" s="17">
        <v>384</v>
      </c>
      <c r="I386" s="7">
        <v>110076</v>
      </c>
      <c r="J386" s="7" t="s">
        <v>1868</v>
      </c>
      <c r="K386" s="7">
        <v>114.077</v>
      </c>
      <c r="L386" s="58">
        <v>0.93680000000000008</v>
      </c>
      <c r="M386" s="32">
        <v>18.424399999999999</v>
      </c>
      <c r="N386" s="5" t="str">
        <f t="shared" si="11"/>
        <v>未买</v>
      </c>
    </row>
    <row r="387" spans="8:14" x14ac:dyDescent="0.15">
      <c r="H387" s="17">
        <v>385</v>
      </c>
      <c r="I387" s="7">
        <v>113624</v>
      </c>
      <c r="J387" s="7" t="s">
        <v>167</v>
      </c>
      <c r="K387" s="7">
        <v>112.255</v>
      </c>
      <c r="L387" s="58">
        <v>0.97349999999999992</v>
      </c>
      <c r="M387" s="32">
        <v>4.0491000000000001</v>
      </c>
      <c r="N387" s="5" t="str">
        <f t="shared" si="11"/>
        <v>未买</v>
      </c>
    </row>
    <row r="388" spans="8:14" x14ac:dyDescent="0.15">
      <c r="H388" s="17">
        <v>386</v>
      </c>
      <c r="I388" s="7">
        <v>123126</v>
      </c>
      <c r="J388" s="7" t="s">
        <v>171</v>
      </c>
      <c r="K388" s="7">
        <v>117.54</v>
      </c>
      <c r="L388" s="58">
        <v>1</v>
      </c>
      <c r="M388" s="32">
        <v>3.3996160000000004</v>
      </c>
      <c r="N388" s="5" t="str">
        <f t="shared" ref="N388:N416" si="12">IF(ISNA(MATCH(I388,$A$3:$A$1000,0)),"未买","Yes")</f>
        <v>未买</v>
      </c>
    </row>
    <row r="389" spans="8:14" x14ac:dyDescent="0.15">
      <c r="H389" s="17">
        <v>387</v>
      </c>
      <c r="I389" s="7">
        <v>127057</v>
      </c>
      <c r="J389" s="7" t="s">
        <v>761</v>
      </c>
      <c r="K389" s="7">
        <v>254.501</v>
      </c>
      <c r="L389" s="58">
        <v>1.0076000000000001</v>
      </c>
      <c r="M389" s="32">
        <v>2.76</v>
      </c>
      <c r="N389" s="5" t="str">
        <f t="shared" si="12"/>
        <v>未买</v>
      </c>
    </row>
    <row r="390" spans="8:14" x14ac:dyDescent="0.15">
      <c r="H390" s="17">
        <v>388</v>
      </c>
      <c r="I390" s="7">
        <v>123076</v>
      </c>
      <c r="J390" s="7" t="s">
        <v>150</v>
      </c>
      <c r="K390" s="7">
        <v>108.52</v>
      </c>
      <c r="L390" s="58">
        <v>1.0106999999999999</v>
      </c>
      <c r="M390" s="32">
        <v>8.4985510000000009</v>
      </c>
      <c r="N390" s="5" t="str">
        <f t="shared" si="12"/>
        <v>未买</v>
      </c>
    </row>
    <row r="391" spans="8:14" x14ac:dyDescent="0.15">
      <c r="H391" s="17">
        <v>389</v>
      </c>
      <c r="I391" s="7">
        <v>110059</v>
      </c>
      <c r="J391" s="7" t="s">
        <v>1861</v>
      </c>
      <c r="K391" s="7">
        <v>107.625</v>
      </c>
      <c r="L391" s="58">
        <v>1.0268000000000002</v>
      </c>
      <c r="M391" s="32">
        <v>499.98633000000001</v>
      </c>
      <c r="N391" s="5" t="str">
        <f t="shared" si="12"/>
        <v>未买</v>
      </c>
    </row>
    <row r="392" spans="8:14" x14ac:dyDescent="0.15">
      <c r="H392" s="17">
        <v>390</v>
      </c>
      <c r="I392" s="7">
        <v>113573</v>
      </c>
      <c r="J392" s="7" t="s">
        <v>136</v>
      </c>
      <c r="K392" s="7">
        <v>119.64700000000001</v>
      </c>
      <c r="L392" s="58">
        <v>1.0376000000000001</v>
      </c>
      <c r="M392" s="32">
        <v>2.6983299999999999</v>
      </c>
      <c r="N392" s="5" t="str">
        <f t="shared" si="12"/>
        <v>未买</v>
      </c>
    </row>
    <row r="393" spans="8:14" x14ac:dyDescent="0.15">
      <c r="H393" s="17">
        <v>391</v>
      </c>
      <c r="I393" s="7">
        <v>123018</v>
      </c>
      <c r="J393" s="7" t="s">
        <v>76</v>
      </c>
      <c r="K393" s="7">
        <v>240</v>
      </c>
      <c r="L393" s="58">
        <v>1.046</v>
      </c>
      <c r="M393" s="32">
        <v>0.54212199999999999</v>
      </c>
      <c r="N393" s="5" t="str">
        <f t="shared" si="12"/>
        <v>未买</v>
      </c>
    </row>
    <row r="394" spans="8:14" x14ac:dyDescent="0.15">
      <c r="H394" s="17">
        <v>392</v>
      </c>
      <c r="I394" s="7">
        <v>123101</v>
      </c>
      <c r="J394" s="7" t="s">
        <v>142</v>
      </c>
      <c r="K394" s="7">
        <v>116</v>
      </c>
      <c r="L394" s="58">
        <v>1.0506</v>
      </c>
      <c r="M394" s="32">
        <v>6.6976060000000004</v>
      </c>
      <c r="N394" s="5" t="str">
        <f t="shared" si="12"/>
        <v>未买</v>
      </c>
    </row>
    <row r="395" spans="8:14" x14ac:dyDescent="0.15">
      <c r="H395" s="17">
        <v>393</v>
      </c>
      <c r="I395" s="7">
        <v>128074</v>
      </c>
      <c r="J395" s="7" t="s">
        <v>192</v>
      </c>
      <c r="K395" s="7">
        <v>113.444</v>
      </c>
      <c r="L395" s="58">
        <v>1.0927</v>
      </c>
      <c r="M395" s="32">
        <v>6.824916</v>
      </c>
      <c r="N395" s="5" t="str">
        <f t="shared" si="12"/>
        <v>未买</v>
      </c>
    </row>
    <row r="396" spans="8:14" x14ac:dyDescent="0.15">
      <c r="H396" s="17">
        <v>394</v>
      </c>
      <c r="I396" s="7">
        <v>113605</v>
      </c>
      <c r="J396" s="7" t="s">
        <v>1875</v>
      </c>
      <c r="K396" s="7">
        <v>112.69799999999999</v>
      </c>
      <c r="L396" s="58">
        <v>1.0967</v>
      </c>
      <c r="M396" s="32">
        <v>14.04745</v>
      </c>
      <c r="N396" s="5" t="str">
        <f t="shared" si="12"/>
        <v>未买</v>
      </c>
    </row>
    <row r="397" spans="8:14" x14ac:dyDescent="0.15">
      <c r="H397" s="17">
        <v>395</v>
      </c>
      <c r="I397" s="7">
        <v>123113</v>
      </c>
      <c r="J397" s="7" t="s">
        <v>1878</v>
      </c>
      <c r="K397" s="7">
        <v>111.2</v>
      </c>
      <c r="L397" s="58">
        <v>1.1246</v>
      </c>
      <c r="M397" s="32">
        <v>10.248582000000001</v>
      </c>
      <c r="N397" s="5" t="str">
        <f t="shared" si="12"/>
        <v>未买</v>
      </c>
    </row>
    <row r="398" spans="8:14" x14ac:dyDescent="0.15">
      <c r="H398" s="17">
        <v>396</v>
      </c>
      <c r="I398" s="7">
        <v>127044</v>
      </c>
      <c r="J398" s="7" t="s">
        <v>1873</v>
      </c>
      <c r="K398" s="7">
        <v>111.26</v>
      </c>
      <c r="L398" s="58">
        <v>1.1314</v>
      </c>
      <c r="M398" s="32">
        <v>11.688836</v>
      </c>
      <c r="N398" s="5" t="str">
        <f t="shared" si="12"/>
        <v>未买</v>
      </c>
    </row>
    <row r="399" spans="8:14" x14ac:dyDescent="0.15">
      <c r="H399" s="17">
        <v>397</v>
      </c>
      <c r="I399" s="7">
        <v>113625</v>
      </c>
      <c r="J399" s="7" t="s">
        <v>141</v>
      </c>
      <c r="K399" s="7">
        <v>113.93899999999999</v>
      </c>
      <c r="L399" s="58">
        <v>1.1514</v>
      </c>
      <c r="M399" s="32">
        <v>5.8254999999999999</v>
      </c>
      <c r="N399" s="5" t="str">
        <f t="shared" si="12"/>
        <v>未买</v>
      </c>
    </row>
    <row r="400" spans="8:14" x14ac:dyDescent="0.15">
      <c r="H400" s="17">
        <v>398</v>
      </c>
      <c r="I400" s="7">
        <v>128041</v>
      </c>
      <c r="J400" s="7" t="s">
        <v>130</v>
      </c>
      <c r="K400" s="7">
        <v>270.92</v>
      </c>
      <c r="L400" s="58">
        <v>1.1738</v>
      </c>
      <c r="M400" s="32">
        <v>0.52926700000000004</v>
      </c>
      <c r="N400" s="5" t="str">
        <f t="shared" si="12"/>
        <v>未买</v>
      </c>
    </row>
    <row r="401" spans="8:14" x14ac:dyDescent="0.15">
      <c r="H401" s="17">
        <v>399</v>
      </c>
      <c r="I401" s="7">
        <v>128108</v>
      </c>
      <c r="J401" s="7" t="s">
        <v>1872</v>
      </c>
      <c r="K401" s="7">
        <v>103.251</v>
      </c>
      <c r="L401" s="58">
        <v>1.1774</v>
      </c>
      <c r="M401" s="32">
        <v>15.210892000000003</v>
      </c>
      <c r="N401" s="5" t="str">
        <f t="shared" si="12"/>
        <v>未买</v>
      </c>
    </row>
    <row r="402" spans="8:14" x14ac:dyDescent="0.15">
      <c r="H402" s="17">
        <v>400</v>
      </c>
      <c r="I402" s="7">
        <v>113646</v>
      </c>
      <c r="J402" s="7" t="s">
        <v>1879</v>
      </c>
      <c r="K402" s="7">
        <v>205.869</v>
      </c>
      <c r="L402" s="58">
        <v>1.202</v>
      </c>
      <c r="M402" s="32">
        <v>1.45868</v>
      </c>
      <c r="N402" s="5" t="str">
        <f t="shared" si="12"/>
        <v>未买</v>
      </c>
    </row>
    <row r="403" spans="8:14" x14ac:dyDescent="0.15">
      <c r="H403" s="17">
        <v>401</v>
      </c>
      <c r="I403" s="7">
        <v>128125</v>
      </c>
      <c r="J403" s="7" t="s">
        <v>140</v>
      </c>
      <c r="K403" s="7">
        <v>110.92400000000001</v>
      </c>
      <c r="L403" s="58">
        <v>1.2482</v>
      </c>
      <c r="M403" s="32">
        <v>4.4980140000000004</v>
      </c>
      <c r="N403" s="5" t="str">
        <f t="shared" si="12"/>
        <v>未买</v>
      </c>
    </row>
    <row r="404" spans="8:14" x14ac:dyDescent="0.15">
      <c r="H404" s="17">
        <v>402</v>
      </c>
      <c r="I404" s="7">
        <v>113633</v>
      </c>
      <c r="J404" s="7" t="s">
        <v>1870</v>
      </c>
      <c r="K404" s="7">
        <v>115.10899999999999</v>
      </c>
      <c r="L404" s="58">
        <v>1.2812000000000001</v>
      </c>
      <c r="M404" s="32">
        <v>10.398440000000001</v>
      </c>
      <c r="N404" s="5" t="str">
        <f t="shared" si="12"/>
        <v>未买</v>
      </c>
    </row>
    <row r="405" spans="8:14" x14ac:dyDescent="0.15">
      <c r="H405" s="17">
        <v>403</v>
      </c>
      <c r="I405" s="7">
        <v>123117</v>
      </c>
      <c r="J405" s="7" t="s">
        <v>138</v>
      </c>
      <c r="K405" s="7">
        <v>113</v>
      </c>
      <c r="L405" s="58">
        <v>1.2824</v>
      </c>
      <c r="M405" s="32">
        <v>9.9990059999999996</v>
      </c>
      <c r="N405" s="5" t="str">
        <f t="shared" si="12"/>
        <v>未买</v>
      </c>
    </row>
    <row r="406" spans="8:14" x14ac:dyDescent="0.15">
      <c r="H406" s="17">
        <v>404</v>
      </c>
      <c r="I406" s="7">
        <v>127046</v>
      </c>
      <c r="J406" s="7" t="s">
        <v>1877</v>
      </c>
      <c r="K406" s="7">
        <v>114.983</v>
      </c>
      <c r="L406" s="58">
        <v>1.3262</v>
      </c>
      <c r="M406" s="32">
        <v>11.278002000000001</v>
      </c>
      <c r="N406" s="5" t="str">
        <f t="shared" si="12"/>
        <v>未买</v>
      </c>
    </row>
    <row r="407" spans="8:14" x14ac:dyDescent="0.15">
      <c r="H407" s="17">
        <v>405</v>
      </c>
      <c r="I407" s="7">
        <v>123119</v>
      </c>
      <c r="J407" s="7" t="s">
        <v>1869</v>
      </c>
      <c r="K407" s="7">
        <v>123.5</v>
      </c>
      <c r="L407" s="58">
        <v>1.3315000000000001</v>
      </c>
      <c r="M407" s="32">
        <v>19.994665000000001</v>
      </c>
      <c r="N407" s="5" t="str">
        <f t="shared" si="12"/>
        <v>未买</v>
      </c>
    </row>
    <row r="408" spans="8:14" x14ac:dyDescent="0.15">
      <c r="H408" s="17">
        <v>406</v>
      </c>
      <c r="I408" s="7">
        <v>123135</v>
      </c>
      <c r="J408" s="7" t="s">
        <v>1880</v>
      </c>
      <c r="K408" s="7">
        <v>159.91999999999999</v>
      </c>
      <c r="L408" s="58">
        <v>1.3591</v>
      </c>
      <c r="M408" s="32">
        <v>2.0977869999999998</v>
      </c>
      <c r="N408" s="5" t="str">
        <f t="shared" si="12"/>
        <v>未买</v>
      </c>
    </row>
    <row r="409" spans="8:14" x14ac:dyDescent="0.15">
      <c r="H409" s="17">
        <v>407</v>
      </c>
      <c r="I409" s="7">
        <v>128138</v>
      </c>
      <c r="J409" s="7" t="s">
        <v>139</v>
      </c>
      <c r="K409" s="7">
        <v>120.97</v>
      </c>
      <c r="L409" s="58">
        <v>1.3734</v>
      </c>
      <c r="M409" s="32">
        <v>4.1990839999999992</v>
      </c>
      <c r="N409" s="5" t="str">
        <f t="shared" si="12"/>
        <v>未买</v>
      </c>
    </row>
    <row r="410" spans="8:14" x14ac:dyDescent="0.15">
      <c r="H410" s="17">
        <v>408</v>
      </c>
      <c r="I410" s="7">
        <v>123034</v>
      </c>
      <c r="J410" s="7" t="s">
        <v>1982</v>
      </c>
      <c r="K410" s="7">
        <v>315.60700000000003</v>
      </c>
      <c r="L410" s="58">
        <v>1.4561000000000002</v>
      </c>
      <c r="M410" s="32">
        <v>0.77832100000000004</v>
      </c>
      <c r="N410" s="5" t="str">
        <f t="shared" si="12"/>
        <v>未买</v>
      </c>
    </row>
    <row r="411" spans="8:14" x14ac:dyDescent="0.15">
      <c r="H411" s="17">
        <v>409</v>
      </c>
      <c r="I411" s="7">
        <v>123093</v>
      </c>
      <c r="J411" s="7" t="s">
        <v>134</v>
      </c>
      <c r="K411" s="7">
        <v>123.18</v>
      </c>
      <c r="L411" s="58">
        <v>1.5082</v>
      </c>
      <c r="M411" s="32">
        <v>2.499781</v>
      </c>
      <c r="N411" s="5" t="str">
        <f t="shared" si="12"/>
        <v>未买</v>
      </c>
    </row>
    <row r="412" spans="8:14" x14ac:dyDescent="0.15">
      <c r="H412" s="17">
        <v>410</v>
      </c>
      <c r="I412" s="7">
        <v>110044</v>
      </c>
      <c r="J412" s="7" t="s">
        <v>131</v>
      </c>
      <c r="K412" s="7">
        <v>209.21700000000001</v>
      </c>
      <c r="L412" s="58">
        <v>1.5555000000000001</v>
      </c>
      <c r="M412" s="32">
        <v>0.70743999999999996</v>
      </c>
      <c r="N412" s="5" t="str">
        <f t="shared" si="12"/>
        <v>未买</v>
      </c>
    </row>
    <row r="413" spans="8:14" x14ac:dyDescent="0.15">
      <c r="H413" s="17">
        <v>411</v>
      </c>
      <c r="I413" s="7">
        <v>123104</v>
      </c>
      <c r="J413" s="7" t="s">
        <v>166</v>
      </c>
      <c r="K413" s="7">
        <v>115.788</v>
      </c>
      <c r="L413" s="58">
        <v>1.6002000000000001</v>
      </c>
      <c r="M413" s="32">
        <v>9.7010520000000007</v>
      </c>
      <c r="N413" s="5" t="str">
        <f t="shared" si="12"/>
        <v>未买</v>
      </c>
    </row>
    <row r="414" spans="8:14" x14ac:dyDescent="0.15">
      <c r="H414" s="17">
        <v>412</v>
      </c>
      <c r="I414" s="7">
        <v>123104</v>
      </c>
      <c r="J414" s="7" t="s">
        <v>166</v>
      </c>
      <c r="K414" s="7">
        <v>115.788</v>
      </c>
      <c r="L414" s="58">
        <v>1.6002000000000001</v>
      </c>
      <c r="M414" s="32">
        <v>9.7010520000000007</v>
      </c>
      <c r="N414" s="5" t="str">
        <f t="shared" si="12"/>
        <v>未买</v>
      </c>
    </row>
    <row r="415" spans="8:14" x14ac:dyDescent="0.15">
      <c r="H415" s="17">
        <v>413</v>
      </c>
      <c r="I415" s="7">
        <v>113589</v>
      </c>
      <c r="J415" s="7" t="s">
        <v>137</v>
      </c>
      <c r="K415" s="7">
        <v>100.48</v>
      </c>
      <c r="L415" s="58">
        <v>1.6844999999999999</v>
      </c>
      <c r="M415" s="32">
        <v>5.99587</v>
      </c>
      <c r="N415" s="5" t="str">
        <f t="shared" si="12"/>
        <v>未买</v>
      </c>
    </row>
    <row r="416" spans="8:14" x14ac:dyDescent="0.15">
      <c r="H416" s="17">
        <v>414</v>
      </c>
      <c r="I416" s="7">
        <v>113589</v>
      </c>
      <c r="J416" s="7" t="s">
        <v>137</v>
      </c>
      <c r="K416" s="7">
        <v>100.48</v>
      </c>
      <c r="L416" s="58">
        <v>1.6844999999999999</v>
      </c>
      <c r="M416" s="32">
        <v>5.99587</v>
      </c>
      <c r="N416" s="5" t="str">
        <f t="shared" si="12"/>
        <v>未买</v>
      </c>
    </row>
  </sheetData>
  <autoFilter ref="A2:U402"/>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750"/>
  <sheetViews>
    <sheetView zoomScaleNormal="100" workbookViewId="0">
      <pane ySplit="2" topLeftCell="A24" activePane="bottomLeft" state="frozen"/>
      <selection pane="bottomLeft" activeCell="S49" sqref="S49"/>
    </sheetView>
  </sheetViews>
  <sheetFormatPr defaultRowHeight="14.25" x14ac:dyDescent="0.15"/>
  <cols>
    <col min="1" max="2" width="12.25" style="7" bestFit="1" customWidth="1"/>
    <col min="3" max="3" width="8.5" style="7" bestFit="1" customWidth="1"/>
    <col min="4" max="4" width="15.875" style="5" customWidth="1"/>
    <col min="5" max="5" width="14.25" style="15" customWidth="1"/>
    <col min="6" max="7" width="9" style="7"/>
    <col min="8" max="8" width="4.125" style="17" customWidth="1"/>
    <col min="9" max="10" width="12.25" style="7" bestFit="1" customWidth="1"/>
    <col min="11" max="11" width="8.5" style="7" bestFit="1" customWidth="1"/>
    <col min="12" max="12" width="10.125" style="58" bestFit="1" customWidth="1"/>
    <col min="13" max="13" width="10.125" style="7" customWidth="1"/>
    <col min="14" max="14" width="10.125" style="32" customWidth="1"/>
    <col min="15" max="15" width="12.25" style="7" bestFit="1" customWidth="1"/>
    <col min="16" max="17" width="9" style="7"/>
    <col min="18" max="18" width="3.75" style="17" customWidth="1"/>
    <col min="19" max="20" width="12.25" style="7" bestFit="1" customWidth="1"/>
    <col min="21" max="21" width="8.5" style="7" bestFit="1" customWidth="1"/>
    <col min="22" max="22" width="12.25" style="7" bestFit="1" customWidth="1"/>
    <col min="23" max="16384" width="9" style="7"/>
  </cols>
  <sheetData>
    <row r="1" spans="1:22" x14ac:dyDescent="0.15">
      <c r="A1" s="8" t="s">
        <v>263</v>
      </c>
      <c r="B1" s="8"/>
      <c r="C1" s="49" t="s">
        <v>1903</v>
      </c>
      <c r="D1" s="7"/>
      <c r="E1" s="7"/>
      <c r="I1" s="8" t="s">
        <v>1887</v>
      </c>
      <c r="J1" s="8"/>
      <c r="K1" s="33" t="s">
        <v>1889</v>
      </c>
      <c r="L1" s="55"/>
      <c r="M1" s="33"/>
      <c r="N1" s="33"/>
      <c r="O1" s="33"/>
      <c r="P1" s="33"/>
      <c r="S1" s="8" t="s">
        <v>796</v>
      </c>
    </row>
    <row r="2" spans="1:22" s="6" customFormat="1" x14ac:dyDescent="0.15">
      <c r="A2" s="6" t="s">
        <v>59</v>
      </c>
      <c r="B2" s="6" t="s">
        <v>58</v>
      </c>
      <c r="C2" s="6" t="s">
        <v>57</v>
      </c>
      <c r="D2" s="4" t="s">
        <v>788</v>
      </c>
      <c r="E2" s="14" t="s">
        <v>785</v>
      </c>
      <c r="H2" s="18"/>
      <c r="I2" s="6" t="s">
        <v>1881</v>
      </c>
      <c r="J2" s="6" t="s">
        <v>1882</v>
      </c>
      <c r="K2" s="6" t="s">
        <v>1774</v>
      </c>
      <c r="L2" s="56" t="s">
        <v>35</v>
      </c>
      <c r="M2" s="6" t="s">
        <v>1883</v>
      </c>
      <c r="N2" s="31" t="s">
        <v>1884</v>
      </c>
      <c r="O2" s="4" t="s">
        <v>237</v>
      </c>
      <c r="R2" s="18"/>
      <c r="S2" s="6" t="s">
        <v>59</v>
      </c>
      <c r="T2" s="6" t="s">
        <v>58</v>
      </c>
      <c r="U2" s="6" t="s">
        <v>57</v>
      </c>
      <c r="V2" s="4" t="s">
        <v>237</v>
      </c>
    </row>
    <row r="3" spans="1:22" s="3" customFormat="1" x14ac:dyDescent="0.15">
      <c r="A3" s="3">
        <v>110070</v>
      </c>
      <c r="B3" s="3" t="s">
        <v>88</v>
      </c>
      <c r="C3" s="3">
        <f>VLOOKUP(A3,$I$1:$K$1000,3,FALSE)</f>
        <v>124.22199999999999</v>
      </c>
      <c r="D3" s="5">
        <f>MATCH(A3,$I$1:$I$1000,0)-2</f>
        <v>114</v>
      </c>
      <c r="E3" s="5">
        <f t="shared" ref="E3:E16" si="0">MATCH(A3,$S$1:$S$200,0)-2</f>
        <v>24</v>
      </c>
      <c r="H3" s="19">
        <v>1</v>
      </c>
      <c r="I3">
        <v>128100</v>
      </c>
      <c r="J3" t="s">
        <v>48</v>
      </c>
      <c r="K3">
        <v>99.3</v>
      </c>
      <c r="L3" s="57">
        <v>0.2036</v>
      </c>
      <c r="M3">
        <v>119.66</v>
      </c>
      <c r="N3" s="20">
        <v>7.9816349999999998</v>
      </c>
      <c r="O3" s="5" t="str">
        <f>IF(ISNA(MATCH(I3,$A$3:$A$1000,0)),"未买","Yes")</f>
        <v>Yes</v>
      </c>
      <c r="R3" s="19">
        <v>1</v>
      </c>
      <c r="S3" s="7">
        <v>128085</v>
      </c>
      <c r="T3" s="7" t="s">
        <v>782</v>
      </c>
      <c r="U3" s="7">
        <f>VLOOKUP(S3,$I$1:$K$1000,3,FALSE)</f>
        <v>118.086</v>
      </c>
      <c r="V3" s="5" t="str">
        <f>IF(ISNA(MATCH(S3,$A$3:$A$1000,0)),"未买","Yes")</f>
        <v>未买</v>
      </c>
    </row>
    <row r="4" spans="1:22" s="3" customFormat="1" x14ac:dyDescent="0.15">
      <c r="A4" s="3">
        <v>110080</v>
      </c>
      <c r="B4" s="3" t="s">
        <v>215</v>
      </c>
      <c r="C4" s="3">
        <f t="shared" ref="C4:C8" si="1">VLOOKUP(A4,$I$1:$K$1000,3,FALSE)</f>
        <v>117.708</v>
      </c>
      <c r="D4" s="5">
        <f t="shared" ref="D4:D8" si="2">MATCH(A4,$I$1:$I$1000,0)-2</f>
        <v>14</v>
      </c>
      <c r="E4" s="5" t="e">
        <f t="shared" si="0"/>
        <v>#N/A</v>
      </c>
      <c r="H4" s="19">
        <v>2</v>
      </c>
      <c r="I4">
        <v>128114</v>
      </c>
      <c r="J4" t="s">
        <v>1781</v>
      </c>
      <c r="K4">
        <v>110.577</v>
      </c>
      <c r="L4" s="57">
        <v>0.14529999999999998</v>
      </c>
      <c r="M4">
        <v>125.107</v>
      </c>
      <c r="N4" s="20">
        <v>13.331268</v>
      </c>
      <c r="O4" s="5" t="str">
        <f t="shared" ref="O4:O67" si="3">IF(ISNA(MATCH(I4,$A$3:$A$1000,0)),"未买","Yes")</f>
        <v>未买</v>
      </c>
      <c r="R4" s="19">
        <v>2</v>
      </c>
      <c r="S4" s="7">
        <v>128100</v>
      </c>
      <c r="T4" s="7" t="s">
        <v>48</v>
      </c>
      <c r="U4" s="7">
        <f t="shared" ref="U4:U28" si="4">VLOOKUP(S4,$I$1:$K$1000,3,FALSE)</f>
        <v>99.3</v>
      </c>
      <c r="V4" s="5" t="str">
        <f t="shared" ref="V4:V28" si="5">IF(ISNA(MATCH(S4,$A$3:$A$1000,0)),"未买","Yes")</f>
        <v>Yes</v>
      </c>
    </row>
    <row r="5" spans="1:22" x14ac:dyDescent="0.15">
      <c r="A5" s="7">
        <v>113017</v>
      </c>
      <c r="B5" s="7" t="s">
        <v>107</v>
      </c>
      <c r="C5" s="3">
        <f t="shared" si="1"/>
        <v>111.886</v>
      </c>
      <c r="D5" s="5">
        <f t="shared" si="2"/>
        <v>31</v>
      </c>
      <c r="E5" s="5" t="e">
        <f t="shared" si="0"/>
        <v>#N/A</v>
      </c>
      <c r="H5" s="19">
        <v>3</v>
      </c>
      <c r="I5">
        <v>113011</v>
      </c>
      <c r="J5" t="s">
        <v>1791</v>
      </c>
      <c r="K5">
        <v>105.143</v>
      </c>
      <c r="L5" s="57">
        <v>0.2402</v>
      </c>
      <c r="M5">
        <v>129.16300000000001</v>
      </c>
      <c r="N5" s="20">
        <v>241.98838000000001</v>
      </c>
      <c r="O5" s="5" t="str">
        <f t="shared" si="3"/>
        <v>未买</v>
      </c>
      <c r="R5" s="19">
        <v>3</v>
      </c>
      <c r="S5" s="7">
        <v>113567</v>
      </c>
      <c r="T5" s="7" t="s">
        <v>43</v>
      </c>
      <c r="U5" s="7">
        <f t="shared" si="4"/>
        <v>159.803</v>
      </c>
      <c r="V5" s="5" t="str">
        <f t="shared" si="5"/>
        <v>未买</v>
      </c>
    </row>
    <row r="6" spans="1:22" x14ac:dyDescent="0.15">
      <c r="A6" s="7">
        <v>113033</v>
      </c>
      <c r="B6" s="7" t="s">
        <v>89</v>
      </c>
      <c r="C6" s="3">
        <f t="shared" si="1"/>
        <v>109.26600000000001</v>
      </c>
      <c r="D6" s="5">
        <f t="shared" si="2"/>
        <v>5</v>
      </c>
      <c r="E6" s="5" t="e">
        <f t="shared" si="0"/>
        <v>#N/A</v>
      </c>
      <c r="H6" s="19">
        <v>4</v>
      </c>
      <c r="I6">
        <v>113044</v>
      </c>
      <c r="J6" t="s">
        <v>1788</v>
      </c>
      <c r="K6">
        <v>110.80500000000001</v>
      </c>
      <c r="L6" s="57">
        <v>0.18600000000000003</v>
      </c>
      <c r="M6">
        <v>129.405</v>
      </c>
      <c r="N6" s="20">
        <v>319.98975000000002</v>
      </c>
      <c r="O6" s="5" t="str">
        <f t="shared" si="3"/>
        <v>未买</v>
      </c>
      <c r="R6" s="19">
        <v>4</v>
      </c>
      <c r="S6" s="7">
        <v>128076</v>
      </c>
      <c r="T6" s="7" t="s">
        <v>125</v>
      </c>
      <c r="U6" s="7">
        <f t="shared" si="4"/>
        <v>132.209</v>
      </c>
      <c r="V6" s="5" t="str">
        <f t="shared" si="5"/>
        <v>未买</v>
      </c>
    </row>
    <row r="7" spans="1:22" x14ac:dyDescent="0.15">
      <c r="A7" s="7">
        <v>113591</v>
      </c>
      <c r="B7" s="7" t="s">
        <v>41</v>
      </c>
      <c r="C7" s="3">
        <f t="shared" si="1"/>
        <v>135.88800000000001</v>
      </c>
      <c r="D7" s="5">
        <f t="shared" si="2"/>
        <v>33</v>
      </c>
      <c r="E7" s="5">
        <f t="shared" si="0"/>
        <v>22</v>
      </c>
      <c r="H7" s="19">
        <v>5</v>
      </c>
      <c r="I7">
        <v>113033</v>
      </c>
      <c r="J7" t="s">
        <v>89</v>
      </c>
      <c r="K7">
        <v>109.26600000000001</v>
      </c>
      <c r="L7" s="57">
        <v>0.21989999999999998</v>
      </c>
      <c r="M7">
        <v>131.256</v>
      </c>
      <c r="N7" s="20">
        <v>17.997959999999999</v>
      </c>
      <c r="O7" s="5" t="str">
        <f t="shared" si="3"/>
        <v>Yes</v>
      </c>
      <c r="R7" s="19">
        <v>5</v>
      </c>
      <c r="S7" s="7">
        <v>113570</v>
      </c>
      <c r="T7" s="7" t="s">
        <v>42</v>
      </c>
      <c r="U7" s="7">
        <f t="shared" si="4"/>
        <v>130.93</v>
      </c>
      <c r="V7" s="5" t="str">
        <f t="shared" si="5"/>
        <v>未买</v>
      </c>
    </row>
    <row r="8" spans="1:22" x14ac:dyDescent="0.15">
      <c r="A8" s="7">
        <v>123002</v>
      </c>
      <c r="B8" s="7" t="s">
        <v>80</v>
      </c>
      <c r="C8" s="3">
        <f t="shared" si="1"/>
        <v>118.96299999999999</v>
      </c>
      <c r="D8" s="5">
        <f t="shared" si="2"/>
        <v>150</v>
      </c>
      <c r="E8" s="5">
        <f t="shared" si="0"/>
        <v>14</v>
      </c>
      <c r="H8" s="19">
        <v>6</v>
      </c>
      <c r="I8">
        <v>113050</v>
      </c>
      <c r="J8" t="s">
        <v>1780</v>
      </c>
      <c r="K8">
        <v>120.60599999999999</v>
      </c>
      <c r="L8" s="57">
        <v>0.1222</v>
      </c>
      <c r="M8">
        <v>132.82599999999999</v>
      </c>
      <c r="N8" s="20">
        <v>169.82982000000001</v>
      </c>
      <c r="O8" s="5" t="str">
        <f t="shared" si="3"/>
        <v>未买</v>
      </c>
      <c r="R8" s="19">
        <v>6</v>
      </c>
      <c r="S8" s="7">
        <v>123057</v>
      </c>
      <c r="T8" s="7" t="s">
        <v>776</v>
      </c>
      <c r="U8" s="7">
        <f t="shared" si="4"/>
        <v>235.77</v>
      </c>
      <c r="V8" s="5" t="str">
        <f t="shared" si="5"/>
        <v>未买</v>
      </c>
    </row>
    <row r="9" spans="1:22" s="3" customFormat="1" x14ac:dyDescent="0.15">
      <c r="A9" s="7">
        <v>127027</v>
      </c>
      <c r="B9" s="7" t="s">
        <v>221</v>
      </c>
      <c r="C9" s="3">
        <f t="shared" ref="C9:C16" si="6">VLOOKUP(A9,$I$1:$K$1000,3,FALSE)</f>
        <v>146.36699999999999</v>
      </c>
      <c r="D9" s="5">
        <f t="shared" ref="D9:D16" si="7">MATCH(A9,$I$1:$I$1000,0)-2</f>
        <v>111</v>
      </c>
      <c r="E9" s="5" t="e">
        <f t="shared" si="0"/>
        <v>#N/A</v>
      </c>
      <c r="H9" s="19">
        <v>7</v>
      </c>
      <c r="I9">
        <v>110053</v>
      </c>
      <c r="J9" t="s">
        <v>1778</v>
      </c>
      <c r="K9">
        <v>125.32599999999999</v>
      </c>
      <c r="L9" s="57">
        <v>8.2699999999999996E-2</v>
      </c>
      <c r="M9">
        <v>133.596</v>
      </c>
      <c r="N9" s="20">
        <v>199.99178000000001</v>
      </c>
      <c r="O9" s="5" t="str">
        <f t="shared" si="3"/>
        <v>未买</v>
      </c>
      <c r="R9" s="19">
        <v>7</v>
      </c>
      <c r="S9" s="7">
        <v>128053</v>
      </c>
      <c r="T9" s="7" t="s">
        <v>61</v>
      </c>
      <c r="U9" s="7">
        <f t="shared" si="4"/>
        <v>136.62</v>
      </c>
      <c r="V9" s="5" t="str">
        <f t="shared" si="5"/>
        <v>未买</v>
      </c>
    </row>
    <row r="10" spans="1:22" x14ac:dyDescent="0.15">
      <c r="A10" s="7">
        <v>127042</v>
      </c>
      <c r="B10" s="7" t="s">
        <v>92</v>
      </c>
      <c r="C10" s="3">
        <f t="shared" si="6"/>
        <v>113.492</v>
      </c>
      <c r="D10" s="5">
        <f t="shared" si="7"/>
        <v>64</v>
      </c>
      <c r="E10" s="5" t="e">
        <f t="shared" si="0"/>
        <v>#N/A</v>
      </c>
      <c r="H10" s="19">
        <v>8</v>
      </c>
      <c r="I10">
        <v>118001</v>
      </c>
      <c r="J10" t="s">
        <v>224</v>
      </c>
      <c r="K10">
        <v>131.63999999999999</v>
      </c>
      <c r="L10" s="57">
        <v>2.7099999999999999E-2</v>
      </c>
      <c r="M10">
        <v>134.35</v>
      </c>
      <c r="N10" s="20">
        <v>5.9797599999999997</v>
      </c>
      <c r="O10" s="5" t="str">
        <f t="shared" si="3"/>
        <v>未买</v>
      </c>
      <c r="R10" s="19">
        <v>8</v>
      </c>
      <c r="S10" s="7">
        <v>113565</v>
      </c>
      <c r="T10" s="7" t="s">
        <v>119</v>
      </c>
      <c r="U10" s="7">
        <f t="shared" si="4"/>
        <v>124.723</v>
      </c>
      <c r="V10" s="5" t="str">
        <f t="shared" si="5"/>
        <v>未买</v>
      </c>
    </row>
    <row r="11" spans="1:22" x14ac:dyDescent="0.15">
      <c r="A11" s="7">
        <v>128013</v>
      </c>
      <c r="B11" s="7" t="s">
        <v>52</v>
      </c>
      <c r="C11" s="3" t="e">
        <f t="shared" si="6"/>
        <v>#N/A</v>
      </c>
      <c r="D11" s="5" t="e">
        <f t="shared" si="7"/>
        <v>#N/A</v>
      </c>
      <c r="E11" s="5">
        <f t="shared" si="0"/>
        <v>16</v>
      </c>
      <c r="H11" s="19">
        <v>9</v>
      </c>
      <c r="I11">
        <v>128081</v>
      </c>
      <c r="J11" t="s">
        <v>91</v>
      </c>
      <c r="K11">
        <v>126.62</v>
      </c>
      <c r="L11" s="57">
        <v>7.8E-2</v>
      </c>
      <c r="M11">
        <v>134.42000000000002</v>
      </c>
      <c r="N11" s="20">
        <v>30.054753999999999</v>
      </c>
      <c r="O11" s="5" t="str">
        <f t="shared" si="3"/>
        <v>Yes</v>
      </c>
      <c r="R11" s="19">
        <v>9</v>
      </c>
      <c r="S11" s="7">
        <v>113561</v>
      </c>
      <c r="T11" s="7" t="s">
        <v>85</v>
      </c>
      <c r="U11" s="7">
        <f t="shared" si="4"/>
        <v>131.13300000000001</v>
      </c>
      <c r="V11" s="5" t="str">
        <f t="shared" si="5"/>
        <v>未买</v>
      </c>
    </row>
    <row r="12" spans="1:22" x14ac:dyDescent="0.15">
      <c r="A12" s="7">
        <v>128081</v>
      </c>
      <c r="B12" s="7" t="s">
        <v>91</v>
      </c>
      <c r="C12" s="3">
        <f t="shared" si="6"/>
        <v>126.62</v>
      </c>
      <c r="D12" s="5">
        <f t="shared" si="7"/>
        <v>9</v>
      </c>
      <c r="E12" s="5" t="e">
        <f t="shared" si="0"/>
        <v>#N/A</v>
      </c>
      <c r="H12" s="19">
        <v>10</v>
      </c>
      <c r="I12">
        <v>110084</v>
      </c>
      <c r="J12" t="s">
        <v>257</v>
      </c>
      <c r="K12">
        <v>125.501</v>
      </c>
      <c r="L12" s="57">
        <v>8.9600000000000013E-2</v>
      </c>
      <c r="M12">
        <v>134.46100000000001</v>
      </c>
      <c r="N12" s="20">
        <v>9.9956999999999994</v>
      </c>
      <c r="O12" s="5" t="str">
        <f t="shared" si="3"/>
        <v>未买</v>
      </c>
      <c r="R12" s="19">
        <v>10</v>
      </c>
      <c r="S12" s="7">
        <v>113526</v>
      </c>
      <c r="T12" s="7" t="s">
        <v>135</v>
      </c>
      <c r="U12" s="7">
        <f t="shared" si="4"/>
        <v>139.48500000000001</v>
      </c>
      <c r="V12" s="5" t="str">
        <f t="shared" si="5"/>
        <v>未买</v>
      </c>
    </row>
    <row r="13" spans="1:22" x14ac:dyDescent="0.15">
      <c r="A13" s="7">
        <v>128087</v>
      </c>
      <c r="B13" s="7" t="s">
        <v>117</v>
      </c>
      <c r="C13" s="3">
        <f t="shared" si="6"/>
        <v>134.9</v>
      </c>
      <c r="D13" s="5">
        <f t="shared" si="7"/>
        <v>12</v>
      </c>
      <c r="E13" s="5">
        <f t="shared" si="0"/>
        <v>25</v>
      </c>
      <c r="H13" s="19">
        <v>11</v>
      </c>
      <c r="I13">
        <v>128130</v>
      </c>
      <c r="J13" t="s">
        <v>103</v>
      </c>
      <c r="K13">
        <v>121.22799999999999</v>
      </c>
      <c r="L13" s="57">
        <v>0.14499999999999999</v>
      </c>
      <c r="M13">
        <v>135.72800000000001</v>
      </c>
      <c r="N13" s="20">
        <v>9.98672</v>
      </c>
      <c r="O13" s="5" t="str">
        <f t="shared" si="3"/>
        <v>Yes</v>
      </c>
      <c r="R13" s="19">
        <v>11</v>
      </c>
      <c r="S13" s="7">
        <v>113030</v>
      </c>
      <c r="T13" s="7" t="s">
        <v>95</v>
      </c>
      <c r="U13" s="7">
        <f t="shared" si="4"/>
        <v>124.89700000000001</v>
      </c>
      <c r="V13" s="5" t="str">
        <f t="shared" si="5"/>
        <v>未买</v>
      </c>
    </row>
    <row r="14" spans="1:22" x14ac:dyDescent="0.15">
      <c r="A14" s="7">
        <v>128100</v>
      </c>
      <c r="B14" s="7" t="s">
        <v>48</v>
      </c>
      <c r="C14" s="3">
        <f t="shared" si="6"/>
        <v>99.3</v>
      </c>
      <c r="D14" s="5">
        <f t="shared" si="7"/>
        <v>1</v>
      </c>
      <c r="E14" s="5">
        <f t="shared" si="0"/>
        <v>2</v>
      </c>
      <c r="H14" s="19">
        <v>12</v>
      </c>
      <c r="I14">
        <v>128087</v>
      </c>
      <c r="J14" t="s">
        <v>117</v>
      </c>
      <c r="K14">
        <v>134.9</v>
      </c>
      <c r="L14" s="57">
        <v>2.41E-2</v>
      </c>
      <c r="M14">
        <v>137.31</v>
      </c>
      <c r="N14" s="20">
        <v>6.4905280000000003</v>
      </c>
      <c r="O14" s="5" t="str">
        <f t="shared" si="3"/>
        <v>Yes</v>
      </c>
      <c r="R14" s="19">
        <v>12</v>
      </c>
      <c r="S14" s="7">
        <v>113628</v>
      </c>
      <c r="T14" s="7" t="s">
        <v>212</v>
      </c>
      <c r="U14" s="7">
        <f t="shared" si="4"/>
        <v>115.18</v>
      </c>
      <c r="V14" s="5" t="str">
        <f t="shared" si="5"/>
        <v>未买</v>
      </c>
    </row>
    <row r="15" spans="1:22" x14ac:dyDescent="0.15">
      <c r="A15" s="7">
        <v>128127</v>
      </c>
      <c r="B15" s="7" t="s">
        <v>202</v>
      </c>
      <c r="C15" s="3">
        <f t="shared" si="6"/>
        <v>110.45</v>
      </c>
      <c r="D15" s="5">
        <f t="shared" si="7"/>
        <v>39</v>
      </c>
      <c r="E15" s="5">
        <f t="shared" si="0"/>
        <v>15</v>
      </c>
      <c r="H15" s="19">
        <v>13</v>
      </c>
      <c r="I15">
        <v>128034</v>
      </c>
      <c r="J15" t="s">
        <v>1790</v>
      </c>
      <c r="K15">
        <v>123.301</v>
      </c>
      <c r="L15" s="57">
        <v>0.14199999999999999</v>
      </c>
      <c r="M15">
        <v>137.501</v>
      </c>
      <c r="N15" s="20">
        <v>17.579557000000001</v>
      </c>
      <c r="O15" s="5" t="str">
        <f t="shared" si="3"/>
        <v>未买</v>
      </c>
      <c r="R15" s="19">
        <v>13</v>
      </c>
      <c r="S15" s="7">
        <v>113039</v>
      </c>
      <c r="T15" s="7" t="s">
        <v>45</v>
      </c>
      <c r="U15" s="7">
        <f t="shared" si="4"/>
        <v>157.70599999999999</v>
      </c>
      <c r="V15" s="5" t="str">
        <f t="shared" si="5"/>
        <v>未买</v>
      </c>
    </row>
    <row r="16" spans="1:22" x14ac:dyDescent="0.15">
      <c r="A16" s="7">
        <v>128130</v>
      </c>
      <c r="B16" s="7" t="s">
        <v>103</v>
      </c>
      <c r="C16" s="3">
        <f t="shared" si="6"/>
        <v>121.22799999999999</v>
      </c>
      <c r="D16" s="5">
        <f t="shared" si="7"/>
        <v>11</v>
      </c>
      <c r="E16" s="5" t="e">
        <f t="shared" si="0"/>
        <v>#N/A</v>
      </c>
      <c r="H16" s="19">
        <v>14</v>
      </c>
      <c r="I16">
        <v>110080</v>
      </c>
      <c r="J16" t="s">
        <v>215</v>
      </c>
      <c r="K16">
        <v>117.708</v>
      </c>
      <c r="L16" s="57">
        <v>0.1996</v>
      </c>
      <c r="M16">
        <v>137.66800000000001</v>
      </c>
      <c r="N16" s="20">
        <v>15.491149999999999</v>
      </c>
      <c r="O16" s="5" t="str">
        <f t="shared" si="3"/>
        <v>Yes</v>
      </c>
      <c r="R16" s="19">
        <v>14</v>
      </c>
      <c r="S16" s="7">
        <v>123002</v>
      </c>
      <c r="T16" s="7" t="s">
        <v>80</v>
      </c>
      <c r="U16" s="7">
        <f t="shared" si="4"/>
        <v>118.96299999999999</v>
      </c>
      <c r="V16" s="5" t="str">
        <f t="shared" si="5"/>
        <v>Yes</v>
      </c>
    </row>
    <row r="17" spans="3:22" x14ac:dyDescent="0.15">
      <c r="H17" s="19">
        <v>15</v>
      </c>
      <c r="I17">
        <v>110083</v>
      </c>
      <c r="J17" t="s">
        <v>1792</v>
      </c>
      <c r="K17">
        <v>119.753</v>
      </c>
      <c r="L17" s="57">
        <v>0.18359999999999999</v>
      </c>
      <c r="M17">
        <v>138.113</v>
      </c>
      <c r="N17" s="20">
        <v>49.982089999999999</v>
      </c>
      <c r="O17" s="5" t="str">
        <f t="shared" si="3"/>
        <v>未买</v>
      </c>
      <c r="R17" s="19">
        <v>15</v>
      </c>
      <c r="S17" s="7">
        <v>128127</v>
      </c>
      <c r="T17" s="7" t="s">
        <v>202</v>
      </c>
      <c r="U17" s="7">
        <f t="shared" si="4"/>
        <v>110.45</v>
      </c>
      <c r="V17" s="5" t="str">
        <f t="shared" si="5"/>
        <v>Yes</v>
      </c>
    </row>
    <row r="18" spans="3:22" x14ac:dyDescent="0.15">
      <c r="C18" s="3"/>
      <c r="E18" s="5"/>
      <c r="H18" s="19">
        <v>16</v>
      </c>
      <c r="I18">
        <v>110052</v>
      </c>
      <c r="J18" t="s">
        <v>1803</v>
      </c>
      <c r="K18">
        <v>131.30099999999999</v>
      </c>
      <c r="L18" s="57">
        <v>7.3700000000000002E-2</v>
      </c>
      <c r="M18">
        <v>138.67099999999999</v>
      </c>
      <c r="N18" s="20">
        <v>9.1335700000000006</v>
      </c>
      <c r="O18" s="5" t="str">
        <f t="shared" si="3"/>
        <v>未买</v>
      </c>
      <c r="R18" s="19">
        <v>16</v>
      </c>
      <c r="S18" s="7">
        <v>128013</v>
      </c>
      <c r="T18" s="7" t="s">
        <v>52</v>
      </c>
      <c r="U18" s="7" t="e">
        <f t="shared" si="4"/>
        <v>#N/A</v>
      </c>
      <c r="V18" s="5" t="str">
        <f t="shared" si="5"/>
        <v>Yes</v>
      </c>
    </row>
    <row r="19" spans="3:22" x14ac:dyDescent="0.15">
      <c r="C19" s="3"/>
      <c r="E19" s="5"/>
      <c r="H19" s="19">
        <v>17</v>
      </c>
      <c r="I19">
        <v>128048</v>
      </c>
      <c r="J19" t="s">
        <v>1782</v>
      </c>
      <c r="K19">
        <v>125.29</v>
      </c>
      <c r="L19" s="57">
        <v>0.13970000000000002</v>
      </c>
      <c r="M19">
        <v>139.26000000000002</v>
      </c>
      <c r="N19" s="20">
        <v>24.970385</v>
      </c>
      <c r="O19" s="5" t="str">
        <f t="shared" si="3"/>
        <v>未买</v>
      </c>
      <c r="R19" s="19">
        <v>17</v>
      </c>
      <c r="S19" s="7">
        <v>128090</v>
      </c>
      <c r="T19" s="7" t="s">
        <v>118</v>
      </c>
      <c r="U19" s="7">
        <f t="shared" si="4"/>
        <v>135</v>
      </c>
      <c r="V19" s="5" t="str">
        <f t="shared" si="5"/>
        <v>未买</v>
      </c>
    </row>
    <row r="20" spans="3:22" x14ac:dyDescent="0.15">
      <c r="C20" s="3"/>
      <c r="E20" s="5"/>
      <c r="H20" s="19">
        <v>18</v>
      </c>
      <c r="I20">
        <v>110043</v>
      </c>
      <c r="J20" t="s">
        <v>1775</v>
      </c>
      <c r="K20">
        <v>123.904</v>
      </c>
      <c r="L20" s="57">
        <v>0.154</v>
      </c>
      <c r="M20">
        <v>139.304</v>
      </c>
      <c r="N20" s="20">
        <v>29.21339</v>
      </c>
      <c r="O20" s="5" t="str">
        <f t="shared" si="3"/>
        <v>未买</v>
      </c>
      <c r="R20" s="19">
        <v>18</v>
      </c>
      <c r="S20" s="7">
        <v>123052</v>
      </c>
      <c r="T20" s="7" t="s">
        <v>775</v>
      </c>
      <c r="U20" s="7">
        <f t="shared" si="4"/>
        <v>154.239</v>
      </c>
      <c r="V20" s="5" t="str">
        <f t="shared" si="5"/>
        <v>未买</v>
      </c>
    </row>
    <row r="21" spans="3:22" x14ac:dyDescent="0.15">
      <c r="C21" s="3"/>
      <c r="E21" s="5"/>
      <c r="H21" s="19">
        <v>19</v>
      </c>
      <c r="I21">
        <v>113516</v>
      </c>
      <c r="J21" t="s">
        <v>1799</v>
      </c>
      <c r="K21">
        <v>119.19799999999999</v>
      </c>
      <c r="L21" s="57">
        <v>0.20350000000000001</v>
      </c>
      <c r="M21">
        <v>139.548</v>
      </c>
      <c r="N21" s="20">
        <v>12.88598</v>
      </c>
      <c r="O21" s="5" t="str">
        <f t="shared" si="3"/>
        <v>未买</v>
      </c>
      <c r="R21" s="19">
        <v>19</v>
      </c>
      <c r="S21" s="7">
        <v>123080</v>
      </c>
      <c r="T21" s="7" t="s">
        <v>54</v>
      </c>
      <c r="U21" s="7">
        <f t="shared" si="4"/>
        <v>141.83500000000001</v>
      </c>
      <c r="V21" s="5" t="str">
        <f t="shared" si="5"/>
        <v>未买</v>
      </c>
    </row>
    <row r="22" spans="3:22" x14ac:dyDescent="0.15">
      <c r="C22" s="3"/>
      <c r="E22" s="5"/>
      <c r="H22" s="19">
        <v>20</v>
      </c>
      <c r="I22">
        <v>110079</v>
      </c>
      <c r="J22" t="s">
        <v>1787</v>
      </c>
      <c r="K22">
        <v>122.85</v>
      </c>
      <c r="L22" s="57">
        <v>0.16839999999999999</v>
      </c>
      <c r="M22">
        <v>139.69</v>
      </c>
      <c r="N22" s="20">
        <v>149.99012999999999</v>
      </c>
      <c r="O22" s="5" t="str">
        <f t="shared" si="3"/>
        <v>未买</v>
      </c>
      <c r="R22" s="19">
        <v>20</v>
      </c>
      <c r="S22" s="7">
        <v>113598</v>
      </c>
      <c r="T22" s="7" t="s">
        <v>99</v>
      </c>
      <c r="U22" s="7">
        <f t="shared" si="4"/>
        <v>141.26</v>
      </c>
      <c r="V22" s="5" t="str">
        <f t="shared" si="5"/>
        <v>未买</v>
      </c>
    </row>
    <row r="23" spans="3:22" x14ac:dyDescent="0.15">
      <c r="C23" s="3"/>
      <c r="E23" s="5"/>
      <c r="H23" s="19">
        <v>21</v>
      </c>
      <c r="I23">
        <v>127012</v>
      </c>
      <c r="J23" t="s">
        <v>1804</v>
      </c>
      <c r="K23">
        <v>114.54300000000001</v>
      </c>
      <c r="L23" s="57">
        <v>0.25619999999999998</v>
      </c>
      <c r="M23">
        <v>140.16300000000001</v>
      </c>
      <c r="N23" s="20">
        <v>49.998221000000001</v>
      </c>
      <c r="O23" s="5" t="str">
        <f t="shared" si="3"/>
        <v>未买</v>
      </c>
      <c r="R23" s="19">
        <v>21</v>
      </c>
      <c r="S23" s="7">
        <v>128071</v>
      </c>
      <c r="T23" s="7" t="s">
        <v>87</v>
      </c>
      <c r="U23" s="7">
        <f t="shared" si="4"/>
        <v>117.33</v>
      </c>
      <c r="V23" s="5" t="str">
        <f t="shared" si="5"/>
        <v>未买</v>
      </c>
    </row>
    <row r="24" spans="3:22" x14ac:dyDescent="0.15">
      <c r="C24" s="3"/>
      <c r="E24" s="5"/>
      <c r="H24" s="19">
        <v>22</v>
      </c>
      <c r="I24">
        <v>127040</v>
      </c>
      <c r="J24" t="s">
        <v>1776</v>
      </c>
      <c r="K24">
        <v>126.715</v>
      </c>
      <c r="L24" s="57">
        <v>0.1363</v>
      </c>
      <c r="M24">
        <v>140.345</v>
      </c>
      <c r="N24" s="20">
        <v>39.873088000000003</v>
      </c>
      <c r="O24" s="5" t="str">
        <f t="shared" si="3"/>
        <v>未买</v>
      </c>
      <c r="R24" s="19">
        <v>22</v>
      </c>
      <c r="S24" s="7">
        <v>113591</v>
      </c>
      <c r="T24" s="7" t="s">
        <v>41</v>
      </c>
      <c r="U24" s="7">
        <f t="shared" si="4"/>
        <v>135.88800000000001</v>
      </c>
      <c r="V24" s="5" t="str">
        <f t="shared" si="5"/>
        <v>Yes</v>
      </c>
    </row>
    <row r="25" spans="3:22" x14ac:dyDescent="0.15">
      <c r="C25" s="3"/>
      <c r="E25" s="5"/>
      <c r="H25" s="19">
        <v>23</v>
      </c>
      <c r="I25">
        <v>113620</v>
      </c>
      <c r="J25" t="s">
        <v>1933</v>
      </c>
      <c r="K25">
        <v>140.93100000000001</v>
      </c>
      <c r="L25" s="57">
        <v>-5.1999999999999998E-3</v>
      </c>
      <c r="M25">
        <v>140.411</v>
      </c>
      <c r="N25" s="20">
        <v>2.4529800000000002</v>
      </c>
      <c r="O25" s="5" t="str">
        <f t="shared" si="3"/>
        <v>未买</v>
      </c>
      <c r="R25" s="19">
        <v>23</v>
      </c>
      <c r="S25" s="7">
        <v>128039</v>
      </c>
      <c r="T25" s="7" t="s">
        <v>116</v>
      </c>
      <c r="U25" s="7">
        <f t="shared" si="4"/>
        <v>126.113</v>
      </c>
      <c r="V25" s="5" t="str">
        <f t="shared" si="5"/>
        <v>未买</v>
      </c>
    </row>
    <row r="26" spans="3:22" x14ac:dyDescent="0.15">
      <c r="E26" s="5"/>
      <c r="H26" s="19">
        <v>24</v>
      </c>
      <c r="I26">
        <v>123097</v>
      </c>
      <c r="J26" t="s">
        <v>1987</v>
      </c>
      <c r="K26">
        <v>140.608</v>
      </c>
      <c r="L26" s="57">
        <v>2.8999999999999998E-3</v>
      </c>
      <c r="M26">
        <v>140.898</v>
      </c>
      <c r="N26" s="20">
        <v>1.443425</v>
      </c>
      <c r="O26" s="5" t="str">
        <f t="shared" si="3"/>
        <v>未买</v>
      </c>
      <c r="R26" s="19">
        <v>24</v>
      </c>
      <c r="S26" s="7">
        <v>110070</v>
      </c>
      <c r="T26" s="7" t="s">
        <v>88</v>
      </c>
      <c r="U26" s="7">
        <f t="shared" si="4"/>
        <v>124.22199999999999</v>
      </c>
      <c r="V26" s="5" t="str">
        <f t="shared" si="5"/>
        <v>Yes</v>
      </c>
    </row>
    <row r="27" spans="3:22" x14ac:dyDescent="0.15">
      <c r="E27" s="5"/>
      <c r="H27" s="19">
        <v>25</v>
      </c>
      <c r="I27">
        <v>123146</v>
      </c>
      <c r="J27" t="s">
        <v>1795</v>
      </c>
      <c r="K27">
        <v>121.197</v>
      </c>
      <c r="L27" s="57">
        <v>0.19760000000000003</v>
      </c>
      <c r="M27">
        <v>140.95699999999999</v>
      </c>
      <c r="N27" s="20">
        <v>8.64</v>
      </c>
      <c r="O27" s="5" t="str">
        <f t="shared" si="3"/>
        <v>未买</v>
      </c>
      <c r="R27" s="19">
        <v>25</v>
      </c>
      <c r="S27" s="7">
        <v>128087</v>
      </c>
      <c r="T27" s="7" t="s">
        <v>117</v>
      </c>
      <c r="U27" s="7">
        <f t="shared" si="4"/>
        <v>134.9</v>
      </c>
      <c r="V27" s="5" t="str">
        <f t="shared" si="5"/>
        <v>Yes</v>
      </c>
    </row>
    <row r="28" spans="3:22" x14ac:dyDescent="0.15">
      <c r="E28" s="5"/>
      <c r="H28" s="19">
        <v>26</v>
      </c>
      <c r="I28">
        <v>113631</v>
      </c>
      <c r="J28" t="s">
        <v>207</v>
      </c>
      <c r="K28">
        <v>121.07</v>
      </c>
      <c r="L28" s="57">
        <v>0.19989999999999999</v>
      </c>
      <c r="M28">
        <v>141.06</v>
      </c>
      <c r="N28" s="20">
        <v>9.2997200000000007</v>
      </c>
      <c r="O28" s="5" t="str">
        <f t="shared" si="3"/>
        <v>未买</v>
      </c>
      <c r="R28" s="19">
        <v>26</v>
      </c>
      <c r="S28" s="7">
        <v>128120</v>
      </c>
      <c r="T28" s="7" t="s">
        <v>113</v>
      </c>
      <c r="U28" s="7">
        <f t="shared" si="4"/>
        <v>138.48400000000001</v>
      </c>
      <c r="V28" s="5" t="str">
        <f t="shared" si="5"/>
        <v>未买</v>
      </c>
    </row>
    <row r="29" spans="3:22" x14ac:dyDescent="0.15">
      <c r="E29" s="5"/>
      <c r="H29" s="19">
        <v>27</v>
      </c>
      <c r="I29">
        <v>110077</v>
      </c>
      <c r="J29" t="s">
        <v>1777</v>
      </c>
      <c r="K29">
        <v>132.29499999999999</v>
      </c>
      <c r="L29" s="57">
        <v>9.0999999999999998E-2</v>
      </c>
      <c r="M29">
        <v>141.39499999999998</v>
      </c>
      <c r="N29" s="20">
        <v>17.674520000000001</v>
      </c>
      <c r="O29" s="5" t="str">
        <f t="shared" si="3"/>
        <v>未买</v>
      </c>
      <c r="R29" s="19">
        <v>27</v>
      </c>
      <c r="V29" s="5"/>
    </row>
    <row r="30" spans="3:22" x14ac:dyDescent="0.15">
      <c r="E30" s="5"/>
      <c r="H30" s="19">
        <v>28</v>
      </c>
      <c r="I30">
        <v>127020</v>
      </c>
      <c r="J30" t="s">
        <v>1802</v>
      </c>
      <c r="K30">
        <v>119.22</v>
      </c>
      <c r="L30" s="57">
        <v>0.2218</v>
      </c>
      <c r="M30">
        <v>141.4</v>
      </c>
      <c r="N30" s="20">
        <v>30.227927000000001</v>
      </c>
      <c r="O30" s="5" t="str">
        <f t="shared" si="3"/>
        <v>未买</v>
      </c>
      <c r="R30" s="19">
        <v>28</v>
      </c>
      <c r="V30" s="5"/>
    </row>
    <row r="31" spans="3:22" x14ac:dyDescent="0.15">
      <c r="E31" s="5"/>
      <c r="H31" s="19">
        <v>29</v>
      </c>
      <c r="I31">
        <v>128119</v>
      </c>
      <c r="J31" t="s">
        <v>227</v>
      </c>
      <c r="K31">
        <v>122.42</v>
      </c>
      <c r="L31" s="57">
        <v>0.19589999999999999</v>
      </c>
      <c r="M31">
        <v>142.01</v>
      </c>
      <c r="N31" s="20">
        <v>9.4606510000000004</v>
      </c>
      <c r="O31" s="5" t="str">
        <f t="shared" si="3"/>
        <v>未买</v>
      </c>
      <c r="R31" s="19">
        <v>29</v>
      </c>
      <c r="V31" s="5"/>
    </row>
    <row r="32" spans="3:22" x14ac:dyDescent="0.15">
      <c r="E32" s="5"/>
      <c r="H32" s="19">
        <v>30</v>
      </c>
      <c r="I32">
        <v>128066</v>
      </c>
      <c r="J32" t="s">
        <v>97</v>
      </c>
      <c r="K32">
        <v>118.78</v>
      </c>
      <c r="L32" s="57">
        <v>0.23280000000000001</v>
      </c>
      <c r="M32">
        <v>142.06</v>
      </c>
      <c r="N32" s="20">
        <v>4.6105619999999998</v>
      </c>
      <c r="O32" s="5" t="str">
        <f t="shared" si="3"/>
        <v>未买</v>
      </c>
      <c r="R32" s="19">
        <v>30</v>
      </c>
      <c r="V32" s="5"/>
    </row>
    <row r="33" spans="5:22" x14ac:dyDescent="0.15">
      <c r="E33" s="5"/>
      <c r="H33" s="19">
        <v>31</v>
      </c>
      <c r="I33">
        <v>113017</v>
      </c>
      <c r="J33" t="s">
        <v>107</v>
      </c>
      <c r="K33">
        <v>111.886</v>
      </c>
      <c r="L33" s="57">
        <v>0.30630000000000002</v>
      </c>
      <c r="M33">
        <v>142.51599999999999</v>
      </c>
      <c r="N33" s="20">
        <v>11.349869999999999</v>
      </c>
      <c r="O33" s="5" t="str">
        <f t="shared" si="3"/>
        <v>Yes</v>
      </c>
      <c r="R33" s="19">
        <v>31</v>
      </c>
      <c r="V33" s="5"/>
    </row>
    <row r="34" spans="5:22" x14ac:dyDescent="0.15">
      <c r="E34" s="5"/>
      <c r="H34" s="19">
        <v>32</v>
      </c>
      <c r="I34">
        <v>113609</v>
      </c>
      <c r="J34" t="s">
        <v>82</v>
      </c>
      <c r="K34">
        <v>115.426</v>
      </c>
      <c r="L34" s="57">
        <v>0.2888</v>
      </c>
      <c r="M34">
        <v>144.30600000000001</v>
      </c>
      <c r="N34" s="20">
        <v>7.3418999999999999</v>
      </c>
      <c r="O34" s="5" t="str">
        <f t="shared" si="3"/>
        <v>未买</v>
      </c>
      <c r="R34" s="19">
        <v>32</v>
      </c>
      <c r="V34" s="5"/>
    </row>
    <row r="35" spans="5:22" x14ac:dyDescent="0.15">
      <c r="E35" s="5"/>
      <c r="H35" s="19">
        <v>33</v>
      </c>
      <c r="I35">
        <v>113591</v>
      </c>
      <c r="J35" t="s">
        <v>41</v>
      </c>
      <c r="K35">
        <v>135.88800000000001</v>
      </c>
      <c r="L35" s="57">
        <v>9.1600000000000001E-2</v>
      </c>
      <c r="M35">
        <v>145.048</v>
      </c>
      <c r="N35" s="20">
        <v>4.7749600000000001</v>
      </c>
      <c r="O35" s="5" t="str">
        <f t="shared" si="3"/>
        <v>Yes</v>
      </c>
      <c r="R35" s="19">
        <v>33</v>
      </c>
      <c r="V35" s="5"/>
    </row>
    <row r="36" spans="5:22" x14ac:dyDescent="0.15">
      <c r="E36" s="5"/>
      <c r="H36" s="19">
        <v>34</v>
      </c>
      <c r="I36">
        <v>113635</v>
      </c>
      <c r="J36" t="s">
        <v>1849</v>
      </c>
      <c r="K36">
        <v>142.69200000000001</v>
      </c>
      <c r="L36" s="57">
        <v>2.4900000000000002E-2</v>
      </c>
      <c r="M36">
        <v>145.18200000000002</v>
      </c>
      <c r="N36" s="20">
        <v>13.49591</v>
      </c>
      <c r="O36" s="5" t="str">
        <f t="shared" si="3"/>
        <v>未买</v>
      </c>
      <c r="R36" s="19">
        <v>34</v>
      </c>
      <c r="V36" s="5"/>
    </row>
    <row r="37" spans="5:22" x14ac:dyDescent="0.15">
      <c r="E37" s="5"/>
      <c r="H37" s="19">
        <v>35</v>
      </c>
      <c r="I37">
        <v>113505</v>
      </c>
      <c r="J37" t="s">
        <v>223</v>
      </c>
      <c r="K37">
        <v>122.78100000000001</v>
      </c>
      <c r="L37" s="57">
        <v>0.2278</v>
      </c>
      <c r="M37">
        <v>145.56100000000001</v>
      </c>
      <c r="N37" s="20">
        <v>7.4973799999999997</v>
      </c>
      <c r="O37" s="5" t="str">
        <f t="shared" si="3"/>
        <v>未买</v>
      </c>
      <c r="R37" s="19">
        <v>35</v>
      </c>
      <c r="V37" s="5"/>
    </row>
    <row r="38" spans="5:22" x14ac:dyDescent="0.15">
      <c r="E38" s="5"/>
      <c r="H38" s="19">
        <v>36</v>
      </c>
      <c r="I38">
        <v>127029</v>
      </c>
      <c r="J38" t="s">
        <v>1784</v>
      </c>
      <c r="K38">
        <v>132.6</v>
      </c>
      <c r="L38" s="57">
        <v>0.12970000000000001</v>
      </c>
      <c r="M38">
        <v>145.57</v>
      </c>
      <c r="N38" s="20">
        <v>8.1886150000000004</v>
      </c>
      <c r="O38" s="5" t="str">
        <f t="shared" si="3"/>
        <v>未买</v>
      </c>
      <c r="R38" s="19">
        <v>36</v>
      </c>
      <c r="V38" s="5"/>
    </row>
    <row r="39" spans="5:22" x14ac:dyDescent="0.15">
      <c r="E39" s="5"/>
      <c r="H39" s="19">
        <v>37</v>
      </c>
      <c r="I39">
        <v>128085</v>
      </c>
      <c r="J39" t="s">
        <v>1967</v>
      </c>
      <c r="K39">
        <v>118.086</v>
      </c>
      <c r="L39" s="57">
        <v>0.27550000000000002</v>
      </c>
      <c r="M39">
        <v>145.636</v>
      </c>
      <c r="N39" s="20">
        <v>3.3735580000000001</v>
      </c>
      <c r="O39" s="5" t="str">
        <f t="shared" si="3"/>
        <v>未买</v>
      </c>
      <c r="R39" s="19">
        <v>37</v>
      </c>
      <c r="V39" s="5"/>
    </row>
    <row r="40" spans="5:22" x14ac:dyDescent="0.15">
      <c r="E40" s="5"/>
      <c r="H40" s="19">
        <v>38</v>
      </c>
      <c r="I40">
        <v>110057</v>
      </c>
      <c r="J40" t="s">
        <v>1798</v>
      </c>
      <c r="K40">
        <v>118.752</v>
      </c>
      <c r="L40" s="57">
        <v>0.27010000000000001</v>
      </c>
      <c r="M40">
        <v>145.762</v>
      </c>
      <c r="N40" s="20">
        <v>16.15494</v>
      </c>
      <c r="O40" s="5" t="str">
        <f t="shared" si="3"/>
        <v>未买</v>
      </c>
      <c r="R40" s="19">
        <v>38</v>
      </c>
      <c r="V40" s="5"/>
    </row>
    <row r="41" spans="5:22" x14ac:dyDescent="0.15">
      <c r="E41" s="5"/>
      <c r="H41" s="19">
        <v>39</v>
      </c>
      <c r="I41">
        <v>128127</v>
      </c>
      <c r="J41" t="s">
        <v>202</v>
      </c>
      <c r="K41">
        <v>110.45</v>
      </c>
      <c r="L41" s="57">
        <v>0.35770000000000002</v>
      </c>
      <c r="M41">
        <v>146.22</v>
      </c>
      <c r="N41" s="20">
        <v>9.4928229999999996</v>
      </c>
      <c r="O41" s="5" t="str">
        <f t="shared" si="3"/>
        <v>Yes</v>
      </c>
      <c r="R41" s="19">
        <v>39</v>
      </c>
      <c r="V41" s="5"/>
    </row>
    <row r="42" spans="5:22" x14ac:dyDescent="0.15">
      <c r="E42" s="5"/>
      <c r="H42" s="19">
        <v>40</v>
      </c>
      <c r="I42">
        <v>128044</v>
      </c>
      <c r="J42" t="s">
        <v>126</v>
      </c>
      <c r="K42">
        <v>114.41</v>
      </c>
      <c r="L42" s="57">
        <v>0.32130000000000003</v>
      </c>
      <c r="M42">
        <v>146.54</v>
      </c>
      <c r="N42" s="20">
        <v>6.5727690000000001</v>
      </c>
      <c r="O42" s="5" t="str">
        <f t="shared" si="3"/>
        <v>未买</v>
      </c>
      <c r="R42" s="19">
        <v>40</v>
      </c>
      <c r="V42" s="5"/>
    </row>
    <row r="43" spans="5:22" x14ac:dyDescent="0.15">
      <c r="E43" s="5"/>
      <c r="H43" s="19">
        <v>41</v>
      </c>
      <c r="I43">
        <v>123129</v>
      </c>
      <c r="J43" t="s">
        <v>228</v>
      </c>
      <c r="K43">
        <v>119.05</v>
      </c>
      <c r="L43" s="57">
        <v>0.27529999999999999</v>
      </c>
      <c r="M43">
        <v>146.57999999999998</v>
      </c>
      <c r="N43" s="20">
        <v>5.9998880000000003</v>
      </c>
      <c r="O43" s="5" t="str">
        <f t="shared" si="3"/>
        <v>未买</v>
      </c>
      <c r="R43" s="19">
        <v>41</v>
      </c>
      <c r="V43" s="16"/>
    </row>
    <row r="44" spans="5:22" x14ac:dyDescent="0.15">
      <c r="E44" s="5"/>
      <c r="H44" s="19">
        <v>42</v>
      </c>
      <c r="I44">
        <v>128083</v>
      </c>
      <c r="J44" t="s">
        <v>176</v>
      </c>
      <c r="K44">
        <v>135.101</v>
      </c>
      <c r="L44" s="57">
        <v>0.11609999999999999</v>
      </c>
      <c r="M44">
        <v>146.71100000000001</v>
      </c>
      <c r="N44" s="20">
        <v>8.768122</v>
      </c>
      <c r="O44" s="5" t="str">
        <f t="shared" si="3"/>
        <v>未买</v>
      </c>
      <c r="R44" s="19">
        <v>42</v>
      </c>
      <c r="V44" s="16"/>
    </row>
    <row r="45" spans="5:22" x14ac:dyDescent="0.15">
      <c r="E45" s="5"/>
      <c r="H45" s="19">
        <v>43</v>
      </c>
      <c r="I45">
        <v>128129</v>
      </c>
      <c r="J45" t="s">
        <v>1822</v>
      </c>
      <c r="K45">
        <v>103.367</v>
      </c>
      <c r="L45" s="57">
        <v>0.43490000000000001</v>
      </c>
      <c r="M45">
        <v>146.857</v>
      </c>
      <c r="N45" s="20">
        <v>49.997430999999999</v>
      </c>
      <c r="O45" s="5" t="str">
        <f t="shared" si="3"/>
        <v>未买</v>
      </c>
      <c r="R45" s="19">
        <v>43</v>
      </c>
    </row>
    <row r="46" spans="5:22" x14ac:dyDescent="0.15">
      <c r="E46" s="5"/>
      <c r="H46" s="19">
        <v>44</v>
      </c>
      <c r="I46">
        <v>128075</v>
      </c>
      <c r="J46" t="s">
        <v>121</v>
      </c>
      <c r="K46">
        <v>130</v>
      </c>
      <c r="L46" s="57">
        <v>0.17379999999999998</v>
      </c>
      <c r="M46">
        <v>147.38</v>
      </c>
      <c r="N46" s="20">
        <v>5.4374510000000003</v>
      </c>
      <c r="O46" s="5" t="str">
        <f t="shared" si="3"/>
        <v>未买</v>
      </c>
      <c r="R46" s="19">
        <v>44</v>
      </c>
      <c r="V46" s="16"/>
    </row>
    <row r="47" spans="5:22" x14ac:dyDescent="0.15">
      <c r="E47" s="5"/>
      <c r="H47" s="19">
        <v>45</v>
      </c>
      <c r="I47">
        <v>127028</v>
      </c>
      <c r="J47" t="s">
        <v>62</v>
      </c>
      <c r="K47">
        <v>120.66</v>
      </c>
      <c r="L47" s="57">
        <v>0.26850000000000002</v>
      </c>
      <c r="M47">
        <v>147.51</v>
      </c>
      <c r="N47" s="20">
        <v>5.9824450000000002</v>
      </c>
      <c r="O47" s="5" t="str">
        <f t="shared" si="3"/>
        <v>未买</v>
      </c>
      <c r="R47" s="19">
        <v>45</v>
      </c>
      <c r="V47" s="16"/>
    </row>
    <row r="48" spans="5:22" x14ac:dyDescent="0.15">
      <c r="E48" s="5"/>
      <c r="H48" s="19">
        <v>46</v>
      </c>
      <c r="I48">
        <v>113013</v>
      </c>
      <c r="J48" t="s">
        <v>1823</v>
      </c>
      <c r="K48">
        <v>111.523</v>
      </c>
      <c r="L48" s="57">
        <v>0.36099999999999999</v>
      </c>
      <c r="M48">
        <v>147.62299999999999</v>
      </c>
      <c r="N48" s="20">
        <v>69.901759999999996</v>
      </c>
      <c r="O48" s="5" t="str">
        <f t="shared" si="3"/>
        <v>未买</v>
      </c>
      <c r="R48" s="19">
        <v>46</v>
      </c>
      <c r="V48" s="16"/>
    </row>
    <row r="49" spans="5:18" x14ac:dyDescent="0.15">
      <c r="E49" s="5"/>
      <c r="H49" s="19">
        <v>47</v>
      </c>
      <c r="I49">
        <v>110060</v>
      </c>
      <c r="J49" t="s">
        <v>199</v>
      </c>
      <c r="K49">
        <v>123.621</v>
      </c>
      <c r="L49" s="57">
        <v>0.24079999999999999</v>
      </c>
      <c r="M49">
        <v>147.70099999999999</v>
      </c>
      <c r="N49" s="20">
        <v>7.0625099999999996</v>
      </c>
      <c r="O49" s="5" t="str">
        <f t="shared" si="3"/>
        <v>未买</v>
      </c>
      <c r="R49" s="19">
        <v>47</v>
      </c>
    </row>
    <row r="50" spans="5:18" x14ac:dyDescent="0.15">
      <c r="E50" s="5"/>
      <c r="H50" s="19">
        <v>48</v>
      </c>
      <c r="I50">
        <v>113532</v>
      </c>
      <c r="J50" t="s">
        <v>186</v>
      </c>
      <c r="K50">
        <v>119.497</v>
      </c>
      <c r="L50" s="57">
        <v>0.28260000000000002</v>
      </c>
      <c r="M50">
        <v>147.75700000000001</v>
      </c>
      <c r="N50" s="20">
        <v>4.5854799999999996</v>
      </c>
      <c r="O50" s="5" t="str">
        <f t="shared" si="3"/>
        <v>未买</v>
      </c>
      <c r="R50" s="19">
        <v>48</v>
      </c>
    </row>
    <row r="51" spans="5:18" x14ac:dyDescent="0.15">
      <c r="E51" s="5"/>
      <c r="H51" s="19">
        <v>49</v>
      </c>
      <c r="I51">
        <v>127035</v>
      </c>
      <c r="J51" t="s">
        <v>211</v>
      </c>
      <c r="K51">
        <v>136.255</v>
      </c>
      <c r="L51" s="57">
        <v>0.11550000000000001</v>
      </c>
      <c r="M51">
        <v>147.80500000000001</v>
      </c>
      <c r="N51" s="20">
        <v>6.2618859999999996</v>
      </c>
      <c r="O51" s="5" t="str">
        <f t="shared" si="3"/>
        <v>未买</v>
      </c>
      <c r="R51" s="19">
        <v>49</v>
      </c>
    </row>
    <row r="52" spans="5:18" x14ac:dyDescent="0.15">
      <c r="E52" s="5"/>
      <c r="H52" s="19">
        <v>50</v>
      </c>
      <c r="I52">
        <v>110063</v>
      </c>
      <c r="J52" t="s">
        <v>1805</v>
      </c>
      <c r="K52">
        <v>113.985</v>
      </c>
      <c r="L52" s="57">
        <v>0.3397</v>
      </c>
      <c r="M52">
        <v>147.95499999999998</v>
      </c>
      <c r="N52" s="20">
        <v>18.44462</v>
      </c>
      <c r="O52" s="5" t="str">
        <f t="shared" si="3"/>
        <v>未买</v>
      </c>
      <c r="R52" s="19">
        <v>50</v>
      </c>
    </row>
    <row r="53" spans="5:18" x14ac:dyDescent="0.15">
      <c r="E53" s="5"/>
      <c r="H53" s="19">
        <v>51</v>
      </c>
      <c r="I53">
        <v>113057</v>
      </c>
      <c r="J53" t="s">
        <v>1806</v>
      </c>
      <c r="K53">
        <v>118.009</v>
      </c>
      <c r="L53" s="57">
        <v>0.30049999999999999</v>
      </c>
      <c r="M53">
        <v>148.059</v>
      </c>
      <c r="N53" s="20">
        <v>78</v>
      </c>
      <c r="O53" s="5" t="str">
        <f t="shared" si="3"/>
        <v>未买</v>
      </c>
      <c r="R53" s="19">
        <v>51</v>
      </c>
    </row>
    <row r="54" spans="5:18" x14ac:dyDescent="0.15">
      <c r="E54" s="5"/>
      <c r="H54" s="19">
        <v>52</v>
      </c>
      <c r="I54">
        <v>127049</v>
      </c>
      <c r="J54" t="s">
        <v>1797</v>
      </c>
      <c r="K54">
        <v>128.37</v>
      </c>
      <c r="L54" s="57">
        <v>0.2006</v>
      </c>
      <c r="M54">
        <v>148.43</v>
      </c>
      <c r="N54" s="20">
        <v>81.437252000000001</v>
      </c>
      <c r="O54" s="5" t="str">
        <f t="shared" si="3"/>
        <v>未买</v>
      </c>
      <c r="R54" s="19">
        <v>52</v>
      </c>
    </row>
    <row r="55" spans="5:18" x14ac:dyDescent="0.15">
      <c r="E55" s="5"/>
      <c r="H55" s="19">
        <v>53</v>
      </c>
      <c r="I55">
        <v>113549</v>
      </c>
      <c r="J55" t="s">
        <v>98</v>
      </c>
      <c r="K55">
        <v>126.777</v>
      </c>
      <c r="L55" s="57">
        <v>0.21909999999999999</v>
      </c>
      <c r="M55">
        <v>148.68700000000001</v>
      </c>
      <c r="N55" s="20">
        <v>8.0470299999999995</v>
      </c>
      <c r="O55" s="5" t="str">
        <f t="shared" si="3"/>
        <v>未买</v>
      </c>
      <c r="R55" s="19">
        <v>53</v>
      </c>
    </row>
    <row r="56" spans="5:18" x14ac:dyDescent="0.15">
      <c r="E56" s="5"/>
      <c r="H56" s="19">
        <v>54</v>
      </c>
      <c r="I56">
        <v>128073</v>
      </c>
      <c r="J56" t="s">
        <v>96</v>
      </c>
      <c r="K56">
        <v>138.1</v>
      </c>
      <c r="L56" s="57">
        <v>0.10920000000000001</v>
      </c>
      <c r="M56">
        <v>149.01999999999998</v>
      </c>
      <c r="N56" s="20">
        <v>2.987339</v>
      </c>
      <c r="O56" s="5" t="str">
        <f t="shared" si="3"/>
        <v>未买</v>
      </c>
      <c r="R56" s="19">
        <v>54</v>
      </c>
    </row>
    <row r="57" spans="5:18" x14ac:dyDescent="0.15">
      <c r="E57" s="5"/>
      <c r="H57" s="19">
        <v>55</v>
      </c>
      <c r="I57">
        <v>127032</v>
      </c>
      <c r="J57" t="s">
        <v>1811</v>
      </c>
      <c r="K57">
        <v>116.5</v>
      </c>
      <c r="L57" s="57">
        <v>0.32750000000000001</v>
      </c>
      <c r="M57">
        <v>149.25</v>
      </c>
      <c r="N57" s="20">
        <v>49.995489999999997</v>
      </c>
      <c r="O57" s="5" t="str">
        <f t="shared" si="3"/>
        <v>未买</v>
      </c>
      <c r="R57" s="19">
        <v>55</v>
      </c>
    </row>
    <row r="58" spans="5:18" x14ac:dyDescent="0.15">
      <c r="E58" s="5"/>
      <c r="H58" s="19">
        <v>56</v>
      </c>
      <c r="I58">
        <v>128037</v>
      </c>
      <c r="J58" t="s">
        <v>72</v>
      </c>
      <c r="K58">
        <v>120.9</v>
      </c>
      <c r="L58" s="57">
        <v>0.28360000000000002</v>
      </c>
      <c r="M58">
        <v>149.26</v>
      </c>
      <c r="N58" s="20">
        <v>6.0223659999999999</v>
      </c>
      <c r="O58" s="5" t="str">
        <f t="shared" si="3"/>
        <v>未买</v>
      </c>
      <c r="R58" s="19">
        <v>56</v>
      </c>
    </row>
    <row r="59" spans="5:18" x14ac:dyDescent="0.15">
      <c r="E59" s="5"/>
      <c r="H59" s="19">
        <v>57</v>
      </c>
      <c r="I59">
        <v>123023</v>
      </c>
      <c r="J59" t="s">
        <v>193</v>
      </c>
      <c r="K59">
        <v>149.13999999999999</v>
      </c>
      <c r="L59" s="57">
        <v>3.0000000000000001E-3</v>
      </c>
      <c r="M59">
        <v>149.44</v>
      </c>
      <c r="N59" s="20">
        <v>5.293596</v>
      </c>
      <c r="O59" s="5" t="str">
        <f t="shared" si="3"/>
        <v>未买</v>
      </c>
      <c r="R59" s="19">
        <v>57</v>
      </c>
    </row>
    <row r="60" spans="5:18" x14ac:dyDescent="0.15">
      <c r="E60" s="5"/>
      <c r="H60" s="19">
        <v>58</v>
      </c>
      <c r="I60">
        <v>128133</v>
      </c>
      <c r="J60" t="s">
        <v>209</v>
      </c>
      <c r="K60">
        <v>122.449</v>
      </c>
      <c r="L60" s="57">
        <v>0.27129999999999999</v>
      </c>
      <c r="M60">
        <v>149.57900000000001</v>
      </c>
      <c r="N60" s="20">
        <v>7.994078</v>
      </c>
      <c r="O60" s="5" t="str">
        <f t="shared" si="3"/>
        <v>未买</v>
      </c>
      <c r="R60" s="19">
        <v>58</v>
      </c>
    </row>
    <row r="61" spans="5:18" x14ac:dyDescent="0.15">
      <c r="E61" s="5"/>
      <c r="H61" s="19">
        <v>59</v>
      </c>
      <c r="I61">
        <v>110047</v>
      </c>
      <c r="J61" t="s">
        <v>1810</v>
      </c>
      <c r="K61">
        <v>114</v>
      </c>
      <c r="L61" s="57">
        <v>0.35700000000000004</v>
      </c>
      <c r="M61">
        <v>149.69999999999999</v>
      </c>
      <c r="N61" s="20">
        <v>22.461279999999999</v>
      </c>
      <c r="O61" s="5" t="str">
        <f t="shared" si="3"/>
        <v>未买</v>
      </c>
      <c r="R61" s="19">
        <v>59</v>
      </c>
    </row>
    <row r="62" spans="5:18" x14ac:dyDescent="0.15">
      <c r="E62" s="5"/>
      <c r="H62" s="19">
        <v>60</v>
      </c>
      <c r="I62">
        <v>123063</v>
      </c>
      <c r="J62" t="s">
        <v>90</v>
      </c>
      <c r="K62">
        <v>135.809</v>
      </c>
      <c r="L62" s="57">
        <v>0.1406</v>
      </c>
      <c r="M62">
        <v>149.869</v>
      </c>
      <c r="N62" s="20">
        <v>6.3456270000000004</v>
      </c>
      <c r="O62" s="5" t="str">
        <f t="shared" si="3"/>
        <v>未买</v>
      </c>
      <c r="R62" s="19">
        <v>60</v>
      </c>
    </row>
    <row r="63" spans="5:18" x14ac:dyDescent="0.15">
      <c r="E63" s="5"/>
      <c r="H63" s="19">
        <v>61</v>
      </c>
      <c r="I63">
        <v>123107</v>
      </c>
      <c r="J63" t="s">
        <v>1995</v>
      </c>
      <c r="K63">
        <v>145.601</v>
      </c>
      <c r="L63" s="57">
        <v>4.5700000000000005E-2</v>
      </c>
      <c r="M63">
        <v>150.17099999999999</v>
      </c>
      <c r="N63" s="20">
        <v>77.390163999999999</v>
      </c>
      <c r="O63" s="5" t="str">
        <f t="shared" si="3"/>
        <v>未买</v>
      </c>
      <c r="R63" s="19">
        <v>61</v>
      </c>
    </row>
    <row r="64" spans="5:18" x14ac:dyDescent="0.15">
      <c r="E64" s="5"/>
      <c r="H64" s="19">
        <v>62</v>
      </c>
      <c r="I64">
        <v>127019</v>
      </c>
      <c r="J64" t="s">
        <v>163</v>
      </c>
      <c r="K64">
        <v>118.7</v>
      </c>
      <c r="L64" s="57">
        <v>0.31489999999999996</v>
      </c>
      <c r="M64">
        <v>150.19</v>
      </c>
      <c r="N64" s="20">
        <v>8.4977850000000004</v>
      </c>
      <c r="O64" s="5" t="str">
        <f t="shared" si="3"/>
        <v>未买</v>
      </c>
      <c r="R64" s="19">
        <v>62</v>
      </c>
    </row>
    <row r="65" spans="5:18" x14ac:dyDescent="0.15">
      <c r="E65" s="5"/>
      <c r="H65" s="19">
        <v>63</v>
      </c>
      <c r="I65">
        <v>113640</v>
      </c>
      <c r="J65" t="s">
        <v>765</v>
      </c>
      <c r="K65">
        <v>129.22</v>
      </c>
      <c r="L65" s="57">
        <v>0.20989999999999998</v>
      </c>
      <c r="M65">
        <v>150.21</v>
      </c>
      <c r="N65" s="20">
        <v>9.5721100000000003</v>
      </c>
      <c r="O65" s="5" t="str">
        <f t="shared" si="3"/>
        <v>未买</v>
      </c>
      <c r="R65" s="19">
        <v>63</v>
      </c>
    </row>
    <row r="66" spans="5:18" x14ac:dyDescent="0.15">
      <c r="E66" s="5"/>
      <c r="H66" s="19">
        <v>64</v>
      </c>
      <c r="I66">
        <v>127042</v>
      </c>
      <c r="J66" t="s">
        <v>92</v>
      </c>
      <c r="K66">
        <v>113.492</v>
      </c>
      <c r="L66" s="57">
        <v>0.36869999999999997</v>
      </c>
      <c r="M66">
        <v>150.36199999999999</v>
      </c>
      <c r="N66" s="20">
        <v>7.4982160000000002</v>
      </c>
      <c r="O66" s="5" t="str">
        <f t="shared" si="3"/>
        <v>Yes</v>
      </c>
      <c r="R66" s="19">
        <v>64</v>
      </c>
    </row>
    <row r="67" spans="5:18" x14ac:dyDescent="0.15">
      <c r="E67" s="5"/>
      <c r="H67" s="19">
        <v>65</v>
      </c>
      <c r="I67">
        <v>123127</v>
      </c>
      <c r="J67" t="s">
        <v>111</v>
      </c>
      <c r="K67">
        <v>131.36000000000001</v>
      </c>
      <c r="L67" s="57">
        <v>0.19010000000000002</v>
      </c>
      <c r="M67">
        <v>150.37</v>
      </c>
      <c r="N67" s="20">
        <v>3.9995210000000001</v>
      </c>
      <c r="O67" s="5" t="str">
        <f t="shared" si="3"/>
        <v>未买</v>
      </c>
      <c r="R67" s="19">
        <v>65</v>
      </c>
    </row>
    <row r="68" spans="5:18" x14ac:dyDescent="0.15">
      <c r="E68" s="5"/>
      <c r="H68" s="19">
        <v>66</v>
      </c>
      <c r="I68">
        <v>128022</v>
      </c>
      <c r="J68" t="s">
        <v>148</v>
      </c>
      <c r="K68">
        <v>129.19999999999999</v>
      </c>
      <c r="L68" s="57">
        <v>0.21260000000000001</v>
      </c>
      <c r="M68">
        <v>150.45999999999998</v>
      </c>
      <c r="N68" s="20">
        <v>4.5499499999999999</v>
      </c>
      <c r="O68" s="5" t="str">
        <f t="shared" ref="O68:O131" si="8">IF(ISNA(MATCH(I68,$A$3:$A$1000,0)),"未买","Yes")</f>
        <v>未买</v>
      </c>
      <c r="R68" s="19">
        <v>66</v>
      </c>
    </row>
    <row r="69" spans="5:18" x14ac:dyDescent="0.15">
      <c r="E69" s="5"/>
      <c r="H69" s="19">
        <v>67</v>
      </c>
      <c r="I69">
        <v>127039</v>
      </c>
      <c r="J69" t="s">
        <v>1794</v>
      </c>
      <c r="K69">
        <v>119.5</v>
      </c>
      <c r="L69" s="57">
        <v>0.3105</v>
      </c>
      <c r="M69">
        <v>150.55000000000001</v>
      </c>
      <c r="N69" s="20">
        <v>17.631114000000004</v>
      </c>
      <c r="O69" s="5" t="str">
        <f t="shared" si="8"/>
        <v>未买</v>
      </c>
      <c r="R69" s="19">
        <v>67</v>
      </c>
    </row>
    <row r="70" spans="5:18" x14ac:dyDescent="0.15">
      <c r="E70" s="5"/>
      <c r="H70" s="19">
        <v>68</v>
      </c>
      <c r="I70">
        <v>128121</v>
      </c>
      <c r="J70" t="s">
        <v>47</v>
      </c>
      <c r="K70">
        <v>137.9</v>
      </c>
      <c r="L70" s="57">
        <v>0.12740000000000001</v>
      </c>
      <c r="M70">
        <v>150.64000000000001</v>
      </c>
      <c r="N70" s="20">
        <v>6.6985820000000009</v>
      </c>
      <c r="O70" s="5" t="str">
        <f t="shared" si="8"/>
        <v>未买</v>
      </c>
      <c r="R70" s="19">
        <v>68</v>
      </c>
    </row>
    <row r="71" spans="5:18" x14ac:dyDescent="0.15">
      <c r="E71" s="5"/>
      <c r="H71" s="19">
        <v>69</v>
      </c>
      <c r="I71">
        <v>127016</v>
      </c>
      <c r="J71" t="s">
        <v>1816</v>
      </c>
      <c r="K71">
        <v>118.881</v>
      </c>
      <c r="L71" s="57">
        <v>0.31900000000000001</v>
      </c>
      <c r="M71">
        <v>150.78100000000001</v>
      </c>
      <c r="N71" s="20">
        <v>13.998524</v>
      </c>
      <c r="O71" s="5" t="str">
        <f t="shared" si="8"/>
        <v>未买</v>
      </c>
      <c r="R71" s="19">
        <v>69</v>
      </c>
    </row>
    <row r="72" spans="5:18" x14ac:dyDescent="0.15">
      <c r="E72" s="5"/>
      <c r="H72" s="19">
        <v>70</v>
      </c>
      <c r="I72">
        <v>110068</v>
      </c>
      <c r="J72" t="s">
        <v>1779</v>
      </c>
      <c r="K72">
        <v>134.661</v>
      </c>
      <c r="L72" s="57">
        <v>0.1636</v>
      </c>
      <c r="M72">
        <v>151.02100000000002</v>
      </c>
      <c r="N72" s="20">
        <v>19.995080000000002</v>
      </c>
      <c r="O72" s="5" t="str">
        <f t="shared" si="8"/>
        <v>未买</v>
      </c>
      <c r="R72" s="19">
        <v>70</v>
      </c>
    </row>
    <row r="73" spans="5:18" x14ac:dyDescent="0.15">
      <c r="E73" s="5"/>
      <c r="H73" s="19">
        <v>71</v>
      </c>
      <c r="I73">
        <v>113570</v>
      </c>
      <c r="J73" t="s">
        <v>42</v>
      </c>
      <c r="K73">
        <v>130.93</v>
      </c>
      <c r="L73" s="57">
        <v>0.20199999999999999</v>
      </c>
      <c r="M73">
        <v>151.13</v>
      </c>
      <c r="N73" s="20">
        <v>2.79928</v>
      </c>
      <c r="O73" s="5" t="str">
        <f t="shared" si="8"/>
        <v>未买</v>
      </c>
      <c r="R73" s="19">
        <v>71</v>
      </c>
    </row>
    <row r="74" spans="5:18" x14ac:dyDescent="0.15">
      <c r="E74" s="5"/>
      <c r="H74" s="19">
        <v>72</v>
      </c>
      <c r="I74">
        <v>123125</v>
      </c>
      <c r="J74" t="s">
        <v>208</v>
      </c>
      <c r="K74">
        <v>135.233</v>
      </c>
      <c r="L74" s="57">
        <v>0.16079999999999997</v>
      </c>
      <c r="M74">
        <v>151.31299999999999</v>
      </c>
      <c r="N74" s="20">
        <v>8.9987899999999996</v>
      </c>
      <c r="O74" s="5" t="str">
        <f t="shared" si="8"/>
        <v>未买</v>
      </c>
      <c r="R74" s="19">
        <v>72</v>
      </c>
    </row>
    <row r="75" spans="5:18" x14ac:dyDescent="0.15">
      <c r="E75" s="5"/>
      <c r="H75" s="19">
        <v>73</v>
      </c>
      <c r="I75">
        <v>113545</v>
      </c>
      <c r="J75" t="s">
        <v>84</v>
      </c>
      <c r="K75">
        <v>125.095</v>
      </c>
      <c r="L75" s="57">
        <v>0.26219999999999999</v>
      </c>
      <c r="M75">
        <v>151.315</v>
      </c>
      <c r="N75" s="20">
        <v>9.8652899999999999</v>
      </c>
      <c r="O75" s="5" t="str">
        <f t="shared" si="8"/>
        <v>未买</v>
      </c>
      <c r="R75" s="19">
        <v>73</v>
      </c>
    </row>
    <row r="76" spans="5:18" x14ac:dyDescent="0.15">
      <c r="E76" s="5"/>
      <c r="H76" s="19">
        <v>74</v>
      </c>
      <c r="I76">
        <v>127018</v>
      </c>
      <c r="J76" t="s">
        <v>1800</v>
      </c>
      <c r="K76">
        <v>116.39</v>
      </c>
      <c r="L76" s="57">
        <v>0.35210000000000002</v>
      </c>
      <c r="M76">
        <v>151.6</v>
      </c>
      <c r="N76" s="20">
        <v>56.310593000000011</v>
      </c>
      <c r="O76" s="5" t="str">
        <f t="shared" si="8"/>
        <v>未买</v>
      </c>
      <c r="R76" s="19">
        <v>74</v>
      </c>
    </row>
    <row r="77" spans="5:18" x14ac:dyDescent="0.15">
      <c r="E77" s="5"/>
      <c r="H77" s="19">
        <v>75</v>
      </c>
      <c r="I77">
        <v>110038</v>
      </c>
      <c r="J77" t="s">
        <v>100</v>
      </c>
      <c r="K77">
        <v>130.649</v>
      </c>
      <c r="L77" s="57">
        <v>0.20960000000000001</v>
      </c>
      <c r="M77">
        <v>151.60900000000001</v>
      </c>
      <c r="N77" s="20">
        <v>6.3014200000000002</v>
      </c>
      <c r="O77" s="5" t="str">
        <f t="shared" si="8"/>
        <v>未买</v>
      </c>
      <c r="R77" s="19">
        <v>75</v>
      </c>
    </row>
    <row r="78" spans="5:18" x14ac:dyDescent="0.15">
      <c r="E78" s="5"/>
      <c r="H78" s="19">
        <v>76</v>
      </c>
      <c r="I78">
        <v>127045</v>
      </c>
      <c r="J78" t="s">
        <v>1793</v>
      </c>
      <c r="K78">
        <v>138.70699999999999</v>
      </c>
      <c r="L78" s="57">
        <v>0.1295</v>
      </c>
      <c r="M78">
        <v>151.65699999999998</v>
      </c>
      <c r="N78" s="20">
        <v>95.443213</v>
      </c>
      <c r="O78" s="5" t="str">
        <f t="shared" si="8"/>
        <v>未买</v>
      </c>
      <c r="R78" s="19">
        <v>76</v>
      </c>
    </row>
    <row r="79" spans="5:18" x14ac:dyDescent="0.15">
      <c r="E79" s="5"/>
      <c r="H79" s="19">
        <v>77</v>
      </c>
      <c r="I79">
        <v>128042</v>
      </c>
      <c r="J79" t="s">
        <v>191</v>
      </c>
      <c r="K79">
        <v>142.499</v>
      </c>
      <c r="L79" s="57">
        <v>9.6500000000000002E-2</v>
      </c>
      <c r="M79">
        <v>152.149</v>
      </c>
      <c r="N79" s="20">
        <v>4.1549820000000004</v>
      </c>
      <c r="O79" s="5" t="str">
        <f t="shared" si="8"/>
        <v>未买</v>
      </c>
      <c r="R79" s="19">
        <v>77</v>
      </c>
    </row>
    <row r="80" spans="5:18" x14ac:dyDescent="0.15">
      <c r="E80" s="5"/>
      <c r="H80" s="19">
        <v>78</v>
      </c>
      <c r="I80">
        <v>113055</v>
      </c>
      <c r="J80" t="s">
        <v>1786</v>
      </c>
      <c r="K80">
        <v>127.673</v>
      </c>
      <c r="L80" s="57">
        <v>0.2462</v>
      </c>
      <c r="M80">
        <v>152.29300000000001</v>
      </c>
      <c r="N80" s="20">
        <v>80</v>
      </c>
      <c r="O80" s="5" t="str">
        <f t="shared" si="8"/>
        <v>未买</v>
      </c>
      <c r="R80" s="19">
        <v>78</v>
      </c>
    </row>
    <row r="81" spans="5:18" x14ac:dyDescent="0.15">
      <c r="E81" s="5"/>
      <c r="H81" s="19">
        <v>79</v>
      </c>
      <c r="I81">
        <v>110087</v>
      </c>
      <c r="J81" t="s">
        <v>2015</v>
      </c>
      <c r="K81">
        <v>122.027</v>
      </c>
      <c r="L81" s="57">
        <v>0.3054</v>
      </c>
      <c r="M81">
        <v>152.56700000000001</v>
      </c>
      <c r="N81" s="20">
        <v>30</v>
      </c>
      <c r="O81" s="5" t="str">
        <f t="shared" si="8"/>
        <v>未买</v>
      </c>
      <c r="R81" s="19">
        <v>79</v>
      </c>
    </row>
    <row r="82" spans="5:18" x14ac:dyDescent="0.15">
      <c r="E82" s="5"/>
      <c r="H82" s="19">
        <v>80</v>
      </c>
      <c r="I82">
        <v>123150</v>
      </c>
      <c r="J82" t="s">
        <v>2008</v>
      </c>
      <c r="K82">
        <v>128</v>
      </c>
      <c r="L82" s="57">
        <v>0.24739999999999998</v>
      </c>
      <c r="M82">
        <v>152.74</v>
      </c>
      <c r="N82" s="20">
        <v>11.39</v>
      </c>
      <c r="O82" s="5" t="str">
        <f t="shared" si="8"/>
        <v>未买</v>
      </c>
      <c r="R82" s="19">
        <v>80</v>
      </c>
    </row>
    <row r="83" spans="5:18" x14ac:dyDescent="0.15">
      <c r="E83" s="5"/>
      <c r="H83" s="19">
        <v>81</v>
      </c>
      <c r="I83">
        <v>113037</v>
      </c>
      <c r="J83" t="s">
        <v>1833</v>
      </c>
      <c r="K83">
        <v>104.82899999999999</v>
      </c>
      <c r="L83" s="57">
        <v>0.48420000000000002</v>
      </c>
      <c r="M83">
        <v>153.249</v>
      </c>
      <c r="N83" s="20">
        <v>44.996139999999997</v>
      </c>
      <c r="O83" s="5" t="str">
        <f t="shared" si="8"/>
        <v>未买</v>
      </c>
      <c r="R83" s="19">
        <v>81</v>
      </c>
    </row>
    <row r="84" spans="5:18" x14ac:dyDescent="0.15">
      <c r="E84" s="5"/>
      <c r="H84" s="19">
        <v>82</v>
      </c>
      <c r="I84">
        <v>123084</v>
      </c>
      <c r="J84" t="s">
        <v>1986</v>
      </c>
      <c r="K84">
        <v>154</v>
      </c>
      <c r="L84" s="57">
        <v>-6.0999999999999995E-3</v>
      </c>
      <c r="M84">
        <v>153.38999999999999</v>
      </c>
      <c r="N84" s="20">
        <v>0.70291099999999995</v>
      </c>
      <c r="O84" s="5" t="str">
        <f t="shared" si="8"/>
        <v>未买</v>
      </c>
      <c r="R84" s="19">
        <v>82</v>
      </c>
    </row>
    <row r="85" spans="5:18" x14ac:dyDescent="0.15">
      <c r="E85" s="5"/>
      <c r="H85" s="19">
        <v>83</v>
      </c>
      <c r="I85">
        <v>113649</v>
      </c>
      <c r="J85" t="s">
        <v>2004</v>
      </c>
      <c r="K85">
        <v>128.24299999999999</v>
      </c>
      <c r="L85" s="57">
        <v>0.25780000000000003</v>
      </c>
      <c r="M85">
        <v>154.023</v>
      </c>
      <c r="N85" s="20">
        <v>5</v>
      </c>
      <c r="O85" s="5" t="str">
        <f t="shared" si="8"/>
        <v>未买</v>
      </c>
      <c r="R85" s="19">
        <v>83</v>
      </c>
    </row>
    <row r="86" spans="5:18" x14ac:dyDescent="0.15">
      <c r="E86" s="5"/>
      <c r="H86" s="19">
        <v>84</v>
      </c>
      <c r="I86">
        <v>123080</v>
      </c>
      <c r="J86" t="s">
        <v>54</v>
      </c>
      <c r="K86">
        <v>141.83500000000001</v>
      </c>
      <c r="L86" s="57">
        <v>0.12240000000000001</v>
      </c>
      <c r="M86">
        <v>154.07500000000002</v>
      </c>
      <c r="N86" s="20">
        <v>2.4344610000000002</v>
      </c>
      <c r="O86" s="5" t="str">
        <f t="shared" si="8"/>
        <v>未买</v>
      </c>
      <c r="R86" s="19">
        <v>84</v>
      </c>
    </row>
    <row r="87" spans="5:18" x14ac:dyDescent="0.15">
      <c r="E87" s="5"/>
      <c r="H87" s="19">
        <v>85</v>
      </c>
      <c r="I87">
        <v>113628</v>
      </c>
      <c r="J87" t="s">
        <v>212</v>
      </c>
      <c r="K87">
        <v>115.18</v>
      </c>
      <c r="L87" s="57">
        <v>0.39039999999999997</v>
      </c>
      <c r="M87">
        <v>154.22</v>
      </c>
      <c r="N87" s="20">
        <v>4.1497599999999997</v>
      </c>
      <c r="O87" s="5" t="str">
        <f t="shared" si="8"/>
        <v>未买</v>
      </c>
      <c r="R87" s="19">
        <v>85</v>
      </c>
    </row>
    <row r="88" spans="5:18" x14ac:dyDescent="0.15">
      <c r="E88" s="5"/>
      <c r="H88" s="19">
        <v>86</v>
      </c>
      <c r="I88">
        <v>128049</v>
      </c>
      <c r="J88" t="s">
        <v>189</v>
      </c>
      <c r="K88">
        <v>118.13800000000001</v>
      </c>
      <c r="L88" s="57">
        <v>0.36259999999999998</v>
      </c>
      <c r="M88">
        <v>154.398</v>
      </c>
      <c r="N88" s="20">
        <v>3.6314389999999999</v>
      </c>
      <c r="O88" s="5" t="str">
        <f t="shared" si="8"/>
        <v>未买</v>
      </c>
      <c r="R88" s="19">
        <v>86</v>
      </c>
    </row>
    <row r="89" spans="5:18" x14ac:dyDescent="0.15">
      <c r="E89" s="5"/>
      <c r="H89" s="19">
        <v>87</v>
      </c>
      <c r="I89">
        <v>123133</v>
      </c>
      <c r="J89" t="s">
        <v>259</v>
      </c>
      <c r="K89">
        <v>135</v>
      </c>
      <c r="L89" s="57">
        <v>0.19399999999999998</v>
      </c>
      <c r="M89">
        <v>154.4</v>
      </c>
      <c r="N89" s="20">
        <v>7.199567</v>
      </c>
      <c r="O89" s="5" t="str">
        <f t="shared" si="8"/>
        <v>未买</v>
      </c>
      <c r="R89" s="19">
        <v>87</v>
      </c>
    </row>
    <row r="90" spans="5:18" x14ac:dyDescent="0.15">
      <c r="E90" s="5"/>
      <c r="H90" s="19">
        <v>88</v>
      </c>
      <c r="I90">
        <v>110061</v>
      </c>
      <c r="J90" t="s">
        <v>1943</v>
      </c>
      <c r="K90">
        <v>152.33000000000001</v>
      </c>
      <c r="L90" s="57">
        <v>2.41E-2</v>
      </c>
      <c r="M90">
        <v>154.74</v>
      </c>
      <c r="N90" s="20">
        <v>39.491070000000001</v>
      </c>
      <c r="O90" s="5" t="str">
        <f t="shared" si="8"/>
        <v>未买</v>
      </c>
      <c r="R90" s="19">
        <v>88</v>
      </c>
    </row>
    <row r="91" spans="5:18" x14ac:dyDescent="0.15">
      <c r="E91" s="5"/>
      <c r="H91" s="19">
        <v>89</v>
      </c>
      <c r="I91">
        <v>113056</v>
      </c>
      <c r="J91" t="s">
        <v>1836</v>
      </c>
      <c r="K91">
        <v>100.977</v>
      </c>
      <c r="L91" s="57">
        <v>0.53790000000000004</v>
      </c>
      <c r="M91">
        <v>154.767</v>
      </c>
      <c r="N91" s="20">
        <v>130</v>
      </c>
      <c r="O91" s="5" t="str">
        <f t="shared" si="8"/>
        <v>未买</v>
      </c>
      <c r="R91" s="19">
        <v>89</v>
      </c>
    </row>
    <row r="92" spans="5:18" x14ac:dyDescent="0.15">
      <c r="E92" s="5"/>
      <c r="H92" s="19">
        <v>90</v>
      </c>
      <c r="I92">
        <v>127054</v>
      </c>
      <c r="J92" t="s">
        <v>766</v>
      </c>
      <c r="K92">
        <v>117.929</v>
      </c>
      <c r="L92" s="57">
        <v>0.3735</v>
      </c>
      <c r="M92">
        <v>155.279</v>
      </c>
      <c r="N92" s="20">
        <v>5.1362980000000009</v>
      </c>
      <c r="O92" s="5" t="str">
        <f t="shared" si="8"/>
        <v>未买</v>
      </c>
      <c r="R92" s="19">
        <v>90</v>
      </c>
    </row>
    <row r="93" spans="5:18" x14ac:dyDescent="0.15">
      <c r="E93" s="5"/>
      <c r="H93" s="19">
        <v>91</v>
      </c>
      <c r="I93">
        <v>127061</v>
      </c>
      <c r="J93" t="s">
        <v>1971</v>
      </c>
      <c r="K93">
        <v>117.3</v>
      </c>
      <c r="L93" s="57">
        <v>0.38109999999999999</v>
      </c>
      <c r="M93">
        <v>155.41</v>
      </c>
      <c r="N93" s="20">
        <v>35.9</v>
      </c>
      <c r="O93" s="5" t="str">
        <f t="shared" si="8"/>
        <v>未买</v>
      </c>
      <c r="R93" s="19">
        <v>91</v>
      </c>
    </row>
    <row r="94" spans="5:18" x14ac:dyDescent="0.15">
      <c r="E94" s="5"/>
      <c r="H94" s="19">
        <v>92</v>
      </c>
      <c r="I94">
        <v>110064</v>
      </c>
      <c r="J94" t="s">
        <v>1783</v>
      </c>
      <c r="K94">
        <v>117.958</v>
      </c>
      <c r="L94" s="57">
        <v>0.37560000000000004</v>
      </c>
      <c r="M94">
        <v>155.518</v>
      </c>
      <c r="N94" s="20">
        <v>12.645949999999999</v>
      </c>
      <c r="O94" s="5" t="str">
        <f t="shared" si="8"/>
        <v>未买</v>
      </c>
      <c r="R94" s="19">
        <v>92</v>
      </c>
    </row>
    <row r="95" spans="5:18" x14ac:dyDescent="0.15">
      <c r="E95" s="5"/>
      <c r="H95" s="19">
        <v>93</v>
      </c>
      <c r="I95">
        <v>113054</v>
      </c>
      <c r="J95" t="s">
        <v>1830</v>
      </c>
      <c r="K95">
        <v>113.16</v>
      </c>
      <c r="L95" s="57">
        <v>0.42479999999999996</v>
      </c>
      <c r="M95">
        <v>155.63999999999999</v>
      </c>
      <c r="N95" s="20">
        <v>23.6</v>
      </c>
      <c r="O95" s="5" t="str">
        <f t="shared" si="8"/>
        <v>未买</v>
      </c>
      <c r="R95" s="19">
        <v>93</v>
      </c>
    </row>
    <row r="96" spans="5:18" x14ac:dyDescent="0.15">
      <c r="E96" s="5"/>
      <c r="H96" s="19">
        <v>94</v>
      </c>
      <c r="I96">
        <v>113546</v>
      </c>
      <c r="J96" t="s">
        <v>86</v>
      </c>
      <c r="K96">
        <v>130.56399999999999</v>
      </c>
      <c r="L96" s="57">
        <v>0.25209999999999999</v>
      </c>
      <c r="M96">
        <v>155.774</v>
      </c>
      <c r="N96" s="20">
        <v>2.2964600000000002</v>
      </c>
      <c r="O96" s="5" t="str">
        <f t="shared" si="8"/>
        <v>未买</v>
      </c>
      <c r="R96" s="19">
        <v>94</v>
      </c>
    </row>
    <row r="97" spans="5:18" x14ac:dyDescent="0.15">
      <c r="E97" s="5"/>
      <c r="H97" s="19">
        <v>95</v>
      </c>
      <c r="I97">
        <v>127063</v>
      </c>
      <c r="J97" t="s">
        <v>1969</v>
      </c>
      <c r="K97">
        <v>130.488</v>
      </c>
      <c r="L97" s="57">
        <v>0.25309999999999999</v>
      </c>
      <c r="M97">
        <v>155.798</v>
      </c>
      <c r="N97" s="20">
        <v>18</v>
      </c>
      <c r="O97" s="5" t="str">
        <f t="shared" si="8"/>
        <v>未买</v>
      </c>
      <c r="R97" s="19">
        <v>95</v>
      </c>
    </row>
    <row r="98" spans="5:18" x14ac:dyDescent="0.15">
      <c r="E98" s="5"/>
      <c r="H98" s="19">
        <v>96</v>
      </c>
      <c r="I98">
        <v>127005</v>
      </c>
      <c r="J98" t="s">
        <v>1826</v>
      </c>
      <c r="K98">
        <v>114.599</v>
      </c>
      <c r="L98" s="57">
        <v>0.41289999999999999</v>
      </c>
      <c r="M98">
        <v>155.88900000000001</v>
      </c>
      <c r="N98" s="20">
        <v>49.964174999999997</v>
      </c>
      <c r="O98" s="5" t="str">
        <f t="shared" si="8"/>
        <v>未买</v>
      </c>
      <c r="R98" s="19">
        <v>96</v>
      </c>
    </row>
    <row r="99" spans="5:18" x14ac:dyDescent="0.15">
      <c r="E99" s="5"/>
      <c r="H99" s="19">
        <v>97</v>
      </c>
      <c r="I99">
        <v>113629</v>
      </c>
      <c r="J99" t="s">
        <v>79</v>
      </c>
      <c r="K99">
        <v>148.095</v>
      </c>
      <c r="L99" s="57">
        <v>7.8700000000000006E-2</v>
      </c>
      <c r="M99">
        <v>155.965</v>
      </c>
      <c r="N99" s="20">
        <v>6.1954700000000003</v>
      </c>
      <c r="O99" s="5" t="str">
        <f t="shared" si="8"/>
        <v>未买</v>
      </c>
      <c r="R99" s="19">
        <v>97</v>
      </c>
    </row>
    <row r="100" spans="5:18" x14ac:dyDescent="0.15">
      <c r="E100" s="5"/>
      <c r="H100" s="19">
        <v>98</v>
      </c>
      <c r="I100">
        <v>113598</v>
      </c>
      <c r="J100" t="s">
        <v>99</v>
      </c>
      <c r="K100">
        <v>141.26</v>
      </c>
      <c r="L100" s="57">
        <v>0.14749999999999999</v>
      </c>
      <c r="M100">
        <v>156.01</v>
      </c>
      <c r="N100" s="20">
        <v>2.7525900000000001</v>
      </c>
      <c r="O100" s="5" t="str">
        <f t="shared" si="8"/>
        <v>未买</v>
      </c>
      <c r="R100" s="19">
        <v>98</v>
      </c>
    </row>
    <row r="101" spans="5:18" x14ac:dyDescent="0.15">
      <c r="E101" s="5"/>
      <c r="H101" s="19">
        <v>99</v>
      </c>
      <c r="I101">
        <v>123044</v>
      </c>
      <c r="J101" t="s">
        <v>157</v>
      </c>
      <c r="K101">
        <v>123.949</v>
      </c>
      <c r="L101" s="57">
        <v>0.32250000000000001</v>
      </c>
      <c r="M101">
        <v>156.19900000000001</v>
      </c>
      <c r="N101" s="20">
        <v>5.4958900000000002</v>
      </c>
      <c r="O101" s="5" t="str">
        <f t="shared" si="8"/>
        <v>未买</v>
      </c>
      <c r="R101" s="19">
        <v>99</v>
      </c>
    </row>
    <row r="102" spans="5:18" x14ac:dyDescent="0.15">
      <c r="E102" s="5"/>
      <c r="H102" s="19">
        <v>100</v>
      </c>
      <c r="I102">
        <v>128071</v>
      </c>
      <c r="J102" t="s">
        <v>87</v>
      </c>
      <c r="K102">
        <v>117.33</v>
      </c>
      <c r="L102" s="57">
        <v>0.39</v>
      </c>
      <c r="M102">
        <v>156.32999999999998</v>
      </c>
      <c r="N102" s="20">
        <v>2.999336</v>
      </c>
      <c r="O102" s="5" t="str">
        <f t="shared" si="8"/>
        <v>未买</v>
      </c>
      <c r="R102" s="19">
        <v>100</v>
      </c>
    </row>
    <row r="103" spans="5:18" x14ac:dyDescent="0.15">
      <c r="E103" s="5"/>
      <c r="H103" s="19">
        <v>101</v>
      </c>
      <c r="I103">
        <v>113060</v>
      </c>
      <c r="J103" t="s">
        <v>2005</v>
      </c>
      <c r="K103">
        <v>131.99</v>
      </c>
      <c r="L103" s="57">
        <v>0.2462</v>
      </c>
      <c r="M103">
        <v>156.61000000000001</v>
      </c>
      <c r="N103" s="20">
        <v>70</v>
      </c>
      <c r="O103" s="5" t="str">
        <f t="shared" si="8"/>
        <v>未买</v>
      </c>
      <c r="R103" s="19">
        <v>101</v>
      </c>
    </row>
    <row r="104" spans="5:18" x14ac:dyDescent="0.15">
      <c r="E104" s="5"/>
      <c r="H104" s="19">
        <v>102</v>
      </c>
      <c r="I104">
        <v>128021</v>
      </c>
      <c r="J104" t="s">
        <v>51</v>
      </c>
      <c r="K104">
        <v>142.5</v>
      </c>
      <c r="L104" s="57">
        <v>0.1449</v>
      </c>
      <c r="M104">
        <v>156.99</v>
      </c>
      <c r="N104" s="20">
        <v>2.6517219999999999</v>
      </c>
      <c r="O104" s="5" t="str">
        <f t="shared" si="8"/>
        <v>未买</v>
      </c>
      <c r="R104" s="19">
        <v>102</v>
      </c>
    </row>
    <row r="105" spans="5:18" x14ac:dyDescent="0.15">
      <c r="E105" s="5"/>
      <c r="H105" s="19">
        <v>103</v>
      </c>
      <c r="I105">
        <v>113600</v>
      </c>
      <c r="J105" t="s">
        <v>256</v>
      </c>
      <c r="K105">
        <v>137.30199999999999</v>
      </c>
      <c r="L105" s="57">
        <v>0.19899999999999998</v>
      </c>
      <c r="M105">
        <v>157.202</v>
      </c>
      <c r="N105" s="20">
        <v>4.5326599999999999</v>
      </c>
      <c r="O105" s="5" t="str">
        <f t="shared" si="8"/>
        <v>未买</v>
      </c>
      <c r="R105" s="19">
        <v>103</v>
      </c>
    </row>
    <row r="106" spans="5:18" x14ac:dyDescent="0.15">
      <c r="E106" s="5"/>
      <c r="H106" s="19">
        <v>104</v>
      </c>
      <c r="I106">
        <v>113024</v>
      </c>
      <c r="J106" t="s">
        <v>1817</v>
      </c>
      <c r="K106">
        <v>117.684</v>
      </c>
      <c r="L106" s="57">
        <v>0.3957</v>
      </c>
      <c r="M106">
        <v>157.25399999999999</v>
      </c>
      <c r="N106" s="20">
        <v>29.953790000000001</v>
      </c>
      <c r="O106" s="5" t="str">
        <f t="shared" si="8"/>
        <v>未买</v>
      </c>
      <c r="R106" s="19">
        <v>104</v>
      </c>
    </row>
    <row r="107" spans="5:18" x14ac:dyDescent="0.15">
      <c r="E107" s="5"/>
      <c r="H107" s="19">
        <v>105</v>
      </c>
      <c r="I107">
        <v>123087</v>
      </c>
      <c r="J107" t="s">
        <v>71</v>
      </c>
      <c r="K107">
        <v>130.86199999999999</v>
      </c>
      <c r="L107" s="57">
        <v>0.26450000000000001</v>
      </c>
      <c r="M107">
        <v>157.31199999999998</v>
      </c>
      <c r="N107" s="20">
        <v>4.1892120000000004</v>
      </c>
      <c r="O107" s="5" t="str">
        <f t="shared" si="8"/>
        <v>未买</v>
      </c>
      <c r="R107" s="19">
        <v>105</v>
      </c>
    </row>
    <row r="108" spans="5:18" x14ac:dyDescent="0.15">
      <c r="E108" s="5"/>
      <c r="H108" s="19">
        <v>106</v>
      </c>
      <c r="I108">
        <v>123098</v>
      </c>
      <c r="J108" t="s">
        <v>2006</v>
      </c>
      <c r="K108">
        <v>130.93899999999999</v>
      </c>
      <c r="L108" s="57">
        <v>0.26390000000000002</v>
      </c>
      <c r="M108">
        <v>157.32900000000001</v>
      </c>
      <c r="N108" s="20">
        <v>4.2359669999999996</v>
      </c>
      <c r="O108" s="5" t="str">
        <f t="shared" si="8"/>
        <v>未买</v>
      </c>
      <c r="R108" s="19">
        <v>106</v>
      </c>
    </row>
    <row r="109" spans="5:18" x14ac:dyDescent="0.15">
      <c r="E109" s="5"/>
      <c r="H109" s="19">
        <v>107</v>
      </c>
      <c r="I109">
        <v>123077</v>
      </c>
      <c r="J109" t="s">
        <v>200</v>
      </c>
      <c r="K109">
        <v>123.649</v>
      </c>
      <c r="L109" s="57">
        <v>0.3372</v>
      </c>
      <c r="M109">
        <v>157.369</v>
      </c>
      <c r="N109" s="20">
        <v>9.3674440000000008</v>
      </c>
      <c r="O109" s="5" t="str">
        <f t="shared" si="8"/>
        <v>未买</v>
      </c>
      <c r="R109" s="19">
        <v>107</v>
      </c>
    </row>
    <row r="110" spans="5:18" x14ac:dyDescent="0.15">
      <c r="E110" s="5"/>
      <c r="H110" s="19">
        <v>108</v>
      </c>
      <c r="I110">
        <v>113622</v>
      </c>
      <c r="J110" t="s">
        <v>1862</v>
      </c>
      <c r="K110">
        <v>127.807</v>
      </c>
      <c r="L110" s="57">
        <v>0.2999</v>
      </c>
      <c r="M110">
        <v>157.797</v>
      </c>
      <c r="N110" s="20">
        <v>11.49968</v>
      </c>
      <c r="O110" s="5" t="str">
        <f t="shared" si="8"/>
        <v>未买</v>
      </c>
      <c r="R110" s="19">
        <v>108</v>
      </c>
    </row>
    <row r="111" spans="5:18" x14ac:dyDescent="0.15">
      <c r="E111" s="5"/>
      <c r="H111" s="19">
        <v>109</v>
      </c>
      <c r="I111">
        <v>123010</v>
      </c>
      <c r="J111" t="s">
        <v>182</v>
      </c>
      <c r="K111">
        <v>116.05200000000001</v>
      </c>
      <c r="L111" s="57">
        <v>0.41749999999999998</v>
      </c>
      <c r="M111">
        <v>157.80200000000002</v>
      </c>
      <c r="N111" s="20">
        <v>4.2960060000000002</v>
      </c>
      <c r="O111" s="5" t="str">
        <f t="shared" si="8"/>
        <v>未买</v>
      </c>
      <c r="R111" s="19">
        <v>109</v>
      </c>
    </row>
    <row r="112" spans="5:18" x14ac:dyDescent="0.15">
      <c r="E112" s="5"/>
      <c r="H112" s="19">
        <v>110</v>
      </c>
      <c r="I112">
        <v>123147</v>
      </c>
      <c r="J112" t="s">
        <v>1975</v>
      </c>
      <c r="K112">
        <v>140.4</v>
      </c>
      <c r="L112" s="57">
        <v>0.17449999999999999</v>
      </c>
      <c r="M112">
        <v>157.85</v>
      </c>
      <c r="N112" s="20">
        <v>5.7053700000000003</v>
      </c>
      <c r="O112" s="5" t="str">
        <f t="shared" si="8"/>
        <v>未买</v>
      </c>
      <c r="R112" s="19">
        <v>110</v>
      </c>
    </row>
    <row r="113" spans="5:18" x14ac:dyDescent="0.15">
      <c r="E113" s="5"/>
      <c r="H113" s="19">
        <v>111</v>
      </c>
      <c r="I113">
        <v>127027</v>
      </c>
      <c r="J113" t="s">
        <v>1934</v>
      </c>
      <c r="K113">
        <v>146.36699999999999</v>
      </c>
      <c r="L113" s="57">
        <v>0.1159</v>
      </c>
      <c r="M113">
        <v>157.95699999999999</v>
      </c>
      <c r="N113" s="20">
        <v>19.473855</v>
      </c>
      <c r="O113" s="5" t="str">
        <f t="shared" si="8"/>
        <v>Yes</v>
      </c>
      <c r="R113" s="19">
        <v>111</v>
      </c>
    </row>
    <row r="114" spans="5:18" x14ac:dyDescent="0.15">
      <c r="E114" s="5"/>
      <c r="H114" s="19">
        <v>112</v>
      </c>
      <c r="I114">
        <v>113632</v>
      </c>
      <c r="J114" t="s">
        <v>1874</v>
      </c>
      <c r="K114">
        <v>130.352</v>
      </c>
      <c r="L114" s="57">
        <v>0.2777</v>
      </c>
      <c r="M114">
        <v>158.12200000000001</v>
      </c>
      <c r="N114" s="20">
        <v>20.499179999999999</v>
      </c>
      <c r="O114" s="5" t="str">
        <f t="shared" si="8"/>
        <v>未买</v>
      </c>
      <c r="R114" s="19">
        <v>112</v>
      </c>
    </row>
    <row r="115" spans="5:18" x14ac:dyDescent="0.15">
      <c r="E115" s="5"/>
      <c r="H115" s="19">
        <v>113</v>
      </c>
      <c r="I115">
        <v>127058</v>
      </c>
      <c r="J115" t="s">
        <v>1789</v>
      </c>
      <c r="K115">
        <v>146.69999999999999</v>
      </c>
      <c r="L115" s="57">
        <v>0.1153</v>
      </c>
      <c r="M115">
        <v>158.22999999999999</v>
      </c>
      <c r="N115" s="20">
        <v>30</v>
      </c>
      <c r="O115" s="5" t="str">
        <f t="shared" si="8"/>
        <v>未买</v>
      </c>
      <c r="R115" s="19">
        <v>113</v>
      </c>
    </row>
    <row r="116" spans="5:18" x14ac:dyDescent="0.15">
      <c r="E116" s="5"/>
      <c r="H116" s="19">
        <v>114</v>
      </c>
      <c r="I116">
        <v>110070</v>
      </c>
      <c r="J116" t="s">
        <v>88</v>
      </c>
      <c r="K116">
        <v>124.22199999999999</v>
      </c>
      <c r="L116" s="57">
        <v>0.34060000000000001</v>
      </c>
      <c r="M116">
        <v>158.28199999999998</v>
      </c>
      <c r="N116" s="20">
        <v>2.17055</v>
      </c>
      <c r="O116" s="5" t="str">
        <f t="shared" si="8"/>
        <v>Yes</v>
      </c>
      <c r="R116" s="19">
        <v>114</v>
      </c>
    </row>
    <row r="117" spans="5:18" x14ac:dyDescent="0.15">
      <c r="E117" s="5"/>
      <c r="H117" s="19">
        <v>115</v>
      </c>
      <c r="I117">
        <v>123110</v>
      </c>
      <c r="J117" t="s">
        <v>104</v>
      </c>
      <c r="K117">
        <v>132.51599999999999</v>
      </c>
      <c r="L117" s="57">
        <v>0.25790000000000002</v>
      </c>
      <c r="M117">
        <v>158.30599999999998</v>
      </c>
      <c r="N117" s="20">
        <v>2.6979160000000002</v>
      </c>
      <c r="O117" s="5" t="str">
        <f t="shared" si="8"/>
        <v>未买</v>
      </c>
      <c r="R117" s="19">
        <v>115</v>
      </c>
    </row>
    <row r="118" spans="5:18" x14ac:dyDescent="0.15">
      <c r="E118" s="5"/>
      <c r="H118" s="19">
        <v>116</v>
      </c>
      <c r="I118">
        <v>128090</v>
      </c>
      <c r="J118" t="s">
        <v>118</v>
      </c>
      <c r="K118">
        <v>135</v>
      </c>
      <c r="L118" s="57">
        <v>0.23329999999999998</v>
      </c>
      <c r="M118">
        <v>158.32999999999998</v>
      </c>
      <c r="N118" s="20">
        <v>3.0989100000000001</v>
      </c>
      <c r="O118" s="5" t="str">
        <f t="shared" si="8"/>
        <v>未买</v>
      </c>
      <c r="R118" s="19">
        <v>116</v>
      </c>
    </row>
    <row r="119" spans="5:18" x14ac:dyDescent="0.15">
      <c r="E119" s="5"/>
      <c r="H119" s="19">
        <v>117</v>
      </c>
      <c r="I119">
        <v>128025</v>
      </c>
      <c r="J119" t="s">
        <v>50</v>
      </c>
      <c r="K119">
        <v>127.7</v>
      </c>
      <c r="L119" s="57">
        <v>0.30990000000000001</v>
      </c>
      <c r="M119">
        <v>158.69</v>
      </c>
      <c r="N119" s="20">
        <v>2.9765139999999999</v>
      </c>
      <c r="O119" s="5" t="str">
        <f t="shared" si="8"/>
        <v>未买</v>
      </c>
      <c r="R119" s="19">
        <v>117</v>
      </c>
    </row>
    <row r="120" spans="5:18" x14ac:dyDescent="0.15">
      <c r="E120" s="5"/>
      <c r="H120" s="19">
        <v>118</v>
      </c>
      <c r="I120">
        <v>123088</v>
      </c>
      <c r="J120" t="s">
        <v>219</v>
      </c>
      <c r="K120">
        <v>138.80000000000001</v>
      </c>
      <c r="L120" s="57">
        <v>0.19899999999999998</v>
      </c>
      <c r="M120">
        <v>158.70000000000002</v>
      </c>
      <c r="N120" s="20">
        <v>3.0112640000000002</v>
      </c>
      <c r="O120" s="5" t="str">
        <f t="shared" si="8"/>
        <v>未买</v>
      </c>
      <c r="R120" s="19">
        <v>118</v>
      </c>
    </row>
    <row r="121" spans="5:18" x14ac:dyDescent="0.15">
      <c r="E121" s="5"/>
      <c r="H121" s="19">
        <v>119</v>
      </c>
      <c r="I121">
        <v>123151</v>
      </c>
      <c r="J121" t="s">
        <v>2014</v>
      </c>
      <c r="K121">
        <v>122.75</v>
      </c>
      <c r="L121" s="57">
        <v>0.36</v>
      </c>
      <c r="M121">
        <v>158.75</v>
      </c>
      <c r="N121" s="20">
        <v>7</v>
      </c>
      <c r="O121" s="5" t="str">
        <f t="shared" si="8"/>
        <v>未买</v>
      </c>
      <c r="R121" s="19">
        <v>119</v>
      </c>
    </row>
    <row r="122" spans="5:18" x14ac:dyDescent="0.15">
      <c r="E122" s="5"/>
      <c r="H122" s="19">
        <v>120</v>
      </c>
      <c r="I122">
        <v>111000</v>
      </c>
      <c r="J122" t="s">
        <v>83</v>
      </c>
      <c r="K122">
        <v>138.661</v>
      </c>
      <c r="L122" s="57">
        <v>0.20199999999999999</v>
      </c>
      <c r="M122">
        <v>158.86099999999999</v>
      </c>
      <c r="N122" s="20">
        <v>9.9938099999999999</v>
      </c>
      <c r="O122" s="5" t="str">
        <f t="shared" si="8"/>
        <v>未买</v>
      </c>
      <c r="R122" s="19">
        <v>120</v>
      </c>
    </row>
    <row r="123" spans="5:18" x14ac:dyDescent="0.15">
      <c r="E123" s="5"/>
      <c r="H123" s="19">
        <v>121</v>
      </c>
      <c r="I123">
        <v>128023</v>
      </c>
      <c r="J123" t="s">
        <v>198</v>
      </c>
      <c r="K123">
        <v>132.9</v>
      </c>
      <c r="L123" s="57">
        <v>0.26129999999999998</v>
      </c>
      <c r="M123">
        <v>159.03</v>
      </c>
      <c r="N123" s="20">
        <v>9.9863379999999999</v>
      </c>
      <c r="O123" s="5" t="str">
        <f t="shared" si="8"/>
        <v>未买</v>
      </c>
      <c r="R123" s="19">
        <v>121</v>
      </c>
    </row>
    <row r="124" spans="5:18" x14ac:dyDescent="0.15">
      <c r="E124" s="5"/>
      <c r="H124" s="19">
        <v>122</v>
      </c>
      <c r="I124">
        <v>123082</v>
      </c>
      <c r="J124" t="s">
        <v>74</v>
      </c>
      <c r="K124">
        <v>116.3</v>
      </c>
      <c r="L124" s="57">
        <v>0.42930000000000001</v>
      </c>
      <c r="M124">
        <v>159.22999999999999</v>
      </c>
      <c r="N124" s="20">
        <v>4.9930050000000001</v>
      </c>
      <c r="O124" s="5" t="str">
        <f t="shared" si="8"/>
        <v>未买</v>
      </c>
      <c r="R124" s="19">
        <v>122</v>
      </c>
    </row>
    <row r="125" spans="5:18" x14ac:dyDescent="0.15">
      <c r="E125" s="5"/>
      <c r="H125" s="19">
        <v>123</v>
      </c>
      <c r="I125">
        <v>127034</v>
      </c>
      <c r="J125" t="s">
        <v>188</v>
      </c>
      <c r="K125">
        <v>106.77800000000001</v>
      </c>
      <c r="L125" s="57">
        <v>0.52469999999999994</v>
      </c>
      <c r="M125">
        <v>159.24799999999999</v>
      </c>
      <c r="N125" s="20">
        <v>7.117737</v>
      </c>
      <c r="O125" s="5" t="str">
        <f t="shared" si="8"/>
        <v>未买</v>
      </c>
      <c r="R125" s="19">
        <v>123</v>
      </c>
    </row>
    <row r="126" spans="5:18" x14ac:dyDescent="0.15">
      <c r="E126" s="5"/>
      <c r="H126" s="19">
        <v>124</v>
      </c>
      <c r="I126">
        <v>113524</v>
      </c>
      <c r="J126" t="s">
        <v>205</v>
      </c>
      <c r="K126">
        <v>126.96899999999999</v>
      </c>
      <c r="L126" s="57">
        <v>0.32590000000000002</v>
      </c>
      <c r="M126">
        <v>159.559</v>
      </c>
      <c r="N126" s="20">
        <v>3.2974899999999998</v>
      </c>
      <c r="O126" s="5" t="str">
        <f t="shared" si="8"/>
        <v>未买</v>
      </c>
      <c r="R126" s="19">
        <v>124</v>
      </c>
    </row>
    <row r="127" spans="5:18" x14ac:dyDescent="0.15">
      <c r="E127" s="5"/>
      <c r="H127" s="19">
        <v>125</v>
      </c>
      <c r="I127">
        <v>128029</v>
      </c>
      <c r="J127" t="s">
        <v>1948</v>
      </c>
      <c r="K127">
        <v>150.75700000000001</v>
      </c>
      <c r="L127" s="57">
        <v>8.9099999999999999E-2</v>
      </c>
      <c r="M127">
        <v>159.667</v>
      </c>
      <c r="N127" s="20">
        <v>9.0856969999999997</v>
      </c>
      <c r="O127" s="5" t="str">
        <f t="shared" si="8"/>
        <v>未买</v>
      </c>
      <c r="R127" s="19">
        <v>125</v>
      </c>
    </row>
    <row r="128" spans="5:18" x14ac:dyDescent="0.15">
      <c r="E128" s="5"/>
      <c r="H128" s="19">
        <v>126</v>
      </c>
      <c r="I128">
        <v>110067</v>
      </c>
      <c r="J128" t="s">
        <v>1845</v>
      </c>
      <c r="K128">
        <v>110.32899999999999</v>
      </c>
      <c r="L128" s="57">
        <v>0.49719999999999998</v>
      </c>
      <c r="M128">
        <v>160.04899999999998</v>
      </c>
      <c r="N128" s="20">
        <v>27.99503</v>
      </c>
      <c r="O128" s="5" t="str">
        <f t="shared" si="8"/>
        <v>未买</v>
      </c>
      <c r="R128" s="19">
        <v>126</v>
      </c>
    </row>
    <row r="129" spans="5:18" x14ac:dyDescent="0.15">
      <c r="E129" s="5"/>
      <c r="H129" s="19">
        <v>127</v>
      </c>
      <c r="I129">
        <v>128014</v>
      </c>
      <c r="J129" t="s">
        <v>175</v>
      </c>
      <c r="K129">
        <v>129.1</v>
      </c>
      <c r="L129" s="57">
        <v>0.31040000000000001</v>
      </c>
      <c r="M129">
        <v>160.13999999999999</v>
      </c>
      <c r="N129" s="20">
        <v>3.369488</v>
      </c>
      <c r="O129" s="5" t="str">
        <f t="shared" si="8"/>
        <v>未买</v>
      </c>
      <c r="R129" s="19">
        <v>127</v>
      </c>
    </row>
    <row r="130" spans="5:18" x14ac:dyDescent="0.15">
      <c r="E130" s="5"/>
      <c r="H130" s="19">
        <v>128</v>
      </c>
      <c r="I130">
        <v>123091</v>
      </c>
      <c r="J130" t="s">
        <v>225</v>
      </c>
      <c r="K130">
        <v>134</v>
      </c>
      <c r="L130" s="57">
        <v>0.26329999999999998</v>
      </c>
      <c r="M130">
        <v>160.32999999999998</v>
      </c>
      <c r="N130" s="20">
        <v>5.4975389999999997</v>
      </c>
      <c r="O130" s="5" t="str">
        <f t="shared" si="8"/>
        <v>未买</v>
      </c>
      <c r="R130" s="19">
        <v>128</v>
      </c>
    </row>
    <row r="131" spans="5:18" x14ac:dyDescent="0.15">
      <c r="E131" s="5"/>
      <c r="H131" s="19">
        <v>129</v>
      </c>
      <c r="I131">
        <v>113052</v>
      </c>
      <c r="J131" t="s">
        <v>1824</v>
      </c>
      <c r="K131">
        <v>109.693</v>
      </c>
      <c r="L131" s="57">
        <v>0.50859999999999994</v>
      </c>
      <c r="M131">
        <v>160.553</v>
      </c>
      <c r="N131" s="20">
        <v>499.98768999999999</v>
      </c>
      <c r="O131" s="5" t="str">
        <f t="shared" si="8"/>
        <v>未买</v>
      </c>
      <c r="R131" s="19">
        <v>129</v>
      </c>
    </row>
    <row r="132" spans="5:18" x14ac:dyDescent="0.15">
      <c r="E132" s="5"/>
      <c r="H132" s="19">
        <v>130</v>
      </c>
      <c r="I132">
        <v>113647</v>
      </c>
      <c r="J132" t="s">
        <v>1821</v>
      </c>
      <c r="K132">
        <v>132.154</v>
      </c>
      <c r="L132" s="57">
        <v>0.28399999999999997</v>
      </c>
      <c r="M132">
        <v>160.554</v>
      </c>
      <c r="N132" s="20">
        <v>15</v>
      </c>
      <c r="O132" s="5" t="str">
        <f t="shared" ref="O132:O195" si="9">IF(ISNA(MATCH(I132,$A$3:$A$1000,0)),"未买","Yes")</f>
        <v>未买</v>
      </c>
      <c r="R132" s="19">
        <v>130</v>
      </c>
    </row>
    <row r="133" spans="5:18" x14ac:dyDescent="0.15">
      <c r="E133" s="5"/>
      <c r="H133" s="19">
        <v>131</v>
      </c>
      <c r="I133">
        <v>118003</v>
      </c>
      <c r="J133" t="s">
        <v>234</v>
      </c>
      <c r="K133">
        <v>149.34700000000001</v>
      </c>
      <c r="L133" s="57">
        <v>0.1139</v>
      </c>
      <c r="M133">
        <v>160.73700000000002</v>
      </c>
      <c r="N133" s="20">
        <v>7.99892</v>
      </c>
      <c r="O133" s="5" t="str">
        <f t="shared" si="9"/>
        <v>未买</v>
      </c>
      <c r="R133" s="19">
        <v>131</v>
      </c>
    </row>
    <row r="134" spans="5:18" x14ac:dyDescent="0.15">
      <c r="E134" s="5"/>
      <c r="H134" s="19">
        <v>132</v>
      </c>
      <c r="I134">
        <v>127060</v>
      </c>
      <c r="J134" t="s">
        <v>1974</v>
      </c>
      <c r="K134">
        <v>129.001</v>
      </c>
      <c r="L134" s="57">
        <v>0.31780000000000003</v>
      </c>
      <c r="M134">
        <v>160.78100000000001</v>
      </c>
      <c r="N134" s="20">
        <v>6.4</v>
      </c>
      <c r="O134" s="5" t="str">
        <f t="shared" si="9"/>
        <v>未买</v>
      </c>
      <c r="R134" s="19">
        <v>132</v>
      </c>
    </row>
    <row r="135" spans="5:18" x14ac:dyDescent="0.15">
      <c r="E135" s="5"/>
      <c r="H135" s="19">
        <v>133</v>
      </c>
      <c r="I135">
        <v>113588</v>
      </c>
      <c r="J135" t="s">
        <v>203</v>
      </c>
      <c r="K135">
        <v>114.895</v>
      </c>
      <c r="L135" s="57">
        <v>0.45950000000000002</v>
      </c>
      <c r="M135">
        <v>160.845</v>
      </c>
      <c r="N135" s="20">
        <v>5.49885</v>
      </c>
      <c r="O135" s="5" t="str">
        <f t="shared" si="9"/>
        <v>未买</v>
      </c>
      <c r="R135" s="19">
        <v>133</v>
      </c>
    </row>
    <row r="136" spans="5:18" x14ac:dyDescent="0.15">
      <c r="E136" s="5"/>
      <c r="H136" s="19">
        <v>134</v>
      </c>
      <c r="I136">
        <v>123105</v>
      </c>
      <c r="J136" t="s">
        <v>1991</v>
      </c>
      <c r="K136">
        <v>154.5</v>
      </c>
      <c r="L136" s="57">
        <v>6.4699999999999994E-2</v>
      </c>
      <c r="M136">
        <v>160.97</v>
      </c>
      <c r="N136" s="20">
        <v>7.9967679999999985</v>
      </c>
      <c r="O136" s="5" t="str">
        <f t="shared" si="9"/>
        <v>未买</v>
      </c>
      <c r="R136" s="19">
        <v>134</v>
      </c>
    </row>
    <row r="137" spans="5:18" x14ac:dyDescent="0.15">
      <c r="E137" s="5"/>
      <c r="H137" s="19">
        <v>135</v>
      </c>
      <c r="I137">
        <v>127026</v>
      </c>
      <c r="J137" t="s">
        <v>217</v>
      </c>
      <c r="K137">
        <v>122.42700000000001</v>
      </c>
      <c r="L137" s="57">
        <v>0.38700000000000001</v>
      </c>
      <c r="M137">
        <v>161.12700000000001</v>
      </c>
      <c r="N137" s="20">
        <v>6.99709</v>
      </c>
      <c r="O137" s="5" t="str">
        <f t="shared" si="9"/>
        <v>未买</v>
      </c>
      <c r="R137" s="19">
        <v>135</v>
      </c>
    </row>
    <row r="138" spans="5:18" x14ac:dyDescent="0.15">
      <c r="E138" s="5"/>
      <c r="H138" s="19">
        <v>136</v>
      </c>
      <c r="I138">
        <v>113048</v>
      </c>
      <c r="J138" t="s">
        <v>1809</v>
      </c>
      <c r="K138">
        <v>137.773</v>
      </c>
      <c r="L138" s="57">
        <v>0.23499999999999999</v>
      </c>
      <c r="M138">
        <v>161.273</v>
      </c>
      <c r="N138" s="20">
        <v>22.963509999999999</v>
      </c>
      <c r="O138" s="5" t="str">
        <f t="shared" si="9"/>
        <v>未买</v>
      </c>
      <c r="R138" s="19">
        <v>136</v>
      </c>
    </row>
    <row r="139" spans="5:18" x14ac:dyDescent="0.15">
      <c r="E139" s="5"/>
      <c r="H139" s="19">
        <v>137</v>
      </c>
      <c r="I139">
        <v>123120</v>
      </c>
      <c r="J139" t="s">
        <v>220</v>
      </c>
      <c r="K139">
        <v>147</v>
      </c>
      <c r="L139" s="57">
        <v>0.14380000000000001</v>
      </c>
      <c r="M139">
        <v>161.38</v>
      </c>
      <c r="N139" s="20">
        <v>7.9838550000000001</v>
      </c>
      <c r="O139" s="5" t="str">
        <f t="shared" si="9"/>
        <v>未买</v>
      </c>
      <c r="R139" s="19">
        <v>137</v>
      </c>
    </row>
    <row r="140" spans="5:18" x14ac:dyDescent="0.15">
      <c r="E140" s="5"/>
      <c r="H140" s="19">
        <v>138</v>
      </c>
      <c r="I140">
        <v>127021</v>
      </c>
      <c r="J140" t="s">
        <v>204</v>
      </c>
      <c r="K140">
        <v>128.09899999999999</v>
      </c>
      <c r="L140" s="57">
        <v>0.33380000000000004</v>
      </c>
      <c r="M140">
        <v>161.47899999999998</v>
      </c>
      <c r="N140" s="20">
        <v>4.1594360000000004</v>
      </c>
      <c r="O140" s="5" t="str">
        <f t="shared" si="9"/>
        <v>未买</v>
      </c>
      <c r="R140" s="19">
        <v>138</v>
      </c>
    </row>
    <row r="141" spans="5:18" x14ac:dyDescent="0.15">
      <c r="E141" s="5"/>
      <c r="H141" s="19">
        <v>139</v>
      </c>
      <c r="I141">
        <v>123118</v>
      </c>
      <c r="J141" t="s">
        <v>222</v>
      </c>
      <c r="K141">
        <v>125.5</v>
      </c>
      <c r="L141" s="57">
        <v>0.36030000000000001</v>
      </c>
      <c r="M141">
        <v>161.53</v>
      </c>
      <c r="N141" s="20">
        <v>3.1992880000000001</v>
      </c>
      <c r="O141" s="5" t="str">
        <f t="shared" si="9"/>
        <v>未买</v>
      </c>
      <c r="R141" s="19">
        <v>139</v>
      </c>
    </row>
    <row r="142" spans="5:18" x14ac:dyDescent="0.15">
      <c r="E142" s="5"/>
      <c r="H142" s="19">
        <v>140</v>
      </c>
      <c r="I142">
        <v>123144</v>
      </c>
      <c r="J142" t="s">
        <v>1834</v>
      </c>
      <c r="K142">
        <v>142.44999999999999</v>
      </c>
      <c r="L142" s="57">
        <v>0.19600000000000001</v>
      </c>
      <c r="M142">
        <v>162.04999999999998</v>
      </c>
      <c r="N142" s="20">
        <v>6</v>
      </c>
      <c r="O142" s="5" t="str">
        <f t="shared" si="9"/>
        <v>未买</v>
      </c>
      <c r="R142" s="19">
        <v>140</v>
      </c>
    </row>
    <row r="143" spans="5:18" x14ac:dyDescent="0.15">
      <c r="E143" s="5"/>
      <c r="H143" s="19">
        <v>141</v>
      </c>
      <c r="I143">
        <v>127036</v>
      </c>
      <c r="J143" t="s">
        <v>1999</v>
      </c>
      <c r="K143">
        <v>151.66</v>
      </c>
      <c r="L143" s="57">
        <v>0.10390000000000001</v>
      </c>
      <c r="M143">
        <v>162.05000000000001</v>
      </c>
      <c r="N143" s="20">
        <v>29.987891999999999</v>
      </c>
      <c r="O143" s="5" t="str">
        <f t="shared" si="9"/>
        <v>未买</v>
      </c>
      <c r="R143" s="19">
        <v>141</v>
      </c>
    </row>
    <row r="144" spans="5:18" x14ac:dyDescent="0.15">
      <c r="E144" s="5"/>
      <c r="H144" s="19">
        <v>142</v>
      </c>
      <c r="I144">
        <v>123100</v>
      </c>
      <c r="J144" t="s">
        <v>102</v>
      </c>
      <c r="K144">
        <v>132.447</v>
      </c>
      <c r="L144" s="57">
        <v>0.29760000000000003</v>
      </c>
      <c r="M144">
        <v>162.20699999999999</v>
      </c>
      <c r="N144" s="20">
        <v>3.798197</v>
      </c>
      <c r="O144" s="5" t="str">
        <f t="shared" si="9"/>
        <v>未买</v>
      </c>
      <c r="R144" s="19">
        <v>142</v>
      </c>
    </row>
    <row r="145" spans="5:18" x14ac:dyDescent="0.15">
      <c r="E145" s="5"/>
      <c r="H145" s="19">
        <v>143</v>
      </c>
      <c r="I145">
        <v>128141</v>
      </c>
      <c r="J145" t="s">
        <v>1994</v>
      </c>
      <c r="K145">
        <v>152.41399999999999</v>
      </c>
      <c r="L145" s="57">
        <v>9.8100000000000007E-2</v>
      </c>
      <c r="M145">
        <v>162.22399999999999</v>
      </c>
      <c r="N145" s="20">
        <v>12.701485</v>
      </c>
      <c r="O145" s="5" t="str">
        <f t="shared" si="9"/>
        <v>未买</v>
      </c>
      <c r="R145" s="19">
        <v>143</v>
      </c>
    </row>
    <row r="146" spans="5:18" x14ac:dyDescent="0.15">
      <c r="E146" s="5"/>
      <c r="H146" s="19">
        <v>144</v>
      </c>
      <c r="I146">
        <v>128105</v>
      </c>
      <c r="J146" t="s">
        <v>173</v>
      </c>
      <c r="K146">
        <v>109.59</v>
      </c>
      <c r="L146" s="57">
        <v>0.52890000000000004</v>
      </c>
      <c r="M146">
        <v>162.48000000000002</v>
      </c>
      <c r="N146" s="20">
        <v>7.9946400000000004</v>
      </c>
      <c r="O146" s="5" t="str">
        <f t="shared" si="9"/>
        <v>未买</v>
      </c>
      <c r="R146" s="19">
        <v>144</v>
      </c>
    </row>
    <row r="147" spans="5:18" x14ac:dyDescent="0.15">
      <c r="E147" s="5"/>
      <c r="H147" s="19">
        <v>145</v>
      </c>
      <c r="I147">
        <v>128033</v>
      </c>
      <c r="J147" t="s">
        <v>68</v>
      </c>
      <c r="K147">
        <v>122.5</v>
      </c>
      <c r="L147" s="57">
        <v>0.40139999999999998</v>
      </c>
      <c r="M147">
        <v>162.63999999999999</v>
      </c>
      <c r="N147" s="20">
        <v>2.972985</v>
      </c>
      <c r="O147" s="5" t="str">
        <f t="shared" si="9"/>
        <v>未买</v>
      </c>
      <c r="R147" s="19">
        <v>145</v>
      </c>
    </row>
    <row r="148" spans="5:18" x14ac:dyDescent="0.15">
      <c r="E148" s="5"/>
      <c r="H148" s="19">
        <v>146</v>
      </c>
      <c r="I148">
        <v>113634</v>
      </c>
      <c r="J148" t="s">
        <v>233</v>
      </c>
      <c r="K148">
        <v>141.91999999999999</v>
      </c>
      <c r="L148" s="57">
        <v>0.2082</v>
      </c>
      <c r="M148">
        <v>162.73999999999998</v>
      </c>
      <c r="N148" s="20">
        <v>7.5131399999999999</v>
      </c>
      <c r="O148" s="5" t="str">
        <f t="shared" si="9"/>
        <v>未买</v>
      </c>
      <c r="R148" s="19">
        <v>146</v>
      </c>
    </row>
    <row r="149" spans="5:18" x14ac:dyDescent="0.15">
      <c r="E149" s="5"/>
      <c r="H149" s="19">
        <v>147</v>
      </c>
      <c r="I149">
        <v>127022</v>
      </c>
      <c r="J149" t="s">
        <v>1819</v>
      </c>
      <c r="K149">
        <v>117.742</v>
      </c>
      <c r="L149" s="57">
        <v>0.45200000000000001</v>
      </c>
      <c r="M149">
        <v>162.94200000000001</v>
      </c>
      <c r="N149" s="20">
        <v>19.998282</v>
      </c>
      <c r="O149" s="5" t="str">
        <f t="shared" si="9"/>
        <v>未买</v>
      </c>
      <c r="R149" s="19">
        <v>147</v>
      </c>
    </row>
    <row r="150" spans="5:18" x14ac:dyDescent="0.15">
      <c r="E150" s="5"/>
      <c r="H150" s="19">
        <v>148</v>
      </c>
      <c r="I150">
        <v>113045</v>
      </c>
      <c r="J150" t="s">
        <v>1855</v>
      </c>
      <c r="K150">
        <v>130.09200000000001</v>
      </c>
      <c r="L150" s="57">
        <v>0.32950000000000002</v>
      </c>
      <c r="M150">
        <v>163.04200000000003</v>
      </c>
      <c r="N150" s="20">
        <v>34.49933</v>
      </c>
      <c r="O150" s="5" t="str">
        <f t="shared" si="9"/>
        <v>未买</v>
      </c>
      <c r="R150" s="19">
        <v>148</v>
      </c>
    </row>
    <row r="151" spans="5:18" x14ac:dyDescent="0.15">
      <c r="E151" s="5"/>
      <c r="H151" s="19">
        <v>149</v>
      </c>
      <c r="I151">
        <v>113046</v>
      </c>
      <c r="J151" t="s">
        <v>1847</v>
      </c>
      <c r="K151">
        <v>116.069</v>
      </c>
      <c r="L151" s="57">
        <v>0.47020000000000001</v>
      </c>
      <c r="M151">
        <v>163.089</v>
      </c>
      <c r="N151" s="20">
        <v>14.998760000000001</v>
      </c>
      <c r="O151" s="5" t="str">
        <f t="shared" si="9"/>
        <v>未买</v>
      </c>
      <c r="R151" s="19">
        <v>149</v>
      </c>
    </row>
    <row r="152" spans="5:18" x14ac:dyDescent="0.15">
      <c r="E152" s="5"/>
      <c r="H152" s="19">
        <v>150</v>
      </c>
      <c r="I152">
        <v>123002</v>
      </c>
      <c r="J152" t="s">
        <v>80</v>
      </c>
      <c r="K152">
        <v>118.96299999999999</v>
      </c>
      <c r="L152" s="57">
        <v>0.44159999999999999</v>
      </c>
      <c r="M152">
        <v>163.12299999999999</v>
      </c>
      <c r="N152" s="20">
        <v>2.5214889999999999</v>
      </c>
      <c r="O152" s="5" t="str">
        <f t="shared" si="9"/>
        <v>Yes</v>
      </c>
      <c r="R152" s="19">
        <v>150</v>
      </c>
    </row>
    <row r="153" spans="5:18" x14ac:dyDescent="0.15">
      <c r="E153" s="5"/>
      <c r="H153" s="19">
        <v>151</v>
      </c>
      <c r="I153">
        <v>110085</v>
      </c>
      <c r="J153" t="s">
        <v>1785</v>
      </c>
      <c r="K153">
        <v>160.505</v>
      </c>
      <c r="L153" s="57">
        <v>2.6800000000000001E-2</v>
      </c>
      <c r="M153">
        <v>163.185</v>
      </c>
      <c r="N153" s="20">
        <v>120</v>
      </c>
      <c r="O153" s="5" t="str">
        <f t="shared" si="9"/>
        <v>未买</v>
      </c>
      <c r="R153" s="19">
        <v>151</v>
      </c>
    </row>
    <row r="154" spans="5:18" x14ac:dyDescent="0.15">
      <c r="E154" s="5"/>
      <c r="H154" s="19">
        <v>152</v>
      </c>
      <c r="I154">
        <v>123050</v>
      </c>
      <c r="J154" t="s">
        <v>67</v>
      </c>
      <c r="K154">
        <v>134.45400000000001</v>
      </c>
      <c r="L154" s="57">
        <v>0.28760000000000002</v>
      </c>
      <c r="M154">
        <v>163.214</v>
      </c>
      <c r="N154" s="20">
        <v>3.7459790000000002</v>
      </c>
      <c r="O154" s="5" t="str">
        <f t="shared" si="9"/>
        <v>未买</v>
      </c>
      <c r="R154" s="19">
        <v>152</v>
      </c>
    </row>
    <row r="155" spans="5:18" x14ac:dyDescent="0.15">
      <c r="E155" s="5"/>
      <c r="H155" s="19">
        <v>153</v>
      </c>
      <c r="I155">
        <v>123130</v>
      </c>
      <c r="J155" t="s">
        <v>70</v>
      </c>
      <c r="K155">
        <v>137.52600000000001</v>
      </c>
      <c r="L155" s="57">
        <v>0.25690000000000002</v>
      </c>
      <c r="M155">
        <v>163.21600000000001</v>
      </c>
      <c r="N155" s="20">
        <v>3.7555860000000001</v>
      </c>
      <c r="O155" s="5" t="str">
        <f t="shared" si="9"/>
        <v>未买</v>
      </c>
      <c r="R155" s="19">
        <v>153</v>
      </c>
    </row>
    <row r="156" spans="5:18" x14ac:dyDescent="0.15">
      <c r="E156" s="5"/>
      <c r="H156" s="19">
        <v>154</v>
      </c>
      <c r="I156">
        <v>128144</v>
      </c>
      <c r="J156" t="s">
        <v>210</v>
      </c>
      <c r="K156">
        <v>124</v>
      </c>
      <c r="L156" s="57">
        <v>0.39289999999999997</v>
      </c>
      <c r="M156">
        <v>163.29</v>
      </c>
      <c r="N156" s="20">
        <v>9.7941579999999995</v>
      </c>
      <c r="O156" s="5" t="str">
        <f t="shared" si="9"/>
        <v>未买</v>
      </c>
      <c r="R156" s="19">
        <v>154</v>
      </c>
    </row>
    <row r="157" spans="5:18" x14ac:dyDescent="0.15">
      <c r="E157" s="5"/>
      <c r="H157" s="19">
        <v>155</v>
      </c>
      <c r="I157">
        <v>110072</v>
      </c>
      <c r="J157" t="s">
        <v>1835</v>
      </c>
      <c r="K157">
        <v>100.563</v>
      </c>
      <c r="L157" s="57">
        <v>0.62749999999999995</v>
      </c>
      <c r="M157">
        <v>163.31299999999999</v>
      </c>
      <c r="N157" s="20">
        <v>33.662350000000004</v>
      </c>
      <c r="O157" s="5" t="str">
        <f t="shared" si="9"/>
        <v>未买</v>
      </c>
      <c r="R157" s="19">
        <v>155</v>
      </c>
    </row>
    <row r="158" spans="5:18" x14ac:dyDescent="0.15">
      <c r="E158" s="5"/>
      <c r="H158" s="19">
        <v>156</v>
      </c>
      <c r="I158">
        <v>111001</v>
      </c>
      <c r="J158" t="s">
        <v>206</v>
      </c>
      <c r="K158">
        <v>122.246</v>
      </c>
      <c r="L158" s="57">
        <v>0.41149999999999998</v>
      </c>
      <c r="M158">
        <v>163.39599999999999</v>
      </c>
      <c r="N158" s="20">
        <v>5.9993999999999996</v>
      </c>
      <c r="O158" s="5" t="str">
        <f t="shared" si="9"/>
        <v>未买</v>
      </c>
      <c r="R158" s="19">
        <v>156</v>
      </c>
    </row>
    <row r="159" spans="5:18" x14ac:dyDescent="0.15">
      <c r="E159" s="5"/>
      <c r="H159" s="19">
        <v>157</v>
      </c>
      <c r="I159">
        <v>127033</v>
      </c>
      <c r="J159" t="s">
        <v>1807</v>
      </c>
      <c r="K159">
        <v>116.53100000000001</v>
      </c>
      <c r="L159" s="57">
        <v>0.46889999999999998</v>
      </c>
      <c r="M159">
        <v>163.42099999999999</v>
      </c>
      <c r="N159" s="20">
        <v>11.594028</v>
      </c>
      <c r="O159" s="5" t="str">
        <f t="shared" si="9"/>
        <v>未买</v>
      </c>
      <c r="R159" s="19">
        <v>157</v>
      </c>
    </row>
    <row r="160" spans="5:18" x14ac:dyDescent="0.15">
      <c r="E160" s="5"/>
      <c r="H160" s="19">
        <v>158</v>
      </c>
      <c r="I160">
        <v>123045</v>
      </c>
      <c r="J160" t="s">
        <v>1988</v>
      </c>
      <c r="K160">
        <v>164.386</v>
      </c>
      <c r="L160" s="57">
        <v>-7.9000000000000008E-3</v>
      </c>
      <c r="M160">
        <v>163.596</v>
      </c>
      <c r="N160" s="20">
        <v>0.86870000000000003</v>
      </c>
      <c r="O160" s="5" t="str">
        <f t="shared" si="9"/>
        <v>未买</v>
      </c>
      <c r="R160" s="19">
        <v>158</v>
      </c>
    </row>
    <row r="161" spans="5:18" x14ac:dyDescent="0.15">
      <c r="E161" s="5"/>
      <c r="H161" s="19">
        <v>159</v>
      </c>
      <c r="I161">
        <v>128145</v>
      </c>
      <c r="J161" t="s">
        <v>2003</v>
      </c>
      <c r="K161">
        <v>153.5</v>
      </c>
      <c r="L161" s="57">
        <v>0.1011</v>
      </c>
      <c r="M161">
        <v>163.61000000000001</v>
      </c>
      <c r="N161" s="20">
        <v>3.7684000000000002</v>
      </c>
      <c r="O161" s="5" t="str">
        <f t="shared" si="9"/>
        <v>未买</v>
      </c>
      <c r="R161" s="19">
        <v>159</v>
      </c>
    </row>
    <row r="162" spans="5:18" x14ac:dyDescent="0.15">
      <c r="E162" s="5"/>
      <c r="H162" s="19">
        <v>160</v>
      </c>
      <c r="I162">
        <v>118012</v>
      </c>
      <c r="J162" t="s">
        <v>2011</v>
      </c>
      <c r="K162">
        <v>134.881</v>
      </c>
      <c r="L162" s="57">
        <v>0.28789999999999999</v>
      </c>
      <c r="M162">
        <v>163.67099999999999</v>
      </c>
      <c r="N162" s="20">
        <v>5</v>
      </c>
      <c r="O162" s="5" t="str">
        <f t="shared" si="9"/>
        <v>未买</v>
      </c>
      <c r="R162" s="19">
        <v>160</v>
      </c>
    </row>
    <row r="163" spans="5:18" x14ac:dyDescent="0.15">
      <c r="E163" s="5"/>
      <c r="H163" s="19">
        <v>161</v>
      </c>
      <c r="I163">
        <v>123142</v>
      </c>
      <c r="J163" t="s">
        <v>763</v>
      </c>
      <c r="K163">
        <v>126.998</v>
      </c>
      <c r="L163" s="57">
        <v>0.3669</v>
      </c>
      <c r="M163">
        <v>163.68799999999999</v>
      </c>
      <c r="N163" s="20">
        <v>5.5</v>
      </c>
      <c r="O163" s="5" t="str">
        <f t="shared" si="9"/>
        <v>未买</v>
      </c>
      <c r="R163" s="19">
        <v>161</v>
      </c>
    </row>
    <row r="164" spans="5:18" x14ac:dyDescent="0.15">
      <c r="E164" s="5"/>
      <c r="H164" s="19">
        <v>162</v>
      </c>
      <c r="I164">
        <v>128076</v>
      </c>
      <c r="J164" t="s">
        <v>125</v>
      </c>
      <c r="K164">
        <v>132.209</v>
      </c>
      <c r="L164" s="57">
        <v>0.31670000000000004</v>
      </c>
      <c r="M164">
        <v>163.87900000000002</v>
      </c>
      <c r="N164" s="20">
        <v>2.137302</v>
      </c>
      <c r="O164" s="5" t="str">
        <f t="shared" si="9"/>
        <v>未买</v>
      </c>
      <c r="R164" s="19">
        <v>162</v>
      </c>
    </row>
    <row r="165" spans="5:18" x14ac:dyDescent="0.15">
      <c r="E165" s="5"/>
      <c r="H165" s="19">
        <v>163</v>
      </c>
      <c r="I165">
        <v>123106</v>
      </c>
      <c r="J165" t="s">
        <v>63</v>
      </c>
      <c r="K165">
        <v>118.226</v>
      </c>
      <c r="L165" s="57">
        <v>0.45829999999999999</v>
      </c>
      <c r="M165">
        <v>164.05599999999998</v>
      </c>
      <c r="N165" s="20">
        <v>3.199668</v>
      </c>
      <c r="O165" s="5" t="str">
        <f t="shared" si="9"/>
        <v>未买</v>
      </c>
      <c r="R165" s="19">
        <v>163</v>
      </c>
    </row>
    <row r="166" spans="5:18" x14ac:dyDescent="0.15">
      <c r="E166" s="5"/>
      <c r="H166" s="19">
        <v>164</v>
      </c>
      <c r="I166">
        <v>113030</v>
      </c>
      <c r="J166" t="s">
        <v>95</v>
      </c>
      <c r="K166">
        <v>124.89700000000001</v>
      </c>
      <c r="L166" s="57">
        <v>0.3921</v>
      </c>
      <c r="M166">
        <v>164.107</v>
      </c>
      <c r="N166" s="20">
        <v>2.9504600000000001</v>
      </c>
      <c r="O166" s="5" t="str">
        <f t="shared" si="9"/>
        <v>未买</v>
      </c>
      <c r="R166" s="19">
        <v>164</v>
      </c>
    </row>
    <row r="167" spans="5:18" x14ac:dyDescent="0.15">
      <c r="E167" s="5"/>
      <c r="H167" s="19">
        <v>165</v>
      </c>
      <c r="I167">
        <v>110086</v>
      </c>
      <c r="J167" t="s">
        <v>1808</v>
      </c>
      <c r="K167">
        <v>121.5</v>
      </c>
      <c r="L167" s="57">
        <v>0.42810000000000004</v>
      </c>
      <c r="M167">
        <v>164.31</v>
      </c>
      <c r="N167" s="20">
        <v>20</v>
      </c>
      <c r="O167" s="5" t="str">
        <f t="shared" si="9"/>
        <v>未买</v>
      </c>
      <c r="R167" s="19">
        <v>165</v>
      </c>
    </row>
    <row r="168" spans="5:18" x14ac:dyDescent="0.15">
      <c r="E168" s="5"/>
      <c r="H168" s="19">
        <v>166</v>
      </c>
      <c r="I168">
        <v>123149</v>
      </c>
      <c r="J168" t="s">
        <v>2010</v>
      </c>
      <c r="K168">
        <v>137.87200000000001</v>
      </c>
      <c r="L168" s="57">
        <v>0.26450000000000001</v>
      </c>
      <c r="M168">
        <v>164.322</v>
      </c>
      <c r="N168" s="20">
        <v>14.847200000000001</v>
      </c>
      <c r="O168" s="5" t="str">
        <f t="shared" si="9"/>
        <v>未买</v>
      </c>
      <c r="R168" s="19">
        <v>166</v>
      </c>
    </row>
    <row r="169" spans="5:18" x14ac:dyDescent="0.15">
      <c r="E169" s="5"/>
      <c r="H169" s="19">
        <v>167</v>
      </c>
      <c r="I169">
        <v>128097</v>
      </c>
      <c r="J169" t="s">
        <v>108</v>
      </c>
      <c r="K169">
        <v>116.931</v>
      </c>
      <c r="L169" s="57">
        <v>0.47470000000000001</v>
      </c>
      <c r="M169">
        <v>164.40100000000001</v>
      </c>
      <c r="N169" s="20">
        <v>4.5856539999999999</v>
      </c>
      <c r="O169" s="5" t="str">
        <f t="shared" si="9"/>
        <v>未买</v>
      </c>
      <c r="R169" s="19">
        <v>167</v>
      </c>
    </row>
    <row r="170" spans="5:18" x14ac:dyDescent="0.15">
      <c r="E170" s="5"/>
      <c r="H170" s="19">
        <v>168</v>
      </c>
      <c r="I170">
        <v>123089</v>
      </c>
      <c r="J170" t="s">
        <v>1996</v>
      </c>
      <c r="K170">
        <v>156.476</v>
      </c>
      <c r="L170" s="57">
        <v>7.9600000000000004E-2</v>
      </c>
      <c r="M170">
        <v>164.43600000000001</v>
      </c>
      <c r="N170" s="20">
        <v>3.0623879999999999</v>
      </c>
      <c r="O170" s="5" t="str">
        <f t="shared" si="9"/>
        <v>未买</v>
      </c>
      <c r="R170" s="19">
        <v>168</v>
      </c>
    </row>
    <row r="171" spans="5:18" x14ac:dyDescent="0.15">
      <c r="E171" s="5"/>
      <c r="H171" s="19">
        <v>169</v>
      </c>
      <c r="I171">
        <v>127007</v>
      </c>
      <c r="J171" t="s">
        <v>789</v>
      </c>
      <c r="K171">
        <v>149.101</v>
      </c>
      <c r="L171" s="57">
        <v>0.15720000000000001</v>
      </c>
      <c r="M171">
        <v>164.821</v>
      </c>
      <c r="N171" s="20">
        <v>3.689994</v>
      </c>
      <c r="O171" s="5" t="str">
        <f t="shared" si="9"/>
        <v>未买</v>
      </c>
      <c r="R171" s="19">
        <v>169</v>
      </c>
    </row>
    <row r="172" spans="5:18" x14ac:dyDescent="0.15">
      <c r="E172" s="5"/>
      <c r="H172" s="19">
        <v>170</v>
      </c>
      <c r="I172">
        <v>110075</v>
      </c>
      <c r="J172" t="s">
        <v>1801</v>
      </c>
      <c r="K172">
        <v>133.702</v>
      </c>
      <c r="L172" s="57">
        <v>0.31790000000000002</v>
      </c>
      <c r="M172">
        <v>165.49199999999999</v>
      </c>
      <c r="N172" s="20">
        <v>58.964280000000002</v>
      </c>
      <c r="O172" s="5" t="str">
        <f t="shared" si="9"/>
        <v>未买</v>
      </c>
      <c r="R172" s="19">
        <v>170</v>
      </c>
    </row>
    <row r="173" spans="5:18" x14ac:dyDescent="0.15">
      <c r="E173" s="5"/>
      <c r="H173" s="19">
        <v>171</v>
      </c>
      <c r="I173">
        <v>113602</v>
      </c>
      <c r="J173" t="s">
        <v>1831</v>
      </c>
      <c r="K173">
        <v>126.941</v>
      </c>
      <c r="L173" s="57">
        <v>0.3876</v>
      </c>
      <c r="M173">
        <v>165.70099999999999</v>
      </c>
      <c r="N173" s="20">
        <v>17.798739999999999</v>
      </c>
      <c r="O173" s="5" t="str">
        <f t="shared" si="9"/>
        <v>未买</v>
      </c>
      <c r="R173" s="19">
        <v>171</v>
      </c>
    </row>
    <row r="174" spans="5:18" x14ac:dyDescent="0.15">
      <c r="E174" s="5"/>
      <c r="H174" s="19">
        <v>172</v>
      </c>
      <c r="I174">
        <v>123035</v>
      </c>
      <c r="J174" t="s">
        <v>120</v>
      </c>
      <c r="K174">
        <v>134.42400000000001</v>
      </c>
      <c r="L174" s="57">
        <v>0.31940000000000002</v>
      </c>
      <c r="M174">
        <v>166.364</v>
      </c>
      <c r="N174" s="20">
        <v>7.9877229999999999</v>
      </c>
      <c r="O174" s="5" t="str">
        <f t="shared" si="9"/>
        <v>未买</v>
      </c>
      <c r="R174" s="19">
        <v>172</v>
      </c>
    </row>
    <row r="175" spans="5:18" x14ac:dyDescent="0.15">
      <c r="E175" s="5"/>
      <c r="H175" s="19">
        <v>173</v>
      </c>
      <c r="I175">
        <v>113567</v>
      </c>
      <c r="J175" t="s">
        <v>1968</v>
      </c>
      <c r="K175">
        <v>159.803</v>
      </c>
      <c r="L175" s="57">
        <v>7.0599999999999996E-2</v>
      </c>
      <c r="M175">
        <v>166.863</v>
      </c>
      <c r="N175" s="20">
        <v>1.9350400000000001</v>
      </c>
      <c r="O175" s="5" t="str">
        <f t="shared" si="9"/>
        <v>未买</v>
      </c>
      <c r="R175" s="19">
        <v>173</v>
      </c>
    </row>
    <row r="176" spans="5:18" x14ac:dyDescent="0.15">
      <c r="E176" s="5"/>
      <c r="H176" s="19">
        <v>174</v>
      </c>
      <c r="I176">
        <v>113643</v>
      </c>
      <c r="J176" t="s">
        <v>798</v>
      </c>
      <c r="K176">
        <v>123.52200000000001</v>
      </c>
      <c r="L176" s="57">
        <v>0.4335</v>
      </c>
      <c r="M176">
        <v>166.87200000000001</v>
      </c>
      <c r="N176" s="20">
        <v>5</v>
      </c>
      <c r="O176" s="5" t="str">
        <f t="shared" si="9"/>
        <v>未买</v>
      </c>
      <c r="R176" s="19">
        <v>174</v>
      </c>
    </row>
    <row r="177" spans="5:18" x14ac:dyDescent="0.15">
      <c r="E177" s="5"/>
      <c r="H177" s="19">
        <v>175</v>
      </c>
      <c r="I177">
        <v>127055</v>
      </c>
      <c r="J177" t="s">
        <v>762</v>
      </c>
      <c r="K177">
        <v>122.70699999999999</v>
      </c>
      <c r="L177" s="57">
        <v>0.44229999999999997</v>
      </c>
      <c r="M177">
        <v>166.93699999999998</v>
      </c>
      <c r="N177" s="20">
        <v>5.7699800000000003</v>
      </c>
      <c r="O177" s="5" t="str">
        <f t="shared" si="9"/>
        <v>未买</v>
      </c>
      <c r="R177" s="19">
        <v>175</v>
      </c>
    </row>
    <row r="178" spans="5:18" x14ac:dyDescent="0.15">
      <c r="E178" s="5"/>
      <c r="H178" s="19">
        <v>176</v>
      </c>
      <c r="I178">
        <v>128123</v>
      </c>
      <c r="J178" t="s">
        <v>153</v>
      </c>
      <c r="K178">
        <v>118.4</v>
      </c>
      <c r="L178" s="57">
        <v>0.48649999999999999</v>
      </c>
      <c r="M178">
        <v>167.05</v>
      </c>
      <c r="N178" s="20">
        <v>3.1992060000000002</v>
      </c>
      <c r="O178" s="5" t="str">
        <f t="shared" si="9"/>
        <v>未买</v>
      </c>
      <c r="R178" s="19">
        <v>176</v>
      </c>
    </row>
    <row r="179" spans="5:18" x14ac:dyDescent="0.15">
      <c r="E179" s="5"/>
      <c r="H179" s="19">
        <v>177</v>
      </c>
      <c r="I179">
        <v>113565</v>
      </c>
      <c r="J179" t="s">
        <v>119</v>
      </c>
      <c r="K179">
        <v>124.723</v>
      </c>
      <c r="L179" s="57">
        <v>0.42430000000000001</v>
      </c>
      <c r="M179">
        <v>167.15299999999999</v>
      </c>
      <c r="N179" s="20">
        <v>2.2490600000000001</v>
      </c>
      <c r="O179" s="5" t="str">
        <f t="shared" si="9"/>
        <v>未买</v>
      </c>
      <c r="R179" s="19">
        <v>177</v>
      </c>
    </row>
    <row r="180" spans="5:18" x14ac:dyDescent="0.15">
      <c r="E180" s="5"/>
      <c r="H180" s="19">
        <v>178</v>
      </c>
      <c r="I180">
        <v>113636</v>
      </c>
      <c r="J180" t="s">
        <v>232</v>
      </c>
      <c r="K180">
        <v>139.43799999999999</v>
      </c>
      <c r="L180" s="57">
        <v>0.27940000000000004</v>
      </c>
      <c r="M180">
        <v>167.37799999999999</v>
      </c>
      <c r="N180" s="20">
        <v>9.99559</v>
      </c>
      <c r="O180" s="5" t="str">
        <f t="shared" si="9"/>
        <v>未买</v>
      </c>
      <c r="R180" s="19">
        <v>178</v>
      </c>
    </row>
    <row r="181" spans="5:18" x14ac:dyDescent="0.15">
      <c r="E181" s="5"/>
      <c r="H181" s="19">
        <v>179</v>
      </c>
      <c r="I181">
        <v>127031</v>
      </c>
      <c r="J181" t="s">
        <v>174</v>
      </c>
      <c r="K181">
        <v>128.9</v>
      </c>
      <c r="L181" s="57">
        <v>0.3851</v>
      </c>
      <c r="M181">
        <v>167.41</v>
      </c>
      <c r="N181" s="20">
        <v>9.99939</v>
      </c>
      <c r="O181" s="5" t="str">
        <f t="shared" si="9"/>
        <v>未买</v>
      </c>
      <c r="R181" s="19">
        <v>179</v>
      </c>
    </row>
    <row r="182" spans="5:18" x14ac:dyDescent="0.15">
      <c r="E182" s="5"/>
      <c r="H182" s="19">
        <v>180</v>
      </c>
      <c r="I182">
        <v>127017</v>
      </c>
      <c r="J182" t="s">
        <v>181</v>
      </c>
      <c r="K182">
        <v>118.9</v>
      </c>
      <c r="L182" s="57">
        <v>0.4874</v>
      </c>
      <c r="M182">
        <v>167.64000000000001</v>
      </c>
      <c r="N182" s="20">
        <v>9.9959450000000007</v>
      </c>
      <c r="O182" s="5" t="str">
        <f t="shared" si="9"/>
        <v>未买</v>
      </c>
      <c r="R182" s="19">
        <v>180</v>
      </c>
    </row>
    <row r="183" spans="5:18" x14ac:dyDescent="0.15">
      <c r="E183" s="5"/>
      <c r="H183" s="19">
        <v>181</v>
      </c>
      <c r="I183">
        <v>110073</v>
      </c>
      <c r="J183" t="s">
        <v>1852</v>
      </c>
      <c r="K183">
        <v>106.17</v>
      </c>
      <c r="L183" s="57">
        <v>0.61499999999999999</v>
      </c>
      <c r="M183">
        <v>167.67000000000002</v>
      </c>
      <c r="N183" s="20">
        <v>79.993160000000003</v>
      </c>
      <c r="O183" s="5" t="str">
        <f t="shared" si="9"/>
        <v>未买</v>
      </c>
      <c r="R183" s="19">
        <v>181</v>
      </c>
    </row>
    <row r="184" spans="5:18" x14ac:dyDescent="0.15">
      <c r="E184" s="5"/>
      <c r="H184" s="19">
        <v>182</v>
      </c>
      <c r="I184">
        <v>128109</v>
      </c>
      <c r="J184" t="s">
        <v>1964</v>
      </c>
      <c r="K184">
        <v>152.07499999999999</v>
      </c>
      <c r="L184" s="57">
        <v>0.16059999999999999</v>
      </c>
      <c r="M184">
        <v>168.13499999999999</v>
      </c>
      <c r="N184" s="20">
        <v>18.225304999999999</v>
      </c>
      <c r="O184" s="5" t="str">
        <f t="shared" si="9"/>
        <v>未买</v>
      </c>
      <c r="R184" s="19">
        <v>182</v>
      </c>
    </row>
    <row r="185" spans="5:18" x14ac:dyDescent="0.15">
      <c r="E185" s="5"/>
      <c r="H185" s="19">
        <v>183</v>
      </c>
      <c r="I185">
        <v>113618</v>
      </c>
      <c r="J185" t="s">
        <v>1796</v>
      </c>
      <c r="K185">
        <v>135.714</v>
      </c>
      <c r="L185" s="57">
        <v>0.32520000000000004</v>
      </c>
      <c r="M185">
        <v>168.23400000000001</v>
      </c>
      <c r="N185" s="20">
        <v>4.7696500000000004</v>
      </c>
      <c r="O185" s="5" t="str">
        <f t="shared" si="9"/>
        <v>未买</v>
      </c>
      <c r="R185" s="19">
        <v>183</v>
      </c>
    </row>
    <row r="186" spans="5:18" x14ac:dyDescent="0.15">
      <c r="E186" s="5"/>
      <c r="H186" s="19">
        <v>184</v>
      </c>
      <c r="I186">
        <v>123115</v>
      </c>
      <c r="J186" t="s">
        <v>1848</v>
      </c>
      <c r="K186">
        <v>122.048</v>
      </c>
      <c r="L186" s="57">
        <v>0.46200000000000002</v>
      </c>
      <c r="M186">
        <v>168.24799999999999</v>
      </c>
      <c r="N186" s="20">
        <v>11.946144</v>
      </c>
      <c r="O186" s="5" t="str">
        <f t="shared" si="9"/>
        <v>未买</v>
      </c>
      <c r="R186" s="19">
        <v>184</v>
      </c>
    </row>
    <row r="187" spans="5:18" x14ac:dyDescent="0.15">
      <c r="E187" s="5"/>
      <c r="H187" s="19">
        <v>185</v>
      </c>
      <c r="I187">
        <v>113039</v>
      </c>
      <c r="J187" t="s">
        <v>1997</v>
      </c>
      <c r="K187">
        <v>157.70599999999999</v>
      </c>
      <c r="L187" s="57">
        <v>0.10859999999999999</v>
      </c>
      <c r="M187">
        <v>168.56599999999997</v>
      </c>
      <c r="N187" s="20">
        <v>2.8825599999999998</v>
      </c>
      <c r="O187" s="5" t="str">
        <f t="shared" si="9"/>
        <v>未买</v>
      </c>
      <c r="R187" s="19">
        <v>185</v>
      </c>
    </row>
    <row r="188" spans="5:18" x14ac:dyDescent="0.15">
      <c r="E188" s="5"/>
      <c r="H188" s="19">
        <v>186</v>
      </c>
      <c r="I188">
        <v>127050</v>
      </c>
      <c r="J188" t="s">
        <v>1844</v>
      </c>
      <c r="K188">
        <v>135.5</v>
      </c>
      <c r="L188" s="57">
        <v>0.33079999999999998</v>
      </c>
      <c r="M188">
        <v>168.57999999999998</v>
      </c>
      <c r="N188" s="20">
        <v>21.988949000000002</v>
      </c>
      <c r="O188" s="5" t="str">
        <f t="shared" si="9"/>
        <v>未买</v>
      </c>
      <c r="R188" s="19">
        <v>186</v>
      </c>
    </row>
    <row r="189" spans="5:18" x14ac:dyDescent="0.15">
      <c r="E189" s="5"/>
      <c r="H189" s="19">
        <v>187</v>
      </c>
      <c r="I189">
        <v>123059</v>
      </c>
      <c r="J189" t="s">
        <v>195</v>
      </c>
      <c r="K189">
        <v>119.07599999999999</v>
      </c>
      <c r="L189" s="57">
        <v>0.49520000000000003</v>
      </c>
      <c r="M189">
        <v>168.596</v>
      </c>
      <c r="N189" s="20">
        <v>3.9124319999999999</v>
      </c>
      <c r="O189" s="5" t="str">
        <f t="shared" si="9"/>
        <v>未买</v>
      </c>
      <c r="R189" s="19">
        <v>187</v>
      </c>
    </row>
    <row r="190" spans="5:18" x14ac:dyDescent="0.15">
      <c r="E190" s="5"/>
      <c r="H190" s="19">
        <v>188</v>
      </c>
      <c r="I190">
        <v>123086</v>
      </c>
      <c r="J190" t="s">
        <v>1930</v>
      </c>
      <c r="K190">
        <v>169.7</v>
      </c>
      <c r="L190" s="57">
        <v>-1.0700000000000001E-2</v>
      </c>
      <c r="M190">
        <v>168.63</v>
      </c>
      <c r="N190" s="20">
        <v>1.091539</v>
      </c>
      <c r="O190" s="5" t="str">
        <f t="shared" si="9"/>
        <v>未买</v>
      </c>
      <c r="R190" s="19">
        <v>188</v>
      </c>
    </row>
    <row r="191" spans="5:18" x14ac:dyDescent="0.15">
      <c r="E191" s="5"/>
      <c r="H191" s="19">
        <v>189</v>
      </c>
      <c r="I191">
        <v>128040</v>
      </c>
      <c r="J191" t="s">
        <v>1959</v>
      </c>
      <c r="K191">
        <v>152.001</v>
      </c>
      <c r="L191" s="57">
        <v>0.16820000000000002</v>
      </c>
      <c r="M191">
        <v>168.821</v>
      </c>
      <c r="N191" s="20">
        <v>2.0050219999999999</v>
      </c>
      <c r="O191" s="5" t="str">
        <f t="shared" si="9"/>
        <v>未买</v>
      </c>
      <c r="R191" s="19">
        <v>189</v>
      </c>
    </row>
    <row r="192" spans="5:18" x14ac:dyDescent="0.15">
      <c r="E192" s="5"/>
      <c r="H192" s="19">
        <v>190</v>
      </c>
      <c r="I192">
        <v>113619</v>
      </c>
      <c r="J192" t="s">
        <v>213</v>
      </c>
      <c r="K192">
        <v>129.33600000000001</v>
      </c>
      <c r="L192" s="57">
        <v>0.39520000000000005</v>
      </c>
      <c r="M192">
        <v>168.85600000000002</v>
      </c>
      <c r="N192" s="20">
        <v>9.9967600000000001</v>
      </c>
      <c r="O192" s="5" t="str">
        <f t="shared" si="9"/>
        <v>未买</v>
      </c>
      <c r="R192" s="19">
        <v>190</v>
      </c>
    </row>
    <row r="193" spans="5:18" x14ac:dyDescent="0.15">
      <c r="E193" s="5"/>
      <c r="H193" s="19">
        <v>191</v>
      </c>
      <c r="I193">
        <v>113577</v>
      </c>
      <c r="J193" t="s">
        <v>112</v>
      </c>
      <c r="K193">
        <v>136.99600000000001</v>
      </c>
      <c r="L193" s="57">
        <v>0.32200000000000001</v>
      </c>
      <c r="M193">
        <v>169.19600000000003</v>
      </c>
      <c r="N193" s="20">
        <v>1.7774799999999999</v>
      </c>
      <c r="O193" s="5" t="str">
        <f t="shared" si="9"/>
        <v>未买</v>
      </c>
      <c r="R193" s="19">
        <v>191</v>
      </c>
    </row>
    <row r="194" spans="5:18" x14ac:dyDescent="0.15">
      <c r="E194" s="5"/>
      <c r="H194" s="19">
        <v>192</v>
      </c>
      <c r="I194">
        <v>113058</v>
      </c>
      <c r="J194" t="s">
        <v>1814</v>
      </c>
      <c r="K194">
        <v>113.364</v>
      </c>
      <c r="L194" s="57">
        <v>0.5585</v>
      </c>
      <c r="M194">
        <v>169.214</v>
      </c>
      <c r="N194" s="20">
        <v>20</v>
      </c>
      <c r="O194" s="5" t="str">
        <f t="shared" si="9"/>
        <v>未买</v>
      </c>
      <c r="R194" s="19">
        <v>192</v>
      </c>
    </row>
    <row r="195" spans="5:18" x14ac:dyDescent="0.15">
      <c r="E195" s="5"/>
      <c r="H195" s="19">
        <v>193</v>
      </c>
      <c r="I195">
        <v>127043</v>
      </c>
      <c r="J195" t="s">
        <v>1939</v>
      </c>
      <c r="K195">
        <v>155.261</v>
      </c>
      <c r="L195" s="57">
        <v>0.14169999999999999</v>
      </c>
      <c r="M195">
        <v>169.43099999999998</v>
      </c>
      <c r="N195" s="20">
        <v>10.446543999999999</v>
      </c>
      <c r="O195" s="5" t="str">
        <f t="shared" si="9"/>
        <v>未买</v>
      </c>
      <c r="R195" s="19">
        <v>193</v>
      </c>
    </row>
    <row r="196" spans="5:18" x14ac:dyDescent="0.15">
      <c r="E196" s="5"/>
      <c r="H196" s="19">
        <v>194</v>
      </c>
      <c r="I196">
        <v>113604</v>
      </c>
      <c r="J196" t="s">
        <v>151</v>
      </c>
      <c r="K196">
        <v>112.64100000000001</v>
      </c>
      <c r="L196" s="57">
        <v>0.56820000000000004</v>
      </c>
      <c r="M196">
        <v>169.46100000000001</v>
      </c>
      <c r="N196" s="20">
        <v>6.3985399999999997</v>
      </c>
      <c r="O196" s="5" t="str">
        <f t="shared" ref="O196:O259" si="10">IF(ISNA(MATCH(I196,$A$3:$A$1000,0)),"未买","Yes")</f>
        <v>未买</v>
      </c>
      <c r="R196" s="19">
        <v>194</v>
      </c>
    </row>
    <row r="197" spans="5:18" x14ac:dyDescent="0.15">
      <c r="E197" s="5"/>
      <c r="H197" s="19">
        <v>195</v>
      </c>
      <c r="I197">
        <v>128137</v>
      </c>
      <c r="J197" t="s">
        <v>2019</v>
      </c>
      <c r="K197">
        <v>135</v>
      </c>
      <c r="L197" s="57">
        <v>0.34649999999999997</v>
      </c>
      <c r="M197">
        <v>169.65</v>
      </c>
      <c r="N197" s="20">
        <v>5.9940730000000002</v>
      </c>
      <c r="O197" s="5" t="str">
        <f t="shared" si="10"/>
        <v>未买</v>
      </c>
      <c r="R197" s="19">
        <v>195</v>
      </c>
    </row>
    <row r="198" spans="5:18" x14ac:dyDescent="0.15">
      <c r="E198" s="5"/>
      <c r="H198" s="19">
        <v>196</v>
      </c>
      <c r="I198">
        <v>110045</v>
      </c>
      <c r="J198" t="s">
        <v>1838</v>
      </c>
      <c r="K198">
        <v>109.44</v>
      </c>
      <c r="L198" s="57">
        <v>0.60589999999999999</v>
      </c>
      <c r="M198">
        <v>170.03</v>
      </c>
      <c r="N198" s="20">
        <v>29.49615</v>
      </c>
      <c r="O198" s="5" t="str">
        <f t="shared" si="10"/>
        <v>未买</v>
      </c>
      <c r="R198" s="19">
        <v>196</v>
      </c>
    </row>
    <row r="199" spans="5:18" x14ac:dyDescent="0.15">
      <c r="E199" s="5"/>
      <c r="H199" s="19">
        <v>197</v>
      </c>
      <c r="I199">
        <v>113650</v>
      </c>
      <c r="J199" t="s">
        <v>2022</v>
      </c>
      <c r="K199">
        <v>126.489</v>
      </c>
      <c r="L199" s="57">
        <v>0.43700000000000006</v>
      </c>
      <c r="M199">
        <v>170.18900000000002</v>
      </c>
      <c r="N199" s="20">
        <v>8</v>
      </c>
      <c r="O199" s="5" t="str">
        <f t="shared" si="10"/>
        <v>未买</v>
      </c>
      <c r="R199" s="19">
        <v>197</v>
      </c>
    </row>
    <row r="200" spans="5:18" x14ac:dyDescent="0.15">
      <c r="E200" s="5"/>
      <c r="H200" s="19">
        <v>198</v>
      </c>
      <c r="I200">
        <v>128039</v>
      </c>
      <c r="J200" t="s">
        <v>116</v>
      </c>
      <c r="K200">
        <v>126.113</v>
      </c>
      <c r="L200" s="57">
        <v>0.441</v>
      </c>
      <c r="M200">
        <v>170.21299999999999</v>
      </c>
      <c r="N200" s="20">
        <v>2.0239690000000001</v>
      </c>
      <c r="O200" s="5" t="str">
        <f t="shared" si="10"/>
        <v>未买</v>
      </c>
      <c r="R200" s="19">
        <v>198</v>
      </c>
    </row>
    <row r="201" spans="5:18" x14ac:dyDescent="0.15">
      <c r="E201" s="5"/>
      <c r="H201" s="19">
        <v>199</v>
      </c>
      <c r="I201">
        <v>113637</v>
      </c>
      <c r="J201" t="s">
        <v>254</v>
      </c>
      <c r="K201">
        <v>155.5</v>
      </c>
      <c r="L201" s="57">
        <v>0.1487</v>
      </c>
      <c r="M201">
        <v>170.37</v>
      </c>
      <c r="N201" s="20">
        <v>7.9980500000000001</v>
      </c>
      <c r="O201" s="5" t="str">
        <f t="shared" si="10"/>
        <v>未买</v>
      </c>
      <c r="R201" s="19">
        <v>199</v>
      </c>
    </row>
    <row r="202" spans="5:18" x14ac:dyDescent="0.15">
      <c r="E202" s="5"/>
      <c r="H202" s="19">
        <v>200</v>
      </c>
      <c r="I202">
        <v>113606</v>
      </c>
      <c r="J202" t="s">
        <v>196</v>
      </c>
      <c r="K202">
        <v>114.13800000000001</v>
      </c>
      <c r="L202" s="57">
        <v>0.56420000000000003</v>
      </c>
      <c r="M202">
        <v>170.55799999999999</v>
      </c>
      <c r="N202" s="20">
        <v>5.9988700000000001</v>
      </c>
      <c r="O202" s="5" t="str">
        <f t="shared" si="10"/>
        <v>未买</v>
      </c>
      <c r="R202" s="19">
        <v>200</v>
      </c>
    </row>
    <row r="203" spans="5:18" x14ac:dyDescent="0.15">
      <c r="E203" s="5"/>
      <c r="H203" s="19">
        <v>201</v>
      </c>
      <c r="I203">
        <v>113027</v>
      </c>
      <c r="J203" t="s">
        <v>1960</v>
      </c>
      <c r="K203">
        <v>151.256</v>
      </c>
      <c r="L203" s="57">
        <v>0.1943</v>
      </c>
      <c r="M203">
        <v>170.68600000000001</v>
      </c>
      <c r="N203" s="20">
        <v>2.3868</v>
      </c>
      <c r="O203" s="5" t="str">
        <f t="shared" si="10"/>
        <v>未买</v>
      </c>
      <c r="R203" s="19">
        <v>201</v>
      </c>
    </row>
    <row r="204" spans="5:18" x14ac:dyDescent="0.15">
      <c r="E204" s="5"/>
      <c r="H204" s="19">
        <v>202</v>
      </c>
      <c r="I204">
        <v>113601</v>
      </c>
      <c r="J204" t="s">
        <v>64</v>
      </c>
      <c r="K204">
        <v>113.73699999999999</v>
      </c>
      <c r="L204" s="57">
        <v>0.57009999999999994</v>
      </c>
      <c r="M204">
        <v>170.74699999999999</v>
      </c>
      <c r="N204" s="20">
        <v>5.4288100000000004</v>
      </c>
      <c r="O204" s="5" t="str">
        <f t="shared" si="10"/>
        <v>未买</v>
      </c>
      <c r="R204" s="19">
        <v>202</v>
      </c>
    </row>
    <row r="205" spans="5:18" x14ac:dyDescent="0.15">
      <c r="E205" s="5"/>
      <c r="H205" s="19">
        <v>203</v>
      </c>
      <c r="I205">
        <v>110056</v>
      </c>
      <c r="J205" t="s">
        <v>1839</v>
      </c>
      <c r="K205">
        <v>146.33000000000001</v>
      </c>
      <c r="L205" s="57">
        <v>0.24629999999999999</v>
      </c>
      <c r="M205">
        <v>170.96</v>
      </c>
      <c r="N205" s="20">
        <v>17.100809999999999</v>
      </c>
      <c r="O205" s="5" t="str">
        <f t="shared" si="10"/>
        <v>未买</v>
      </c>
      <c r="R205" s="19">
        <v>203</v>
      </c>
    </row>
    <row r="206" spans="5:18" x14ac:dyDescent="0.15">
      <c r="E206" s="5"/>
      <c r="H206" s="19">
        <v>204</v>
      </c>
      <c r="I206">
        <v>128128</v>
      </c>
      <c r="J206" t="s">
        <v>1937</v>
      </c>
      <c r="K206">
        <v>159.34800000000001</v>
      </c>
      <c r="L206" s="57">
        <v>0.1166</v>
      </c>
      <c r="M206">
        <v>171.00800000000001</v>
      </c>
      <c r="N206" s="20">
        <v>6.7980559999999999</v>
      </c>
      <c r="O206" s="5" t="str">
        <f t="shared" si="10"/>
        <v>未买</v>
      </c>
      <c r="R206" s="19">
        <v>204</v>
      </c>
    </row>
    <row r="207" spans="5:18" x14ac:dyDescent="0.15">
      <c r="E207" s="5"/>
      <c r="H207" s="19">
        <v>205</v>
      </c>
      <c r="I207">
        <v>123112</v>
      </c>
      <c r="J207" t="s">
        <v>122</v>
      </c>
      <c r="K207">
        <v>156.59299999999999</v>
      </c>
      <c r="L207" s="57">
        <v>0.1449</v>
      </c>
      <c r="M207">
        <v>171.083</v>
      </c>
      <c r="N207" s="20">
        <v>2.4525509999999997</v>
      </c>
      <c r="O207" s="5" t="str">
        <f t="shared" si="10"/>
        <v>未买</v>
      </c>
      <c r="R207" s="19">
        <v>205</v>
      </c>
    </row>
    <row r="208" spans="5:18" x14ac:dyDescent="0.15">
      <c r="E208" s="5"/>
      <c r="H208" s="19">
        <v>206</v>
      </c>
      <c r="I208">
        <v>113519</v>
      </c>
      <c r="J208" t="s">
        <v>161</v>
      </c>
      <c r="K208">
        <v>119.011</v>
      </c>
      <c r="L208" s="57">
        <v>0.52249999999999996</v>
      </c>
      <c r="M208">
        <v>171.261</v>
      </c>
      <c r="N208" s="20">
        <v>6.9610599999999998</v>
      </c>
      <c r="O208" s="5" t="str">
        <f t="shared" si="10"/>
        <v>未买</v>
      </c>
      <c r="R208" s="19">
        <v>206</v>
      </c>
    </row>
    <row r="209" spans="5:18" x14ac:dyDescent="0.15">
      <c r="E209" s="5"/>
      <c r="H209" s="19">
        <v>207</v>
      </c>
      <c r="I209">
        <v>113644</v>
      </c>
      <c r="J209" t="s">
        <v>1843</v>
      </c>
      <c r="K209">
        <v>117.79300000000001</v>
      </c>
      <c r="L209" s="57">
        <v>0.53700000000000003</v>
      </c>
      <c r="M209">
        <v>171.49299999999999</v>
      </c>
      <c r="N209" s="20">
        <v>10</v>
      </c>
      <c r="O209" s="5" t="str">
        <f t="shared" si="10"/>
        <v>未买</v>
      </c>
      <c r="R209" s="19">
        <v>207</v>
      </c>
    </row>
    <row r="210" spans="5:18" x14ac:dyDescent="0.15">
      <c r="E210" s="5"/>
      <c r="H210" s="19">
        <v>208</v>
      </c>
      <c r="I210">
        <v>113641</v>
      </c>
      <c r="J210" t="s">
        <v>1832</v>
      </c>
      <c r="K210">
        <v>131.72900000000001</v>
      </c>
      <c r="L210" s="57">
        <v>0.39990000000000003</v>
      </c>
      <c r="M210">
        <v>171.71900000000002</v>
      </c>
      <c r="N210" s="20">
        <v>76</v>
      </c>
      <c r="O210" s="5" t="str">
        <f t="shared" si="10"/>
        <v>未买</v>
      </c>
      <c r="R210" s="19">
        <v>208</v>
      </c>
    </row>
    <row r="211" spans="5:18" x14ac:dyDescent="0.15">
      <c r="E211" s="5"/>
      <c r="H211" s="19">
        <v>209</v>
      </c>
      <c r="I211">
        <v>113053</v>
      </c>
      <c r="J211" t="s">
        <v>1815</v>
      </c>
      <c r="K211">
        <v>132.654</v>
      </c>
      <c r="L211" s="57">
        <v>0.39079999999999998</v>
      </c>
      <c r="M211">
        <v>171.73399999999998</v>
      </c>
      <c r="N211" s="20">
        <v>69.967070000000007</v>
      </c>
      <c r="O211" s="5" t="str">
        <f t="shared" si="10"/>
        <v>未买</v>
      </c>
      <c r="R211" s="19">
        <v>209</v>
      </c>
    </row>
    <row r="212" spans="5:18" x14ac:dyDescent="0.15">
      <c r="E212" s="5"/>
      <c r="H212" s="19">
        <v>210</v>
      </c>
      <c r="I212">
        <v>123048</v>
      </c>
      <c r="J212" t="s">
        <v>218</v>
      </c>
      <c r="K212">
        <v>124.45</v>
      </c>
      <c r="L212" s="57">
        <v>0.47799999999999998</v>
      </c>
      <c r="M212">
        <v>172.25</v>
      </c>
      <c r="N212" s="20">
        <v>3.7902360000000002</v>
      </c>
      <c r="O212" s="5" t="str">
        <f t="shared" si="10"/>
        <v>未买</v>
      </c>
      <c r="R212" s="19">
        <v>210</v>
      </c>
    </row>
    <row r="213" spans="5:18" x14ac:dyDescent="0.15">
      <c r="E213" s="5"/>
      <c r="H213" s="19">
        <v>211</v>
      </c>
      <c r="I213">
        <v>118011</v>
      </c>
      <c r="J213" t="s">
        <v>2021</v>
      </c>
      <c r="K213">
        <v>137.59299999999999</v>
      </c>
      <c r="L213" s="57">
        <v>0.34799999999999998</v>
      </c>
      <c r="M213">
        <v>172.39299999999997</v>
      </c>
      <c r="N213" s="20">
        <v>5</v>
      </c>
      <c r="O213" s="5" t="str">
        <f t="shared" si="10"/>
        <v>未买</v>
      </c>
      <c r="R213" s="19">
        <v>211</v>
      </c>
    </row>
    <row r="214" spans="5:18" x14ac:dyDescent="0.15">
      <c r="E214" s="5"/>
      <c r="H214" s="19">
        <v>212</v>
      </c>
      <c r="I214">
        <v>110058</v>
      </c>
      <c r="J214" t="s">
        <v>77</v>
      </c>
      <c r="K214">
        <v>123.581</v>
      </c>
      <c r="L214" s="57">
        <v>0.49</v>
      </c>
      <c r="M214">
        <v>172.58100000000002</v>
      </c>
      <c r="N214" s="20">
        <v>2.6102099999999999</v>
      </c>
      <c r="O214" s="5" t="str">
        <f t="shared" si="10"/>
        <v>未买</v>
      </c>
      <c r="R214" s="19">
        <v>212</v>
      </c>
    </row>
    <row r="215" spans="5:18" x14ac:dyDescent="0.15">
      <c r="E215" s="5"/>
      <c r="H215" s="19">
        <v>213</v>
      </c>
      <c r="I215">
        <v>113526</v>
      </c>
      <c r="J215" t="s">
        <v>135</v>
      </c>
      <c r="K215">
        <v>139.48500000000001</v>
      </c>
      <c r="L215" s="57">
        <v>0.33200000000000002</v>
      </c>
      <c r="M215">
        <v>172.685</v>
      </c>
      <c r="N215" s="20">
        <v>1.9287300000000001</v>
      </c>
      <c r="O215" s="5" t="str">
        <f t="shared" si="10"/>
        <v>未买</v>
      </c>
      <c r="R215" s="19">
        <v>213</v>
      </c>
    </row>
    <row r="216" spans="5:18" x14ac:dyDescent="0.15">
      <c r="E216" s="5"/>
      <c r="H216" s="19">
        <v>214</v>
      </c>
      <c r="I216">
        <v>111004</v>
      </c>
      <c r="J216" t="s">
        <v>797</v>
      </c>
      <c r="K216">
        <v>142.35</v>
      </c>
      <c r="L216" s="57">
        <v>0.30519999999999997</v>
      </c>
      <c r="M216">
        <v>172.87</v>
      </c>
      <c r="N216" s="20">
        <v>6.73</v>
      </c>
      <c r="O216" s="5" t="str">
        <f t="shared" si="10"/>
        <v>未买</v>
      </c>
      <c r="R216" s="19">
        <v>214</v>
      </c>
    </row>
    <row r="217" spans="5:18" x14ac:dyDescent="0.15">
      <c r="E217" s="5"/>
      <c r="H217" s="19">
        <v>215</v>
      </c>
      <c r="I217">
        <v>118000</v>
      </c>
      <c r="J217" t="s">
        <v>2020</v>
      </c>
      <c r="K217">
        <v>126.066</v>
      </c>
      <c r="L217" s="57">
        <v>0.47100000000000003</v>
      </c>
      <c r="M217">
        <v>173.166</v>
      </c>
      <c r="N217" s="20">
        <v>9.7845700000000004</v>
      </c>
      <c r="O217" s="5" t="str">
        <f t="shared" si="10"/>
        <v>未买</v>
      </c>
      <c r="R217" s="19">
        <v>215</v>
      </c>
    </row>
    <row r="218" spans="5:18" x14ac:dyDescent="0.15">
      <c r="E218" s="5"/>
      <c r="H218" s="19">
        <v>216</v>
      </c>
      <c r="I218">
        <v>127052</v>
      </c>
      <c r="J218" t="s">
        <v>1876</v>
      </c>
      <c r="K218">
        <v>125.051</v>
      </c>
      <c r="L218" s="57">
        <v>0.48219999999999996</v>
      </c>
      <c r="M218">
        <v>173.27100000000002</v>
      </c>
      <c r="N218" s="20">
        <v>11.099717999999999</v>
      </c>
      <c r="O218" s="5" t="str">
        <f t="shared" si="10"/>
        <v>未买</v>
      </c>
      <c r="R218" s="19">
        <v>216</v>
      </c>
    </row>
    <row r="219" spans="5:18" x14ac:dyDescent="0.15">
      <c r="E219" s="5"/>
      <c r="H219" s="19">
        <v>217</v>
      </c>
      <c r="I219">
        <v>123103</v>
      </c>
      <c r="J219" t="s">
        <v>799</v>
      </c>
      <c r="K219">
        <v>151.5</v>
      </c>
      <c r="L219" s="57">
        <v>0.21780000000000002</v>
      </c>
      <c r="M219">
        <v>173.28</v>
      </c>
      <c r="N219" s="20">
        <v>2.494453</v>
      </c>
      <c r="O219" s="5" t="str">
        <f t="shared" si="10"/>
        <v>未买</v>
      </c>
      <c r="R219" s="19">
        <v>217</v>
      </c>
    </row>
    <row r="220" spans="5:18" x14ac:dyDescent="0.15">
      <c r="E220" s="5"/>
      <c r="H220" s="19">
        <v>218</v>
      </c>
      <c r="I220">
        <v>113021</v>
      </c>
      <c r="J220" t="s">
        <v>1846</v>
      </c>
      <c r="K220">
        <v>110.35599999999999</v>
      </c>
      <c r="L220" s="57">
        <v>0.63129999999999997</v>
      </c>
      <c r="M220">
        <v>173.48599999999999</v>
      </c>
      <c r="N220" s="20">
        <v>399.99664999999999</v>
      </c>
      <c r="O220" s="5" t="str">
        <f t="shared" si="10"/>
        <v>未买</v>
      </c>
      <c r="R220" s="19">
        <v>218</v>
      </c>
    </row>
    <row r="221" spans="5:18" x14ac:dyDescent="0.15">
      <c r="E221" s="5"/>
      <c r="H221" s="19">
        <v>219</v>
      </c>
      <c r="I221">
        <v>113561</v>
      </c>
      <c r="J221" t="s">
        <v>85</v>
      </c>
      <c r="K221">
        <v>131.13300000000001</v>
      </c>
      <c r="L221" s="57">
        <v>0.42409999999999998</v>
      </c>
      <c r="M221">
        <v>173.54300000000001</v>
      </c>
      <c r="N221" s="20">
        <v>1.49908</v>
      </c>
      <c r="O221" s="5" t="str">
        <f t="shared" si="10"/>
        <v>未买</v>
      </c>
      <c r="R221" s="19">
        <v>219</v>
      </c>
    </row>
    <row r="222" spans="5:18" x14ac:dyDescent="0.15">
      <c r="E222" s="5"/>
      <c r="H222" s="19">
        <v>220</v>
      </c>
      <c r="I222">
        <v>113610</v>
      </c>
      <c r="J222" t="s">
        <v>109</v>
      </c>
      <c r="K222">
        <v>114.774</v>
      </c>
      <c r="L222" s="57">
        <v>0.59079999999999999</v>
      </c>
      <c r="M222">
        <v>173.85399999999998</v>
      </c>
      <c r="N222" s="20">
        <v>4.5794100000000002</v>
      </c>
      <c r="O222" s="5" t="str">
        <f t="shared" si="10"/>
        <v>未买</v>
      </c>
      <c r="R222" s="19">
        <v>220</v>
      </c>
    </row>
    <row r="223" spans="5:18" x14ac:dyDescent="0.15">
      <c r="E223" s="5"/>
      <c r="H223" s="19">
        <v>221</v>
      </c>
      <c r="I223">
        <v>113051</v>
      </c>
      <c r="J223" t="s">
        <v>1961</v>
      </c>
      <c r="K223">
        <v>158.91399999999999</v>
      </c>
      <c r="L223" s="57">
        <v>0.14949999999999999</v>
      </c>
      <c r="M223">
        <v>173.86399999999998</v>
      </c>
      <c r="N223" s="20">
        <v>29.98903</v>
      </c>
      <c r="O223" s="5" t="str">
        <f t="shared" si="10"/>
        <v>未买</v>
      </c>
      <c r="R223" s="19">
        <v>221</v>
      </c>
    </row>
    <row r="224" spans="5:18" x14ac:dyDescent="0.15">
      <c r="E224" s="5"/>
      <c r="H224" s="19">
        <v>222</v>
      </c>
      <c r="I224">
        <v>127015</v>
      </c>
      <c r="J224" t="s">
        <v>156</v>
      </c>
      <c r="K224">
        <v>120.3</v>
      </c>
      <c r="L224" s="57">
        <v>0.53780000000000006</v>
      </c>
      <c r="M224">
        <v>174.07999999999998</v>
      </c>
      <c r="N224" s="20">
        <v>9.4961059999999993</v>
      </c>
      <c r="O224" s="5" t="str">
        <f t="shared" si="10"/>
        <v>未买</v>
      </c>
      <c r="R224" s="19">
        <v>222</v>
      </c>
    </row>
    <row r="225" spans="5:18" x14ac:dyDescent="0.15">
      <c r="E225" s="5"/>
      <c r="H225" s="19">
        <v>223</v>
      </c>
      <c r="I225">
        <v>113563</v>
      </c>
      <c r="J225" t="s">
        <v>155</v>
      </c>
      <c r="K225">
        <v>113.042</v>
      </c>
      <c r="L225" s="57">
        <v>0.61119999999999997</v>
      </c>
      <c r="M225">
        <v>174.16200000000001</v>
      </c>
      <c r="N225" s="20">
        <v>8.0190199999999994</v>
      </c>
      <c r="O225" s="5" t="str">
        <f t="shared" si="10"/>
        <v>未买</v>
      </c>
      <c r="R225" s="19">
        <v>223</v>
      </c>
    </row>
    <row r="226" spans="5:18" x14ac:dyDescent="0.15">
      <c r="E226" s="5"/>
      <c r="H226" s="19">
        <v>224</v>
      </c>
      <c r="I226">
        <v>127025</v>
      </c>
      <c r="J226" t="s">
        <v>1829</v>
      </c>
      <c r="K226">
        <v>113.107</v>
      </c>
      <c r="L226" s="57">
        <v>0.61260000000000003</v>
      </c>
      <c r="M226">
        <v>174.36699999999999</v>
      </c>
      <c r="N226" s="20">
        <v>17.76455</v>
      </c>
      <c r="O226" s="5" t="str">
        <f t="shared" si="10"/>
        <v>未买</v>
      </c>
      <c r="R226" s="19">
        <v>224</v>
      </c>
    </row>
    <row r="227" spans="5:18" x14ac:dyDescent="0.15">
      <c r="E227" s="5"/>
      <c r="H227" s="19">
        <v>225</v>
      </c>
      <c r="I227">
        <v>128132</v>
      </c>
      <c r="J227" t="s">
        <v>149</v>
      </c>
      <c r="K227">
        <v>117.7</v>
      </c>
      <c r="L227" s="57">
        <v>0.57179999999999997</v>
      </c>
      <c r="M227">
        <v>174.88</v>
      </c>
      <c r="N227" s="20">
        <v>8.4894070000000017</v>
      </c>
      <c r="O227" s="5" t="str">
        <f t="shared" si="10"/>
        <v>未买</v>
      </c>
      <c r="R227" s="19">
        <v>225</v>
      </c>
    </row>
    <row r="228" spans="5:18" x14ac:dyDescent="0.15">
      <c r="E228" s="5"/>
      <c r="H228" s="19">
        <v>226</v>
      </c>
      <c r="I228">
        <v>123052</v>
      </c>
      <c r="J228" t="s">
        <v>1973</v>
      </c>
      <c r="K228">
        <v>154.239</v>
      </c>
      <c r="L228" s="57">
        <v>0.20649999999999999</v>
      </c>
      <c r="M228">
        <v>174.88900000000001</v>
      </c>
      <c r="N228" s="20">
        <v>1.5036590000000001</v>
      </c>
      <c r="O228" s="5" t="str">
        <f t="shared" si="10"/>
        <v>未买</v>
      </c>
      <c r="R228" s="19">
        <v>226</v>
      </c>
    </row>
    <row r="229" spans="5:18" x14ac:dyDescent="0.15">
      <c r="E229" s="5"/>
      <c r="H229" s="19">
        <v>227</v>
      </c>
      <c r="I229">
        <v>113502</v>
      </c>
      <c r="J229" t="s">
        <v>128</v>
      </c>
      <c r="K229">
        <v>161.494</v>
      </c>
      <c r="L229" s="57">
        <v>0.1358</v>
      </c>
      <c r="M229">
        <v>175.07400000000001</v>
      </c>
      <c r="N229" s="20">
        <v>1.8424100000000001</v>
      </c>
      <c r="O229" s="5" t="str">
        <f t="shared" si="10"/>
        <v>未买</v>
      </c>
      <c r="R229" s="19">
        <v>227</v>
      </c>
    </row>
    <row r="230" spans="5:18" x14ac:dyDescent="0.15">
      <c r="E230" s="5"/>
      <c r="H230" s="19">
        <v>228</v>
      </c>
      <c r="I230">
        <v>113639</v>
      </c>
      <c r="J230" t="s">
        <v>773</v>
      </c>
      <c r="K230">
        <v>116.596</v>
      </c>
      <c r="L230" s="57">
        <v>0.58760000000000001</v>
      </c>
      <c r="M230">
        <v>175.35599999999999</v>
      </c>
      <c r="N230" s="20">
        <v>5.6997200000000001</v>
      </c>
      <c r="O230" s="5" t="str">
        <f t="shared" si="10"/>
        <v>未买</v>
      </c>
      <c r="R230" s="19">
        <v>228</v>
      </c>
    </row>
    <row r="231" spans="5:18" x14ac:dyDescent="0.15">
      <c r="E231" s="5"/>
      <c r="H231" s="19">
        <v>229</v>
      </c>
      <c r="I231">
        <v>113594</v>
      </c>
      <c r="J231" t="s">
        <v>75</v>
      </c>
      <c r="K231">
        <v>124.15</v>
      </c>
      <c r="L231" s="57">
        <v>0.51239999999999997</v>
      </c>
      <c r="M231">
        <v>175.39000000000001</v>
      </c>
      <c r="N231" s="20">
        <v>2.9974099999999999</v>
      </c>
      <c r="O231" s="5" t="str">
        <f t="shared" si="10"/>
        <v>未买</v>
      </c>
      <c r="R231" s="19">
        <v>229</v>
      </c>
    </row>
    <row r="232" spans="5:18" x14ac:dyDescent="0.15">
      <c r="E232" s="5"/>
      <c r="H232" s="19">
        <v>230</v>
      </c>
      <c r="I232">
        <v>123131</v>
      </c>
      <c r="J232" t="s">
        <v>231</v>
      </c>
      <c r="K232">
        <v>124.979</v>
      </c>
      <c r="L232" s="57">
        <v>0.50800000000000001</v>
      </c>
      <c r="M232">
        <v>175.779</v>
      </c>
      <c r="N232" s="20">
        <v>6.3497060000000003</v>
      </c>
      <c r="O232" s="5" t="str">
        <f t="shared" si="10"/>
        <v>未买</v>
      </c>
      <c r="R232" s="19">
        <v>230</v>
      </c>
    </row>
    <row r="233" spans="5:18" x14ac:dyDescent="0.15">
      <c r="E233" s="5"/>
      <c r="H233" s="19">
        <v>231</v>
      </c>
      <c r="I233">
        <v>128143</v>
      </c>
      <c r="J233" t="s">
        <v>114</v>
      </c>
      <c r="K233">
        <v>136.1</v>
      </c>
      <c r="L233" s="57">
        <v>0.39750000000000002</v>
      </c>
      <c r="M233">
        <v>175.85</v>
      </c>
      <c r="N233" s="20">
        <v>2.4419819999999999</v>
      </c>
      <c r="O233" s="5" t="str">
        <f t="shared" si="10"/>
        <v>未买</v>
      </c>
      <c r="R233" s="19">
        <v>231</v>
      </c>
    </row>
    <row r="234" spans="5:18" x14ac:dyDescent="0.15">
      <c r="E234" s="5"/>
      <c r="H234" s="19">
        <v>232</v>
      </c>
      <c r="I234">
        <v>111005</v>
      </c>
      <c r="J234" t="s">
        <v>2026</v>
      </c>
      <c r="K234">
        <v>124.994</v>
      </c>
      <c r="L234" s="57">
        <v>0.51119999999999999</v>
      </c>
      <c r="M234">
        <v>176.114</v>
      </c>
      <c r="N234" s="20">
        <v>5.7</v>
      </c>
      <c r="O234" s="5" t="str">
        <f t="shared" si="10"/>
        <v>未买</v>
      </c>
      <c r="R234" s="19">
        <v>232</v>
      </c>
    </row>
    <row r="235" spans="5:18" x14ac:dyDescent="0.15">
      <c r="E235" s="5"/>
      <c r="H235" s="19">
        <v>233</v>
      </c>
      <c r="I235">
        <v>123061</v>
      </c>
      <c r="J235" t="s">
        <v>94</v>
      </c>
      <c r="K235">
        <v>127.40300000000001</v>
      </c>
      <c r="L235" s="57">
        <v>0.4899</v>
      </c>
      <c r="M235">
        <v>176.393</v>
      </c>
      <c r="N235" s="20">
        <v>2.49614</v>
      </c>
      <c r="O235" s="5" t="str">
        <f t="shared" si="10"/>
        <v>未买</v>
      </c>
      <c r="R235" s="19">
        <v>233</v>
      </c>
    </row>
    <row r="236" spans="5:18" x14ac:dyDescent="0.15">
      <c r="E236" s="5"/>
      <c r="H236" s="19">
        <v>234</v>
      </c>
      <c r="I236">
        <v>113043</v>
      </c>
      <c r="J236" t="s">
        <v>1853</v>
      </c>
      <c r="K236">
        <v>109.25</v>
      </c>
      <c r="L236" s="57">
        <v>0.6715000000000001</v>
      </c>
      <c r="M236">
        <v>176.4</v>
      </c>
      <c r="N236" s="20">
        <v>37.997570000000003</v>
      </c>
      <c r="O236" s="5" t="str">
        <f t="shared" si="10"/>
        <v>未买</v>
      </c>
      <c r="R236" s="19">
        <v>234</v>
      </c>
    </row>
    <row r="237" spans="5:18" x14ac:dyDescent="0.15">
      <c r="E237" s="5"/>
      <c r="H237" s="19">
        <v>235</v>
      </c>
      <c r="I237">
        <v>123128</v>
      </c>
      <c r="J237" t="s">
        <v>1865</v>
      </c>
      <c r="K237">
        <v>109</v>
      </c>
      <c r="L237" s="57">
        <v>0.67510000000000003</v>
      </c>
      <c r="M237">
        <v>176.51</v>
      </c>
      <c r="N237" s="20">
        <v>13.794155999999999</v>
      </c>
      <c r="O237" s="5" t="str">
        <f t="shared" si="10"/>
        <v>未买</v>
      </c>
      <c r="R237" s="19">
        <v>235</v>
      </c>
    </row>
    <row r="238" spans="5:18" x14ac:dyDescent="0.15">
      <c r="E238" s="5"/>
      <c r="H238" s="19">
        <v>236</v>
      </c>
      <c r="I238">
        <v>128026</v>
      </c>
      <c r="J238" t="s">
        <v>178</v>
      </c>
      <c r="K238">
        <v>108.86199999999999</v>
      </c>
      <c r="L238" s="57">
        <v>0.67689999999999995</v>
      </c>
      <c r="M238">
        <v>176.55199999999999</v>
      </c>
      <c r="N238" s="20">
        <v>4.0878940000000004</v>
      </c>
      <c r="O238" s="5" t="str">
        <f t="shared" si="10"/>
        <v>未买</v>
      </c>
      <c r="R238" s="19">
        <v>236</v>
      </c>
    </row>
    <row r="239" spans="5:18" x14ac:dyDescent="0.15">
      <c r="E239" s="5"/>
      <c r="H239" s="19">
        <v>237</v>
      </c>
      <c r="I239">
        <v>127056</v>
      </c>
      <c r="J239" t="s">
        <v>1837</v>
      </c>
      <c r="K239">
        <v>119.133</v>
      </c>
      <c r="L239" s="57">
        <v>0.57710000000000006</v>
      </c>
      <c r="M239">
        <v>176.84299999999999</v>
      </c>
      <c r="N239" s="20">
        <v>50</v>
      </c>
      <c r="O239" s="5" t="str">
        <f t="shared" si="10"/>
        <v>未买</v>
      </c>
      <c r="R239" s="19">
        <v>237</v>
      </c>
    </row>
    <row r="240" spans="5:18" x14ac:dyDescent="0.15">
      <c r="E240" s="5"/>
      <c r="H240" s="19">
        <v>238</v>
      </c>
      <c r="I240">
        <v>123141</v>
      </c>
      <c r="J240" t="s">
        <v>771</v>
      </c>
      <c r="K240">
        <v>136.489</v>
      </c>
      <c r="L240" s="57">
        <v>0.40579999999999999</v>
      </c>
      <c r="M240">
        <v>177.06900000000002</v>
      </c>
      <c r="N240" s="20">
        <v>3.2126000000000001</v>
      </c>
      <c r="O240" s="5" t="str">
        <f t="shared" si="10"/>
        <v>未买</v>
      </c>
      <c r="R240" s="19">
        <v>238</v>
      </c>
    </row>
    <row r="241" spans="5:18" x14ac:dyDescent="0.15">
      <c r="E241" s="5"/>
      <c r="H241" s="19">
        <v>239</v>
      </c>
      <c r="I241">
        <v>123132</v>
      </c>
      <c r="J241" t="s">
        <v>235</v>
      </c>
      <c r="K241">
        <v>120.053</v>
      </c>
      <c r="L241" s="57">
        <v>0.57220000000000004</v>
      </c>
      <c r="M241">
        <v>177.273</v>
      </c>
      <c r="N241" s="20">
        <v>6.9998389999999997</v>
      </c>
      <c r="O241" s="5" t="str">
        <f t="shared" si="10"/>
        <v>未买</v>
      </c>
      <c r="R241" s="19">
        <v>239</v>
      </c>
    </row>
    <row r="242" spans="5:18" x14ac:dyDescent="0.15">
      <c r="E242" s="5"/>
      <c r="H242" s="19">
        <v>240</v>
      </c>
      <c r="I242">
        <v>128120</v>
      </c>
      <c r="J242" t="s">
        <v>113</v>
      </c>
      <c r="K242">
        <v>138.48400000000001</v>
      </c>
      <c r="L242" s="57">
        <v>0.38799999999999996</v>
      </c>
      <c r="M242">
        <v>177.28399999999999</v>
      </c>
      <c r="N242" s="20">
        <v>2.5986929999999999</v>
      </c>
      <c r="O242" s="5" t="str">
        <f t="shared" si="10"/>
        <v>未买</v>
      </c>
      <c r="R242" s="19">
        <v>240</v>
      </c>
    </row>
    <row r="243" spans="5:18" x14ac:dyDescent="0.15">
      <c r="E243" s="5"/>
      <c r="H243" s="19">
        <v>241</v>
      </c>
      <c r="I243">
        <v>128135</v>
      </c>
      <c r="J243" t="s">
        <v>1818</v>
      </c>
      <c r="K243">
        <v>123.57</v>
      </c>
      <c r="L243" s="57">
        <v>0.53959999999999997</v>
      </c>
      <c r="M243">
        <v>177.53</v>
      </c>
      <c r="N243" s="20">
        <v>13.398605</v>
      </c>
      <c r="O243" s="5" t="str">
        <f t="shared" si="10"/>
        <v>未买</v>
      </c>
      <c r="R243" s="19">
        <v>241</v>
      </c>
    </row>
    <row r="244" spans="5:18" x14ac:dyDescent="0.15">
      <c r="E244" s="5"/>
      <c r="H244" s="19">
        <v>242</v>
      </c>
      <c r="I244">
        <v>113542</v>
      </c>
      <c r="J244" t="s">
        <v>165</v>
      </c>
      <c r="K244">
        <v>111.807</v>
      </c>
      <c r="L244" s="57">
        <v>0.65859999999999996</v>
      </c>
      <c r="M244">
        <v>177.667</v>
      </c>
      <c r="N244" s="20">
        <v>6.02719</v>
      </c>
      <c r="O244" s="5" t="str">
        <f t="shared" si="10"/>
        <v>未买</v>
      </c>
      <c r="R244" s="19">
        <v>242</v>
      </c>
    </row>
    <row r="245" spans="5:18" x14ac:dyDescent="0.15">
      <c r="E245" s="5"/>
      <c r="H245" s="19">
        <v>243</v>
      </c>
      <c r="I245">
        <v>123075</v>
      </c>
      <c r="J245" t="s">
        <v>69</v>
      </c>
      <c r="K245">
        <v>131.80099999999999</v>
      </c>
      <c r="L245" s="57">
        <v>0.45990000000000003</v>
      </c>
      <c r="M245">
        <v>177.791</v>
      </c>
      <c r="N245" s="20">
        <v>5.996105</v>
      </c>
      <c r="O245" s="5" t="str">
        <f t="shared" si="10"/>
        <v>未买</v>
      </c>
      <c r="R245" s="19">
        <v>243</v>
      </c>
    </row>
    <row r="246" spans="5:18" x14ac:dyDescent="0.15">
      <c r="E246" s="5"/>
      <c r="H246" s="19">
        <v>244</v>
      </c>
      <c r="I246">
        <v>113595</v>
      </c>
      <c r="J246" t="s">
        <v>132</v>
      </c>
      <c r="K246">
        <v>107.006</v>
      </c>
      <c r="L246" s="57">
        <v>0.71019999999999994</v>
      </c>
      <c r="M246">
        <v>178.02600000000001</v>
      </c>
      <c r="N246" s="20">
        <v>3.2977400000000001</v>
      </c>
      <c r="O246" s="5" t="str">
        <f t="shared" si="10"/>
        <v>未买</v>
      </c>
      <c r="R246" s="19">
        <v>244</v>
      </c>
    </row>
    <row r="247" spans="5:18" x14ac:dyDescent="0.15">
      <c r="E247" s="5"/>
      <c r="H247" s="19">
        <v>245</v>
      </c>
      <c r="I247">
        <v>113049</v>
      </c>
      <c r="J247" t="s">
        <v>1813</v>
      </c>
      <c r="K247">
        <v>124.001</v>
      </c>
      <c r="L247" s="57">
        <v>0.54610000000000003</v>
      </c>
      <c r="M247">
        <v>178.61099999999999</v>
      </c>
      <c r="N247" s="20">
        <v>34.95579</v>
      </c>
      <c r="O247" s="5" t="str">
        <f t="shared" si="10"/>
        <v>未买</v>
      </c>
      <c r="R247" s="19">
        <v>245</v>
      </c>
    </row>
    <row r="248" spans="5:18" x14ac:dyDescent="0.15">
      <c r="E248" s="5"/>
      <c r="H248" s="19">
        <v>246</v>
      </c>
      <c r="I248">
        <v>110082</v>
      </c>
      <c r="J248" t="s">
        <v>1851</v>
      </c>
      <c r="K248">
        <v>124.664</v>
      </c>
      <c r="L248" s="57">
        <v>0.53979999999999995</v>
      </c>
      <c r="M248">
        <v>178.64400000000001</v>
      </c>
      <c r="N248" s="20">
        <v>19.99597</v>
      </c>
      <c r="O248" s="5" t="str">
        <f t="shared" si="10"/>
        <v>未买</v>
      </c>
      <c r="R248" s="19">
        <v>246</v>
      </c>
    </row>
    <row r="249" spans="5:18" x14ac:dyDescent="0.15">
      <c r="E249" s="5"/>
      <c r="H249" s="19">
        <v>247</v>
      </c>
      <c r="I249">
        <v>113047</v>
      </c>
      <c r="J249" t="s">
        <v>1820</v>
      </c>
      <c r="K249">
        <v>141.82499999999999</v>
      </c>
      <c r="L249" s="57">
        <v>0.36820000000000003</v>
      </c>
      <c r="M249">
        <v>178.64499999999998</v>
      </c>
      <c r="N249" s="20">
        <v>14.98672</v>
      </c>
      <c r="O249" s="5" t="str">
        <f t="shared" si="10"/>
        <v>未买</v>
      </c>
      <c r="R249" s="19">
        <v>247</v>
      </c>
    </row>
    <row r="250" spans="5:18" x14ac:dyDescent="0.15">
      <c r="E250" s="5"/>
      <c r="H250" s="19">
        <v>248</v>
      </c>
      <c r="I250">
        <v>127047</v>
      </c>
      <c r="J250" t="s">
        <v>1840</v>
      </c>
      <c r="K250">
        <v>105.226</v>
      </c>
      <c r="L250" s="57">
        <v>0.73530000000000006</v>
      </c>
      <c r="M250">
        <v>178.756</v>
      </c>
      <c r="N250" s="20">
        <v>14.998974</v>
      </c>
      <c r="O250" s="5" t="str">
        <f t="shared" si="10"/>
        <v>未买</v>
      </c>
      <c r="R250" s="19">
        <v>248</v>
      </c>
    </row>
    <row r="251" spans="5:18" x14ac:dyDescent="0.15">
      <c r="E251" s="5"/>
      <c r="H251" s="19">
        <v>249</v>
      </c>
      <c r="I251">
        <v>113535</v>
      </c>
      <c r="J251" t="s">
        <v>201</v>
      </c>
      <c r="K251">
        <v>113.998</v>
      </c>
      <c r="L251" s="57">
        <v>0.64829999999999999</v>
      </c>
      <c r="M251">
        <v>178.828</v>
      </c>
      <c r="N251" s="20">
        <v>4.9961099999999998</v>
      </c>
      <c r="O251" s="5" t="str">
        <f t="shared" si="10"/>
        <v>未买</v>
      </c>
      <c r="R251" s="19">
        <v>249</v>
      </c>
    </row>
    <row r="252" spans="5:18" x14ac:dyDescent="0.15">
      <c r="E252" s="5"/>
      <c r="H252" s="19">
        <v>250</v>
      </c>
      <c r="I252">
        <v>111002</v>
      </c>
      <c r="J252" t="s">
        <v>230</v>
      </c>
      <c r="K252">
        <v>131.81299999999999</v>
      </c>
      <c r="L252" s="57">
        <v>0.4708</v>
      </c>
      <c r="M252">
        <v>178.89299999999997</v>
      </c>
      <c r="N252" s="20">
        <v>6.6997299999999997</v>
      </c>
      <c r="O252" s="5" t="str">
        <f t="shared" si="10"/>
        <v>未买</v>
      </c>
      <c r="R252" s="19">
        <v>250</v>
      </c>
    </row>
    <row r="253" spans="5:18" x14ac:dyDescent="0.15">
      <c r="E253" s="5"/>
      <c r="H253" s="19">
        <v>251</v>
      </c>
      <c r="I253">
        <v>123025</v>
      </c>
      <c r="J253" t="s">
        <v>66</v>
      </c>
      <c r="K253">
        <v>137.5</v>
      </c>
      <c r="L253" s="57">
        <v>0.41450000000000004</v>
      </c>
      <c r="M253">
        <v>178.95</v>
      </c>
      <c r="N253" s="20">
        <v>3.0864569999999998</v>
      </c>
      <c r="O253" s="5" t="str">
        <f t="shared" si="10"/>
        <v>未买</v>
      </c>
      <c r="R253" s="19">
        <v>251</v>
      </c>
    </row>
    <row r="254" spans="5:18" x14ac:dyDescent="0.15">
      <c r="E254" s="5"/>
      <c r="H254" s="19">
        <v>252</v>
      </c>
      <c r="I254">
        <v>113530</v>
      </c>
      <c r="J254" t="s">
        <v>177</v>
      </c>
      <c r="K254">
        <v>118.065</v>
      </c>
      <c r="L254" s="57">
        <v>0.60960000000000003</v>
      </c>
      <c r="M254">
        <v>179.02500000000001</v>
      </c>
      <c r="N254" s="20">
        <v>6.2976000000000001</v>
      </c>
      <c r="O254" s="5" t="str">
        <f t="shared" si="10"/>
        <v>未买</v>
      </c>
      <c r="R254" s="19">
        <v>252</v>
      </c>
    </row>
    <row r="255" spans="5:18" x14ac:dyDescent="0.15">
      <c r="E255" s="5"/>
      <c r="H255" s="19">
        <v>253</v>
      </c>
      <c r="I255">
        <v>113059</v>
      </c>
      <c r="J255" t="s">
        <v>1977</v>
      </c>
      <c r="K255">
        <v>133.744</v>
      </c>
      <c r="L255" s="57">
        <v>0.45390000000000003</v>
      </c>
      <c r="M255">
        <v>179.13400000000001</v>
      </c>
      <c r="N255" s="20">
        <v>40</v>
      </c>
      <c r="O255" s="5" t="str">
        <f t="shared" si="10"/>
        <v>未买</v>
      </c>
      <c r="R255" s="19">
        <v>253</v>
      </c>
    </row>
    <row r="256" spans="5:18" x14ac:dyDescent="0.15">
      <c r="E256" s="5"/>
      <c r="H256" s="19">
        <v>254</v>
      </c>
      <c r="I256">
        <v>128015</v>
      </c>
      <c r="J256" t="s">
        <v>152</v>
      </c>
      <c r="K256">
        <v>114.69</v>
      </c>
      <c r="L256" s="57">
        <v>0.64480000000000004</v>
      </c>
      <c r="M256">
        <v>179.17000000000002</v>
      </c>
      <c r="N256" s="20">
        <v>7.7922669999999998</v>
      </c>
      <c r="O256" s="5" t="str">
        <f t="shared" si="10"/>
        <v>未买</v>
      </c>
      <c r="R256" s="19">
        <v>254</v>
      </c>
    </row>
    <row r="257" spans="5:18" x14ac:dyDescent="0.15">
      <c r="E257" s="5"/>
      <c r="H257" s="19">
        <v>255</v>
      </c>
      <c r="I257">
        <v>118014</v>
      </c>
      <c r="J257" t="s">
        <v>2023</v>
      </c>
      <c r="K257">
        <v>148.517</v>
      </c>
      <c r="L257" s="57">
        <v>0.30709999999999998</v>
      </c>
      <c r="M257">
        <v>179.227</v>
      </c>
      <c r="N257" s="20">
        <v>4.8330000000000002</v>
      </c>
      <c r="O257" s="5" t="str">
        <f t="shared" si="10"/>
        <v>未买</v>
      </c>
      <c r="R257" s="19">
        <v>255</v>
      </c>
    </row>
    <row r="258" spans="5:18" x14ac:dyDescent="0.15">
      <c r="E258" s="5"/>
      <c r="H258" s="19">
        <v>256</v>
      </c>
      <c r="I258">
        <v>113648</v>
      </c>
      <c r="J258" t="s">
        <v>1842</v>
      </c>
      <c r="K258">
        <v>158.86199999999999</v>
      </c>
      <c r="L258" s="57">
        <v>0.20489999999999997</v>
      </c>
      <c r="M258">
        <v>179.352</v>
      </c>
      <c r="N258" s="20">
        <v>10</v>
      </c>
      <c r="O258" s="5" t="str">
        <f t="shared" si="10"/>
        <v>未买</v>
      </c>
      <c r="R258" s="19">
        <v>256</v>
      </c>
    </row>
    <row r="259" spans="5:18" x14ac:dyDescent="0.15">
      <c r="E259" s="5"/>
      <c r="H259" s="19">
        <v>257</v>
      </c>
      <c r="I259">
        <v>113061</v>
      </c>
      <c r="J259" t="s">
        <v>2012</v>
      </c>
      <c r="K259">
        <v>149.66800000000001</v>
      </c>
      <c r="L259" s="57">
        <v>0.29799999999999999</v>
      </c>
      <c r="M259">
        <v>179.46800000000002</v>
      </c>
      <c r="N259" s="20">
        <v>25</v>
      </c>
      <c r="O259" s="5" t="str">
        <f t="shared" si="10"/>
        <v>未买</v>
      </c>
      <c r="R259" s="19">
        <v>257</v>
      </c>
    </row>
    <row r="260" spans="5:18" x14ac:dyDescent="0.15">
      <c r="E260" s="5"/>
      <c r="H260" s="19">
        <v>258</v>
      </c>
      <c r="I260">
        <v>128063</v>
      </c>
      <c r="J260" t="s">
        <v>190</v>
      </c>
      <c r="K260">
        <v>120.04900000000001</v>
      </c>
      <c r="L260" s="57">
        <v>0.59509999999999996</v>
      </c>
      <c r="M260">
        <v>179.559</v>
      </c>
      <c r="N260" s="20">
        <v>6.2925449999999996</v>
      </c>
      <c r="O260" s="5" t="str">
        <f t="shared" ref="O260:O323" si="11">IF(ISNA(MATCH(I260,$A$3:$A$1000,0)),"未买","Yes")</f>
        <v>未买</v>
      </c>
      <c r="R260" s="19">
        <v>258</v>
      </c>
    </row>
    <row r="261" spans="5:18" x14ac:dyDescent="0.15">
      <c r="E261" s="5"/>
      <c r="H261" s="19">
        <v>259</v>
      </c>
      <c r="I261">
        <v>123090</v>
      </c>
      <c r="J261" t="s">
        <v>170</v>
      </c>
      <c r="K261">
        <v>122</v>
      </c>
      <c r="L261" s="57">
        <v>0.57700000000000007</v>
      </c>
      <c r="M261">
        <v>179.7</v>
      </c>
      <c r="N261" s="20">
        <v>4.9994690000000004</v>
      </c>
      <c r="O261" s="5" t="str">
        <f t="shared" si="11"/>
        <v>未买</v>
      </c>
      <c r="R261" s="19">
        <v>259</v>
      </c>
    </row>
    <row r="262" spans="5:18" x14ac:dyDescent="0.15">
      <c r="E262" s="5"/>
      <c r="H262" s="19">
        <v>260</v>
      </c>
      <c r="I262">
        <v>127062</v>
      </c>
      <c r="J262" t="s">
        <v>1856</v>
      </c>
      <c r="K262">
        <v>131.70599999999999</v>
      </c>
      <c r="L262" s="57">
        <v>0.48369999999999996</v>
      </c>
      <c r="M262">
        <v>180.07599999999999</v>
      </c>
      <c r="N262" s="20">
        <v>3.9630000000000001</v>
      </c>
      <c r="O262" s="5" t="str">
        <f t="shared" si="11"/>
        <v>未买</v>
      </c>
      <c r="R262" s="19">
        <v>260</v>
      </c>
    </row>
    <row r="263" spans="5:18" x14ac:dyDescent="0.15">
      <c r="E263" s="5"/>
      <c r="H263" s="19">
        <v>261</v>
      </c>
      <c r="I263">
        <v>128078</v>
      </c>
      <c r="J263" t="s">
        <v>2024</v>
      </c>
      <c r="K263">
        <v>128.88</v>
      </c>
      <c r="L263" s="57">
        <v>0.51770000000000005</v>
      </c>
      <c r="M263">
        <v>180.65</v>
      </c>
      <c r="N263" s="20">
        <v>9.5993570000000012</v>
      </c>
      <c r="O263" s="5" t="str">
        <f t="shared" si="11"/>
        <v>未买</v>
      </c>
      <c r="R263" s="19">
        <v>261</v>
      </c>
    </row>
    <row r="264" spans="5:18" x14ac:dyDescent="0.15">
      <c r="E264" s="5"/>
      <c r="H264" s="19">
        <v>262</v>
      </c>
      <c r="I264">
        <v>113527</v>
      </c>
      <c r="J264" t="s">
        <v>115</v>
      </c>
      <c r="K264">
        <v>121.542</v>
      </c>
      <c r="L264" s="57">
        <v>0.59709999999999996</v>
      </c>
      <c r="M264">
        <v>181.25200000000001</v>
      </c>
      <c r="N264" s="20">
        <v>2.8627699999999998</v>
      </c>
      <c r="O264" s="5" t="str">
        <f t="shared" si="11"/>
        <v>未买</v>
      </c>
      <c r="R264" s="19">
        <v>262</v>
      </c>
    </row>
    <row r="265" spans="5:18" x14ac:dyDescent="0.15">
      <c r="E265" s="5"/>
      <c r="H265" s="19">
        <v>263</v>
      </c>
      <c r="I265">
        <v>123096</v>
      </c>
      <c r="J265" t="s">
        <v>194</v>
      </c>
      <c r="K265">
        <v>108.98</v>
      </c>
      <c r="L265" s="57">
        <v>0.72329999999999994</v>
      </c>
      <c r="M265">
        <v>181.31</v>
      </c>
      <c r="N265" s="20">
        <v>8.1692149999999994</v>
      </c>
      <c r="O265" s="5" t="str">
        <f t="shared" si="11"/>
        <v>未买</v>
      </c>
      <c r="R265" s="19">
        <v>263</v>
      </c>
    </row>
    <row r="266" spans="5:18" x14ac:dyDescent="0.15">
      <c r="E266" s="5"/>
      <c r="H266" s="19">
        <v>264</v>
      </c>
      <c r="I266">
        <v>123049</v>
      </c>
      <c r="J266" t="s">
        <v>179</v>
      </c>
      <c r="K266">
        <v>112.2</v>
      </c>
      <c r="L266" s="57">
        <v>0.69459999999999988</v>
      </c>
      <c r="M266">
        <v>181.66</v>
      </c>
      <c r="N266" s="20">
        <v>9.1698550000000001</v>
      </c>
      <c r="O266" s="5" t="str">
        <f t="shared" si="11"/>
        <v>未买</v>
      </c>
      <c r="R266" s="19">
        <v>264</v>
      </c>
    </row>
    <row r="267" spans="5:18" x14ac:dyDescent="0.15">
      <c r="E267" s="5"/>
      <c r="H267" s="19">
        <v>265</v>
      </c>
      <c r="I267">
        <v>118013</v>
      </c>
      <c r="J267" t="s">
        <v>2016</v>
      </c>
      <c r="K267">
        <v>137.78100000000001</v>
      </c>
      <c r="L267" s="57">
        <v>0.44170000000000004</v>
      </c>
      <c r="M267">
        <v>181.95100000000002</v>
      </c>
      <c r="N267" s="20">
        <v>12.8</v>
      </c>
      <c r="O267" s="5" t="str">
        <f t="shared" si="11"/>
        <v>未买</v>
      </c>
      <c r="R267" s="19">
        <v>265</v>
      </c>
    </row>
    <row r="268" spans="5:18" x14ac:dyDescent="0.15">
      <c r="E268" s="5"/>
      <c r="H268" s="19">
        <v>266</v>
      </c>
      <c r="I268">
        <v>128134</v>
      </c>
      <c r="J268" t="s">
        <v>1812</v>
      </c>
      <c r="K268">
        <v>123.39100000000001</v>
      </c>
      <c r="L268" s="57">
        <v>0.58820000000000006</v>
      </c>
      <c r="M268">
        <v>182.21100000000001</v>
      </c>
      <c r="N268" s="20">
        <v>15.728194999999999</v>
      </c>
      <c r="O268" s="5" t="str">
        <f t="shared" si="11"/>
        <v>未买</v>
      </c>
      <c r="R268" s="19">
        <v>266</v>
      </c>
    </row>
    <row r="269" spans="5:18" x14ac:dyDescent="0.15">
      <c r="E269" s="5"/>
      <c r="H269" s="19">
        <v>267</v>
      </c>
      <c r="I269">
        <v>123004</v>
      </c>
      <c r="J269" t="s">
        <v>168</v>
      </c>
      <c r="K269">
        <v>107.9</v>
      </c>
      <c r="L269" s="57">
        <v>0.74650000000000005</v>
      </c>
      <c r="M269">
        <v>182.55</v>
      </c>
      <c r="N269" s="20">
        <v>8.0317070000000008</v>
      </c>
      <c r="O269" s="5" t="str">
        <f t="shared" si="11"/>
        <v>未买</v>
      </c>
      <c r="R269" s="19">
        <v>267</v>
      </c>
    </row>
    <row r="270" spans="5:18" x14ac:dyDescent="0.15">
      <c r="E270" s="5"/>
      <c r="H270" s="19">
        <v>268</v>
      </c>
      <c r="I270">
        <v>127053</v>
      </c>
      <c r="J270" t="s">
        <v>774</v>
      </c>
      <c r="K270">
        <v>125.5</v>
      </c>
      <c r="L270" s="57">
        <v>0.57350000000000001</v>
      </c>
      <c r="M270">
        <v>182.85</v>
      </c>
      <c r="N270" s="20">
        <v>8.2399199999999997</v>
      </c>
      <c r="O270" s="5" t="str">
        <f t="shared" si="11"/>
        <v>未买</v>
      </c>
      <c r="R270" s="19">
        <v>268</v>
      </c>
    </row>
    <row r="271" spans="5:18" x14ac:dyDescent="0.15">
      <c r="E271" s="5"/>
      <c r="H271" s="19">
        <v>269</v>
      </c>
      <c r="I271">
        <v>110062</v>
      </c>
      <c r="J271" t="s">
        <v>1859</v>
      </c>
      <c r="K271">
        <v>110.84</v>
      </c>
      <c r="L271" s="57">
        <v>0.72170000000000001</v>
      </c>
      <c r="M271">
        <v>183.01</v>
      </c>
      <c r="N271" s="20">
        <v>30.87621</v>
      </c>
      <c r="O271" s="5" t="str">
        <f t="shared" si="11"/>
        <v>未买</v>
      </c>
      <c r="R271" s="19">
        <v>269</v>
      </c>
    </row>
    <row r="272" spans="5:18" x14ac:dyDescent="0.15">
      <c r="E272" s="5"/>
      <c r="H272" s="19">
        <v>270</v>
      </c>
      <c r="I272">
        <v>127059</v>
      </c>
      <c r="J272" t="s">
        <v>1857</v>
      </c>
      <c r="K272">
        <v>160.5</v>
      </c>
      <c r="L272" s="57">
        <v>0.22640000000000002</v>
      </c>
      <c r="M272">
        <v>183.14</v>
      </c>
      <c r="N272" s="20">
        <v>3.8</v>
      </c>
      <c r="O272" s="5" t="str">
        <f t="shared" si="11"/>
        <v>未买</v>
      </c>
      <c r="R272" s="19">
        <v>270</v>
      </c>
    </row>
    <row r="273" spans="5:18" x14ac:dyDescent="0.15">
      <c r="E273" s="5"/>
      <c r="H273" s="19">
        <v>271</v>
      </c>
      <c r="I273">
        <v>127024</v>
      </c>
      <c r="J273" t="s">
        <v>1863</v>
      </c>
      <c r="K273">
        <v>108.7</v>
      </c>
      <c r="L273" s="57">
        <v>0.74480000000000002</v>
      </c>
      <c r="M273">
        <v>183.18</v>
      </c>
      <c r="N273" s="20">
        <v>14.760617000000002</v>
      </c>
      <c r="O273" s="5" t="str">
        <f t="shared" si="11"/>
        <v>未买</v>
      </c>
      <c r="R273" s="19">
        <v>271</v>
      </c>
    </row>
    <row r="274" spans="5:18" x14ac:dyDescent="0.15">
      <c r="E274" s="5"/>
      <c r="H274" s="19">
        <v>272</v>
      </c>
      <c r="I274">
        <v>123056</v>
      </c>
      <c r="J274" t="s">
        <v>147</v>
      </c>
      <c r="K274">
        <v>111.006</v>
      </c>
      <c r="L274" s="57">
        <v>0.72180000000000011</v>
      </c>
      <c r="M274">
        <v>183.18600000000001</v>
      </c>
      <c r="N274" s="20">
        <v>5.8400359999999996</v>
      </c>
      <c r="O274" s="5" t="str">
        <f t="shared" si="11"/>
        <v>未买</v>
      </c>
      <c r="R274" s="19">
        <v>272</v>
      </c>
    </row>
    <row r="275" spans="5:18" x14ac:dyDescent="0.15">
      <c r="E275" s="5"/>
      <c r="H275" s="19">
        <v>273</v>
      </c>
      <c r="I275">
        <v>128117</v>
      </c>
      <c r="J275" t="s">
        <v>144</v>
      </c>
      <c r="K275">
        <v>136.02699999999999</v>
      </c>
      <c r="L275" s="57">
        <v>0.47899999999999998</v>
      </c>
      <c r="M275">
        <v>183.92699999999999</v>
      </c>
      <c r="N275" s="20">
        <v>3.591961</v>
      </c>
      <c r="O275" s="5" t="str">
        <f t="shared" si="11"/>
        <v>未买</v>
      </c>
      <c r="R275" s="19">
        <v>273</v>
      </c>
    </row>
    <row r="276" spans="5:18" x14ac:dyDescent="0.15">
      <c r="E276" s="5"/>
      <c r="H276" s="19">
        <v>274</v>
      </c>
      <c r="I276">
        <v>127006</v>
      </c>
      <c r="J276" t="s">
        <v>1841</v>
      </c>
      <c r="K276">
        <v>118.19499999999999</v>
      </c>
      <c r="L276" s="57">
        <v>0.65890000000000004</v>
      </c>
      <c r="M276">
        <v>184.08499999999998</v>
      </c>
      <c r="N276" s="20">
        <v>24.072220000000002</v>
      </c>
      <c r="O276" s="5" t="str">
        <f t="shared" si="11"/>
        <v>未买</v>
      </c>
      <c r="R276" s="19">
        <v>274</v>
      </c>
    </row>
    <row r="277" spans="5:18" x14ac:dyDescent="0.15">
      <c r="E277" s="5"/>
      <c r="H277" s="19">
        <v>275</v>
      </c>
      <c r="I277">
        <v>123114</v>
      </c>
      <c r="J277" t="s">
        <v>1950</v>
      </c>
      <c r="K277">
        <v>160.61500000000001</v>
      </c>
      <c r="L277" s="57">
        <v>0.23719999999999999</v>
      </c>
      <c r="M277">
        <v>184.33500000000001</v>
      </c>
      <c r="N277" s="20">
        <v>9.0082140000000006</v>
      </c>
      <c r="O277" s="5" t="str">
        <f t="shared" si="11"/>
        <v>未买</v>
      </c>
      <c r="R277" s="19">
        <v>275</v>
      </c>
    </row>
    <row r="278" spans="5:18" x14ac:dyDescent="0.15">
      <c r="E278" s="5"/>
      <c r="H278" s="19">
        <v>276</v>
      </c>
      <c r="I278">
        <v>123109</v>
      </c>
      <c r="J278" t="s">
        <v>1981</v>
      </c>
      <c r="K278">
        <v>118.76</v>
      </c>
      <c r="L278" s="57">
        <v>0.66379999999999995</v>
      </c>
      <c r="M278">
        <v>185.14</v>
      </c>
      <c r="N278" s="20">
        <v>4.5955410000000008</v>
      </c>
      <c r="O278" s="5" t="str">
        <f t="shared" si="11"/>
        <v>未买</v>
      </c>
      <c r="R278" s="19">
        <v>276</v>
      </c>
    </row>
    <row r="279" spans="5:18" x14ac:dyDescent="0.15">
      <c r="E279" s="5"/>
      <c r="H279" s="19">
        <v>277</v>
      </c>
      <c r="I279">
        <v>123145</v>
      </c>
      <c r="J279" t="s">
        <v>1828</v>
      </c>
      <c r="K279">
        <v>131.69999999999999</v>
      </c>
      <c r="L279" s="57">
        <v>0.54289999999999994</v>
      </c>
      <c r="M279">
        <v>185.98999999999998</v>
      </c>
      <c r="N279" s="20">
        <v>11.5</v>
      </c>
      <c r="O279" s="5" t="str">
        <f t="shared" si="11"/>
        <v>未买</v>
      </c>
      <c r="R279" s="19">
        <v>277</v>
      </c>
    </row>
    <row r="280" spans="5:18" x14ac:dyDescent="0.15">
      <c r="E280" s="5"/>
      <c r="H280" s="19">
        <v>278</v>
      </c>
      <c r="I280">
        <v>127051</v>
      </c>
      <c r="J280" t="s">
        <v>236</v>
      </c>
      <c r="K280">
        <v>119.801</v>
      </c>
      <c r="L280" s="57">
        <v>0.66849999999999998</v>
      </c>
      <c r="M280">
        <v>186.65100000000001</v>
      </c>
      <c r="N280" s="20">
        <v>5.25976</v>
      </c>
      <c r="O280" s="5" t="str">
        <f t="shared" si="11"/>
        <v>未买</v>
      </c>
      <c r="R280" s="19">
        <v>278</v>
      </c>
    </row>
    <row r="281" spans="5:18" x14ac:dyDescent="0.15">
      <c r="E281" s="5"/>
      <c r="H281" s="19">
        <v>279</v>
      </c>
      <c r="I281">
        <v>118006</v>
      </c>
      <c r="J281" t="s">
        <v>791</v>
      </c>
      <c r="K281">
        <v>141.90899999999999</v>
      </c>
      <c r="L281" s="57">
        <v>0.44789999999999996</v>
      </c>
      <c r="M281">
        <v>186.69899999999998</v>
      </c>
      <c r="N281" s="20">
        <v>3.8740000000000001</v>
      </c>
      <c r="O281" s="5" t="str">
        <f t="shared" si="11"/>
        <v>未买</v>
      </c>
      <c r="R281" s="19">
        <v>279</v>
      </c>
    </row>
    <row r="282" spans="5:18" x14ac:dyDescent="0.15">
      <c r="E282" s="5"/>
      <c r="H282" s="19">
        <v>280</v>
      </c>
      <c r="I282">
        <v>128101</v>
      </c>
      <c r="J282" t="s">
        <v>2013</v>
      </c>
      <c r="K282">
        <v>163.18600000000001</v>
      </c>
      <c r="L282" s="57">
        <v>0.2354</v>
      </c>
      <c r="M282">
        <v>186.726</v>
      </c>
      <c r="N282" s="20">
        <v>2.9929809999999999</v>
      </c>
      <c r="O282" s="5" t="str">
        <f t="shared" si="11"/>
        <v>未买</v>
      </c>
      <c r="R282" s="19">
        <v>280</v>
      </c>
    </row>
    <row r="283" spans="5:18" x14ac:dyDescent="0.15">
      <c r="E283" s="5"/>
      <c r="H283" s="19">
        <v>281</v>
      </c>
      <c r="I283">
        <v>113579</v>
      </c>
      <c r="J283" t="s">
        <v>105</v>
      </c>
      <c r="K283">
        <v>121.093</v>
      </c>
      <c r="L283" s="57">
        <v>0.65650000000000008</v>
      </c>
      <c r="M283">
        <v>186.74299999999999</v>
      </c>
      <c r="N283" s="20">
        <v>5.0250300000000001</v>
      </c>
      <c r="O283" s="5" t="str">
        <f t="shared" si="11"/>
        <v>未买</v>
      </c>
      <c r="R283" s="19">
        <v>281</v>
      </c>
    </row>
    <row r="284" spans="5:18" x14ac:dyDescent="0.15">
      <c r="E284" s="5"/>
      <c r="H284" s="19">
        <v>282</v>
      </c>
      <c r="I284">
        <v>127014</v>
      </c>
      <c r="J284" t="s">
        <v>214</v>
      </c>
      <c r="K284">
        <v>163.9</v>
      </c>
      <c r="L284" s="57">
        <v>0.2293</v>
      </c>
      <c r="M284">
        <v>186.83</v>
      </c>
      <c r="N284" s="20">
        <v>5.3442860000000003</v>
      </c>
      <c r="O284" s="5" t="str">
        <f t="shared" si="11"/>
        <v>未买</v>
      </c>
      <c r="R284" s="19">
        <v>282</v>
      </c>
    </row>
    <row r="285" spans="5:18" x14ac:dyDescent="0.15">
      <c r="E285" s="5"/>
      <c r="H285" s="19">
        <v>283</v>
      </c>
      <c r="I285">
        <v>118010</v>
      </c>
      <c r="J285" t="s">
        <v>2028</v>
      </c>
      <c r="K285">
        <v>127.096</v>
      </c>
      <c r="L285" s="57">
        <v>0.59750000000000003</v>
      </c>
      <c r="M285">
        <v>186.846</v>
      </c>
      <c r="N285" s="20">
        <v>4.4000000000000004</v>
      </c>
      <c r="O285" s="5" t="str">
        <f t="shared" si="11"/>
        <v>未买</v>
      </c>
      <c r="R285" s="19">
        <v>283</v>
      </c>
    </row>
    <row r="286" spans="5:18" x14ac:dyDescent="0.15">
      <c r="E286" s="5"/>
      <c r="H286" s="19">
        <v>284</v>
      </c>
      <c r="I286">
        <v>123139</v>
      </c>
      <c r="J286" t="s">
        <v>769</v>
      </c>
      <c r="K286">
        <v>168</v>
      </c>
      <c r="L286" s="57">
        <v>0.19420000000000001</v>
      </c>
      <c r="M286">
        <v>187.42000000000002</v>
      </c>
      <c r="N286" s="20">
        <v>4.3</v>
      </c>
      <c r="O286" s="5" t="str">
        <f t="shared" si="11"/>
        <v>未买</v>
      </c>
      <c r="R286" s="19">
        <v>284</v>
      </c>
    </row>
    <row r="287" spans="5:18" x14ac:dyDescent="0.15">
      <c r="E287" s="5"/>
      <c r="H287" s="19">
        <v>285</v>
      </c>
      <c r="I287" s="7">
        <v>113652</v>
      </c>
      <c r="J287" s="7" t="s">
        <v>2029</v>
      </c>
      <c r="K287" s="7">
        <v>129.005</v>
      </c>
      <c r="L287" s="58">
        <v>0.58479999999999999</v>
      </c>
      <c r="M287" s="7">
        <v>187.48499999999999</v>
      </c>
      <c r="N287" s="32">
        <v>14.77</v>
      </c>
      <c r="O287" s="5" t="str">
        <f t="shared" si="11"/>
        <v>未买</v>
      </c>
      <c r="R287" s="19">
        <v>285</v>
      </c>
    </row>
    <row r="288" spans="5:18" x14ac:dyDescent="0.15">
      <c r="E288" s="5"/>
      <c r="H288" s="19">
        <v>286</v>
      </c>
      <c r="I288" s="7">
        <v>128131</v>
      </c>
      <c r="J288" s="7" t="s">
        <v>1866</v>
      </c>
      <c r="K288" s="7">
        <v>117.3</v>
      </c>
      <c r="L288" s="58">
        <v>0.70669999999999999</v>
      </c>
      <c r="M288" s="7">
        <v>187.97</v>
      </c>
      <c r="N288" s="32">
        <v>13.997867000000003</v>
      </c>
      <c r="O288" s="5" t="str">
        <f t="shared" si="11"/>
        <v>未买</v>
      </c>
      <c r="R288" s="19">
        <v>286</v>
      </c>
    </row>
    <row r="289" spans="5:18" x14ac:dyDescent="0.15">
      <c r="E289" s="5"/>
      <c r="H289" s="19">
        <v>287</v>
      </c>
      <c r="I289" s="7">
        <v>118009</v>
      </c>
      <c r="J289" s="7" t="s">
        <v>2025</v>
      </c>
      <c r="K289" s="7">
        <v>137.55500000000001</v>
      </c>
      <c r="L289" s="58">
        <v>0.505</v>
      </c>
      <c r="M289" s="7">
        <v>188.05500000000001</v>
      </c>
      <c r="N289" s="32">
        <v>4</v>
      </c>
      <c r="O289" s="5" t="str">
        <f t="shared" si="11"/>
        <v>未买</v>
      </c>
      <c r="R289" s="19">
        <v>287</v>
      </c>
    </row>
    <row r="290" spans="5:18" x14ac:dyDescent="0.15">
      <c r="E290" s="5"/>
      <c r="H290" s="19">
        <v>288</v>
      </c>
      <c r="I290" s="7">
        <v>113593</v>
      </c>
      <c r="J290" s="7" t="s">
        <v>60</v>
      </c>
      <c r="K290" s="7">
        <v>117.253</v>
      </c>
      <c r="L290" s="58">
        <v>0.7097</v>
      </c>
      <c r="M290" s="7">
        <v>188.22300000000001</v>
      </c>
      <c r="N290" s="32">
        <v>3.9977800000000001</v>
      </c>
      <c r="O290" s="5" t="str">
        <f t="shared" si="11"/>
        <v>未买</v>
      </c>
      <c r="R290" s="19">
        <v>288</v>
      </c>
    </row>
    <row r="291" spans="5:18" x14ac:dyDescent="0.15">
      <c r="E291" s="5"/>
      <c r="H291" s="19">
        <v>289</v>
      </c>
      <c r="I291" s="7">
        <v>118007</v>
      </c>
      <c r="J291" s="7" t="s">
        <v>800</v>
      </c>
      <c r="K291" s="7">
        <v>135.52000000000001</v>
      </c>
      <c r="L291" s="58">
        <v>0.5292</v>
      </c>
      <c r="M291" s="7">
        <v>188.44</v>
      </c>
      <c r="N291" s="32">
        <v>2.6743000000000001</v>
      </c>
      <c r="O291" s="5" t="str">
        <f t="shared" si="11"/>
        <v>未买</v>
      </c>
      <c r="R291" s="19">
        <v>289</v>
      </c>
    </row>
    <row r="292" spans="5:18" x14ac:dyDescent="0.15">
      <c r="E292" s="5"/>
      <c r="H292" s="19">
        <v>290</v>
      </c>
      <c r="I292" s="7">
        <v>128124</v>
      </c>
      <c r="J292" s="7" t="s">
        <v>158</v>
      </c>
      <c r="K292" s="7">
        <v>104.279</v>
      </c>
      <c r="L292" s="58">
        <v>0.8427</v>
      </c>
      <c r="M292" s="7">
        <v>188.54899999999998</v>
      </c>
      <c r="N292" s="32">
        <v>7.376169</v>
      </c>
      <c r="O292" s="5" t="str">
        <f t="shared" si="11"/>
        <v>未买</v>
      </c>
      <c r="R292" s="19">
        <v>290</v>
      </c>
    </row>
    <row r="293" spans="5:18" x14ac:dyDescent="0.15">
      <c r="E293" s="5"/>
      <c r="H293" s="19">
        <v>291</v>
      </c>
      <c r="I293" s="7">
        <v>123122</v>
      </c>
      <c r="J293" s="7" t="s">
        <v>164</v>
      </c>
      <c r="K293" s="7">
        <v>123.801</v>
      </c>
      <c r="L293" s="58">
        <v>0.6502</v>
      </c>
      <c r="M293" s="7">
        <v>188.821</v>
      </c>
      <c r="N293" s="32">
        <v>5.8063779999999996</v>
      </c>
      <c r="O293" s="5" t="str">
        <f t="shared" si="11"/>
        <v>未买</v>
      </c>
      <c r="R293" s="19">
        <v>291</v>
      </c>
    </row>
    <row r="294" spans="5:18" x14ac:dyDescent="0.15">
      <c r="E294" s="5"/>
      <c r="H294" s="19">
        <v>292</v>
      </c>
      <c r="I294" s="7">
        <v>113578</v>
      </c>
      <c r="J294" s="7" t="s">
        <v>162</v>
      </c>
      <c r="K294" s="7">
        <v>106.928</v>
      </c>
      <c r="L294" s="58">
        <v>0.82250000000000001</v>
      </c>
      <c r="M294" s="7">
        <v>189.178</v>
      </c>
      <c r="N294" s="32">
        <v>3.8380200000000002</v>
      </c>
      <c r="O294" s="5" t="str">
        <f t="shared" si="11"/>
        <v>未买</v>
      </c>
      <c r="R294" s="19">
        <v>292</v>
      </c>
    </row>
    <row r="295" spans="5:18" x14ac:dyDescent="0.15">
      <c r="E295" s="5"/>
      <c r="H295" s="19">
        <v>293</v>
      </c>
      <c r="I295" s="7">
        <v>113566</v>
      </c>
      <c r="J295" s="7" t="s">
        <v>180</v>
      </c>
      <c r="K295" s="7">
        <v>126.03</v>
      </c>
      <c r="L295" s="58">
        <v>0.63149999999999995</v>
      </c>
      <c r="M295" s="7">
        <v>189.18</v>
      </c>
      <c r="N295" s="32">
        <v>1.6127199999999999</v>
      </c>
      <c r="O295" s="5" t="str">
        <f t="shared" si="11"/>
        <v>未买</v>
      </c>
      <c r="R295" s="19">
        <v>293</v>
      </c>
    </row>
    <row r="296" spans="5:18" x14ac:dyDescent="0.15">
      <c r="E296" s="5"/>
      <c r="H296" s="19">
        <v>294</v>
      </c>
      <c r="I296" s="7">
        <v>123153</v>
      </c>
      <c r="J296" s="7" t="s">
        <v>2030</v>
      </c>
      <c r="K296" s="7">
        <v>139.69999999999999</v>
      </c>
      <c r="L296" s="58">
        <v>0.50070000000000003</v>
      </c>
      <c r="M296" s="7">
        <v>189.76999999999998</v>
      </c>
      <c r="N296" s="32">
        <v>3.4</v>
      </c>
      <c r="O296" s="5" t="str">
        <f t="shared" si="11"/>
        <v>未买</v>
      </c>
      <c r="R296" s="19">
        <v>294</v>
      </c>
    </row>
    <row r="297" spans="5:18" x14ac:dyDescent="0.15">
      <c r="E297" s="5"/>
      <c r="H297" s="19">
        <v>295</v>
      </c>
      <c r="I297" s="7">
        <v>113642</v>
      </c>
      <c r="J297" s="7" t="s">
        <v>1827</v>
      </c>
      <c r="K297" s="7">
        <v>180.45500000000001</v>
      </c>
      <c r="L297" s="58">
        <v>9.3699999999999992E-2</v>
      </c>
      <c r="M297" s="7">
        <v>189.82500000000002</v>
      </c>
      <c r="N297" s="32">
        <v>24.7</v>
      </c>
      <c r="O297" s="5" t="str">
        <f t="shared" si="11"/>
        <v>未买</v>
      </c>
      <c r="R297" s="19">
        <v>295</v>
      </c>
    </row>
    <row r="298" spans="5:18" x14ac:dyDescent="0.15">
      <c r="E298" s="5"/>
      <c r="H298" s="19">
        <v>296</v>
      </c>
      <c r="I298" s="7">
        <v>113638</v>
      </c>
      <c r="J298" s="7" t="s">
        <v>258</v>
      </c>
      <c r="K298" s="7">
        <v>124.92400000000001</v>
      </c>
      <c r="L298" s="58">
        <v>0.65049999999999997</v>
      </c>
      <c r="M298" s="7">
        <v>189.97399999999999</v>
      </c>
      <c r="N298" s="32">
        <v>5.9998800000000001</v>
      </c>
      <c r="O298" s="5" t="str">
        <f t="shared" si="11"/>
        <v>未买</v>
      </c>
      <c r="R298" s="19">
        <v>296</v>
      </c>
    </row>
    <row r="299" spans="5:18" x14ac:dyDescent="0.15">
      <c r="E299" s="5"/>
      <c r="H299" s="19">
        <v>297</v>
      </c>
      <c r="I299" s="7">
        <v>110081</v>
      </c>
      <c r="J299" s="7" t="s">
        <v>1858</v>
      </c>
      <c r="K299" s="7">
        <v>120.5</v>
      </c>
      <c r="L299" s="58">
        <v>0.69579999999999997</v>
      </c>
      <c r="M299" s="7">
        <v>190.07999999999998</v>
      </c>
      <c r="N299" s="32">
        <v>85.982039999999998</v>
      </c>
      <c r="O299" s="5" t="str">
        <f t="shared" si="11"/>
        <v>未买</v>
      </c>
      <c r="R299" s="19">
        <v>297</v>
      </c>
    </row>
    <row r="300" spans="5:18" x14ac:dyDescent="0.15">
      <c r="E300" s="5"/>
      <c r="H300" s="19">
        <v>298</v>
      </c>
      <c r="I300" s="7">
        <v>113608</v>
      </c>
      <c r="J300" s="7" t="s">
        <v>65</v>
      </c>
      <c r="K300" s="7">
        <v>115.98099999999999</v>
      </c>
      <c r="L300" s="58">
        <v>0.74329999999999996</v>
      </c>
      <c r="M300" s="7">
        <v>190.31099999999998</v>
      </c>
      <c r="N300" s="32">
        <v>4.1998499999999996</v>
      </c>
      <c r="O300" s="5" t="str">
        <f t="shared" si="11"/>
        <v>未买</v>
      </c>
      <c r="R300" s="19">
        <v>298</v>
      </c>
    </row>
    <row r="301" spans="5:18" x14ac:dyDescent="0.15">
      <c r="E301" s="5"/>
      <c r="H301" s="19">
        <v>299</v>
      </c>
      <c r="I301" s="7">
        <v>118008</v>
      </c>
      <c r="J301" s="7" t="s">
        <v>2018</v>
      </c>
      <c r="K301" s="7">
        <v>148.84899999999999</v>
      </c>
      <c r="L301" s="58">
        <v>0.42170000000000002</v>
      </c>
      <c r="M301" s="7">
        <v>191.01900000000001</v>
      </c>
      <c r="N301" s="32">
        <v>6.94</v>
      </c>
      <c r="O301" s="5" t="str">
        <f t="shared" si="11"/>
        <v>未买</v>
      </c>
      <c r="R301" s="19">
        <v>299</v>
      </c>
    </row>
    <row r="302" spans="5:18" x14ac:dyDescent="0.15">
      <c r="E302" s="5"/>
      <c r="H302" s="19">
        <v>300</v>
      </c>
      <c r="I302" s="7">
        <v>118005</v>
      </c>
      <c r="J302" s="7" t="s">
        <v>768</v>
      </c>
      <c r="K302" s="7">
        <v>133.70599999999999</v>
      </c>
      <c r="L302" s="58">
        <v>0.57320000000000004</v>
      </c>
      <c r="M302" s="7">
        <v>191.02599999999998</v>
      </c>
      <c r="N302" s="32">
        <v>8.2996499999999997</v>
      </c>
      <c r="O302" s="5" t="str">
        <f t="shared" si="11"/>
        <v>未买</v>
      </c>
      <c r="R302" s="19">
        <v>300</v>
      </c>
    </row>
    <row r="303" spans="5:18" x14ac:dyDescent="0.15">
      <c r="E303" s="5"/>
      <c r="H303" s="19">
        <v>301</v>
      </c>
      <c r="I303" s="7">
        <v>113504</v>
      </c>
      <c r="J303" s="7" t="s">
        <v>1955</v>
      </c>
      <c r="K303" s="7">
        <v>173.131</v>
      </c>
      <c r="L303" s="58">
        <v>0.1797</v>
      </c>
      <c r="M303" s="7">
        <v>191.101</v>
      </c>
      <c r="N303" s="32">
        <v>4.6274699999999998</v>
      </c>
      <c r="O303" s="5" t="str">
        <f t="shared" si="11"/>
        <v>未买</v>
      </c>
      <c r="R303" s="19">
        <v>301</v>
      </c>
    </row>
    <row r="304" spans="5:18" x14ac:dyDescent="0.15">
      <c r="E304" s="5"/>
      <c r="H304" s="19">
        <v>302</v>
      </c>
      <c r="I304" s="7">
        <v>123064</v>
      </c>
      <c r="J304" s="7" t="s">
        <v>133</v>
      </c>
      <c r="K304" s="7">
        <v>119.35599999999999</v>
      </c>
      <c r="L304" s="58">
        <v>0.71909999999999996</v>
      </c>
      <c r="M304" s="7">
        <v>191.26599999999999</v>
      </c>
      <c r="N304" s="32">
        <v>5.9801729999999997</v>
      </c>
      <c r="O304" s="5" t="str">
        <f t="shared" si="11"/>
        <v>未买</v>
      </c>
      <c r="R304" s="19">
        <v>302</v>
      </c>
    </row>
    <row r="305" spans="5:18" x14ac:dyDescent="0.15">
      <c r="E305" s="5"/>
      <c r="H305" s="19">
        <v>303</v>
      </c>
      <c r="I305" s="7">
        <v>128046</v>
      </c>
      <c r="J305" s="7" t="s">
        <v>1931</v>
      </c>
      <c r="K305" s="7">
        <v>187.99</v>
      </c>
      <c r="L305" s="58">
        <v>3.4500000000000003E-2</v>
      </c>
      <c r="M305" s="7">
        <v>191.44</v>
      </c>
      <c r="N305" s="32">
        <v>7.1901260000000002</v>
      </c>
      <c r="O305" s="5" t="str">
        <f t="shared" si="11"/>
        <v>未买</v>
      </c>
      <c r="R305" s="19">
        <v>303</v>
      </c>
    </row>
    <row r="306" spans="5:18" x14ac:dyDescent="0.15">
      <c r="E306" s="5"/>
      <c r="H306" s="19">
        <v>304</v>
      </c>
      <c r="I306" s="7">
        <v>113621</v>
      </c>
      <c r="J306" s="7" t="s">
        <v>229</v>
      </c>
      <c r="K306" s="7">
        <v>154.583</v>
      </c>
      <c r="L306" s="58">
        <v>0.36979999999999996</v>
      </c>
      <c r="M306" s="7">
        <v>191.56299999999999</v>
      </c>
      <c r="N306" s="32">
        <v>5.3670088394000004</v>
      </c>
      <c r="O306" s="5" t="str">
        <f t="shared" si="11"/>
        <v>未买</v>
      </c>
      <c r="R306" s="19">
        <v>304</v>
      </c>
    </row>
    <row r="307" spans="5:18" x14ac:dyDescent="0.15">
      <c r="E307" s="5"/>
      <c r="H307" s="19">
        <v>305</v>
      </c>
      <c r="I307" s="7">
        <v>113585</v>
      </c>
      <c r="J307" s="7" t="s">
        <v>1951</v>
      </c>
      <c r="K307" s="7">
        <v>176.827</v>
      </c>
      <c r="L307" s="58">
        <v>0.1474</v>
      </c>
      <c r="M307" s="7">
        <v>191.56700000000001</v>
      </c>
      <c r="N307" s="32">
        <v>1.0025299999999999</v>
      </c>
      <c r="O307" s="5" t="str">
        <f t="shared" si="11"/>
        <v>未买</v>
      </c>
      <c r="R307" s="19">
        <v>305</v>
      </c>
    </row>
    <row r="308" spans="5:18" x14ac:dyDescent="0.15">
      <c r="E308" s="5"/>
      <c r="H308" s="19">
        <v>306</v>
      </c>
      <c r="I308" s="7">
        <v>123014</v>
      </c>
      <c r="J308" s="7" t="s">
        <v>55</v>
      </c>
      <c r="K308" s="7">
        <v>149.6</v>
      </c>
      <c r="L308" s="58">
        <v>0.42840000000000006</v>
      </c>
      <c r="M308" s="7">
        <v>192.44</v>
      </c>
      <c r="N308" s="32">
        <v>1.160315</v>
      </c>
      <c r="O308" s="5" t="str">
        <f t="shared" si="11"/>
        <v>未买</v>
      </c>
      <c r="R308" s="19">
        <v>306</v>
      </c>
    </row>
    <row r="309" spans="5:18" x14ac:dyDescent="0.15">
      <c r="E309" s="5"/>
      <c r="H309" s="19">
        <v>307</v>
      </c>
      <c r="I309" s="7">
        <v>128072</v>
      </c>
      <c r="J309" s="7" t="s">
        <v>145</v>
      </c>
      <c r="K309" s="7">
        <v>127.32</v>
      </c>
      <c r="L309" s="58">
        <v>0.65349999999999997</v>
      </c>
      <c r="M309" s="7">
        <v>192.67</v>
      </c>
      <c r="N309" s="32">
        <v>3.0178639999999999</v>
      </c>
      <c r="O309" s="5" t="str">
        <f t="shared" si="11"/>
        <v>未买</v>
      </c>
      <c r="R309" s="19">
        <v>307</v>
      </c>
    </row>
    <row r="310" spans="5:18" x14ac:dyDescent="0.15">
      <c r="E310" s="5"/>
      <c r="H310" s="19">
        <v>308</v>
      </c>
      <c r="I310" s="7">
        <v>123054</v>
      </c>
      <c r="J310" s="7" t="s">
        <v>81</v>
      </c>
      <c r="K310" s="7">
        <v>135.19</v>
      </c>
      <c r="L310" s="58">
        <v>0.58009999999999995</v>
      </c>
      <c r="M310" s="7">
        <v>193.2</v>
      </c>
      <c r="N310" s="32">
        <v>2.0730419999999996</v>
      </c>
      <c r="O310" s="5" t="str">
        <f t="shared" si="11"/>
        <v>未买</v>
      </c>
      <c r="R310" s="19">
        <v>308</v>
      </c>
    </row>
    <row r="311" spans="5:18" x14ac:dyDescent="0.15">
      <c r="E311" s="5"/>
      <c r="H311" s="19">
        <v>309</v>
      </c>
      <c r="I311" s="7">
        <v>113042</v>
      </c>
      <c r="J311" s="7" t="s">
        <v>1854</v>
      </c>
      <c r="K311" s="7">
        <v>106.848</v>
      </c>
      <c r="L311" s="58">
        <v>0.86540000000000006</v>
      </c>
      <c r="M311" s="7">
        <v>193.38800000000001</v>
      </c>
      <c r="N311" s="32">
        <v>199.98602</v>
      </c>
      <c r="O311" s="5" t="str">
        <f t="shared" si="11"/>
        <v>未买</v>
      </c>
      <c r="R311" s="19">
        <v>309</v>
      </c>
    </row>
    <row r="312" spans="5:18" x14ac:dyDescent="0.15">
      <c r="E312" s="5"/>
      <c r="H312" s="19">
        <v>310</v>
      </c>
      <c r="I312" s="7">
        <v>128035</v>
      </c>
      <c r="J312" s="7" t="s">
        <v>1867</v>
      </c>
      <c r="K312" s="7">
        <v>115.285</v>
      </c>
      <c r="L312" s="58">
        <v>0.78239999999999998</v>
      </c>
      <c r="M312" s="7">
        <v>193.52499999999998</v>
      </c>
      <c r="N312" s="32">
        <v>22.992636000000001</v>
      </c>
      <c r="O312" s="5" t="str">
        <f t="shared" si="11"/>
        <v>未买</v>
      </c>
      <c r="R312" s="19">
        <v>310</v>
      </c>
    </row>
    <row r="313" spans="5:18" x14ac:dyDescent="0.15">
      <c r="E313" s="5"/>
      <c r="H313" s="19">
        <v>311</v>
      </c>
      <c r="I313" s="7">
        <v>128091</v>
      </c>
      <c r="J313" s="7" t="s">
        <v>1979</v>
      </c>
      <c r="K313" s="7">
        <v>166</v>
      </c>
      <c r="L313" s="58">
        <v>0.27860000000000001</v>
      </c>
      <c r="M313" s="7">
        <v>193.86</v>
      </c>
      <c r="N313" s="32">
        <v>1.539763</v>
      </c>
      <c r="O313" s="5" t="str">
        <f t="shared" si="11"/>
        <v>未买</v>
      </c>
      <c r="R313" s="19">
        <v>311</v>
      </c>
    </row>
    <row r="314" spans="5:18" x14ac:dyDescent="0.15">
      <c r="E314" s="5"/>
      <c r="H314" s="19">
        <v>312</v>
      </c>
      <c r="I314" s="7">
        <v>127066</v>
      </c>
      <c r="J314" s="7" t="s">
        <v>2027</v>
      </c>
      <c r="K314" s="7">
        <v>134.501</v>
      </c>
      <c r="L314" s="58">
        <v>0.59829999999999994</v>
      </c>
      <c r="M314" s="7">
        <v>194.33100000000002</v>
      </c>
      <c r="N314" s="32">
        <v>15.343705</v>
      </c>
      <c r="O314" s="5" t="str">
        <f t="shared" si="11"/>
        <v>未买</v>
      </c>
      <c r="R314" s="19">
        <v>312</v>
      </c>
    </row>
    <row r="315" spans="5:18" x14ac:dyDescent="0.15">
      <c r="E315" s="5"/>
      <c r="H315" s="19">
        <v>313</v>
      </c>
      <c r="I315" s="7">
        <v>128116</v>
      </c>
      <c r="J315" s="7" t="s">
        <v>172</v>
      </c>
      <c r="K315" s="7">
        <v>109.31</v>
      </c>
      <c r="L315" s="58">
        <v>0.85049999999999992</v>
      </c>
      <c r="M315" s="7">
        <v>194.36</v>
      </c>
      <c r="N315" s="32">
        <v>6.4919890000000002</v>
      </c>
      <c r="O315" s="5" t="str">
        <f t="shared" si="11"/>
        <v>未买</v>
      </c>
      <c r="R315" s="19">
        <v>313</v>
      </c>
    </row>
    <row r="316" spans="5:18" x14ac:dyDescent="0.15">
      <c r="E316" s="5"/>
      <c r="H316" s="19">
        <v>314</v>
      </c>
      <c r="I316" s="7">
        <v>128140</v>
      </c>
      <c r="J316" s="7" t="s">
        <v>1957</v>
      </c>
      <c r="K316" s="7">
        <v>177</v>
      </c>
      <c r="L316" s="58">
        <v>0.17670000000000002</v>
      </c>
      <c r="M316" s="7">
        <v>194.67000000000002</v>
      </c>
      <c r="N316" s="32">
        <v>10.896390999999999</v>
      </c>
      <c r="O316" s="5" t="str">
        <f t="shared" si="11"/>
        <v>未买</v>
      </c>
      <c r="R316" s="19">
        <v>314</v>
      </c>
    </row>
    <row r="317" spans="5:18" x14ac:dyDescent="0.15">
      <c r="E317" s="5"/>
      <c r="H317" s="19">
        <v>315</v>
      </c>
      <c r="I317" s="7">
        <v>127037</v>
      </c>
      <c r="J317" s="7" t="s">
        <v>216</v>
      </c>
      <c r="K317" s="7">
        <v>174.5</v>
      </c>
      <c r="L317" s="58">
        <v>0.2034</v>
      </c>
      <c r="M317" s="7">
        <v>194.84</v>
      </c>
      <c r="N317" s="32">
        <v>6.9953789999999989</v>
      </c>
      <c r="O317" s="5" t="str">
        <f t="shared" si="11"/>
        <v>未买</v>
      </c>
      <c r="R317" s="19">
        <v>315</v>
      </c>
    </row>
    <row r="318" spans="5:18" x14ac:dyDescent="0.15">
      <c r="E318" s="5"/>
      <c r="H318" s="19">
        <v>316</v>
      </c>
      <c r="I318" s="7">
        <v>118004</v>
      </c>
      <c r="J318" s="7" t="s">
        <v>260</v>
      </c>
      <c r="K318" s="7">
        <v>115.31699999999999</v>
      </c>
      <c r="L318" s="58">
        <v>0.79540000000000011</v>
      </c>
      <c r="M318" s="7">
        <v>194.857</v>
      </c>
      <c r="N318" s="32">
        <v>4.6499800000000002</v>
      </c>
      <c r="O318" s="5" t="str">
        <f t="shared" si="11"/>
        <v>未买</v>
      </c>
      <c r="R318" s="19">
        <v>316</v>
      </c>
    </row>
    <row r="319" spans="5:18" x14ac:dyDescent="0.15">
      <c r="E319" s="5"/>
      <c r="H319" s="19">
        <v>317</v>
      </c>
      <c r="I319" s="7">
        <v>123078</v>
      </c>
      <c r="J319" s="7" t="s">
        <v>1954</v>
      </c>
      <c r="K319" s="7">
        <v>175.5</v>
      </c>
      <c r="L319" s="58">
        <v>0.19390000000000002</v>
      </c>
      <c r="M319" s="7">
        <v>194.89</v>
      </c>
      <c r="N319" s="32">
        <v>6.183713</v>
      </c>
      <c r="O319" s="5" t="str">
        <f t="shared" si="11"/>
        <v>未买</v>
      </c>
      <c r="R319" s="19">
        <v>317</v>
      </c>
    </row>
    <row r="320" spans="5:18" x14ac:dyDescent="0.15">
      <c r="E320" s="5"/>
      <c r="H320" s="19">
        <v>318</v>
      </c>
      <c r="I320" s="7">
        <v>128036</v>
      </c>
      <c r="J320" s="7" t="s">
        <v>169</v>
      </c>
      <c r="K320" s="7">
        <v>146.05199999999999</v>
      </c>
      <c r="L320" s="58">
        <v>0.49280000000000002</v>
      </c>
      <c r="M320" s="7">
        <v>195.33199999999999</v>
      </c>
      <c r="N320" s="32">
        <v>1.456431</v>
      </c>
      <c r="O320" s="5" t="str">
        <f t="shared" si="11"/>
        <v>未买</v>
      </c>
      <c r="R320" s="19">
        <v>318</v>
      </c>
    </row>
    <row r="321" spans="5:18" x14ac:dyDescent="0.15">
      <c r="E321" s="5"/>
      <c r="H321" s="19">
        <v>319</v>
      </c>
      <c r="I321" s="7">
        <v>123022</v>
      </c>
      <c r="J321" s="7" t="s">
        <v>1825</v>
      </c>
      <c r="K321" s="7">
        <v>169.84</v>
      </c>
      <c r="L321" s="58">
        <v>0.2581</v>
      </c>
      <c r="M321" s="7">
        <v>195.65</v>
      </c>
      <c r="N321" s="32">
        <v>2.5626959999999999</v>
      </c>
      <c r="O321" s="5" t="str">
        <f t="shared" si="11"/>
        <v>未买</v>
      </c>
      <c r="R321" s="19">
        <v>319</v>
      </c>
    </row>
    <row r="322" spans="5:18" x14ac:dyDescent="0.15">
      <c r="E322" s="5"/>
      <c r="H322" s="19">
        <v>320</v>
      </c>
      <c r="I322" s="7">
        <v>111003</v>
      </c>
      <c r="J322" s="7" t="s">
        <v>802</v>
      </c>
      <c r="K322" s="7">
        <v>148.27000000000001</v>
      </c>
      <c r="L322" s="58">
        <v>0.48170000000000002</v>
      </c>
      <c r="M322" s="7">
        <v>196.44</v>
      </c>
      <c r="N322" s="32">
        <v>2.04</v>
      </c>
      <c r="O322" s="5" t="str">
        <f t="shared" si="11"/>
        <v>未买</v>
      </c>
      <c r="R322" s="19">
        <v>320</v>
      </c>
    </row>
    <row r="323" spans="5:18" x14ac:dyDescent="0.15">
      <c r="E323" s="5"/>
      <c r="H323" s="19">
        <v>321</v>
      </c>
      <c r="I323" s="7">
        <v>113623</v>
      </c>
      <c r="J323" s="7" t="s">
        <v>1850</v>
      </c>
      <c r="K323" s="7">
        <v>113.089</v>
      </c>
      <c r="L323" s="58">
        <v>0.83409999999999995</v>
      </c>
      <c r="M323" s="7">
        <v>196.499</v>
      </c>
      <c r="N323" s="32">
        <v>24.999500000000001</v>
      </c>
      <c r="O323" s="5" t="str">
        <f t="shared" si="11"/>
        <v>未买</v>
      </c>
      <c r="R323" s="19">
        <v>321</v>
      </c>
    </row>
    <row r="324" spans="5:18" x14ac:dyDescent="0.15">
      <c r="E324" s="5"/>
      <c r="H324" s="19">
        <v>322</v>
      </c>
      <c r="I324" s="7">
        <v>128053</v>
      </c>
      <c r="J324" s="7" t="s">
        <v>61</v>
      </c>
      <c r="K324" s="7">
        <v>136.62</v>
      </c>
      <c r="L324" s="58">
        <v>0.5988</v>
      </c>
      <c r="M324" s="7">
        <v>196.5</v>
      </c>
      <c r="N324" s="32">
        <v>1.9001300000000001</v>
      </c>
      <c r="O324" s="5" t="str">
        <f t="shared" ref="O324:O387" si="12">IF(ISNA(MATCH(I324,$A$3:$A$1000,0)),"未买","Yes")</f>
        <v>未买</v>
      </c>
      <c r="R324" s="19">
        <v>322</v>
      </c>
    </row>
    <row r="325" spans="5:18" x14ac:dyDescent="0.15">
      <c r="E325" s="5"/>
      <c r="H325" s="19">
        <v>323</v>
      </c>
      <c r="I325" s="7">
        <v>128069</v>
      </c>
      <c r="J325" s="7" t="s">
        <v>160</v>
      </c>
      <c r="K325" s="7">
        <v>119.95</v>
      </c>
      <c r="L325" s="58">
        <v>0.76969999999999994</v>
      </c>
      <c r="M325" s="7">
        <v>196.92000000000002</v>
      </c>
      <c r="N325" s="32">
        <v>2.99281</v>
      </c>
      <c r="O325" s="5" t="str">
        <f t="shared" si="12"/>
        <v>未买</v>
      </c>
      <c r="R325" s="19">
        <v>323</v>
      </c>
    </row>
    <row r="326" spans="5:18" x14ac:dyDescent="0.15">
      <c r="E326" s="5"/>
      <c r="H326" s="19">
        <v>324</v>
      </c>
      <c r="I326" s="7">
        <v>123137</v>
      </c>
      <c r="J326" s="7" t="s">
        <v>767</v>
      </c>
      <c r="K326" s="7">
        <v>194</v>
      </c>
      <c r="L326" s="58">
        <v>3.4000000000000002E-2</v>
      </c>
      <c r="M326" s="7">
        <v>197.4</v>
      </c>
      <c r="N326" s="32">
        <v>8.967231</v>
      </c>
      <c r="O326" s="5" t="str">
        <f t="shared" si="12"/>
        <v>未买</v>
      </c>
      <c r="R326" s="19">
        <v>324</v>
      </c>
    </row>
    <row r="327" spans="5:18" x14ac:dyDescent="0.15">
      <c r="E327" s="5"/>
      <c r="H327" s="19">
        <v>325</v>
      </c>
      <c r="I327" s="7">
        <v>113597</v>
      </c>
      <c r="J327" s="7" t="s">
        <v>146</v>
      </c>
      <c r="K327" s="7">
        <v>123.29</v>
      </c>
      <c r="L327" s="58">
        <v>0.76</v>
      </c>
      <c r="M327" s="7">
        <v>199.29000000000002</v>
      </c>
      <c r="N327" s="32">
        <v>2.9834100000000001</v>
      </c>
      <c r="O327" s="5" t="str">
        <f t="shared" si="12"/>
        <v>未买</v>
      </c>
      <c r="R327" s="19">
        <v>325</v>
      </c>
    </row>
    <row r="328" spans="5:18" x14ac:dyDescent="0.15">
      <c r="E328" s="5"/>
      <c r="H328" s="19">
        <v>326</v>
      </c>
      <c r="I328" s="7">
        <v>127041</v>
      </c>
      <c r="J328" s="7" t="s">
        <v>184</v>
      </c>
      <c r="K328" s="7">
        <v>115.197</v>
      </c>
      <c r="L328" s="58">
        <v>0.84489999999999998</v>
      </c>
      <c r="M328" s="7">
        <v>199.68700000000001</v>
      </c>
      <c r="N328" s="32">
        <v>5.9994909999999999</v>
      </c>
      <c r="O328" s="5" t="str">
        <f t="shared" si="12"/>
        <v>未买</v>
      </c>
      <c r="R328" s="19">
        <v>326</v>
      </c>
    </row>
    <row r="329" spans="5:18" x14ac:dyDescent="0.15">
      <c r="E329" s="5"/>
      <c r="H329" s="19">
        <v>327</v>
      </c>
      <c r="I329" s="7">
        <v>123123</v>
      </c>
      <c r="J329" s="7" t="s">
        <v>1998</v>
      </c>
      <c r="K329" s="7">
        <v>191.29</v>
      </c>
      <c r="L329" s="58">
        <v>8.539999999999999E-2</v>
      </c>
      <c r="M329" s="7">
        <v>199.82999999999998</v>
      </c>
      <c r="N329" s="32">
        <v>5.1594720000000001</v>
      </c>
      <c r="O329" s="5" t="str">
        <f t="shared" si="12"/>
        <v>未买</v>
      </c>
      <c r="R329" s="19">
        <v>327</v>
      </c>
    </row>
    <row r="330" spans="5:18" x14ac:dyDescent="0.15">
      <c r="E330" s="5"/>
      <c r="H330" s="19">
        <v>328</v>
      </c>
      <c r="I330" s="7">
        <v>123124</v>
      </c>
      <c r="J330" s="7" t="s">
        <v>183</v>
      </c>
      <c r="K330" s="7">
        <v>122.004</v>
      </c>
      <c r="L330" s="58">
        <v>0.78129999999999999</v>
      </c>
      <c r="M330" s="7">
        <v>200.13400000000001</v>
      </c>
      <c r="N330" s="32">
        <v>5.2277290000000001</v>
      </c>
      <c r="O330" s="5" t="str">
        <f t="shared" si="12"/>
        <v>未买</v>
      </c>
      <c r="R330" s="19">
        <v>328</v>
      </c>
    </row>
    <row r="331" spans="5:18" x14ac:dyDescent="0.15">
      <c r="E331" s="5"/>
      <c r="H331" s="19">
        <v>329</v>
      </c>
      <c r="I331" s="7">
        <v>128136</v>
      </c>
      <c r="J331" s="7" t="s">
        <v>1871</v>
      </c>
      <c r="K331" s="7">
        <v>117.999</v>
      </c>
      <c r="L331" s="58">
        <v>0.82209999999999994</v>
      </c>
      <c r="M331" s="7">
        <v>200.209</v>
      </c>
      <c r="N331" s="32">
        <v>29.992930999999999</v>
      </c>
      <c r="O331" s="5" t="str">
        <f t="shared" si="12"/>
        <v>未买</v>
      </c>
      <c r="R331" s="19">
        <v>329</v>
      </c>
    </row>
    <row r="332" spans="5:18" x14ac:dyDescent="0.15">
      <c r="E332" s="5"/>
      <c r="H332" s="19">
        <v>330</v>
      </c>
      <c r="I332" s="7">
        <v>123011</v>
      </c>
      <c r="J332" s="7" t="s">
        <v>159</v>
      </c>
      <c r="K332" s="7">
        <v>125.85</v>
      </c>
      <c r="L332" s="58">
        <v>0.746</v>
      </c>
      <c r="M332" s="7">
        <v>200.45</v>
      </c>
      <c r="N332" s="32">
        <v>2.5060280000000001</v>
      </c>
      <c r="O332" s="5" t="str">
        <f t="shared" si="12"/>
        <v>未买</v>
      </c>
      <c r="R332" s="19">
        <v>330</v>
      </c>
    </row>
    <row r="333" spans="5:18" x14ac:dyDescent="0.15">
      <c r="E333" s="5"/>
      <c r="H333" s="19">
        <v>331</v>
      </c>
      <c r="I333" s="7">
        <v>128082</v>
      </c>
      <c r="J333" s="7" t="s">
        <v>1976</v>
      </c>
      <c r="K333" s="7">
        <v>184.8</v>
      </c>
      <c r="L333" s="58">
        <v>0.15960000000000002</v>
      </c>
      <c r="M333" s="7">
        <v>200.76000000000002</v>
      </c>
      <c r="N333" s="32">
        <v>2.0300029999999998</v>
      </c>
      <c r="O333" s="5" t="str">
        <f t="shared" si="12"/>
        <v>未买</v>
      </c>
      <c r="R333" s="19">
        <v>331</v>
      </c>
    </row>
    <row r="334" spans="5:18" x14ac:dyDescent="0.15">
      <c r="E334" s="5"/>
      <c r="H334" s="19">
        <v>332</v>
      </c>
      <c r="I334" s="7">
        <v>128070</v>
      </c>
      <c r="J334" s="7" t="s">
        <v>154</v>
      </c>
      <c r="K334" s="7">
        <v>144</v>
      </c>
      <c r="L334" s="58">
        <v>0.5847</v>
      </c>
      <c r="M334" s="7">
        <v>202.47</v>
      </c>
      <c r="N334" s="32">
        <v>2.2944810000000002</v>
      </c>
      <c r="O334" s="5" t="str">
        <f t="shared" si="12"/>
        <v>未买</v>
      </c>
      <c r="R334" s="19">
        <v>332</v>
      </c>
    </row>
    <row r="335" spans="5:18" x14ac:dyDescent="0.15">
      <c r="E335" s="5"/>
      <c r="H335" s="19">
        <v>333</v>
      </c>
      <c r="I335" s="7">
        <v>123136</v>
      </c>
      <c r="J335" s="7" t="s">
        <v>255</v>
      </c>
      <c r="K335" s="7">
        <v>136.85</v>
      </c>
      <c r="L335" s="58">
        <v>0.66079999999999994</v>
      </c>
      <c r="M335" s="7">
        <v>202.93</v>
      </c>
      <c r="N335" s="32">
        <v>4.5979130000000001</v>
      </c>
      <c r="O335" s="5" t="str">
        <f t="shared" si="12"/>
        <v>未买</v>
      </c>
      <c r="R335" s="19">
        <v>333</v>
      </c>
    </row>
    <row r="336" spans="5:18" x14ac:dyDescent="0.15">
      <c r="E336" s="5"/>
      <c r="H336" s="19">
        <v>334</v>
      </c>
      <c r="I336" s="7">
        <v>123152</v>
      </c>
      <c r="J336" s="7" t="s">
        <v>2009</v>
      </c>
      <c r="K336" s="7">
        <v>169.3</v>
      </c>
      <c r="L336" s="58">
        <v>0.3382</v>
      </c>
      <c r="M336" s="7">
        <v>203.12</v>
      </c>
      <c r="N336" s="32">
        <v>2.9235000000000002</v>
      </c>
      <c r="O336" s="5" t="str">
        <f t="shared" si="12"/>
        <v>未买</v>
      </c>
      <c r="R336" s="19">
        <v>334</v>
      </c>
    </row>
    <row r="337" spans="5:18" x14ac:dyDescent="0.15">
      <c r="E337" s="5"/>
      <c r="H337" s="19">
        <v>335</v>
      </c>
      <c r="I337" s="7">
        <v>128056</v>
      </c>
      <c r="J337" s="7" t="s">
        <v>78</v>
      </c>
      <c r="K337" s="7">
        <v>151.29</v>
      </c>
      <c r="L337" s="58">
        <v>0.52429999999999999</v>
      </c>
      <c r="M337" s="7">
        <v>203.72</v>
      </c>
      <c r="N337" s="32">
        <v>1.722064</v>
      </c>
      <c r="O337" s="5" t="str">
        <f t="shared" si="12"/>
        <v>未买</v>
      </c>
      <c r="R337" s="19">
        <v>335</v>
      </c>
    </row>
    <row r="338" spans="5:18" x14ac:dyDescent="0.15">
      <c r="E338" s="5"/>
      <c r="H338" s="19">
        <v>336</v>
      </c>
      <c r="I338" s="7">
        <v>123085</v>
      </c>
      <c r="J338" s="7" t="s">
        <v>1936</v>
      </c>
      <c r="K338" s="7">
        <v>200.11500000000001</v>
      </c>
      <c r="L338" s="58">
        <v>0.04</v>
      </c>
      <c r="M338" s="7">
        <v>204.11500000000001</v>
      </c>
      <c r="N338" s="32">
        <v>6.599778999999999</v>
      </c>
      <c r="O338" s="5" t="str">
        <f t="shared" si="12"/>
        <v>未买</v>
      </c>
      <c r="R338" s="19">
        <v>336</v>
      </c>
    </row>
    <row r="339" spans="5:18" x14ac:dyDescent="0.15">
      <c r="E339" s="5"/>
      <c r="H339" s="19">
        <v>337</v>
      </c>
      <c r="I339" s="7">
        <v>123099</v>
      </c>
      <c r="J339" s="7" t="s">
        <v>226</v>
      </c>
      <c r="K339" s="7">
        <v>115.45</v>
      </c>
      <c r="L339" s="58">
        <v>0.88670000000000004</v>
      </c>
      <c r="M339" s="7">
        <v>204.12</v>
      </c>
      <c r="N339" s="32">
        <v>8.4993090000000002</v>
      </c>
      <c r="O339" s="5" t="str">
        <f t="shared" si="12"/>
        <v>未买</v>
      </c>
      <c r="R339" s="19">
        <v>337</v>
      </c>
    </row>
    <row r="340" spans="5:18" x14ac:dyDescent="0.15">
      <c r="E340" s="5"/>
      <c r="H340" s="19">
        <v>338</v>
      </c>
      <c r="I340" s="7">
        <v>128142</v>
      </c>
      <c r="J340" s="7" t="s">
        <v>185</v>
      </c>
      <c r="K340" s="7">
        <v>113.9</v>
      </c>
      <c r="L340" s="58">
        <v>0.90339999999999998</v>
      </c>
      <c r="M340" s="7">
        <v>204.24</v>
      </c>
      <c r="N340" s="32">
        <v>7.1797839999999997</v>
      </c>
      <c r="O340" s="5" t="str">
        <f t="shared" si="12"/>
        <v>未买</v>
      </c>
      <c r="R340" s="19">
        <v>338</v>
      </c>
    </row>
    <row r="341" spans="5:18" x14ac:dyDescent="0.15">
      <c r="E341" s="5"/>
      <c r="H341" s="19">
        <v>339</v>
      </c>
      <c r="I341" s="7">
        <v>123134</v>
      </c>
      <c r="J341" s="7" t="s">
        <v>261</v>
      </c>
      <c r="K341" s="7">
        <v>166.4</v>
      </c>
      <c r="L341" s="58">
        <v>0.37969999999999998</v>
      </c>
      <c r="M341" s="7">
        <v>204.37</v>
      </c>
      <c r="N341" s="32">
        <v>2.7871619999999999</v>
      </c>
      <c r="O341" s="5" t="str">
        <f t="shared" si="12"/>
        <v>未买</v>
      </c>
      <c r="R341" s="19">
        <v>339</v>
      </c>
    </row>
    <row r="342" spans="5:18" x14ac:dyDescent="0.15">
      <c r="E342" s="5"/>
      <c r="H342" s="19">
        <v>340</v>
      </c>
      <c r="I342" s="7">
        <v>128118</v>
      </c>
      <c r="J342" s="7" t="s">
        <v>143</v>
      </c>
      <c r="K342" s="7">
        <v>116.04</v>
      </c>
      <c r="L342" s="58">
        <v>0.88840000000000008</v>
      </c>
      <c r="M342" s="7">
        <v>204.88</v>
      </c>
      <c r="N342" s="32">
        <v>2.9983399999999998</v>
      </c>
      <c r="O342" s="5" t="str">
        <f t="shared" si="12"/>
        <v>未买</v>
      </c>
      <c r="R342" s="19">
        <v>340</v>
      </c>
    </row>
    <row r="343" spans="5:18" x14ac:dyDescent="0.15">
      <c r="E343" s="5"/>
      <c r="H343" s="19">
        <v>341</v>
      </c>
      <c r="I343" s="7">
        <v>128122</v>
      </c>
      <c r="J343" s="7" t="s">
        <v>187</v>
      </c>
      <c r="K343" s="7">
        <v>153.5</v>
      </c>
      <c r="L343" s="58">
        <v>0.52950000000000008</v>
      </c>
      <c r="M343" s="7">
        <v>206.45</v>
      </c>
      <c r="N343" s="32">
        <v>2.6854209999999998</v>
      </c>
      <c r="O343" s="5" t="str">
        <f t="shared" si="12"/>
        <v>未买</v>
      </c>
      <c r="R343" s="19">
        <v>341</v>
      </c>
    </row>
    <row r="344" spans="5:18" x14ac:dyDescent="0.15">
      <c r="E344" s="5"/>
      <c r="H344" s="19">
        <v>342</v>
      </c>
      <c r="I344" s="7">
        <v>123121</v>
      </c>
      <c r="J344" s="7" t="s">
        <v>1992</v>
      </c>
      <c r="K344" s="7">
        <v>204</v>
      </c>
      <c r="L344" s="58">
        <v>2.7799999999999998E-2</v>
      </c>
      <c r="M344" s="7">
        <v>206.78</v>
      </c>
      <c r="N344" s="32">
        <v>8.3625550000000004</v>
      </c>
      <c r="O344" s="5" t="str">
        <f t="shared" si="12"/>
        <v>未买</v>
      </c>
      <c r="R344" s="19">
        <v>342</v>
      </c>
    </row>
    <row r="345" spans="5:18" x14ac:dyDescent="0.15">
      <c r="E345" s="5"/>
      <c r="H345" s="19">
        <v>343</v>
      </c>
      <c r="I345" s="7">
        <v>123108</v>
      </c>
      <c r="J345" s="7" t="s">
        <v>1864</v>
      </c>
      <c r="K345" s="7">
        <v>115.002</v>
      </c>
      <c r="L345" s="58">
        <v>0.92180000000000006</v>
      </c>
      <c r="M345" s="7">
        <v>207.18200000000002</v>
      </c>
      <c r="N345" s="32">
        <v>16.37734</v>
      </c>
      <c r="O345" s="5" t="str">
        <f t="shared" si="12"/>
        <v>未买</v>
      </c>
      <c r="R345" s="19">
        <v>343</v>
      </c>
    </row>
    <row r="346" spans="5:18" x14ac:dyDescent="0.15">
      <c r="E346" s="5"/>
      <c r="H346" s="19">
        <v>344</v>
      </c>
      <c r="I346" s="7">
        <v>123071</v>
      </c>
      <c r="J346" s="7" t="s">
        <v>1952</v>
      </c>
      <c r="K346" s="7">
        <v>186.58</v>
      </c>
      <c r="L346" s="58">
        <v>0.20649999999999999</v>
      </c>
      <c r="M346" s="7">
        <v>207.23000000000002</v>
      </c>
      <c r="N346" s="32">
        <v>6.9418110000000004</v>
      </c>
      <c r="O346" s="5" t="str">
        <f t="shared" si="12"/>
        <v>未买</v>
      </c>
      <c r="R346" s="19">
        <v>344</v>
      </c>
    </row>
    <row r="347" spans="5:18" x14ac:dyDescent="0.15">
      <c r="E347" s="5"/>
      <c r="H347" s="19">
        <v>345</v>
      </c>
      <c r="I347" s="7">
        <v>123038</v>
      </c>
      <c r="J347" s="7" t="s">
        <v>73</v>
      </c>
      <c r="K347" s="7">
        <v>145.452</v>
      </c>
      <c r="L347" s="58">
        <v>0.6179</v>
      </c>
      <c r="M347" s="7">
        <v>207.24199999999999</v>
      </c>
      <c r="N347" s="32">
        <v>1.472628</v>
      </c>
      <c r="O347" s="5" t="str">
        <f t="shared" si="12"/>
        <v>未买</v>
      </c>
      <c r="R347" s="19">
        <v>345</v>
      </c>
    </row>
    <row r="348" spans="5:18" x14ac:dyDescent="0.15">
      <c r="E348" s="5"/>
      <c r="H348" s="19">
        <v>346</v>
      </c>
      <c r="I348" s="7">
        <v>127064</v>
      </c>
      <c r="J348" s="7" t="s">
        <v>2017</v>
      </c>
      <c r="K348" s="7">
        <v>173.5</v>
      </c>
      <c r="L348" s="58">
        <v>0.33990000000000004</v>
      </c>
      <c r="M348" s="7">
        <v>207.49</v>
      </c>
      <c r="N348" s="32">
        <v>11.37</v>
      </c>
      <c r="O348" s="5" t="str">
        <f t="shared" si="12"/>
        <v>未买</v>
      </c>
      <c r="R348" s="19">
        <v>346</v>
      </c>
    </row>
    <row r="349" spans="5:18" x14ac:dyDescent="0.15">
      <c r="E349" s="5"/>
      <c r="H349" s="19">
        <v>347</v>
      </c>
      <c r="I349" s="7">
        <v>110076</v>
      </c>
      <c r="J349" s="7" t="s">
        <v>1868</v>
      </c>
      <c r="K349" s="7">
        <v>114.077</v>
      </c>
      <c r="L349" s="58">
        <v>0.93680000000000008</v>
      </c>
      <c r="M349" s="7">
        <v>207.75700000000001</v>
      </c>
      <c r="N349" s="32">
        <v>18.424399999999999</v>
      </c>
      <c r="O349" s="5" t="str">
        <f t="shared" si="12"/>
        <v>未买</v>
      </c>
      <c r="R349" s="19">
        <v>347</v>
      </c>
    </row>
    <row r="350" spans="5:18" x14ac:dyDescent="0.15">
      <c r="E350" s="5"/>
      <c r="H350" s="19">
        <v>348</v>
      </c>
      <c r="I350" s="7">
        <v>123116</v>
      </c>
      <c r="J350" s="7" t="s">
        <v>197</v>
      </c>
      <c r="K350" s="7">
        <v>118.578</v>
      </c>
      <c r="L350" s="58">
        <v>0.89359999999999995</v>
      </c>
      <c r="M350" s="7">
        <v>207.93799999999999</v>
      </c>
      <c r="N350" s="32">
        <v>3.7812089999999996</v>
      </c>
      <c r="O350" s="5" t="str">
        <f t="shared" si="12"/>
        <v>未买</v>
      </c>
      <c r="R350" s="19">
        <v>348</v>
      </c>
    </row>
    <row r="351" spans="5:18" x14ac:dyDescent="0.15">
      <c r="E351" s="5"/>
      <c r="H351" s="19">
        <v>349</v>
      </c>
      <c r="I351" s="7">
        <v>113615</v>
      </c>
      <c r="J351" s="7" t="s">
        <v>1942</v>
      </c>
      <c r="K351" s="7">
        <v>193.80799999999999</v>
      </c>
      <c r="L351" s="58">
        <v>0.14460000000000001</v>
      </c>
      <c r="M351" s="7">
        <v>208.268</v>
      </c>
      <c r="N351" s="32">
        <v>8.4797799999999999</v>
      </c>
      <c r="O351" s="5" t="str">
        <f t="shared" si="12"/>
        <v>未买</v>
      </c>
      <c r="R351" s="19">
        <v>349</v>
      </c>
    </row>
    <row r="352" spans="5:18" x14ac:dyDescent="0.15">
      <c r="E352" s="5"/>
      <c r="H352" s="19">
        <v>350</v>
      </c>
      <c r="I352" s="7">
        <v>123076</v>
      </c>
      <c r="J352" s="7" t="s">
        <v>150</v>
      </c>
      <c r="K352" s="7">
        <v>108.52</v>
      </c>
      <c r="L352" s="58">
        <v>1.0106999999999999</v>
      </c>
      <c r="M352" s="7">
        <v>209.58999999999997</v>
      </c>
      <c r="N352" s="32">
        <v>8.4985510000000009</v>
      </c>
      <c r="O352" s="5" t="str">
        <f t="shared" si="12"/>
        <v>未买</v>
      </c>
      <c r="R352" s="19">
        <v>350</v>
      </c>
    </row>
    <row r="353" spans="5:18" x14ac:dyDescent="0.15">
      <c r="E353" s="5"/>
      <c r="H353" s="19">
        <v>351</v>
      </c>
      <c r="I353" s="7">
        <v>113624</v>
      </c>
      <c r="J353" s="7" t="s">
        <v>167</v>
      </c>
      <c r="K353" s="7">
        <v>112.255</v>
      </c>
      <c r="L353" s="58">
        <v>0.97349999999999992</v>
      </c>
      <c r="M353" s="7">
        <v>209.60499999999999</v>
      </c>
      <c r="N353" s="32">
        <v>4.0491000000000001</v>
      </c>
      <c r="O353" s="5" t="str">
        <f t="shared" si="12"/>
        <v>未买</v>
      </c>
      <c r="R353" s="19">
        <v>351</v>
      </c>
    </row>
    <row r="354" spans="5:18" x14ac:dyDescent="0.15">
      <c r="E354" s="5"/>
      <c r="H354" s="19">
        <v>352</v>
      </c>
      <c r="I354" s="7">
        <v>110059</v>
      </c>
      <c r="J354" s="7" t="s">
        <v>1861</v>
      </c>
      <c r="K354" s="7">
        <v>107.625</v>
      </c>
      <c r="L354" s="58">
        <v>1.0268000000000002</v>
      </c>
      <c r="M354" s="7">
        <v>210.30500000000001</v>
      </c>
      <c r="N354" s="32">
        <v>499.98633000000001</v>
      </c>
      <c r="O354" s="5" t="str">
        <f t="shared" si="12"/>
        <v>未买</v>
      </c>
      <c r="R354" s="19">
        <v>352</v>
      </c>
    </row>
    <row r="355" spans="5:18" x14ac:dyDescent="0.15">
      <c r="E355" s="5"/>
      <c r="H355" s="19">
        <v>353</v>
      </c>
      <c r="I355" s="7">
        <v>123062</v>
      </c>
      <c r="J355" s="7" t="s">
        <v>101</v>
      </c>
      <c r="K355" s="7">
        <v>203</v>
      </c>
      <c r="L355" s="58">
        <v>7.6600000000000001E-2</v>
      </c>
      <c r="M355" s="7">
        <v>210.66</v>
      </c>
      <c r="N355" s="32">
        <v>1.9472229999999999</v>
      </c>
      <c r="O355" s="5" t="str">
        <f t="shared" si="12"/>
        <v>未买</v>
      </c>
      <c r="R355" s="19">
        <v>353</v>
      </c>
    </row>
    <row r="356" spans="5:18" x14ac:dyDescent="0.15">
      <c r="E356" s="5"/>
      <c r="H356" s="19">
        <v>354</v>
      </c>
      <c r="I356" s="7">
        <v>110074</v>
      </c>
      <c r="J356" s="7" t="s">
        <v>1944</v>
      </c>
      <c r="K356" s="7">
        <v>195.41200000000001</v>
      </c>
      <c r="L356" s="58">
        <v>0.17370000000000002</v>
      </c>
      <c r="M356" s="7">
        <v>212.78200000000001</v>
      </c>
      <c r="N356" s="32">
        <v>5.0954699999999997</v>
      </c>
      <c r="O356" s="5" t="str">
        <f t="shared" si="12"/>
        <v>未买</v>
      </c>
      <c r="R356" s="19">
        <v>354</v>
      </c>
    </row>
    <row r="357" spans="5:18" x14ac:dyDescent="0.15">
      <c r="E357" s="5"/>
      <c r="H357" s="19">
        <v>355</v>
      </c>
      <c r="I357" s="7">
        <v>127030</v>
      </c>
      <c r="J357" s="7" t="s">
        <v>2000</v>
      </c>
      <c r="K357" s="7">
        <v>197.46600000000001</v>
      </c>
      <c r="L357" s="58">
        <v>0.1734</v>
      </c>
      <c r="M357" s="7">
        <v>214.80600000000001</v>
      </c>
      <c r="N357" s="32">
        <v>49.981101000000002</v>
      </c>
      <c r="O357" s="5" t="str">
        <f t="shared" si="12"/>
        <v>未买</v>
      </c>
      <c r="R357" s="19">
        <v>355</v>
      </c>
    </row>
    <row r="358" spans="5:18" x14ac:dyDescent="0.15">
      <c r="E358" s="5"/>
      <c r="H358" s="19">
        <v>356</v>
      </c>
      <c r="I358" s="7">
        <v>127038</v>
      </c>
      <c r="J358" s="7" t="s">
        <v>1966</v>
      </c>
      <c r="K358" s="7">
        <v>196.36099999999999</v>
      </c>
      <c r="L358" s="58">
        <v>0.18840000000000001</v>
      </c>
      <c r="M358" s="7">
        <v>215.20099999999999</v>
      </c>
      <c r="N358" s="32">
        <v>14.936515999999999</v>
      </c>
      <c r="O358" s="5" t="str">
        <f t="shared" si="12"/>
        <v>未买</v>
      </c>
      <c r="R358" s="19">
        <v>356</v>
      </c>
    </row>
    <row r="359" spans="5:18" x14ac:dyDescent="0.15">
      <c r="E359" s="5"/>
      <c r="H359" s="19">
        <v>357</v>
      </c>
      <c r="I359" s="7">
        <v>123138</v>
      </c>
      <c r="J359" s="7" t="s">
        <v>770</v>
      </c>
      <c r="K359" s="7">
        <v>138.80000000000001</v>
      </c>
      <c r="L359" s="58">
        <v>0.76819999999999988</v>
      </c>
      <c r="M359" s="7">
        <v>215.62</v>
      </c>
      <c r="N359" s="32">
        <v>2.4</v>
      </c>
      <c r="O359" s="5" t="str">
        <f t="shared" si="12"/>
        <v>未买</v>
      </c>
      <c r="R359" s="19">
        <v>357</v>
      </c>
    </row>
    <row r="360" spans="5:18" x14ac:dyDescent="0.15">
      <c r="E360" s="5"/>
      <c r="H360" s="19">
        <v>358</v>
      </c>
      <c r="I360" s="7">
        <v>113616</v>
      </c>
      <c r="J360" s="7" t="s">
        <v>1860</v>
      </c>
      <c r="K360" s="7">
        <v>123.761</v>
      </c>
      <c r="L360" s="58">
        <v>0.92980000000000007</v>
      </c>
      <c r="M360" s="7">
        <v>216.74099999999999</v>
      </c>
      <c r="N360" s="32">
        <v>24.333159999999999</v>
      </c>
      <c r="O360" s="5" t="str">
        <f t="shared" si="12"/>
        <v>未买</v>
      </c>
      <c r="R360" s="19">
        <v>358</v>
      </c>
    </row>
    <row r="361" spans="5:18" x14ac:dyDescent="0.15">
      <c r="E361" s="5"/>
      <c r="H361" s="19">
        <v>359</v>
      </c>
      <c r="I361" s="7">
        <v>123126</v>
      </c>
      <c r="J361" s="7" t="s">
        <v>171</v>
      </c>
      <c r="K361" s="7">
        <v>117.54</v>
      </c>
      <c r="L361" s="58">
        <v>1</v>
      </c>
      <c r="M361" s="7">
        <v>217.54000000000002</v>
      </c>
      <c r="N361" s="32">
        <v>3.3996160000000004</v>
      </c>
      <c r="O361" s="5" t="str">
        <f t="shared" si="12"/>
        <v>未买</v>
      </c>
      <c r="R361" s="19">
        <v>359</v>
      </c>
    </row>
    <row r="362" spans="5:18" x14ac:dyDescent="0.15">
      <c r="E362" s="5"/>
      <c r="H362" s="19">
        <v>360</v>
      </c>
      <c r="I362" s="7">
        <v>127048</v>
      </c>
      <c r="J362" s="7" t="s">
        <v>1990</v>
      </c>
      <c r="K362" s="7">
        <v>218</v>
      </c>
      <c r="L362" s="58">
        <v>8.0000000000000004E-4</v>
      </c>
      <c r="M362" s="7">
        <v>218.08</v>
      </c>
      <c r="N362" s="32">
        <v>1.901635</v>
      </c>
      <c r="O362" s="5" t="str">
        <f t="shared" si="12"/>
        <v>未买</v>
      </c>
      <c r="R362" s="19">
        <v>360</v>
      </c>
    </row>
    <row r="363" spans="5:18" x14ac:dyDescent="0.15">
      <c r="E363" s="5"/>
      <c r="H363" s="19">
        <v>361</v>
      </c>
      <c r="I363" s="7">
        <v>123140</v>
      </c>
      <c r="J363" s="7" t="s">
        <v>772</v>
      </c>
      <c r="K363" s="7">
        <v>159.37799999999999</v>
      </c>
      <c r="L363" s="58">
        <v>0.59119999999999995</v>
      </c>
      <c r="M363" s="7">
        <v>218.49799999999999</v>
      </c>
      <c r="N363" s="32">
        <v>1.72</v>
      </c>
      <c r="O363" s="5" t="str">
        <f t="shared" si="12"/>
        <v>未买</v>
      </c>
      <c r="R363" s="19">
        <v>361</v>
      </c>
    </row>
    <row r="364" spans="5:18" x14ac:dyDescent="0.15">
      <c r="E364" s="5"/>
      <c r="H364" s="19">
        <v>362</v>
      </c>
      <c r="I364" s="7">
        <v>128108</v>
      </c>
      <c r="J364" s="7" t="s">
        <v>1872</v>
      </c>
      <c r="K364" s="7">
        <v>103.251</v>
      </c>
      <c r="L364" s="58">
        <v>1.1774</v>
      </c>
      <c r="M364" s="7">
        <v>220.99099999999999</v>
      </c>
      <c r="N364" s="32">
        <v>15.210892000000003</v>
      </c>
      <c r="O364" s="5" t="str">
        <f t="shared" si="12"/>
        <v>未买</v>
      </c>
      <c r="R364" s="19">
        <v>362</v>
      </c>
    </row>
    <row r="365" spans="5:18" x14ac:dyDescent="0.15">
      <c r="E365" s="5"/>
      <c r="H365" s="19">
        <v>363</v>
      </c>
      <c r="I365" s="7">
        <v>123101</v>
      </c>
      <c r="J365" s="7" t="s">
        <v>142</v>
      </c>
      <c r="K365" s="7">
        <v>116</v>
      </c>
      <c r="L365" s="58">
        <v>1.0506</v>
      </c>
      <c r="M365" s="7">
        <v>221.06</v>
      </c>
      <c r="N365" s="32">
        <v>6.6976060000000004</v>
      </c>
      <c r="O365" s="5" t="str">
        <f t="shared" si="12"/>
        <v>未买</v>
      </c>
      <c r="R365" s="19">
        <v>363</v>
      </c>
    </row>
    <row r="366" spans="5:18" x14ac:dyDescent="0.15">
      <c r="E366" s="5"/>
      <c r="H366" s="19">
        <v>364</v>
      </c>
      <c r="I366" s="7">
        <v>113605</v>
      </c>
      <c r="J366" s="7" t="s">
        <v>1875</v>
      </c>
      <c r="K366" s="7">
        <v>112.69799999999999</v>
      </c>
      <c r="L366" s="58">
        <v>1.0967</v>
      </c>
      <c r="M366" s="7">
        <v>222.36799999999999</v>
      </c>
      <c r="N366" s="32">
        <v>14.04745</v>
      </c>
      <c r="O366" s="5" t="str">
        <f t="shared" si="12"/>
        <v>未买</v>
      </c>
      <c r="R366" s="19">
        <v>364</v>
      </c>
    </row>
    <row r="367" spans="5:18" x14ac:dyDescent="0.15">
      <c r="E367" s="5"/>
      <c r="H367" s="19">
        <v>365</v>
      </c>
      <c r="I367" s="7">
        <v>128074</v>
      </c>
      <c r="J367" s="7" t="s">
        <v>192</v>
      </c>
      <c r="K367" s="7">
        <v>113.444</v>
      </c>
      <c r="L367" s="58">
        <v>1.0927</v>
      </c>
      <c r="M367" s="7">
        <v>222.714</v>
      </c>
      <c r="N367" s="32">
        <v>6.824916</v>
      </c>
      <c r="O367" s="5" t="str">
        <f t="shared" si="12"/>
        <v>未买</v>
      </c>
      <c r="R367" s="19">
        <v>365</v>
      </c>
    </row>
    <row r="368" spans="5:18" x14ac:dyDescent="0.15">
      <c r="E368" s="5"/>
      <c r="H368" s="19">
        <v>366</v>
      </c>
      <c r="I368" s="7">
        <v>128079</v>
      </c>
      <c r="J368" s="7" t="s">
        <v>93</v>
      </c>
      <c r="K368" s="7">
        <v>149</v>
      </c>
      <c r="L368" s="58">
        <v>0.73959999999999992</v>
      </c>
      <c r="M368" s="7">
        <v>222.95999999999998</v>
      </c>
      <c r="N368" s="32">
        <v>1.5197890000000001</v>
      </c>
      <c r="O368" s="5" t="str">
        <f t="shared" si="12"/>
        <v>未买</v>
      </c>
      <c r="R368" s="19">
        <v>366</v>
      </c>
    </row>
    <row r="369" spans="5:18" x14ac:dyDescent="0.15">
      <c r="E369" s="5"/>
      <c r="H369" s="19">
        <v>367</v>
      </c>
      <c r="I369" s="7">
        <v>113573</v>
      </c>
      <c r="J369" s="7" t="s">
        <v>136</v>
      </c>
      <c r="K369" s="7">
        <v>119.64700000000001</v>
      </c>
      <c r="L369" s="58">
        <v>1.0376000000000001</v>
      </c>
      <c r="M369" s="7">
        <v>223.40700000000001</v>
      </c>
      <c r="N369" s="32">
        <v>2.6983299999999999</v>
      </c>
      <c r="O369" s="5" t="str">
        <f t="shared" si="12"/>
        <v>未买</v>
      </c>
      <c r="R369" s="19">
        <v>367</v>
      </c>
    </row>
    <row r="370" spans="5:18" x14ac:dyDescent="0.15">
      <c r="E370" s="5"/>
      <c r="H370" s="19">
        <v>368</v>
      </c>
      <c r="I370" s="7">
        <v>123113</v>
      </c>
      <c r="J370" s="7" t="s">
        <v>1878</v>
      </c>
      <c r="K370" s="7">
        <v>111.2</v>
      </c>
      <c r="L370" s="58">
        <v>1.1246</v>
      </c>
      <c r="M370" s="7">
        <v>223.66</v>
      </c>
      <c r="N370" s="32">
        <v>10.248582000000001</v>
      </c>
      <c r="O370" s="5" t="str">
        <f t="shared" si="12"/>
        <v>未买</v>
      </c>
      <c r="R370" s="19">
        <v>368</v>
      </c>
    </row>
    <row r="371" spans="5:18" x14ac:dyDescent="0.15">
      <c r="E371" s="5"/>
      <c r="H371" s="19">
        <v>369</v>
      </c>
      <c r="I371" s="7">
        <v>110048</v>
      </c>
      <c r="J371" s="7" t="s">
        <v>1962</v>
      </c>
      <c r="K371" s="7">
        <v>201.10900000000001</v>
      </c>
      <c r="L371" s="58">
        <v>0.23019999999999999</v>
      </c>
      <c r="M371" s="7">
        <v>224.12900000000002</v>
      </c>
      <c r="N371" s="32">
        <v>12.76177</v>
      </c>
      <c r="O371" s="5" t="str">
        <f t="shared" si="12"/>
        <v>未买</v>
      </c>
      <c r="R371" s="19">
        <v>369</v>
      </c>
    </row>
    <row r="372" spans="5:18" x14ac:dyDescent="0.15">
      <c r="E372" s="5"/>
      <c r="H372" s="19">
        <v>370</v>
      </c>
      <c r="I372" s="7">
        <v>127044</v>
      </c>
      <c r="J372" s="7" t="s">
        <v>1873</v>
      </c>
      <c r="K372" s="7">
        <v>111.26</v>
      </c>
      <c r="L372" s="58">
        <v>1.1314</v>
      </c>
      <c r="M372" s="7">
        <v>224.4</v>
      </c>
      <c r="N372" s="32">
        <v>11.688836</v>
      </c>
      <c r="O372" s="5" t="str">
        <f t="shared" si="12"/>
        <v>未买</v>
      </c>
      <c r="R372" s="19">
        <v>370</v>
      </c>
    </row>
    <row r="373" spans="5:18" x14ac:dyDescent="0.15">
      <c r="E373" s="5"/>
      <c r="H373" s="19">
        <v>371</v>
      </c>
      <c r="I373" s="7">
        <v>113625</v>
      </c>
      <c r="J373" s="7" t="s">
        <v>141</v>
      </c>
      <c r="K373" s="7">
        <v>113.93899999999999</v>
      </c>
      <c r="L373" s="58">
        <v>1.1514</v>
      </c>
      <c r="M373" s="7">
        <v>229.07900000000001</v>
      </c>
      <c r="N373" s="32">
        <v>5.8254999999999999</v>
      </c>
      <c r="O373" s="5" t="str">
        <f t="shared" si="12"/>
        <v>未买</v>
      </c>
      <c r="R373" s="19">
        <v>371</v>
      </c>
    </row>
    <row r="374" spans="5:18" x14ac:dyDescent="0.15">
      <c r="E374" s="5"/>
      <c r="H374" s="19">
        <v>372</v>
      </c>
      <c r="I374" s="7">
        <v>127065</v>
      </c>
      <c r="J374" s="7" t="s">
        <v>2007</v>
      </c>
      <c r="K374" s="7">
        <v>212.67</v>
      </c>
      <c r="L374" s="58">
        <v>0.19829999999999998</v>
      </c>
      <c r="M374" s="7">
        <v>232.5</v>
      </c>
      <c r="N374" s="32">
        <v>4.3979999999999997</v>
      </c>
      <c r="O374" s="5" t="str">
        <f t="shared" si="12"/>
        <v>未买</v>
      </c>
      <c r="R374" s="19">
        <v>372</v>
      </c>
    </row>
    <row r="375" spans="5:18" x14ac:dyDescent="0.15">
      <c r="E375" s="5"/>
      <c r="H375" s="19">
        <v>373</v>
      </c>
      <c r="I375" s="7">
        <v>113525</v>
      </c>
      <c r="J375" s="7" t="s">
        <v>1947</v>
      </c>
      <c r="K375" s="7">
        <v>208.31700000000001</v>
      </c>
      <c r="L375" s="58">
        <v>0.25420000000000004</v>
      </c>
      <c r="M375" s="7">
        <v>233.73700000000002</v>
      </c>
      <c r="N375" s="32">
        <v>1.85328</v>
      </c>
      <c r="O375" s="5" t="str">
        <f t="shared" si="12"/>
        <v>未买</v>
      </c>
      <c r="R375" s="19">
        <v>373</v>
      </c>
    </row>
    <row r="376" spans="5:18" x14ac:dyDescent="0.15">
      <c r="E376" s="5"/>
      <c r="H376" s="19">
        <v>374</v>
      </c>
      <c r="I376" s="7">
        <v>123148</v>
      </c>
      <c r="J376" s="7" t="s">
        <v>2002</v>
      </c>
      <c r="K376" s="7">
        <v>219.298</v>
      </c>
      <c r="L376" s="58">
        <v>0.1525</v>
      </c>
      <c r="M376" s="7">
        <v>234.548</v>
      </c>
      <c r="N376" s="32">
        <v>4.2</v>
      </c>
      <c r="O376" s="5" t="str">
        <f t="shared" si="12"/>
        <v>未买</v>
      </c>
      <c r="R376" s="19">
        <v>374</v>
      </c>
    </row>
    <row r="377" spans="5:18" x14ac:dyDescent="0.15">
      <c r="E377" s="5"/>
      <c r="H377" s="19">
        <v>375</v>
      </c>
      <c r="I377" s="7">
        <v>128125</v>
      </c>
      <c r="J377" s="7" t="s">
        <v>140</v>
      </c>
      <c r="K377" s="7">
        <v>110.92400000000001</v>
      </c>
      <c r="L377" s="58">
        <v>1.2482</v>
      </c>
      <c r="M377" s="7">
        <v>235.744</v>
      </c>
      <c r="N377" s="32">
        <v>4.4980140000000004</v>
      </c>
      <c r="O377" s="5" t="str">
        <f t="shared" si="12"/>
        <v>未买</v>
      </c>
      <c r="R377" s="19">
        <v>375</v>
      </c>
    </row>
    <row r="378" spans="5:18" x14ac:dyDescent="0.15">
      <c r="E378" s="5"/>
      <c r="H378" s="19">
        <v>376</v>
      </c>
      <c r="I378" s="7">
        <v>123083</v>
      </c>
      <c r="J378" s="7" t="s">
        <v>2001</v>
      </c>
      <c r="K378" s="7">
        <v>221.50200000000001</v>
      </c>
      <c r="L378" s="58">
        <v>0.15279999999999999</v>
      </c>
      <c r="M378" s="7">
        <v>236.78200000000001</v>
      </c>
      <c r="N378" s="32">
        <v>5.482621</v>
      </c>
      <c r="O378" s="5" t="str">
        <f t="shared" si="12"/>
        <v>未买</v>
      </c>
      <c r="R378" s="19">
        <v>376</v>
      </c>
    </row>
    <row r="379" spans="5:18" x14ac:dyDescent="0.15">
      <c r="E379" s="5"/>
      <c r="H379" s="19">
        <v>377</v>
      </c>
      <c r="I379" s="7">
        <v>123057</v>
      </c>
      <c r="J379" s="7" t="s">
        <v>1993</v>
      </c>
      <c r="K379" s="7">
        <v>235.77</v>
      </c>
      <c r="L379" s="58">
        <v>4.5199999999999997E-2</v>
      </c>
      <c r="M379" s="7">
        <v>240.29000000000002</v>
      </c>
      <c r="N379" s="32">
        <v>2.0647899999999999</v>
      </c>
      <c r="O379" s="5" t="str">
        <f t="shared" si="12"/>
        <v>未买</v>
      </c>
      <c r="R379" s="19">
        <v>377</v>
      </c>
    </row>
    <row r="380" spans="5:18" x14ac:dyDescent="0.15">
      <c r="E380" s="5"/>
      <c r="H380" s="19">
        <v>378</v>
      </c>
      <c r="I380" s="7">
        <v>123117</v>
      </c>
      <c r="J380" s="7" t="s">
        <v>138</v>
      </c>
      <c r="K380" s="7">
        <v>113</v>
      </c>
      <c r="L380" s="58">
        <v>1.2824</v>
      </c>
      <c r="M380" s="7">
        <v>241.24</v>
      </c>
      <c r="N380" s="32">
        <v>9.9990059999999996</v>
      </c>
      <c r="O380" s="5" t="str">
        <f t="shared" si="12"/>
        <v>未买</v>
      </c>
      <c r="R380" s="19">
        <v>378</v>
      </c>
    </row>
    <row r="381" spans="5:18" x14ac:dyDescent="0.15">
      <c r="E381" s="5"/>
      <c r="H381" s="19">
        <v>379</v>
      </c>
      <c r="I381" s="7">
        <v>110055</v>
      </c>
      <c r="J381" s="7" t="s">
        <v>1958</v>
      </c>
      <c r="K381" s="7">
        <v>215.19</v>
      </c>
      <c r="L381" s="58">
        <v>0.26440000000000002</v>
      </c>
      <c r="M381" s="7">
        <v>241.63</v>
      </c>
      <c r="N381" s="32">
        <v>2.43486</v>
      </c>
      <c r="O381" s="5" t="str">
        <f t="shared" si="12"/>
        <v>未买</v>
      </c>
      <c r="R381" s="19">
        <v>379</v>
      </c>
    </row>
    <row r="382" spans="5:18" x14ac:dyDescent="0.15">
      <c r="E382" s="5"/>
      <c r="H382" s="19">
        <v>380</v>
      </c>
      <c r="I382" s="7">
        <v>113633</v>
      </c>
      <c r="J382" s="7" t="s">
        <v>1870</v>
      </c>
      <c r="K382" s="7">
        <v>115.10899999999999</v>
      </c>
      <c r="L382" s="58">
        <v>1.2812000000000001</v>
      </c>
      <c r="M382" s="7">
        <v>243.22899999999998</v>
      </c>
      <c r="N382" s="32">
        <v>10.398440000000001</v>
      </c>
      <c r="O382" s="5" t="str">
        <f t="shared" si="12"/>
        <v>未买</v>
      </c>
      <c r="R382" s="19">
        <v>380</v>
      </c>
    </row>
    <row r="383" spans="5:18" x14ac:dyDescent="0.15">
      <c r="E383" s="5"/>
      <c r="H383" s="19">
        <v>381</v>
      </c>
      <c r="I383" s="7">
        <v>123143</v>
      </c>
      <c r="J383" s="7" t="s">
        <v>801</v>
      </c>
      <c r="K383" s="7">
        <v>175.40899999999999</v>
      </c>
      <c r="L383" s="58">
        <v>0.70450000000000002</v>
      </c>
      <c r="M383" s="7">
        <v>245.85899999999998</v>
      </c>
      <c r="N383" s="32">
        <v>3.3</v>
      </c>
      <c r="O383" s="5" t="str">
        <f t="shared" si="12"/>
        <v>未买</v>
      </c>
      <c r="R383" s="19">
        <v>381</v>
      </c>
    </row>
    <row r="384" spans="5:18" x14ac:dyDescent="0.15">
      <c r="E384" s="5"/>
      <c r="H384" s="19">
        <v>382</v>
      </c>
      <c r="I384" s="7">
        <v>127046</v>
      </c>
      <c r="J384" s="7" t="s">
        <v>1877</v>
      </c>
      <c r="K384" s="7">
        <v>114.983</v>
      </c>
      <c r="L384" s="58">
        <v>1.3262</v>
      </c>
      <c r="M384" s="7">
        <v>247.60300000000001</v>
      </c>
      <c r="N384" s="32">
        <v>11.278002000000001</v>
      </c>
      <c r="O384" s="5" t="str">
        <f t="shared" si="12"/>
        <v>未买</v>
      </c>
      <c r="R384" s="19">
        <v>382</v>
      </c>
    </row>
    <row r="385" spans="5:18" x14ac:dyDescent="0.15">
      <c r="E385" s="5"/>
      <c r="H385" s="19">
        <v>383</v>
      </c>
      <c r="I385" s="7">
        <v>123012</v>
      </c>
      <c r="J385" s="7" t="s">
        <v>1945</v>
      </c>
      <c r="K385" s="7">
        <v>245.48</v>
      </c>
      <c r="L385" s="58">
        <v>8.4399999999999989E-2</v>
      </c>
      <c r="M385" s="7">
        <v>253.92</v>
      </c>
      <c r="N385" s="32">
        <v>1.2237709999999999</v>
      </c>
      <c r="O385" s="5" t="str">
        <f t="shared" si="12"/>
        <v>未买</v>
      </c>
      <c r="R385" s="19">
        <v>383</v>
      </c>
    </row>
    <row r="386" spans="5:18" x14ac:dyDescent="0.15">
      <c r="E386" s="5"/>
      <c r="H386" s="19">
        <v>384</v>
      </c>
      <c r="I386" s="7">
        <v>128030</v>
      </c>
      <c r="J386" s="7" t="s">
        <v>1980</v>
      </c>
      <c r="K386" s="7">
        <v>214.45</v>
      </c>
      <c r="L386" s="58">
        <v>0.40310000000000001</v>
      </c>
      <c r="M386" s="7">
        <v>254.76</v>
      </c>
      <c r="N386" s="32">
        <v>0.84722600000000003</v>
      </c>
      <c r="O386" s="5" t="str">
        <f t="shared" si="12"/>
        <v>未买</v>
      </c>
      <c r="R386" s="19">
        <v>384</v>
      </c>
    </row>
    <row r="387" spans="5:18" x14ac:dyDescent="0.15">
      <c r="E387" s="5"/>
      <c r="H387" s="19">
        <v>385</v>
      </c>
      <c r="I387" s="7">
        <v>123119</v>
      </c>
      <c r="J387" s="7" t="s">
        <v>1869</v>
      </c>
      <c r="K387" s="7">
        <v>123.5</v>
      </c>
      <c r="L387" s="58">
        <v>1.3315000000000001</v>
      </c>
      <c r="M387" s="7">
        <v>256.64999999999998</v>
      </c>
      <c r="N387" s="32">
        <v>19.994665000000001</v>
      </c>
      <c r="O387" s="5" t="str">
        <f t="shared" si="12"/>
        <v>未买</v>
      </c>
      <c r="R387" s="19">
        <v>385</v>
      </c>
    </row>
    <row r="388" spans="5:18" x14ac:dyDescent="0.15">
      <c r="E388" s="5"/>
      <c r="H388" s="19">
        <v>386</v>
      </c>
      <c r="I388" s="7">
        <v>128017</v>
      </c>
      <c r="J388" s="7" t="s">
        <v>1949</v>
      </c>
      <c r="K388" s="7">
        <v>238.65799999999999</v>
      </c>
      <c r="L388" s="58">
        <v>0.188</v>
      </c>
      <c r="M388" s="7">
        <v>257.45799999999997</v>
      </c>
      <c r="N388" s="32">
        <v>5.5181570000000004</v>
      </c>
      <c r="O388" s="5" t="str">
        <f t="shared" ref="O388:O416" si="13">IF(ISNA(MATCH(I388,$A$3:$A$1000,0)),"未买","Yes")</f>
        <v>未买</v>
      </c>
      <c r="R388" s="19">
        <v>386</v>
      </c>
    </row>
    <row r="389" spans="5:18" x14ac:dyDescent="0.15">
      <c r="E389" s="5"/>
      <c r="H389" s="19">
        <v>387</v>
      </c>
      <c r="I389" s="7">
        <v>128138</v>
      </c>
      <c r="J389" s="7" t="s">
        <v>139</v>
      </c>
      <c r="K389" s="7">
        <v>120.97</v>
      </c>
      <c r="L389" s="58">
        <v>1.3734</v>
      </c>
      <c r="M389" s="7">
        <v>258.31</v>
      </c>
      <c r="N389" s="32">
        <v>4.1990839999999992</v>
      </c>
      <c r="O389" s="5" t="str">
        <f t="shared" si="13"/>
        <v>未买</v>
      </c>
      <c r="R389" s="19">
        <v>387</v>
      </c>
    </row>
    <row r="390" spans="5:18" x14ac:dyDescent="0.15">
      <c r="E390" s="5"/>
      <c r="H390" s="19">
        <v>388</v>
      </c>
      <c r="I390" s="7">
        <v>123060</v>
      </c>
      <c r="J390" s="7" t="s">
        <v>1956</v>
      </c>
      <c r="K390" s="7">
        <v>240.3</v>
      </c>
      <c r="L390" s="58">
        <v>0.23070000000000002</v>
      </c>
      <c r="M390" s="7">
        <v>263.37</v>
      </c>
      <c r="N390" s="32">
        <v>3.096285</v>
      </c>
      <c r="O390" s="5" t="str">
        <f t="shared" si="13"/>
        <v>未买</v>
      </c>
      <c r="R390" s="19">
        <v>388</v>
      </c>
    </row>
    <row r="391" spans="5:18" x14ac:dyDescent="0.15">
      <c r="E391" s="5"/>
      <c r="H391" s="19">
        <v>389</v>
      </c>
      <c r="I391" s="7">
        <v>113589</v>
      </c>
      <c r="J391" s="7" t="s">
        <v>137</v>
      </c>
      <c r="K391" s="7">
        <v>100.48</v>
      </c>
      <c r="L391" s="58">
        <v>1.6844999999999999</v>
      </c>
      <c r="M391" s="7">
        <v>268.93</v>
      </c>
      <c r="N391" s="32">
        <v>5.99587</v>
      </c>
      <c r="O391" s="5" t="str">
        <f t="shared" si="13"/>
        <v>未买</v>
      </c>
      <c r="R391" s="19">
        <v>389</v>
      </c>
    </row>
    <row r="392" spans="5:18" x14ac:dyDescent="0.15">
      <c r="E392" s="5"/>
      <c r="H392" s="19">
        <v>390</v>
      </c>
      <c r="I392" s="7">
        <v>113589</v>
      </c>
      <c r="J392" s="7" t="s">
        <v>137</v>
      </c>
      <c r="K392" s="7">
        <v>100.48</v>
      </c>
      <c r="L392" s="58">
        <v>1.6844999999999999</v>
      </c>
      <c r="M392" s="7">
        <v>268.93</v>
      </c>
      <c r="N392" s="32">
        <v>5.99587</v>
      </c>
      <c r="O392" s="5" t="str">
        <f t="shared" si="13"/>
        <v>未买</v>
      </c>
      <c r="R392" s="19">
        <v>390</v>
      </c>
    </row>
    <row r="393" spans="5:18" x14ac:dyDescent="0.15">
      <c r="E393" s="5"/>
      <c r="H393" s="19">
        <v>391</v>
      </c>
      <c r="I393" s="7">
        <v>123093</v>
      </c>
      <c r="J393" s="7" t="s">
        <v>134</v>
      </c>
      <c r="K393" s="7">
        <v>123.18</v>
      </c>
      <c r="L393" s="58">
        <v>1.5082</v>
      </c>
      <c r="M393" s="7">
        <v>274</v>
      </c>
      <c r="N393" s="32">
        <v>2.499781</v>
      </c>
      <c r="O393" s="5" t="str">
        <f t="shared" si="13"/>
        <v>未买</v>
      </c>
      <c r="R393" s="19">
        <v>391</v>
      </c>
    </row>
    <row r="394" spans="5:18" x14ac:dyDescent="0.15">
      <c r="E394" s="5"/>
      <c r="H394" s="19">
        <v>392</v>
      </c>
      <c r="I394" s="7">
        <v>123104</v>
      </c>
      <c r="J394" s="7" t="s">
        <v>166</v>
      </c>
      <c r="K394" s="7">
        <v>115.788</v>
      </c>
      <c r="L394" s="58">
        <v>1.6002000000000001</v>
      </c>
      <c r="M394" s="7">
        <v>275.80799999999999</v>
      </c>
      <c r="N394" s="32">
        <v>9.7010520000000007</v>
      </c>
      <c r="O394" s="5" t="str">
        <f t="shared" si="13"/>
        <v>未买</v>
      </c>
      <c r="R394" s="19">
        <v>392</v>
      </c>
    </row>
    <row r="395" spans="5:18" x14ac:dyDescent="0.15">
      <c r="E395" s="5"/>
      <c r="H395" s="19">
        <v>393</v>
      </c>
      <c r="I395" s="7">
        <v>123104</v>
      </c>
      <c r="J395" s="7" t="s">
        <v>166</v>
      </c>
      <c r="K395" s="7">
        <v>115.788</v>
      </c>
      <c r="L395" s="58">
        <v>1.6002000000000001</v>
      </c>
      <c r="M395" s="7">
        <v>275.80799999999999</v>
      </c>
      <c r="N395" s="32">
        <v>9.7010520000000007</v>
      </c>
      <c r="O395" s="5" t="str">
        <f t="shared" si="13"/>
        <v>未买</v>
      </c>
      <c r="R395" s="19">
        <v>393</v>
      </c>
    </row>
    <row r="396" spans="5:18" x14ac:dyDescent="0.15">
      <c r="E396" s="5"/>
      <c r="H396" s="19">
        <v>394</v>
      </c>
      <c r="I396" s="7">
        <v>113626</v>
      </c>
      <c r="J396" s="7" t="s">
        <v>1989</v>
      </c>
      <c r="K396" s="7">
        <v>278.25599999999997</v>
      </c>
      <c r="L396" s="58">
        <v>2.3199999999999998E-2</v>
      </c>
      <c r="M396" s="7">
        <v>280.57599999999996</v>
      </c>
      <c r="N396" s="32">
        <v>8.7978799999999993</v>
      </c>
      <c r="O396" s="5" t="str">
        <f t="shared" si="13"/>
        <v>未买</v>
      </c>
      <c r="R396" s="19">
        <v>394</v>
      </c>
    </row>
    <row r="397" spans="5:18" x14ac:dyDescent="0.15">
      <c r="E397" s="5"/>
      <c r="H397" s="19">
        <v>395</v>
      </c>
      <c r="I397" s="7">
        <v>113582</v>
      </c>
      <c r="J397" s="7" t="s">
        <v>1963</v>
      </c>
      <c r="K397" s="7">
        <v>260.28899999999999</v>
      </c>
      <c r="L397" s="58">
        <v>0.27110000000000001</v>
      </c>
      <c r="M397" s="7">
        <v>287.399</v>
      </c>
      <c r="N397" s="32">
        <v>4.1764799999999997</v>
      </c>
      <c r="O397" s="5" t="str">
        <f t="shared" si="13"/>
        <v>未买</v>
      </c>
      <c r="R397" s="19">
        <v>395</v>
      </c>
    </row>
    <row r="398" spans="5:18" x14ac:dyDescent="0.15">
      <c r="E398" s="5"/>
      <c r="H398" s="19">
        <v>396</v>
      </c>
      <c r="I398" s="7">
        <v>128106</v>
      </c>
      <c r="J398" s="7" t="s">
        <v>1932</v>
      </c>
      <c r="K398" s="7">
        <v>285.5</v>
      </c>
      <c r="L398" s="58">
        <v>8.8200000000000001E-2</v>
      </c>
      <c r="M398" s="7">
        <v>294.32</v>
      </c>
      <c r="N398" s="32">
        <v>2.8909929999999999</v>
      </c>
      <c r="O398" s="5" t="str">
        <f t="shared" si="13"/>
        <v>未买</v>
      </c>
      <c r="R398" s="19">
        <v>396</v>
      </c>
    </row>
    <row r="399" spans="5:18" x14ac:dyDescent="0.15">
      <c r="E399" s="5"/>
      <c r="H399" s="19">
        <v>397</v>
      </c>
      <c r="I399" s="7">
        <v>123135</v>
      </c>
      <c r="J399" s="7" t="s">
        <v>1880</v>
      </c>
      <c r="K399" s="7">
        <v>159.91999999999999</v>
      </c>
      <c r="L399" s="58">
        <v>1.3591</v>
      </c>
      <c r="M399" s="7">
        <v>295.83</v>
      </c>
      <c r="N399" s="32">
        <v>2.0977869999999998</v>
      </c>
      <c r="O399" s="5" t="str">
        <f t="shared" si="13"/>
        <v>未买</v>
      </c>
      <c r="R399" s="19">
        <v>397</v>
      </c>
    </row>
    <row r="400" spans="5:18" x14ac:dyDescent="0.15">
      <c r="E400" s="5"/>
      <c r="H400" s="19">
        <v>398</v>
      </c>
      <c r="I400" s="7">
        <v>123067</v>
      </c>
      <c r="J400" s="7" t="s">
        <v>1953</v>
      </c>
      <c r="K400" s="7">
        <v>297.8</v>
      </c>
      <c r="L400" s="58">
        <v>6.6400000000000001E-2</v>
      </c>
      <c r="M400" s="7">
        <v>304.44</v>
      </c>
      <c r="N400" s="32">
        <v>2.3972380000000002</v>
      </c>
      <c r="O400" s="5" t="str">
        <f t="shared" si="13"/>
        <v>未买</v>
      </c>
      <c r="R400" s="19">
        <v>398</v>
      </c>
    </row>
    <row r="401" spans="5:18" x14ac:dyDescent="0.15">
      <c r="E401" s="5"/>
      <c r="H401" s="19">
        <v>399</v>
      </c>
      <c r="I401" s="7">
        <v>113646</v>
      </c>
      <c r="J401" s="7" t="s">
        <v>1879</v>
      </c>
      <c r="K401" s="7">
        <v>205.869</v>
      </c>
      <c r="L401" s="58">
        <v>1.202</v>
      </c>
      <c r="M401" s="7">
        <v>326.06900000000002</v>
      </c>
      <c r="N401" s="32">
        <v>1.45868</v>
      </c>
      <c r="O401" s="5" t="str">
        <f t="shared" si="13"/>
        <v>未买</v>
      </c>
      <c r="R401" s="19">
        <v>399</v>
      </c>
    </row>
    <row r="402" spans="5:18" x14ac:dyDescent="0.15">
      <c r="E402" s="5"/>
      <c r="H402" s="19">
        <v>400</v>
      </c>
      <c r="I402" s="7">
        <v>123092</v>
      </c>
      <c r="J402" s="7" t="s">
        <v>1938</v>
      </c>
      <c r="K402" s="7">
        <v>316.80700000000002</v>
      </c>
      <c r="L402" s="58">
        <v>0.1215</v>
      </c>
      <c r="M402" s="7">
        <v>328.95699999999999</v>
      </c>
      <c r="N402" s="32">
        <v>4.1420130000000004</v>
      </c>
      <c r="O402" s="5" t="str">
        <f t="shared" si="13"/>
        <v>未买</v>
      </c>
      <c r="R402" s="19">
        <v>400</v>
      </c>
    </row>
    <row r="403" spans="5:18" x14ac:dyDescent="0.15">
      <c r="E403" s="5"/>
      <c r="H403" s="19">
        <v>401</v>
      </c>
      <c r="I403" s="7">
        <v>123018</v>
      </c>
      <c r="J403" s="7" t="s">
        <v>76</v>
      </c>
      <c r="K403" s="7">
        <v>240</v>
      </c>
      <c r="L403" s="58">
        <v>1.046</v>
      </c>
      <c r="M403" s="7">
        <v>344.6</v>
      </c>
      <c r="N403" s="32">
        <v>0.54212199999999999</v>
      </c>
      <c r="O403" s="5" t="str">
        <f t="shared" si="13"/>
        <v>未买</v>
      </c>
      <c r="R403" s="19">
        <v>401</v>
      </c>
    </row>
    <row r="404" spans="5:18" x14ac:dyDescent="0.15">
      <c r="E404" s="5"/>
      <c r="H404" s="19">
        <v>402</v>
      </c>
      <c r="I404" s="7">
        <v>127057</v>
      </c>
      <c r="J404" s="7" t="s">
        <v>761</v>
      </c>
      <c r="K404" s="7">
        <v>254.501</v>
      </c>
      <c r="L404" s="58">
        <v>1.0076000000000001</v>
      </c>
      <c r="M404" s="7">
        <v>355.26100000000002</v>
      </c>
      <c r="N404" s="32">
        <v>2.76</v>
      </c>
      <c r="O404" s="5" t="str">
        <f t="shared" si="13"/>
        <v>未买</v>
      </c>
      <c r="R404" s="19">
        <v>402</v>
      </c>
    </row>
    <row r="405" spans="5:18" x14ac:dyDescent="0.15">
      <c r="E405" s="5"/>
      <c r="H405" s="19">
        <v>403</v>
      </c>
      <c r="I405" s="7">
        <v>110044</v>
      </c>
      <c r="J405" s="7" t="s">
        <v>131</v>
      </c>
      <c r="K405" s="7">
        <v>209.21700000000001</v>
      </c>
      <c r="L405" s="58">
        <v>1.5555000000000001</v>
      </c>
      <c r="M405" s="7">
        <v>364.76700000000005</v>
      </c>
      <c r="N405" s="32">
        <v>0.70743999999999996</v>
      </c>
      <c r="O405" s="5" t="str">
        <f t="shared" si="13"/>
        <v>未买</v>
      </c>
      <c r="R405" s="19">
        <v>403</v>
      </c>
    </row>
    <row r="406" spans="5:18" x14ac:dyDescent="0.15">
      <c r="E406" s="5"/>
      <c r="H406" s="19">
        <v>404</v>
      </c>
      <c r="I406" s="7">
        <v>128095</v>
      </c>
      <c r="J406" s="7" t="s">
        <v>1946</v>
      </c>
      <c r="K406" s="7">
        <v>364.005</v>
      </c>
      <c r="L406" s="58">
        <v>0.18859999999999999</v>
      </c>
      <c r="M406" s="7">
        <v>382.86500000000001</v>
      </c>
      <c r="N406" s="32">
        <v>4.5392849999999996</v>
      </c>
      <c r="O406" s="5" t="str">
        <f t="shared" si="13"/>
        <v>未买</v>
      </c>
      <c r="R406" s="19">
        <v>404</v>
      </c>
    </row>
    <row r="407" spans="5:18" x14ac:dyDescent="0.15">
      <c r="E407" s="5"/>
      <c r="H407" s="19">
        <v>405</v>
      </c>
      <c r="I407" s="7">
        <v>128041</v>
      </c>
      <c r="J407" s="7" t="s">
        <v>130</v>
      </c>
      <c r="K407" s="7">
        <v>270.92</v>
      </c>
      <c r="L407" s="58">
        <v>1.1738</v>
      </c>
      <c r="M407" s="7">
        <v>388.3</v>
      </c>
      <c r="N407" s="32">
        <v>0.52926700000000004</v>
      </c>
      <c r="O407" s="5" t="str">
        <f t="shared" si="13"/>
        <v>未买</v>
      </c>
      <c r="R407" s="19">
        <v>405</v>
      </c>
    </row>
    <row r="408" spans="5:18" x14ac:dyDescent="0.15">
      <c r="E408" s="5"/>
      <c r="H408" s="19">
        <v>406</v>
      </c>
      <c r="I408" s="7">
        <v>113025</v>
      </c>
      <c r="J408" s="7" t="s">
        <v>1941</v>
      </c>
      <c r="K408" s="7">
        <v>385.14100000000002</v>
      </c>
      <c r="L408" s="58">
        <v>7.2400000000000006E-2</v>
      </c>
      <c r="M408" s="7">
        <v>392.38100000000003</v>
      </c>
      <c r="N408" s="32">
        <v>10.14775</v>
      </c>
      <c r="O408" s="5" t="str">
        <f t="shared" si="13"/>
        <v>未买</v>
      </c>
      <c r="R408" s="19">
        <v>406</v>
      </c>
    </row>
    <row r="409" spans="5:18" x14ac:dyDescent="0.15">
      <c r="E409" s="5"/>
      <c r="H409" s="19">
        <v>407</v>
      </c>
      <c r="I409" s="7">
        <v>123046</v>
      </c>
      <c r="J409" s="7" t="s">
        <v>1970</v>
      </c>
      <c r="K409" s="7">
        <v>387.995</v>
      </c>
      <c r="L409" s="58">
        <v>0.20749999999999999</v>
      </c>
      <c r="M409" s="7">
        <v>408.745</v>
      </c>
      <c r="N409" s="32">
        <v>0.58530099999999996</v>
      </c>
      <c r="O409" s="5" t="str">
        <f t="shared" si="13"/>
        <v>未买</v>
      </c>
      <c r="R409" s="19">
        <v>407</v>
      </c>
    </row>
    <row r="410" spans="5:18" x14ac:dyDescent="0.15">
      <c r="E410" s="5"/>
      <c r="H410" s="19">
        <v>408</v>
      </c>
      <c r="I410" s="7">
        <v>113534</v>
      </c>
      <c r="J410" s="7" t="s">
        <v>1935</v>
      </c>
      <c r="K410" s="7">
        <v>420.88299999999998</v>
      </c>
      <c r="L410" s="58">
        <v>4.82E-2</v>
      </c>
      <c r="M410" s="7">
        <v>425.70299999999997</v>
      </c>
      <c r="N410" s="32">
        <v>3.9336000000000002</v>
      </c>
      <c r="O410" s="5" t="str">
        <f t="shared" si="13"/>
        <v>未买</v>
      </c>
      <c r="R410" s="19">
        <v>408</v>
      </c>
    </row>
    <row r="411" spans="5:18" x14ac:dyDescent="0.15">
      <c r="E411" s="5"/>
      <c r="H411" s="19">
        <v>409</v>
      </c>
      <c r="I411" s="7">
        <v>123031</v>
      </c>
      <c r="J411" s="7" t="s">
        <v>1978</v>
      </c>
      <c r="K411" s="7">
        <v>406.2</v>
      </c>
      <c r="L411" s="58">
        <v>0.25059999999999999</v>
      </c>
      <c r="M411" s="7">
        <v>431.26</v>
      </c>
      <c r="N411" s="32">
        <v>0.52975899999999998</v>
      </c>
      <c r="O411" s="5" t="str">
        <f t="shared" si="13"/>
        <v>未买</v>
      </c>
      <c r="R411" s="19">
        <v>409</v>
      </c>
    </row>
    <row r="412" spans="5:18" x14ac:dyDescent="0.15">
      <c r="E412" s="5"/>
      <c r="H412" s="19">
        <v>410</v>
      </c>
      <c r="I412" s="7">
        <v>123034</v>
      </c>
      <c r="J412" s="7" t="s">
        <v>1982</v>
      </c>
      <c r="K412" s="7">
        <v>315.60700000000003</v>
      </c>
      <c r="L412" s="58">
        <v>1.4561000000000002</v>
      </c>
      <c r="M412" s="7">
        <v>461.21700000000004</v>
      </c>
      <c r="N412" s="32">
        <v>0.77832100000000004</v>
      </c>
      <c r="O412" s="5" t="str">
        <f t="shared" si="13"/>
        <v>未买</v>
      </c>
      <c r="R412" s="19">
        <v>410</v>
      </c>
    </row>
    <row r="413" spans="5:18" x14ac:dyDescent="0.15">
      <c r="E413" s="5"/>
      <c r="H413" s="19">
        <v>411</v>
      </c>
      <c r="I413" s="7">
        <v>123027</v>
      </c>
      <c r="J413" s="7" t="s">
        <v>1965</v>
      </c>
      <c r="K413" s="7">
        <v>464.40100000000001</v>
      </c>
      <c r="L413" s="58">
        <v>1.8000000000000002E-2</v>
      </c>
      <c r="M413" s="7">
        <v>466.20100000000002</v>
      </c>
      <c r="N413" s="32">
        <v>1.0660290000000001</v>
      </c>
      <c r="O413" s="5" t="str">
        <f t="shared" si="13"/>
        <v>未买</v>
      </c>
      <c r="R413" s="19">
        <v>411</v>
      </c>
    </row>
    <row r="414" spans="5:18" x14ac:dyDescent="0.15">
      <c r="E414" s="5"/>
      <c r="H414" s="19">
        <v>412</v>
      </c>
      <c r="I414" s="7">
        <v>113016</v>
      </c>
      <c r="J414" s="7" t="s">
        <v>1972</v>
      </c>
      <c r="K414" s="7">
        <v>430.56799999999998</v>
      </c>
      <c r="L414" s="58">
        <v>0.36590000000000006</v>
      </c>
      <c r="M414" s="7">
        <v>467.15800000000002</v>
      </c>
      <c r="N414" s="32">
        <v>2.06474</v>
      </c>
      <c r="O414" s="5" t="str">
        <f t="shared" si="13"/>
        <v>未买</v>
      </c>
      <c r="R414" s="19">
        <v>412</v>
      </c>
    </row>
    <row r="415" spans="5:18" x14ac:dyDescent="0.15">
      <c r="E415" s="5"/>
      <c r="H415" s="19">
        <v>413</v>
      </c>
      <c r="I415" s="7">
        <v>113537</v>
      </c>
      <c r="J415" s="7" t="s">
        <v>1940</v>
      </c>
      <c r="K415" s="7">
        <v>465.35500000000002</v>
      </c>
      <c r="L415" s="58">
        <v>3.3599999999999998E-2</v>
      </c>
      <c r="M415" s="7">
        <v>468.71500000000003</v>
      </c>
      <c r="N415" s="32">
        <v>1.37564</v>
      </c>
      <c r="O415" s="5" t="str">
        <f t="shared" si="13"/>
        <v>未买</v>
      </c>
      <c r="R415" s="19">
        <v>413</v>
      </c>
    </row>
    <row r="416" spans="5:18" x14ac:dyDescent="0.15">
      <c r="E416" s="5"/>
      <c r="H416" s="19">
        <v>414</v>
      </c>
      <c r="I416" s="7">
        <v>128111</v>
      </c>
      <c r="J416" s="7" t="s">
        <v>1929</v>
      </c>
      <c r="K416" s="7">
        <v>898.44</v>
      </c>
      <c r="L416" s="58">
        <v>0.10630000000000001</v>
      </c>
      <c r="M416" s="7">
        <v>909.07</v>
      </c>
      <c r="N416" s="32">
        <v>1.149276</v>
      </c>
      <c r="O416" s="5" t="str">
        <f t="shared" si="13"/>
        <v>未买</v>
      </c>
      <c r="R416" s="19">
        <v>414</v>
      </c>
    </row>
    <row r="417" spans="5:18" x14ac:dyDescent="0.15">
      <c r="E417" s="5"/>
      <c r="H417" s="19">
        <v>415</v>
      </c>
      <c r="R417" s="19">
        <v>415</v>
      </c>
    </row>
    <row r="418" spans="5:18" x14ac:dyDescent="0.15">
      <c r="E418" s="5"/>
      <c r="H418" s="19">
        <v>416</v>
      </c>
      <c r="R418" s="19">
        <v>416</v>
      </c>
    </row>
    <row r="419" spans="5:18" x14ac:dyDescent="0.15">
      <c r="E419" s="5"/>
      <c r="H419" s="19">
        <v>417</v>
      </c>
      <c r="R419" s="19">
        <v>417</v>
      </c>
    </row>
    <row r="420" spans="5:18" x14ac:dyDescent="0.15">
      <c r="E420" s="5"/>
      <c r="H420" s="19">
        <v>418</v>
      </c>
      <c r="R420" s="19">
        <v>418</v>
      </c>
    </row>
    <row r="421" spans="5:18" x14ac:dyDescent="0.15">
      <c r="E421" s="5"/>
      <c r="H421" s="19">
        <v>419</v>
      </c>
      <c r="R421" s="19">
        <v>419</v>
      </c>
    </row>
    <row r="422" spans="5:18" x14ac:dyDescent="0.15">
      <c r="E422" s="5"/>
      <c r="H422" s="19">
        <v>420</v>
      </c>
      <c r="R422" s="19">
        <v>420</v>
      </c>
    </row>
    <row r="423" spans="5:18" x14ac:dyDescent="0.15">
      <c r="E423" s="5"/>
      <c r="H423" s="19">
        <v>421</v>
      </c>
      <c r="R423" s="19">
        <v>421</v>
      </c>
    </row>
    <row r="424" spans="5:18" x14ac:dyDescent="0.15">
      <c r="E424" s="5"/>
      <c r="H424" s="19">
        <v>422</v>
      </c>
      <c r="R424" s="19">
        <v>422</v>
      </c>
    </row>
    <row r="425" spans="5:18" x14ac:dyDescent="0.15">
      <c r="E425" s="5"/>
      <c r="H425" s="19">
        <v>423</v>
      </c>
      <c r="R425" s="19">
        <v>423</v>
      </c>
    </row>
    <row r="426" spans="5:18" x14ac:dyDescent="0.15">
      <c r="E426" s="5"/>
      <c r="H426" s="19">
        <v>424</v>
      </c>
      <c r="R426" s="19">
        <v>424</v>
      </c>
    </row>
    <row r="427" spans="5:18" x14ac:dyDescent="0.15">
      <c r="E427" s="5"/>
      <c r="H427" s="19">
        <v>425</v>
      </c>
      <c r="R427" s="19">
        <v>425</v>
      </c>
    </row>
    <row r="428" spans="5:18" x14ac:dyDescent="0.15">
      <c r="E428" s="5"/>
      <c r="H428" s="19">
        <v>426</v>
      </c>
      <c r="R428" s="19">
        <v>426</v>
      </c>
    </row>
    <row r="429" spans="5:18" x14ac:dyDescent="0.15">
      <c r="E429" s="5"/>
      <c r="H429" s="19">
        <v>427</v>
      </c>
      <c r="R429" s="19">
        <v>427</v>
      </c>
    </row>
    <row r="430" spans="5:18" x14ac:dyDescent="0.15">
      <c r="E430" s="5"/>
      <c r="H430" s="19">
        <v>428</v>
      </c>
      <c r="R430" s="19">
        <v>428</v>
      </c>
    </row>
    <row r="431" spans="5:18" x14ac:dyDescent="0.15">
      <c r="E431" s="5"/>
      <c r="H431" s="19">
        <v>429</v>
      </c>
      <c r="R431" s="19">
        <v>429</v>
      </c>
    </row>
    <row r="432" spans="5:18" x14ac:dyDescent="0.15">
      <c r="E432" s="5"/>
      <c r="H432" s="19">
        <v>430</v>
      </c>
      <c r="R432" s="19">
        <v>430</v>
      </c>
    </row>
    <row r="433" spans="5:18" x14ac:dyDescent="0.15">
      <c r="E433" s="5"/>
      <c r="H433" s="19">
        <v>431</v>
      </c>
      <c r="R433" s="19">
        <v>431</v>
      </c>
    </row>
    <row r="434" spans="5:18" x14ac:dyDescent="0.15">
      <c r="E434" s="5"/>
      <c r="H434" s="19">
        <v>432</v>
      </c>
      <c r="R434" s="19">
        <v>432</v>
      </c>
    </row>
    <row r="435" spans="5:18" x14ac:dyDescent="0.15">
      <c r="E435" s="5"/>
      <c r="H435" s="19">
        <v>433</v>
      </c>
      <c r="R435" s="19">
        <v>433</v>
      </c>
    </row>
    <row r="436" spans="5:18" x14ac:dyDescent="0.15">
      <c r="E436" s="5"/>
      <c r="H436" s="19">
        <v>434</v>
      </c>
      <c r="R436" s="19">
        <v>434</v>
      </c>
    </row>
    <row r="437" spans="5:18" x14ac:dyDescent="0.15">
      <c r="E437" s="5"/>
      <c r="H437" s="19">
        <v>435</v>
      </c>
      <c r="R437" s="19">
        <v>435</v>
      </c>
    </row>
    <row r="438" spans="5:18" x14ac:dyDescent="0.15">
      <c r="E438" s="5"/>
      <c r="H438" s="19">
        <v>436</v>
      </c>
      <c r="R438" s="19">
        <v>436</v>
      </c>
    </row>
    <row r="439" spans="5:18" x14ac:dyDescent="0.15">
      <c r="E439" s="5"/>
      <c r="H439" s="19">
        <v>437</v>
      </c>
      <c r="R439" s="19">
        <v>437</v>
      </c>
    </row>
    <row r="440" spans="5:18" x14ac:dyDescent="0.15">
      <c r="E440" s="5"/>
      <c r="H440" s="19">
        <v>438</v>
      </c>
      <c r="R440" s="19">
        <v>438</v>
      </c>
    </row>
    <row r="441" spans="5:18" x14ac:dyDescent="0.15">
      <c r="E441" s="5"/>
      <c r="H441" s="19">
        <v>439</v>
      </c>
      <c r="R441" s="19">
        <v>439</v>
      </c>
    </row>
    <row r="442" spans="5:18" x14ac:dyDescent="0.15">
      <c r="E442" s="5"/>
      <c r="H442" s="19">
        <v>440</v>
      </c>
      <c r="R442" s="19">
        <v>440</v>
      </c>
    </row>
    <row r="443" spans="5:18" x14ac:dyDescent="0.15">
      <c r="E443" s="5"/>
      <c r="H443" s="19">
        <v>441</v>
      </c>
      <c r="R443" s="19">
        <v>441</v>
      </c>
    </row>
    <row r="444" spans="5:18" x14ac:dyDescent="0.15">
      <c r="E444" s="5"/>
      <c r="H444" s="19">
        <v>442</v>
      </c>
      <c r="R444" s="19">
        <v>442</v>
      </c>
    </row>
    <row r="445" spans="5:18" x14ac:dyDescent="0.15">
      <c r="E445" s="5"/>
      <c r="H445" s="19">
        <v>443</v>
      </c>
      <c r="R445" s="19">
        <v>443</v>
      </c>
    </row>
    <row r="446" spans="5:18" x14ac:dyDescent="0.15">
      <c r="E446" s="5"/>
      <c r="H446" s="19">
        <v>444</v>
      </c>
      <c r="R446" s="19">
        <v>444</v>
      </c>
    </row>
    <row r="447" spans="5:18" x14ac:dyDescent="0.15">
      <c r="E447" s="5"/>
      <c r="H447" s="19">
        <v>445</v>
      </c>
      <c r="R447" s="19">
        <v>445</v>
      </c>
    </row>
    <row r="448" spans="5:18" x14ac:dyDescent="0.15">
      <c r="E448" s="5"/>
      <c r="H448" s="19">
        <v>446</v>
      </c>
      <c r="R448" s="19">
        <v>446</v>
      </c>
    </row>
    <row r="449" spans="5:18" x14ac:dyDescent="0.15">
      <c r="E449" s="5"/>
      <c r="H449" s="19">
        <v>447</v>
      </c>
      <c r="R449" s="19">
        <v>447</v>
      </c>
    </row>
    <row r="450" spans="5:18" x14ac:dyDescent="0.15">
      <c r="E450" s="5"/>
      <c r="H450" s="19">
        <v>448</v>
      </c>
      <c r="R450" s="19">
        <v>448</v>
      </c>
    </row>
    <row r="451" spans="5:18" x14ac:dyDescent="0.15">
      <c r="E451" s="5"/>
      <c r="H451" s="19">
        <v>449</v>
      </c>
      <c r="R451" s="19">
        <v>449</v>
      </c>
    </row>
    <row r="452" spans="5:18" x14ac:dyDescent="0.15">
      <c r="E452" s="5"/>
      <c r="H452" s="19">
        <v>450</v>
      </c>
      <c r="R452" s="19">
        <v>450</v>
      </c>
    </row>
    <row r="453" spans="5:18" x14ac:dyDescent="0.15">
      <c r="E453" s="5"/>
      <c r="H453" s="19">
        <v>451</v>
      </c>
      <c r="R453" s="19">
        <v>451</v>
      </c>
    </row>
    <row r="454" spans="5:18" x14ac:dyDescent="0.15">
      <c r="E454" s="5"/>
      <c r="H454" s="19">
        <v>452</v>
      </c>
      <c r="R454" s="19">
        <v>452</v>
      </c>
    </row>
    <row r="455" spans="5:18" x14ac:dyDescent="0.15">
      <c r="E455" s="5"/>
      <c r="H455" s="19">
        <v>453</v>
      </c>
      <c r="R455" s="19">
        <v>453</v>
      </c>
    </row>
    <row r="456" spans="5:18" x14ac:dyDescent="0.15">
      <c r="E456" s="5"/>
      <c r="H456" s="19">
        <v>454</v>
      </c>
      <c r="R456" s="19">
        <v>454</v>
      </c>
    </row>
    <row r="457" spans="5:18" x14ac:dyDescent="0.15">
      <c r="E457" s="5"/>
      <c r="H457" s="19">
        <v>455</v>
      </c>
      <c r="R457" s="19">
        <v>455</v>
      </c>
    </row>
    <row r="458" spans="5:18" x14ac:dyDescent="0.15">
      <c r="E458" s="5"/>
      <c r="H458" s="19">
        <v>456</v>
      </c>
      <c r="R458" s="19">
        <v>456</v>
      </c>
    </row>
    <row r="459" spans="5:18" x14ac:dyDescent="0.15">
      <c r="E459" s="5"/>
      <c r="H459" s="19">
        <v>457</v>
      </c>
      <c r="R459" s="19">
        <v>457</v>
      </c>
    </row>
    <row r="460" spans="5:18" x14ac:dyDescent="0.15">
      <c r="E460" s="5"/>
      <c r="H460" s="19">
        <v>458</v>
      </c>
      <c r="R460" s="19">
        <v>458</v>
      </c>
    </row>
    <row r="461" spans="5:18" x14ac:dyDescent="0.15">
      <c r="E461" s="5"/>
      <c r="H461" s="19">
        <v>459</v>
      </c>
      <c r="R461" s="19">
        <v>459</v>
      </c>
    </row>
    <row r="462" spans="5:18" x14ac:dyDescent="0.15">
      <c r="E462" s="5"/>
      <c r="H462" s="19">
        <v>460</v>
      </c>
      <c r="R462" s="19">
        <v>460</v>
      </c>
    </row>
    <row r="463" spans="5:18" x14ac:dyDescent="0.15">
      <c r="E463" s="5"/>
      <c r="H463" s="19">
        <v>461</v>
      </c>
      <c r="R463" s="19">
        <v>461</v>
      </c>
    </row>
    <row r="464" spans="5:18" x14ac:dyDescent="0.15">
      <c r="E464" s="5"/>
      <c r="H464" s="19">
        <v>462</v>
      </c>
      <c r="R464" s="19">
        <v>462</v>
      </c>
    </row>
    <row r="465" spans="5:18" x14ac:dyDescent="0.15">
      <c r="E465" s="5"/>
      <c r="H465" s="19">
        <v>463</v>
      </c>
      <c r="R465" s="19">
        <v>463</v>
      </c>
    </row>
    <row r="466" spans="5:18" x14ac:dyDescent="0.15">
      <c r="E466" s="5"/>
      <c r="H466" s="19">
        <v>464</v>
      </c>
      <c r="R466" s="19">
        <v>464</v>
      </c>
    </row>
    <row r="467" spans="5:18" x14ac:dyDescent="0.15">
      <c r="E467" s="5"/>
      <c r="H467" s="19">
        <v>465</v>
      </c>
      <c r="R467" s="19">
        <v>465</v>
      </c>
    </row>
    <row r="468" spans="5:18" x14ac:dyDescent="0.15">
      <c r="E468" s="5"/>
      <c r="H468" s="19">
        <v>466</v>
      </c>
      <c r="R468" s="19">
        <v>466</v>
      </c>
    </row>
    <row r="469" spans="5:18" x14ac:dyDescent="0.15">
      <c r="E469" s="5"/>
      <c r="H469" s="19">
        <v>467</v>
      </c>
      <c r="R469" s="19">
        <v>467</v>
      </c>
    </row>
    <row r="470" spans="5:18" x14ac:dyDescent="0.15">
      <c r="E470" s="5"/>
      <c r="H470" s="19">
        <v>468</v>
      </c>
      <c r="R470" s="19">
        <v>468</v>
      </c>
    </row>
    <row r="471" spans="5:18" x14ac:dyDescent="0.15">
      <c r="E471" s="5"/>
      <c r="H471" s="19">
        <v>469</v>
      </c>
      <c r="R471" s="19">
        <v>469</v>
      </c>
    </row>
    <row r="472" spans="5:18" x14ac:dyDescent="0.15">
      <c r="E472" s="5"/>
      <c r="H472" s="19">
        <v>470</v>
      </c>
      <c r="R472" s="19">
        <v>470</v>
      </c>
    </row>
    <row r="473" spans="5:18" x14ac:dyDescent="0.15">
      <c r="E473" s="5"/>
      <c r="H473" s="19">
        <v>471</v>
      </c>
      <c r="R473" s="19">
        <v>471</v>
      </c>
    </row>
    <row r="474" spans="5:18" x14ac:dyDescent="0.15">
      <c r="E474" s="5"/>
      <c r="H474" s="19">
        <v>472</v>
      </c>
      <c r="R474" s="19">
        <v>472</v>
      </c>
    </row>
    <row r="475" spans="5:18" x14ac:dyDescent="0.15">
      <c r="E475" s="5"/>
      <c r="H475" s="19">
        <v>473</v>
      </c>
      <c r="R475" s="19">
        <v>473</v>
      </c>
    </row>
    <row r="476" spans="5:18" x14ac:dyDescent="0.15">
      <c r="E476" s="5"/>
      <c r="H476" s="19">
        <v>474</v>
      </c>
      <c r="R476" s="19">
        <v>474</v>
      </c>
    </row>
    <row r="477" spans="5:18" x14ac:dyDescent="0.15">
      <c r="E477" s="5"/>
      <c r="H477" s="19">
        <v>475</v>
      </c>
      <c r="R477" s="19">
        <v>475</v>
      </c>
    </row>
    <row r="478" spans="5:18" x14ac:dyDescent="0.15">
      <c r="E478" s="5"/>
      <c r="H478" s="19">
        <v>476</v>
      </c>
      <c r="R478" s="19">
        <v>476</v>
      </c>
    </row>
    <row r="479" spans="5:18" x14ac:dyDescent="0.15">
      <c r="E479" s="5"/>
      <c r="H479" s="19">
        <v>477</v>
      </c>
      <c r="R479" s="19">
        <v>477</v>
      </c>
    </row>
    <row r="480" spans="5:18" x14ac:dyDescent="0.15">
      <c r="E480" s="5"/>
      <c r="H480" s="19">
        <v>478</v>
      </c>
      <c r="R480" s="19">
        <v>478</v>
      </c>
    </row>
    <row r="481" spans="5:18" x14ac:dyDescent="0.15">
      <c r="E481" s="5"/>
      <c r="H481" s="19">
        <v>479</v>
      </c>
      <c r="R481" s="19">
        <v>479</v>
      </c>
    </row>
    <row r="482" spans="5:18" x14ac:dyDescent="0.15">
      <c r="E482" s="5"/>
      <c r="H482" s="19">
        <v>480</v>
      </c>
      <c r="R482" s="19">
        <v>480</v>
      </c>
    </row>
    <row r="483" spans="5:18" x14ac:dyDescent="0.15">
      <c r="E483" s="5"/>
      <c r="H483" s="19">
        <v>481</v>
      </c>
      <c r="R483" s="19">
        <v>481</v>
      </c>
    </row>
    <row r="484" spans="5:18" x14ac:dyDescent="0.15">
      <c r="E484" s="5"/>
      <c r="H484" s="19">
        <v>482</v>
      </c>
      <c r="R484" s="19">
        <v>482</v>
      </c>
    </row>
    <row r="485" spans="5:18" x14ac:dyDescent="0.15">
      <c r="E485" s="5"/>
      <c r="H485" s="19">
        <v>483</v>
      </c>
      <c r="R485" s="19">
        <v>483</v>
      </c>
    </row>
    <row r="486" spans="5:18" x14ac:dyDescent="0.15">
      <c r="E486" s="5"/>
      <c r="H486" s="19">
        <v>484</v>
      </c>
      <c r="R486" s="19">
        <v>484</v>
      </c>
    </row>
    <row r="487" spans="5:18" x14ac:dyDescent="0.15">
      <c r="E487" s="5"/>
      <c r="H487" s="19">
        <v>485</v>
      </c>
      <c r="R487" s="19">
        <v>485</v>
      </c>
    </row>
    <row r="488" spans="5:18" x14ac:dyDescent="0.15">
      <c r="E488" s="5"/>
      <c r="H488" s="19">
        <v>486</v>
      </c>
      <c r="R488" s="19">
        <v>486</v>
      </c>
    </row>
    <row r="489" spans="5:18" x14ac:dyDescent="0.15">
      <c r="E489" s="5"/>
      <c r="H489" s="19">
        <v>487</v>
      </c>
      <c r="R489" s="19">
        <v>487</v>
      </c>
    </row>
    <row r="490" spans="5:18" x14ac:dyDescent="0.15">
      <c r="E490" s="5"/>
      <c r="H490" s="19">
        <v>488</v>
      </c>
      <c r="R490" s="19">
        <v>488</v>
      </c>
    </row>
    <row r="491" spans="5:18" x14ac:dyDescent="0.15">
      <c r="E491" s="5"/>
      <c r="H491" s="19">
        <v>489</v>
      </c>
      <c r="R491" s="19">
        <v>489</v>
      </c>
    </row>
    <row r="492" spans="5:18" x14ac:dyDescent="0.15">
      <c r="E492" s="5"/>
      <c r="H492" s="19">
        <v>490</v>
      </c>
      <c r="R492" s="19">
        <v>490</v>
      </c>
    </row>
    <row r="493" spans="5:18" x14ac:dyDescent="0.15">
      <c r="E493" s="5"/>
      <c r="H493" s="19">
        <v>491</v>
      </c>
      <c r="R493" s="19">
        <v>491</v>
      </c>
    </row>
    <row r="494" spans="5:18" x14ac:dyDescent="0.15">
      <c r="E494" s="5"/>
      <c r="H494" s="19">
        <v>492</v>
      </c>
      <c r="R494" s="19">
        <v>492</v>
      </c>
    </row>
    <row r="495" spans="5:18" x14ac:dyDescent="0.15">
      <c r="E495" s="5"/>
      <c r="H495" s="19">
        <v>493</v>
      </c>
      <c r="R495" s="19">
        <v>493</v>
      </c>
    </row>
    <row r="496" spans="5:18" x14ac:dyDescent="0.15">
      <c r="E496" s="5"/>
      <c r="H496" s="19">
        <v>494</v>
      </c>
      <c r="R496" s="19">
        <v>494</v>
      </c>
    </row>
    <row r="497" spans="5:18" x14ac:dyDescent="0.15">
      <c r="E497" s="5"/>
      <c r="H497" s="19">
        <v>495</v>
      </c>
      <c r="R497" s="19">
        <v>495</v>
      </c>
    </row>
    <row r="498" spans="5:18" x14ac:dyDescent="0.15">
      <c r="E498" s="5"/>
      <c r="H498" s="19">
        <v>496</v>
      </c>
      <c r="R498" s="19">
        <v>496</v>
      </c>
    </row>
    <row r="499" spans="5:18" x14ac:dyDescent="0.15">
      <c r="E499" s="5"/>
      <c r="H499" s="19">
        <v>497</v>
      </c>
      <c r="R499" s="19">
        <v>497</v>
      </c>
    </row>
    <row r="500" spans="5:18" x14ac:dyDescent="0.15">
      <c r="E500" s="5"/>
      <c r="H500" s="19">
        <v>498</v>
      </c>
      <c r="R500" s="19">
        <v>498</v>
      </c>
    </row>
    <row r="501" spans="5:18" x14ac:dyDescent="0.15">
      <c r="E501" s="5"/>
      <c r="H501" s="19">
        <v>499</v>
      </c>
      <c r="R501" s="19">
        <v>499</v>
      </c>
    </row>
    <row r="502" spans="5:18" x14ac:dyDescent="0.15">
      <c r="E502" s="5"/>
      <c r="H502" s="19">
        <v>500</v>
      </c>
      <c r="R502" s="19">
        <v>500</v>
      </c>
    </row>
    <row r="503" spans="5:18" x14ac:dyDescent="0.15">
      <c r="E503" s="5"/>
      <c r="H503" s="19">
        <v>501</v>
      </c>
      <c r="R503" s="19">
        <v>501</v>
      </c>
    </row>
    <row r="504" spans="5:18" x14ac:dyDescent="0.15">
      <c r="E504" s="5"/>
      <c r="H504" s="19">
        <v>502</v>
      </c>
      <c r="R504" s="19">
        <v>502</v>
      </c>
    </row>
    <row r="505" spans="5:18" x14ac:dyDescent="0.15">
      <c r="E505" s="5"/>
      <c r="H505" s="19">
        <v>503</v>
      </c>
      <c r="R505" s="19">
        <v>503</v>
      </c>
    </row>
    <row r="506" spans="5:18" x14ac:dyDescent="0.15">
      <c r="E506" s="5"/>
      <c r="H506" s="19">
        <v>504</v>
      </c>
      <c r="R506" s="19">
        <v>504</v>
      </c>
    </row>
    <row r="507" spans="5:18" x14ac:dyDescent="0.15">
      <c r="E507" s="5"/>
      <c r="H507" s="19">
        <v>505</v>
      </c>
      <c r="R507" s="19">
        <v>505</v>
      </c>
    </row>
    <row r="508" spans="5:18" x14ac:dyDescent="0.15">
      <c r="E508" s="5"/>
      <c r="H508" s="19">
        <v>506</v>
      </c>
      <c r="R508" s="19">
        <v>506</v>
      </c>
    </row>
    <row r="509" spans="5:18" x14ac:dyDescent="0.15">
      <c r="E509" s="5"/>
      <c r="H509" s="19">
        <v>507</v>
      </c>
      <c r="R509" s="19">
        <v>507</v>
      </c>
    </row>
    <row r="510" spans="5:18" x14ac:dyDescent="0.15">
      <c r="E510" s="5"/>
      <c r="H510" s="19">
        <v>508</v>
      </c>
      <c r="R510" s="19">
        <v>508</v>
      </c>
    </row>
    <row r="511" spans="5:18" x14ac:dyDescent="0.15">
      <c r="E511" s="5"/>
      <c r="H511" s="19">
        <v>509</v>
      </c>
      <c r="R511" s="19">
        <v>509</v>
      </c>
    </row>
    <row r="512" spans="5:18" x14ac:dyDescent="0.15">
      <c r="E512" s="5"/>
      <c r="H512" s="19">
        <v>510</v>
      </c>
      <c r="R512" s="19">
        <v>510</v>
      </c>
    </row>
    <row r="513" spans="5:18" x14ac:dyDescent="0.15">
      <c r="E513" s="5"/>
      <c r="H513" s="19">
        <v>511</v>
      </c>
      <c r="R513" s="19">
        <v>511</v>
      </c>
    </row>
    <row r="514" spans="5:18" x14ac:dyDescent="0.15">
      <c r="E514" s="5"/>
      <c r="H514" s="19">
        <v>512</v>
      </c>
      <c r="R514" s="19">
        <v>512</v>
      </c>
    </row>
    <row r="515" spans="5:18" x14ac:dyDescent="0.15">
      <c r="E515" s="5"/>
      <c r="H515" s="19">
        <v>513</v>
      </c>
      <c r="R515" s="19">
        <v>513</v>
      </c>
    </row>
    <row r="516" spans="5:18" x14ac:dyDescent="0.15">
      <c r="E516" s="5"/>
      <c r="H516" s="19">
        <v>514</v>
      </c>
      <c r="R516" s="19">
        <v>514</v>
      </c>
    </row>
    <row r="517" spans="5:18" x14ac:dyDescent="0.15">
      <c r="E517" s="5"/>
      <c r="H517" s="19">
        <v>515</v>
      </c>
      <c r="R517" s="19">
        <v>515</v>
      </c>
    </row>
    <row r="518" spans="5:18" x14ac:dyDescent="0.15">
      <c r="E518" s="5"/>
      <c r="H518" s="19">
        <v>516</v>
      </c>
      <c r="R518" s="19">
        <v>516</v>
      </c>
    </row>
    <row r="519" spans="5:18" x14ac:dyDescent="0.15">
      <c r="E519" s="5"/>
      <c r="H519" s="19">
        <v>517</v>
      </c>
      <c r="R519" s="19">
        <v>517</v>
      </c>
    </row>
    <row r="520" spans="5:18" x14ac:dyDescent="0.15">
      <c r="E520" s="5"/>
      <c r="H520" s="19">
        <v>518</v>
      </c>
      <c r="R520" s="19">
        <v>518</v>
      </c>
    </row>
    <row r="521" spans="5:18" x14ac:dyDescent="0.15">
      <c r="E521" s="5"/>
      <c r="H521" s="19">
        <v>519</v>
      </c>
      <c r="R521" s="19">
        <v>519</v>
      </c>
    </row>
    <row r="522" spans="5:18" x14ac:dyDescent="0.15">
      <c r="E522" s="5"/>
      <c r="H522" s="19">
        <v>520</v>
      </c>
      <c r="R522" s="19">
        <v>520</v>
      </c>
    </row>
    <row r="523" spans="5:18" x14ac:dyDescent="0.15">
      <c r="E523" s="5"/>
      <c r="H523" s="19">
        <v>521</v>
      </c>
      <c r="R523" s="19">
        <v>521</v>
      </c>
    </row>
    <row r="524" spans="5:18" x14ac:dyDescent="0.15">
      <c r="E524" s="5"/>
      <c r="H524" s="19">
        <v>522</v>
      </c>
      <c r="R524" s="19">
        <v>522</v>
      </c>
    </row>
    <row r="525" spans="5:18" x14ac:dyDescent="0.15">
      <c r="E525" s="5"/>
      <c r="H525" s="19">
        <v>523</v>
      </c>
      <c r="R525" s="19">
        <v>523</v>
      </c>
    </row>
    <row r="526" spans="5:18" x14ac:dyDescent="0.15">
      <c r="E526" s="5"/>
      <c r="H526" s="19">
        <v>524</v>
      </c>
      <c r="R526" s="19">
        <v>524</v>
      </c>
    </row>
    <row r="527" spans="5:18" x14ac:dyDescent="0.15">
      <c r="E527" s="5"/>
      <c r="H527" s="19">
        <v>525</v>
      </c>
      <c r="R527" s="19">
        <v>525</v>
      </c>
    </row>
    <row r="528" spans="5:18" x14ac:dyDescent="0.15">
      <c r="E528" s="5"/>
      <c r="H528" s="19">
        <v>526</v>
      </c>
      <c r="R528" s="19">
        <v>526</v>
      </c>
    </row>
    <row r="529" spans="5:18" x14ac:dyDescent="0.15">
      <c r="E529" s="5"/>
      <c r="H529" s="19">
        <v>527</v>
      </c>
      <c r="R529" s="19">
        <v>527</v>
      </c>
    </row>
    <row r="530" spans="5:18" x14ac:dyDescent="0.15">
      <c r="E530" s="5"/>
      <c r="H530" s="19">
        <v>528</v>
      </c>
      <c r="R530" s="19">
        <v>528</v>
      </c>
    </row>
    <row r="531" spans="5:18" x14ac:dyDescent="0.15">
      <c r="E531" s="5"/>
      <c r="H531" s="19">
        <v>529</v>
      </c>
      <c r="R531" s="19">
        <v>529</v>
      </c>
    </row>
    <row r="532" spans="5:18" x14ac:dyDescent="0.15">
      <c r="E532" s="5"/>
      <c r="H532" s="19">
        <v>530</v>
      </c>
      <c r="R532" s="19">
        <v>530</v>
      </c>
    </row>
    <row r="533" spans="5:18" x14ac:dyDescent="0.15">
      <c r="E533" s="5"/>
      <c r="H533" s="19">
        <v>531</v>
      </c>
      <c r="R533" s="19">
        <v>531</v>
      </c>
    </row>
    <row r="534" spans="5:18" x14ac:dyDescent="0.15">
      <c r="E534" s="5"/>
      <c r="H534" s="19">
        <v>532</v>
      </c>
      <c r="R534" s="19">
        <v>532</v>
      </c>
    </row>
    <row r="535" spans="5:18" x14ac:dyDescent="0.15">
      <c r="E535" s="5"/>
      <c r="H535" s="19">
        <v>533</v>
      </c>
      <c r="R535" s="19">
        <v>533</v>
      </c>
    </row>
    <row r="536" spans="5:18" x14ac:dyDescent="0.15">
      <c r="E536" s="5"/>
      <c r="H536" s="19">
        <v>534</v>
      </c>
      <c r="R536" s="19">
        <v>534</v>
      </c>
    </row>
    <row r="537" spans="5:18" x14ac:dyDescent="0.15">
      <c r="E537" s="5"/>
      <c r="H537" s="19">
        <v>535</v>
      </c>
      <c r="R537" s="19">
        <v>535</v>
      </c>
    </row>
    <row r="538" spans="5:18" x14ac:dyDescent="0.15">
      <c r="E538" s="5"/>
      <c r="H538" s="19">
        <v>536</v>
      </c>
      <c r="R538" s="19">
        <v>536</v>
      </c>
    </row>
    <row r="539" spans="5:18" x14ac:dyDescent="0.15">
      <c r="E539" s="5"/>
      <c r="H539" s="19">
        <v>537</v>
      </c>
      <c r="R539" s="19">
        <v>537</v>
      </c>
    </row>
    <row r="540" spans="5:18" x14ac:dyDescent="0.15">
      <c r="E540" s="5"/>
      <c r="H540" s="19">
        <v>538</v>
      </c>
      <c r="R540" s="19">
        <v>538</v>
      </c>
    </row>
    <row r="541" spans="5:18" x14ac:dyDescent="0.15">
      <c r="E541" s="5"/>
      <c r="H541" s="19">
        <v>539</v>
      </c>
      <c r="R541" s="19">
        <v>539</v>
      </c>
    </row>
    <row r="542" spans="5:18" x14ac:dyDescent="0.15">
      <c r="E542" s="5"/>
      <c r="H542" s="19">
        <v>540</v>
      </c>
      <c r="R542" s="19">
        <v>540</v>
      </c>
    </row>
    <row r="543" spans="5:18" x14ac:dyDescent="0.15">
      <c r="E543" s="5"/>
      <c r="H543" s="19">
        <v>541</v>
      </c>
      <c r="R543" s="19">
        <v>541</v>
      </c>
    </row>
    <row r="544" spans="5:18" x14ac:dyDescent="0.15">
      <c r="E544" s="5"/>
      <c r="H544" s="19">
        <v>542</v>
      </c>
      <c r="R544" s="19">
        <v>542</v>
      </c>
    </row>
    <row r="545" spans="5:18" x14ac:dyDescent="0.15">
      <c r="E545" s="5"/>
      <c r="H545" s="19">
        <v>543</v>
      </c>
      <c r="R545" s="19">
        <v>543</v>
      </c>
    </row>
    <row r="546" spans="5:18" x14ac:dyDescent="0.15">
      <c r="E546" s="5"/>
      <c r="H546" s="19">
        <v>544</v>
      </c>
      <c r="R546" s="19">
        <v>544</v>
      </c>
    </row>
    <row r="547" spans="5:18" x14ac:dyDescent="0.15">
      <c r="E547" s="5"/>
      <c r="H547" s="19">
        <v>545</v>
      </c>
      <c r="R547" s="19">
        <v>545</v>
      </c>
    </row>
    <row r="548" spans="5:18" x14ac:dyDescent="0.15">
      <c r="E548" s="5"/>
      <c r="H548" s="19">
        <v>546</v>
      </c>
      <c r="R548" s="19">
        <v>546</v>
      </c>
    </row>
    <row r="549" spans="5:18" x14ac:dyDescent="0.15">
      <c r="E549" s="5"/>
      <c r="H549" s="19">
        <v>547</v>
      </c>
      <c r="R549" s="19">
        <v>547</v>
      </c>
    </row>
    <row r="550" spans="5:18" x14ac:dyDescent="0.15">
      <c r="E550" s="5"/>
      <c r="H550" s="19">
        <v>548</v>
      </c>
      <c r="R550" s="19">
        <v>548</v>
      </c>
    </row>
    <row r="551" spans="5:18" x14ac:dyDescent="0.15">
      <c r="E551" s="5"/>
      <c r="H551" s="19">
        <v>549</v>
      </c>
      <c r="R551" s="19">
        <v>549</v>
      </c>
    </row>
    <row r="552" spans="5:18" x14ac:dyDescent="0.15">
      <c r="E552" s="5"/>
      <c r="H552" s="19">
        <v>550</v>
      </c>
      <c r="R552" s="19">
        <v>550</v>
      </c>
    </row>
    <row r="553" spans="5:18" x14ac:dyDescent="0.15">
      <c r="E553" s="5"/>
      <c r="H553" s="19">
        <v>551</v>
      </c>
      <c r="R553" s="19">
        <v>551</v>
      </c>
    </row>
    <row r="554" spans="5:18" x14ac:dyDescent="0.15">
      <c r="E554" s="5"/>
      <c r="H554" s="19">
        <v>552</v>
      </c>
      <c r="R554" s="19">
        <v>552</v>
      </c>
    </row>
    <row r="555" spans="5:18" x14ac:dyDescent="0.15">
      <c r="E555" s="5"/>
      <c r="H555" s="19">
        <v>553</v>
      </c>
      <c r="R555" s="19">
        <v>553</v>
      </c>
    </row>
    <row r="556" spans="5:18" x14ac:dyDescent="0.15">
      <c r="E556" s="5"/>
      <c r="H556" s="19">
        <v>554</v>
      </c>
      <c r="R556" s="19">
        <v>554</v>
      </c>
    </row>
    <row r="557" spans="5:18" x14ac:dyDescent="0.15">
      <c r="E557" s="5"/>
      <c r="H557" s="19">
        <v>555</v>
      </c>
      <c r="R557" s="19">
        <v>555</v>
      </c>
    </row>
    <row r="558" spans="5:18" x14ac:dyDescent="0.15">
      <c r="E558" s="5"/>
      <c r="H558" s="19">
        <v>556</v>
      </c>
      <c r="R558" s="19">
        <v>556</v>
      </c>
    </row>
    <row r="559" spans="5:18" x14ac:dyDescent="0.15">
      <c r="E559" s="5"/>
      <c r="H559" s="19">
        <v>557</v>
      </c>
      <c r="R559" s="19">
        <v>557</v>
      </c>
    </row>
    <row r="560" spans="5:18" x14ac:dyDescent="0.15">
      <c r="E560" s="5"/>
      <c r="H560" s="19">
        <v>558</v>
      </c>
      <c r="R560" s="19">
        <v>558</v>
      </c>
    </row>
    <row r="561" spans="5:18" x14ac:dyDescent="0.15">
      <c r="E561" s="5"/>
      <c r="H561" s="19">
        <v>559</v>
      </c>
      <c r="R561" s="19">
        <v>559</v>
      </c>
    </row>
    <row r="562" spans="5:18" x14ac:dyDescent="0.15">
      <c r="E562" s="5"/>
      <c r="H562" s="19">
        <v>560</v>
      </c>
      <c r="R562" s="19">
        <v>560</v>
      </c>
    </row>
    <row r="563" spans="5:18" x14ac:dyDescent="0.15">
      <c r="E563" s="5"/>
      <c r="H563" s="19">
        <v>561</v>
      </c>
      <c r="R563" s="19">
        <v>561</v>
      </c>
    </row>
    <row r="564" spans="5:18" x14ac:dyDescent="0.15">
      <c r="E564" s="5"/>
      <c r="H564" s="19">
        <v>562</v>
      </c>
      <c r="R564" s="19">
        <v>562</v>
      </c>
    </row>
    <row r="565" spans="5:18" x14ac:dyDescent="0.15">
      <c r="E565" s="5"/>
      <c r="H565" s="19">
        <v>563</v>
      </c>
      <c r="R565" s="19">
        <v>563</v>
      </c>
    </row>
    <row r="566" spans="5:18" x14ac:dyDescent="0.15">
      <c r="E566" s="5"/>
      <c r="H566" s="19">
        <v>564</v>
      </c>
      <c r="R566" s="19">
        <v>564</v>
      </c>
    </row>
    <row r="567" spans="5:18" x14ac:dyDescent="0.15">
      <c r="E567" s="5"/>
      <c r="H567" s="19">
        <v>565</v>
      </c>
      <c r="R567" s="19">
        <v>565</v>
      </c>
    </row>
    <row r="568" spans="5:18" x14ac:dyDescent="0.15">
      <c r="E568" s="5"/>
      <c r="H568" s="19">
        <v>566</v>
      </c>
      <c r="R568" s="19">
        <v>566</v>
      </c>
    </row>
    <row r="569" spans="5:18" x14ac:dyDescent="0.15">
      <c r="E569" s="5"/>
      <c r="H569" s="19">
        <v>567</v>
      </c>
      <c r="R569" s="19">
        <v>567</v>
      </c>
    </row>
    <row r="570" spans="5:18" x14ac:dyDescent="0.15">
      <c r="E570" s="5"/>
      <c r="H570" s="19">
        <v>568</v>
      </c>
      <c r="R570" s="19">
        <v>568</v>
      </c>
    </row>
    <row r="571" spans="5:18" x14ac:dyDescent="0.15">
      <c r="E571" s="5"/>
      <c r="H571" s="19">
        <v>569</v>
      </c>
      <c r="R571" s="19">
        <v>569</v>
      </c>
    </row>
    <row r="572" spans="5:18" x14ac:dyDescent="0.15">
      <c r="E572" s="5"/>
      <c r="H572" s="19">
        <v>570</v>
      </c>
      <c r="R572" s="19">
        <v>570</v>
      </c>
    </row>
    <row r="573" spans="5:18" x14ac:dyDescent="0.15">
      <c r="E573" s="5"/>
      <c r="H573" s="19">
        <v>571</v>
      </c>
      <c r="R573" s="19">
        <v>571</v>
      </c>
    </row>
    <row r="574" spans="5:18" x14ac:dyDescent="0.15">
      <c r="E574" s="5"/>
      <c r="H574" s="19">
        <v>572</v>
      </c>
      <c r="R574" s="19">
        <v>572</v>
      </c>
    </row>
    <row r="575" spans="5:18" x14ac:dyDescent="0.15">
      <c r="E575" s="5"/>
      <c r="H575" s="19">
        <v>573</v>
      </c>
      <c r="R575" s="19">
        <v>573</v>
      </c>
    </row>
    <row r="576" spans="5:18" x14ac:dyDescent="0.15">
      <c r="E576" s="5"/>
      <c r="H576" s="19">
        <v>574</v>
      </c>
      <c r="R576" s="19">
        <v>574</v>
      </c>
    </row>
    <row r="577" spans="5:18" x14ac:dyDescent="0.15">
      <c r="E577" s="5"/>
      <c r="H577" s="19">
        <v>575</v>
      </c>
      <c r="R577" s="19">
        <v>575</v>
      </c>
    </row>
    <row r="578" spans="5:18" x14ac:dyDescent="0.15">
      <c r="E578" s="5"/>
      <c r="H578" s="19">
        <v>576</v>
      </c>
      <c r="R578" s="19">
        <v>576</v>
      </c>
    </row>
    <row r="579" spans="5:18" x14ac:dyDescent="0.15">
      <c r="E579" s="5"/>
      <c r="H579" s="19">
        <v>577</v>
      </c>
      <c r="R579" s="19">
        <v>577</v>
      </c>
    </row>
    <row r="580" spans="5:18" x14ac:dyDescent="0.15">
      <c r="E580" s="5"/>
      <c r="H580" s="19">
        <v>578</v>
      </c>
      <c r="R580" s="19">
        <v>578</v>
      </c>
    </row>
    <row r="581" spans="5:18" x14ac:dyDescent="0.15">
      <c r="E581" s="5"/>
      <c r="H581" s="19">
        <v>579</v>
      </c>
      <c r="R581" s="19">
        <v>579</v>
      </c>
    </row>
    <row r="582" spans="5:18" x14ac:dyDescent="0.15">
      <c r="E582" s="5"/>
      <c r="H582" s="19">
        <v>580</v>
      </c>
      <c r="R582" s="19">
        <v>580</v>
      </c>
    </row>
    <row r="583" spans="5:18" x14ac:dyDescent="0.15">
      <c r="E583" s="5"/>
      <c r="H583" s="19">
        <v>581</v>
      </c>
      <c r="R583" s="19">
        <v>581</v>
      </c>
    </row>
    <row r="584" spans="5:18" x14ac:dyDescent="0.15">
      <c r="E584" s="5"/>
      <c r="H584" s="19">
        <v>582</v>
      </c>
      <c r="R584" s="19">
        <v>582</v>
      </c>
    </row>
    <row r="585" spans="5:18" x14ac:dyDescent="0.15">
      <c r="E585" s="5"/>
      <c r="H585" s="19">
        <v>583</v>
      </c>
      <c r="R585" s="19">
        <v>583</v>
      </c>
    </row>
    <row r="586" spans="5:18" x14ac:dyDescent="0.15">
      <c r="E586" s="5"/>
      <c r="H586" s="19">
        <v>584</v>
      </c>
      <c r="R586" s="19">
        <v>584</v>
      </c>
    </row>
    <row r="587" spans="5:18" x14ac:dyDescent="0.15">
      <c r="E587" s="5"/>
      <c r="H587" s="19">
        <v>585</v>
      </c>
      <c r="R587" s="19">
        <v>585</v>
      </c>
    </row>
    <row r="588" spans="5:18" x14ac:dyDescent="0.15">
      <c r="E588" s="5"/>
      <c r="H588" s="19">
        <v>586</v>
      </c>
      <c r="R588" s="19">
        <v>586</v>
      </c>
    </row>
    <row r="589" spans="5:18" x14ac:dyDescent="0.15">
      <c r="E589" s="5"/>
      <c r="H589" s="19">
        <v>587</v>
      </c>
      <c r="R589" s="19">
        <v>587</v>
      </c>
    </row>
    <row r="590" spans="5:18" x14ac:dyDescent="0.15">
      <c r="E590" s="5"/>
      <c r="H590" s="19">
        <v>588</v>
      </c>
      <c r="R590" s="19">
        <v>588</v>
      </c>
    </row>
    <row r="591" spans="5:18" x14ac:dyDescent="0.15">
      <c r="E591" s="5"/>
      <c r="H591" s="19">
        <v>589</v>
      </c>
      <c r="R591" s="19">
        <v>589</v>
      </c>
    </row>
    <row r="592" spans="5:18" x14ac:dyDescent="0.15">
      <c r="E592" s="5"/>
      <c r="H592" s="19">
        <v>590</v>
      </c>
      <c r="R592" s="19">
        <v>590</v>
      </c>
    </row>
    <row r="593" spans="5:18" x14ac:dyDescent="0.15">
      <c r="E593" s="5"/>
      <c r="H593" s="19">
        <v>591</v>
      </c>
      <c r="R593" s="19">
        <v>591</v>
      </c>
    </row>
    <row r="594" spans="5:18" x14ac:dyDescent="0.15">
      <c r="E594" s="5"/>
      <c r="H594" s="19">
        <v>592</v>
      </c>
      <c r="R594" s="19">
        <v>592</v>
      </c>
    </row>
    <row r="595" spans="5:18" x14ac:dyDescent="0.15">
      <c r="E595" s="5"/>
      <c r="H595" s="19">
        <v>593</v>
      </c>
      <c r="R595" s="19">
        <v>593</v>
      </c>
    </row>
    <row r="596" spans="5:18" x14ac:dyDescent="0.15">
      <c r="E596" s="5"/>
      <c r="H596" s="19">
        <v>594</v>
      </c>
      <c r="R596" s="19">
        <v>594</v>
      </c>
    </row>
    <row r="597" spans="5:18" x14ac:dyDescent="0.15">
      <c r="E597" s="5"/>
      <c r="H597" s="19">
        <v>595</v>
      </c>
      <c r="R597" s="19">
        <v>595</v>
      </c>
    </row>
    <row r="598" spans="5:18" x14ac:dyDescent="0.15">
      <c r="E598" s="5"/>
      <c r="H598" s="19">
        <v>596</v>
      </c>
      <c r="R598" s="19">
        <v>596</v>
      </c>
    </row>
    <row r="599" spans="5:18" x14ac:dyDescent="0.15">
      <c r="E599" s="5"/>
      <c r="H599" s="19">
        <v>597</v>
      </c>
      <c r="R599" s="19">
        <v>597</v>
      </c>
    </row>
    <row r="600" spans="5:18" x14ac:dyDescent="0.15">
      <c r="E600" s="5"/>
      <c r="H600" s="19">
        <v>598</v>
      </c>
      <c r="R600" s="19">
        <v>598</v>
      </c>
    </row>
    <row r="601" spans="5:18" x14ac:dyDescent="0.15">
      <c r="E601" s="5"/>
      <c r="H601" s="19">
        <v>599</v>
      </c>
      <c r="R601" s="19">
        <v>599</v>
      </c>
    </row>
    <row r="602" spans="5:18" x14ac:dyDescent="0.15">
      <c r="E602" s="5"/>
      <c r="H602" s="19">
        <v>600</v>
      </c>
      <c r="R602" s="19">
        <v>600</v>
      </c>
    </row>
    <row r="603" spans="5:18" x14ac:dyDescent="0.15">
      <c r="E603" s="5"/>
      <c r="H603" s="19">
        <v>601</v>
      </c>
      <c r="R603" s="19">
        <v>601</v>
      </c>
    </row>
    <row r="604" spans="5:18" x14ac:dyDescent="0.15">
      <c r="E604" s="5"/>
      <c r="H604" s="19">
        <v>602</v>
      </c>
      <c r="R604" s="19">
        <v>602</v>
      </c>
    </row>
    <row r="605" spans="5:18" x14ac:dyDescent="0.15">
      <c r="E605" s="5"/>
      <c r="H605" s="19">
        <v>603</v>
      </c>
      <c r="R605" s="19">
        <v>603</v>
      </c>
    </row>
    <row r="606" spans="5:18" x14ac:dyDescent="0.15">
      <c r="E606" s="5"/>
      <c r="H606" s="19">
        <v>604</v>
      </c>
      <c r="R606" s="19">
        <v>604</v>
      </c>
    </row>
    <row r="607" spans="5:18" x14ac:dyDescent="0.15">
      <c r="E607" s="5"/>
      <c r="H607" s="19">
        <v>605</v>
      </c>
      <c r="R607" s="19">
        <v>605</v>
      </c>
    </row>
    <row r="608" spans="5:18" x14ac:dyDescent="0.15">
      <c r="E608" s="5"/>
      <c r="H608" s="19">
        <v>606</v>
      </c>
      <c r="R608" s="19">
        <v>606</v>
      </c>
    </row>
    <row r="609" spans="5:18" x14ac:dyDescent="0.15">
      <c r="E609" s="5"/>
      <c r="H609" s="19">
        <v>607</v>
      </c>
      <c r="R609" s="19">
        <v>607</v>
      </c>
    </row>
    <row r="610" spans="5:18" x14ac:dyDescent="0.15">
      <c r="E610" s="5"/>
      <c r="H610" s="19">
        <v>608</v>
      </c>
      <c r="R610" s="19">
        <v>608</v>
      </c>
    </row>
    <row r="611" spans="5:18" x14ac:dyDescent="0.15">
      <c r="E611" s="5"/>
      <c r="H611" s="19">
        <v>609</v>
      </c>
      <c r="R611" s="19">
        <v>609</v>
      </c>
    </row>
    <row r="612" spans="5:18" x14ac:dyDescent="0.15">
      <c r="E612" s="5"/>
      <c r="H612" s="19">
        <v>610</v>
      </c>
      <c r="R612" s="19">
        <v>610</v>
      </c>
    </row>
    <row r="613" spans="5:18" x14ac:dyDescent="0.15">
      <c r="E613" s="5"/>
      <c r="H613" s="19">
        <v>611</v>
      </c>
      <c r="R613" s="19">
        <v>611</v>
      </c>
    </row>
    <row r="614" spans="5:18" x14ac:dyDescent="0.15">
      <c r="E614" s="5"/>
      <c r="H614" s="19">
        <v>612</v>
      </c>
      <c r="R614" s="19">
        <v>612</v>
      </c>
    </row>
    <row r="615" spans="5:18" x14ac:dyDescent="0.15">
      <c r="E615" s="5"/>
      <c r="H615" s="19">
        <v>613</v>
      </c>
      <c r="R615" s="19">
        <v>613</v>
      </c>
    </row>
    <row r="616" spans="5:18" x14ac:dyDescent="0.15">
      <c r="E616" s="5"/>
      <c r="H616" s="19">
        <v>614</v>
      </c>
      <c r="R616" s="19">
        <v>614</v>
      </c>
    </row>
    <row r="617" spans="5:18" x14ac:dyDescent="0.15">
      <c r="E617" s="5"/>
      <c r="H617" s="19">
        <v>615</v>
      </c>
      <c r="R617" s="19">
        <v>615</v>
      </c>
    </row>
    <row r="618" spans="5:18" x14ac:dyDescent="0.15">
      <c r="E618" s="5"/>
      <c r="H618" s="19">
        <v>616</v>
      </c>
      <c r="R618" s="19">
        <v>616</v>
      </c>
    </row>
    <row r="619" spans="5:18" x14ac:dyDescent="0.15">
      <c r="E619" s="5"/>
      <c r="H619" s="19">
        <v>617</v>
      </c>
      <c r="R619" s="19">
        <v>617</v>
      </c>
    </row>
    <row r="620" spans="5:18" x14ac:dyDescent="0.15">
      <c r="E620" s="5"/>
      <c r="H620" s="19">
        <v>618</v>
      </c>
      <c r="R620" s="19">
        <v>618</v>
      </c>
    </row>
    <row r="621" spans="5:18" x14ac:dyDescent="0.15">
      <c r="E621" s="5"/>
      <c r="H621" s="19">
        <v>619</v>
      </c>
      <c r="R621" s="19">
        <v>619</v>
      </c>
    </row>
    <row r="622" spans="5:18" x14ac:dyDescent="0.15">
      <c r="E622" s="5"/>
      <c r="H622" s="19">
        <v>620</v>
      </c>
      <c r="R622" s="19">
        <v>620</v>
      </c>
    </row>
    <row r="623" spans="5:18" x14ac:dyDescent="0.15">
      <c r="E623" s="5"/>
      <c r="H623" s="19">
        <v>621</v>
      </c>
      <c r="R623" s="19">
        <v>621</v>
      </c>
    </row>
    <row r="624" spans="5:18" x14ac:dyDescent="0.15">
      <c r="E624" s="5"/>
      <c r="H624" s="19">
        <v>622</v>
      </c>
      <c r="R624" s="19">
        <v>622</v>
      </c>
    </row>
    <row r="625" spans="5:18" x14ac:dyDescent="0.15">
      <c r="E625" s="5"/>
      <c r="H625" s="19">
        <v>623</v>
      </c>
      <c r="R625" s="19">
        <v>623</v>
      </c>
    </row>
    <row r="626" spans="5:18" x14ac:dyDescent="0.15">
      <c r="E626" s="5"/>
      <c r="H626" s="19">
        <v>624</v>
      </c>
      <c r="R626" s="19">
        <v>624</v>
      </c>
    </row>
    <row r="627" spans="5:18" x14ac:dyDescent="0.15">
      <c r="E627" s="5"/>
      <c r="H627" s="19">
        <v>625</v>
      </c>
      <c r="R627" s="19">
        <v>625</v>
      </c>
    </row>
    <row r="628" spans="5:18" x14ac:dyDescent="0.15">
      <c r="E628" s="5"/>
      <c r="H628" s="19">
        <v>626</v>
      </c>
      <c r="R628" s="19">
        <v>626</v>
      </c>
    </row>
    <row r="629" spans="5:18" x14ac:dyDescent="0.15">
      <c r="E629" s="5"/>
      <c r="H629" s="19">
        <v>627</v>
      </c>
      <c r="R629" s="19">
        <v>627</v>
      </c>
    </row>
    <row r="630" spans="5:18" x14ac:dyDescent="0.15">
      <c r="E630" s="5"/>
      <c r="H630" s="19">
        <v>628</v>
      </c>
      <c r="R630" s="19">
        <v>628</v>
      </c>
    </row>
    <row r="631" spans="5:18" x14ac:dyDescent="0.15">
      <c r="E631" s="5"/>
      <c r="H631" s="19">
        <v>629</v>
      </c>
      <c r="R631" s="19">
        <v>629</v>
      </c>
    </row>
    <row r="632" spans="5:18" x14ac:dyDescent="0.15">
      <c r="E632" s="5"/>
      <c r="H632" s="19">
        <v>630</v>
      </c>
      <c r="R632" s="19">
        <v>630</v>
      </c>
    </row>
    <row r="633" spans="5:18" x14ac:dyDescent="0.15">
      <c r="E633" s="5"/>
      <c r="H633" s="19">
        <v>631</v>
      </c>
      <c r="R633" s="19">
        <v>631</v>
      </c>
    </row>
    <row r="634" spans="5:18" x14ac:dyDescent="0.15">
      <c r="E634" s="5"/>
      <c r="H634" s="19">
        <v>632</v>
      </c>
      <c r="R634" s="19">
        <v>632</v>
      </c>
    </row>
    <row r="635" spans="5:18" x14ac:dyDescent="0.15">
      <c r="E635" s="5"/>
      <c r="H635" s="19">
        <v>633</v>
      </c>
      <c r="R635" s="19">
        <v>633</v>
      </c>
    </row>
    <row r="636" spans="5:18" x14ac:dyDescent="0.15">
      <c r="E636" s="5"/>
      <c r="H636" s="19">
        <v>634</v>
      </c>
      <c r="R636" s="19">
        <v>634</v>
      </c>
    </row>
    <row r="637" spans="5:18" x14ac:dyDescent="0.15">
      <c r="E637" s="5"/>
      <c r="H637" s="19">
        <v>635</v>
      </c>
      <c r="R637" s="19">
        <v>635</v>
      </c>
    </row>
    <row r="638" spans="5:18" x14ac:dyDescent="0.15">
      <c r="E638" s="5"/>
      <c r="H638" s="19">
        <v>636</v>
      </c>
      <c r="R638" s="19">
        <v>636</v>
      </c>
    </row>
    <row r="639" spans="5:18" x14ac:dyDescent="0.15">
      <c r="E639" s="5"/>
      <c r="H639" s="19">
        <v>637</v>
      </c>
      <c r="R639" s="19">
        <v>637</v>
      </c>
    </row>
    <row r="640" spans="5:18" x14ac:dyDescent="0.15">
      <c r="E640" s="5"/>
      <c r="H640" s="19">
        <v>638</v>
      </c>
      <c r="R640" s="19">
        <v>638</v>
      </c>
    </row>
    <row r="641" spans="5:18" x14ac:dyDescent="0.15">
      <c r="E641" s="5"/>
      <c r="H641" s="19">
        <v>639</v>
      </c>
      <c r="R641" s="19">
        <v>639</v>
      </c>
    </row>
    <row r="642" spans="5:18" x14ac:dyDescent="0.15">
      <c r="E642" s="5"/>
      <c r="H642" s="19">
        <v>640</v>
      </c>
      <c r="R642" s="19">
        <v>640</v>
      </c>
    </row>
    <row r="643" spans="5:18" x14ac:dyDescent="0.15">
      <c r="E643" s="5"/>
      <c r="H643" s="19">
        <v>641</v>
      </c>
      <c r="R643" s="19">
        <v>641</v>
      </c>
    </row>
    <row r="644" spans="5:18" x14ac:dyDescent="0.15">
      <c r="E644" s="5"/>
      <c r="H644" s="19">
        <v>642</v>
      </c>
      <c r="R644" s="19">
        <v>642</v>
      </c>
    </row>
    <row r="645" spans="5:18" x14ac:dyDescent="0.15">
      <c r="E645" s="5"/>
      <c r="H645" s="19">
        <v>643</v>
      </c>
      <c r="R645" s="19">
        <v>643</v>
      </c>
    </row>
    <row r="646" spans="5:18" x14ac:dyDescent="0.15">
      <c r="E646" s="5"/>
      <c r="H646" s="19">
        <v>644</v>
      </c>
      <c r="R646" s="19">
        <v>644</v>
      </c>
    </row>
    <row r="647" spans="5:18" x14ac:dyDescent="0.15">
      <c r="E647" s="5"/>
      <c r="H647" s="19">
        <v>645</v>
      </c>
      <c r="R647" s="19">
        <v>645</v>
      </c>
    </row>
    <row r="648" spans="5:18" x14ac:dyDescent="0.15">
      <c r="E648" s="5"/>
      <c r="H648" s="19">
        <v>646</v>
      </c>
      <c r="R648" s="19">
        <v>646</v>
      </c>
    </row>
    <row r="649" spans="5:18" x14ac:dyDescent="0.15">
      <c r="E649" s="5"/>
      <c r="H649" s="19">
        <v>647</v>
      </c>
      <c r="R649" s="19">
        <v>647</v>
      </c>
    </row>
    <row r="650" spans="5:18" x14ac:dyDescent="0.15">
      <c r="E650" s="5"/>
      <c r="H650" s="19">
        <v>648</v>
      </c>
      <c r="R650" s="19">
        <v>648</v>
      </c>
    </row>
    <row r="651" spans="5:18" x14ac:dyDescent="0.15">
      <c r="E651" s="5"/>
      <c r="H651" s="19">
        <v>649</v>
      </c>
      <c r="R651" s="19">
        <v>649</v>
      </c>
    </row>
    <row r="652" spans="5:18" x14ac:dyDescent="0.15">
      <c r="E652" s="5"/>
      <c r="H652" s="19">
        <v>650</v>
      </c>
      <c r="R652" s="19">
        <v>650</v>
      </c>
    </row>
    <row r="653" spans="5:18" x14ac:dyDescent="0.15">
      <c r="E653" s="5"/>
      <c r="H653" s="19">
        <v>651</v>
      </c>
      <c r="R653" s="19">
        <v>651</v>
      </c>
    </row>
    <row r="654" spans="5:18" x14ac:dyDescent="0.15">
      <c r="E654" s="5"/>
      <c r="H654" s="19">
        <v>652</v>
      </c>
      <c r="R654" s="19">
        <v>652</v>
      </c>
    </row>
    <row r="655" spans="5:18" x14ac:dyDescent="0.15">
      <c r="E655" s="5"/>
      <c r="H655" s="19">
        <v>653</v>
      </c>
      <c r="R655" s="19">
        <v>653</v>
      </c>
    </row>
    <row r="656" spans="5:18" x14ac:dyDescent="0.15">
      <c r="E656" s="5"/>
      <c r="H656" s="19">
        <v>654</v>
      </c>
      <c r="R656" s="19">
        <v>654</v>
      </c>
    </row>
    <row r="657" spans="5:18" x14ac:dyDescent="0.15">
      <c r="E657" s="5"/>
      <c r="H657" s="19">
        <v>655</v>
      </c>
      <c r="R657" s="19">
        <v>655</v>
      </c>
    </row>
    <row r="658" spans="5:18" x14ac:dyDescent="0.15">
      <c r="E658" s="5"/>
      <c r="H658" s="19">
        <v>656</v>
      </c>
      <c r="R658" s="19">
        <v>656</v>
      </c>
    </row>
    <row r="659" spans="5:18" x14ac:dyDescent="0.15">
      <c r="E659" s="5"/>
      <c r="H659" s="19">
        <v>657</v>
      </c>
      <c r="R659" s="19">
        <v>657</v>
      </c>
    </row>
    <row r="660" spans="5:18" x14ac:dyDescent="0.15">
      <c r="E660" s="5"/>
      <c r="H660" s="19">
        <v>658</v>
      </c>
      <c r="R660" s="19">
        <v>658</v>
      </c>
    </row>
    <row r="661" spans="5:18" x14ac:dyDescent="0.15">
      <c r="E661" s="5"/>
      <c r="H661" s="19">
        <v>659</v>
      </c>
      <c r="R661" s="19">
        <v>659</v>
      </c>
    </row>
    <row r="662" spans="5:18" x14ac:dyDescent="0.15">
      <c r="E662" s="5"/>
      <c r="H662" s="19">
        <v>660</v>
      </c>
      <c r="R662" s="19">
        <v>660</v>
      </c>
    </row>
    <row r="663" spans="5:18" x14ac:dyDescent="0.15">
      <c r="E663" s="5"/>
      <c r="H663" s="19">
        <v>661</v>
      </c>
      <c r="R663" s="19">
        <v>661</v>
      </c>
    </row>
    <row r="664" spans="5:18" x14ac:dyDescent="0.15">
      <c r="E664" s="5"/>
      <c r="H664" s="19">
        <v>662</v>
      </c>
      <c r="R664" s="19">
        <v>662</v>
      </c>
    </row>
    <row r="665" spans="5:18" x14ac:dyDescent="0.15">
      <c r="E665" s="5"/>
      <c r="H665" s="19">
        <v>663</v>
      </c>
      <c r="R665" s="19">
        <v>663</v>
      </c>
    </row>
    <row r="666" spans="5:18" x14ac:dyDescent="0.15">
      <c r="E666" s="5"/>
      <c r="H666" s="19">
        <v>664</v>
      </c>
      <c r="R666" s="19">
        <v>664</v>
      </c>
    </row>
    <row r="667" spans="5:18" x14ac:dyDescent="0.15">
      <c r="E667" s="5"/>
      <c r="H667" s="19">
        <v>665</v>
      </c>
      <c r="R667" s="19">
        <v>665</v>
      </c>
    </row>
    <row r="668" spans="5:18" x14ac:dyDescent="0.15">
      <c r="E668" s="5"/>
      <c r="H668" s="19">
        <v>666</v>
      </c>
      <c r="R668" s="19">
        <v>666</v>
      </c>
    </row>
    <row r="669" spans="5:18" x14ac:dyDescent="0.15">
      <c r="E669" s="5"/>
      <c r="H669" s="19">
        <v>667</v>
      </c>
      <c r="R669" s="19">
        <v>667</v>
      </c>
    </row>
    <row r="670" spans="5:18" x14ac:dyDescent="0.15">
      <c r="E670" s="5"/>
      <c r="H670" s="19">
        <v>668</v>
      </c>
      <c r="R670" s="19">
        <v>668</v>
      </c>
    </row>
    <row r="671" spans="5:18" x14ac:dyDescent="0.15">
      <c r="E671" s="5"/>
      <c r="H671" s="19">
        <v>669</v>
      </c>
      <c r="R671" s="19">
        <v>669</v>
      </c>
    </row>
    <row r="672" spans="5:18" x14ac:dyDescent="0.15">
      <c r="E672" s="5"/>
      <c r="H672" s="19">
        <v>670</v>
      </c>
      <c r="R672" s="19">
        <v>670</v>
      </c>
    </row>
    <row r="673" spans="5:18" x14ac:dyDescent="0.15">
      <c r="E673" s="5"/>
      <c r="H673" s="19">
        <v>671</v>
      </c>
      <c r="R673" s="19">
        <v>671</v>
      </c>
    </row>
    <row r="674" spans="5:18" x14ac:dyDescent="0.15">
      <c r="E674" s="5"/>
      <c r="H674" s="19">
        <v>672</v>
      </c>
      <c r="R674" s="19">
        <v>672</v>
      </c>
    </row>
    <row r="675" spans="5:18" x14ac:dyDescent="0.15">
      <c r="E675" s="5"/>
      <c r="H675" s="19">
        <v>673</v>
      </c>
      <c r="R675" s="19">
        <v>673</v>
      </c>
    </row>
    <row r="676" spans="5:18" x14ac:dyDescent="0.15">
      <c r="E676" s="5"/>
      <c r="H676" s="19">
        <v>674</v>
      </c>
      <c r="R676" s="19">
        <v>674</v>
      </c>
    </row>
    <row r="677" spans="5:18" x14ac:dyDescent="0.15">
      <c r="E677" s="5"/>
      <c r="H677" s="19">
        <v>675</v>
      </c>
      <c r="R677" s="19">
        <v>675</v>
      </c>
    </row>
    <row r="678" spans="5:18" x14ac:dyDescent="0.15">
      <c r="E678" s="5"/>
      <c r="H678" s="19">
        <v>676</v>
      </c>
      <c r="R678" s="19">
        <v>676</v>
      </c>
    </row>
    <row r="679" spans="5:18" x14ac:dyDescent="0.15">
      <c r="E679" s="5"/>
      <c r="H679" s="19">
        <v>677</v>
      </c>
      <c r="R679" s="19">
        <v>677</v>
      </c>
    </row>
    <row r="680" spans="5:18" x14ac:dyDescent="0.15">
      <c r="E680" s="5"/>
      <c r="H680" s="19">
        <v>678</v>
      </c>
      <c r="R680" s="19">
        <v>678</v>
      </c>
    </row>
    <row r="681" spans="5:18" x14ac:dyDescent="0.15">
      <c r="E681" s="5"/>
      <c r="H681" s="19">
        <v>679</v>
      </c>
      <c r="R681" s="19">
        <v>679</v>
      </c>
    </row>
    <row r="682" spans="5:18" x14ac:dyDescent="0.15">
      <c r="E682" s="5"/>
      <c r="H682" s="19">
        <v>680</v>
      </c>
      <c r="R682" s="19">
        <v>680</v>
      </c>
    </row>
    <row r="683" spans="5:18" x14ac:dyDescent="0.15">
      <c r="E683" s="5"/>
      <c r="H683" s="19">
        <v>681</v>
      </c>
      <c r="R683" s="19">
        <v>681</v>
      </c>
    </row>
    <row r="684" spans="5:18" x14ac:dyDescent="0.15">
      <c r="E684" s="5"/>
      <c r="H684" s="19">
        <v>682</v>
      </c>
      <c r="R684" s="19">
        <v>682</v>
      </c>
    </row>
    <row r="685" spans="5:18" x14ac:dyDescent="0.15">
      <c r="E685" s="5"/>
      <c r="H685" s="19">
        <v>683</v>
      </c>
      <c r="R685" s="19">
        <v>683</v>
      </c>
    </row>
    <row r="686" spans="5:18" x14ac:dyDescent="0.15">
      <c r="E686" s="5"/>
      <c r="H686" s="19">
        <v>684</v>
      </c>
      <c r="R686" s="19">
        <v>684</v>
      </c>
    </row>
    <row r="687" spans="5:18" x14ac:dyDescent="0.15">
      <c r="E687" s="5"/>
      <c r="H687" s="19">
        <v>685</v>
      </c>
      <c r="R687" s="19">
        <v>685</v>
      </c>
    </row>
    <row r="688" spans="5:18" x14ac:dyDescent="0.15">
      <c r="E688" s="5"/>
      <c r="H688" s="19">
        <v>686</v>
      </c>
      <c r="R688" s="19">
        <v>686</v>
      </c>
    </row>
    <row r="689" spans="5:18" x14ac:dyDescent="0.15">
      <c r="E689" s="5"/>
      <c r="H689" s="19">
        <v>687</v>
      </c>
      <c r="R689" s="19">
        <v>687</v>
      </c>
    </row>
    <row r="690" spans="5:18" x14ac:dyDescent="0.15">
      <c r="E690" s="5"/>
      <c r="H690" s="19">
        <v>688</v>
      </c>
      <c r="R690" s="19">
        <v>688</v>
      </c>
    </row>
    <row r="691" spans="5:18" x14ac:dyDescent="0.15">
      <c r="E691" s="5"/>
      <c r="H691" s="19">
        <v>689</v>
      </c>
      <c r="R691" s="19">
        <v>689</v>
      </c>
    </row>
    <row r="692" spans="5:18" x14ac:dyDescent="0.15">
      <c r="E692" s="5"/>
      <c r="H692" s="19">
        <v>690</v>
      </c>
      <c r="R692" s="19">
        <v>690</v>
      </c>
    </row>
    <row r="693" spans="5:18" x14ac:dyDescent="0.15">
      <c r="E693" s="5"/>
      <c r="H693" s="19">
        <v>691</v>
      </c>
      <c r="R693" s="19">
        <v>691</v>
      </c>
    </row>
    <row r="694" spans="5:18" x14ac:dyDescent="0.15">
      <c r="E694" s="5"/>
      <c r="H694" s="19">
        <v>692</v>
      </c>
      <c r="R694" s="19">
        <v>692</v>
      </c>
    </row>
    <row r="695" spans="5:18" x14ac:dyDescent="0.15">
      <c r="E695" s="5"/>
      <c r="H695" s="19">
        <v>693</v>
      </c>
      <c r="R695" s="19">
        <v>693</v>
      </c>
    </row>
    <row r="696" spans="5:18" x14ac:dyDescent="0.15">
      <c r="E696" s="5"/>
      <c r="H696" s="19">
        <v>694</v>
      </c>
      <c r="R696" s="19">
        <v>694</v>
      </c>
    </row>
    <row r="697" spans="5:18" x14ac:dyDescent="0.15">
      <c r="E697" s="5"/>
      <c r="H697" s="19">
        <v>695</v>
      </c>
      <c r="R697" s="19">
        <v>695</v>
      </c>
    </row>
    <row r="698" spans="5:18" x14ac:dyDescent="0.15">
      <c r="E698" s="5"/>
      <c r="H698" s="19">
        <v>696</v>
      </c>
      <c r="R698" s="19">
        <v>696</v>
      </c>
    </row>
    <row r="699" spans="5:18" x14ac:dyDescent="0.15">
      <c r="E699" s="5"/>
      <c r="H699" s="19">
        <v>697</v>
      </c>
      <c r="R699" s="19">
        <v>697</v>
      </c>
    </row>
    <row r="700" spans="5:18" x14ac:dyDescent="0.15">
      <c r="E700" s="5"/>
      <c r="H700" s="19">
        <v>698</v>
      </c>
      <c r="R700" s="19">
        <v>698</v>
      </c>
    </row>
    <row r="701" spans="5:18" x14ac:dyDescent="0.15">
      <c r="E701" s="5"/>
      <c r="H701" s="19">
        <v>699</v>
      </c>
      <c r="R701" s="19">
        <v>699</v>
      </c>
    </row>
    <row r="702" spans="5:18" x14ac:dyDescent="0.15">
      <c r="E702" s="5"/>
      <c r="H702" s="19">
        <v>700</v>
      </c>
      <c r="R702" s="19">
        <v>700</v>
      </c>
    </row>
    <row r="703" spans="5:18" x14ac:dyDescent="0.15">
      <c r="E703" s="5"/>
      <c r="H703" s="19">
        <v>701</v>
      </c>
      <c r="R703" s="19">
        <v>701</v>
      </c>
    </row>
    <row r="704" spans="5:18" x14ac:dyDescent="0.15">
      <c r="E704" s="5"/>
      <c r="H704" s="19">
        <v>702</v>
      </c>
      <c r="R704" s="19">
        <v>702</v>
      </c>
    </row>
    <row r="705" spans="5:18" x14ac:dyDescent="0.15">
      <c r="E705" s="5"/>
      <c r="H705" s="19">
        <v>703</v>
      </c>
      <c r="R705" s="19">
        <v>703</v>
      </c>
    </row>
    <row r="706" spans="5:18" x14ac:dyDescent="0.15">
      <c r="E706" s="5"/>
      <c r="H706" s="19">
        <v>704</v>
      </c>
      <c r="R706" s="19">
        <v>704</v>
      </c>
    </row>
    <row r="707" spans="5:18" x14ac:dyDescent="0.15">
      <c r="E707" s="5"/>
      <c r="H707" s="19">
        <v>705</v>
      </c>
      <c r="R707" s="19">
        <v>705</v>
      </c>
    </row>
    <row r="708" spans="5:18" x14ac:dyDescent="0.15">
      <c r="E708" s="5"/>
      <c r="H708" s="19">
        <v>706</v>
      </c>
      <c r="R708" s="19">
        <v>706</v>
      </c>
    </row>
    <row r="709" spans="5:18" x14ac:dyDescent="0.15">
      <c r="E709" s="5"/>
      <c r="H709" s="19">
        <v>707</v>
      </c>
      <c r="R709" s="19">
        <v>707</v>
      </c>
    </row>
    <row r="710" spans="5:18" x14ac:dyDescent="0.15">
      <c r="E710" s="5"/>
      <c r="H710" s="19">
        <v>708</v>
      </c>
      <c r="R710" s="19">
        <v>708</v>
      </c>
    </row>
    <row r="711" spans="5:18" x14ac:dyDescent="0.15">
      <c r="E711" s="5"/>
      <c r="H711" s="19">
        <v>709</v>
      </c>
      <c r="R711" s="19">
        <v>709</v>
      </c>
    </row>
    <row r="712" spans="5:18" x14ac:dyDescent="0.15">
      <c r="E712" s="5"/>
      <c r="H712" s="19">
        <v>710</v>
      </c>
      <c r="R712" s="19">
        <v>710</v>
      </c>
    </row>
    <row r="713" spans="5:18" x14ac:dyDescent="0.15">
      <c r="E713" s="5"/>
      <c r="H713" s="19">
        <v>711</v>
      </c>
      <c r="R713" s="19">
        <v>711</v>
      </c>
    </row>
    <row r="714" spans="5:18" x14ac:dyDescent="0.15">
      <c r="E714" s="5"/>
      <c r="H714" s="19">
        <v>712</v>
      </c>
      <c r="R714" s="19">
        <v>712</v>
      </c>
    </row>
    <row r="715" spans="5:18" x14ac:dyDescent="0.15">
      <c r="E715" s="5"/>
      <c r="H715" s="19">
        <v>713</v>
      </c>
      <c r="R715" s="19">
        <v>713</v>
      </c>
    </row>
    <row r="716" spans="5:18" x14ac:dyDescent="0.15">
      <c r="E716" s="5"/>
      <c r="H716" s="19">
        <v>714</v>
      </c>
      <c r="R716" s="19">
        <v>714</v>
      </c>
    </row>
    <row r="717" spans="5:18" x14ac:dyDescent="0.15">
      <c r="E717" s="5"/>
      <c r="H717" s="19">
        <v>715</v>
      </c>
      <c r="R717" s="19">
        <v>715</v>
      </c>
    </row>
    <row r="718" spans="5:18" x14ac:dyDescent="0.15">
      <c r="E718" s="5"/>
      <c r="H718" s="19">
        <v>716</v>
      </c>
      <c r="R718" s="19">
        <v>716</v>
      </c>
    </row>
    <row r="719" spans="5:18" x14ac:dyDescent="0.15">
      <c r="E719" s="5"/>
      <c r="H719" s="19">
        <v>717</v>
      </c>
      <c r="R719" s="19">
        <v>717</v>
      </c>
    </row>
    <row r="720" spans="5:18" x14ac:dyDescent="0.15">
      <c r="E720" s="5"/>
      <c r="H720" s="19">
        <v>718</v>
      </c>
      <c r="R720" s="19">
        <v>718</v>
      </c>
    </row>
    <row r="721" spans="5:18" x14ac:dyDescent="0.15">
      <c r="E721" s="5"/>
      <c r="H721" s="19">
        <v>719</v>
      </c>
      <c r="R721" s="19">
        <v>719</v>
      </c>
    </row>
    <row r="722" spans="5:18" x14ac:dyDescent="0.15">
      <c r="E722" s="5"/>
      <c r="H722" s="19">
        <v>720</v>
      </c>
      <c r="R722" s="19">
        <v>720</v>
      </c>
    </row>
    <row r="723" spans="5:18" x14ac:dyDescent="0.15">
      <c r="E723" s="5"/>
      <c r="H723" s="19">
        <v>721</v>
      </c>
      <c r="R723" s="19">
        <v>721</v>
      </c>
    </row>
    <row r="724" spans="5:18" x14ac:dyDescent="0.15">
      <c r="E724" s="5"/>
      <c r="H724" s="19">
        <v>722</v>
      </c>
      <c r="R724" s="19">
        <v>722</v>
      </c>
    </row>
    <row r="725" spans="5:18" x14ac:dyDescent="0.15">
      <c r="E725" s="5"/>
      <c r="H725" s="19">
        <v>723</v>
      </c>
      <c r="R725" s="19">
        <v>723</v>
      </c>
    </row>
    <row r="726" spans="5:18" x14ac:dyDescent="0.15">
      <c r="E726" s="5"/>
      <c r="H726" s="19">
        <v>724</v>
      </c>
      <c r="R726" s="19">
        <v>724</v>
      </c>
    </row>
    <row r="727" spans="5:18" x14ac:dyDescent="0.15">
      <c r="E727" s="5"/>
      <c r="H727" s="19">
        <v>725</v>
      </c>
      <c r="R727" s="19">
        <v>725</v>
      </c>
    </row>
    <row r="728" spans="5:18" x14ac:dyDescent="0.15">
      <c r="E728" s="5"/>
      <c r="H728" s="19">
        <v>726</v>
      </c>
      <c r="R728" s="19">
        <v>726</v>
      </c>
    </row>
    <row r="729" spans="5:18" x14ac:dyDescent="0.15">
      <c r="E729" s="5"/>
      <c r="H729" s="19">
        <v>727</v>
      </c>
      <c r="R729" s="19">
        <v>727</v>
      </c>
    </row>
    <row r="730" spans="5:18" x14ac:dyDescent="0.15">
      <c r="E730" s="5"/>
      <c r="H730" s="19">
        <v>728</v>
      </c>
      <c r="R730" s="19">
        <v>728</v>
      </c>
    </row>
    <row r="731" spans="5:18" x14ac:dyDescent="0.15">
      <c r="E731" s="5"/>
      <c r="H731" s="19">
        <v>729</v>
      </c>
      <c r="R731" s="19">
        <v>729</v>
      </c>
    </row>
    <row r="732" spans="5:18" x14ac:dyDescent="0.15">
      <c r="E732" s="5"/>
      <c r="H732" s="19">
        <v>730</v>
      </c>
      <c r="R732" s="19">
        <v>730</v>
      </c>
    </row>
    <row r="733" spans="5:18" x14ac:dyDescent="0.15">
      <c r="E733" s="5"/>
      <c r="H733" s="19">
        <v>731</v>
      </c>
      <c r="R733" s="19">
        <v>731</v>
      </c>
    </row>
    <row r="734" spans="5:18" x14ac:dyDescent="0.15">
      <c r="E734" s="5"/>
      <c r="H734" s="19">
        <v>732</v>
      </c>
      <c r="R734" s="19">
        <v>732</v>
      </c>
    </row>
    <row r="735" spans="5:18" x14ac:dyDescent="0.15">
      <c r="E735" s="5"/>
      <c r="H735" s="19">
        <v>733</v>
      </c>
      <c r="R735" s="19">
        <v>733</v>
      </c>
    </row>
    <row r="736" spans="5:18" x14ac:dyDescent="0.15">
      <c r="E736" s="5"/>
      <c r="H736" s="19">
        <v>734</v>
      </c>
      <c r="R736" s="19">
        <v>734</v>
      </c>
    </row>
    <row r="737" spans="5:18" x14ac:dyDescent="0.15">
      <c r="E737" s="5"/>
      <c r="H737" s="19">
        <v>735</v>
      </c>
      <c r="R737" s="19">
        <v>735</v>
      </c>
    </row>
    <row r="738" spans="5:18" x14ac:dyDescent="0.15">
      <c r="E738" s="5"/>
      <c r="H738" s="19">
        <v>736</v>
      </c>
      <c r="R738" s="19">
        <v>736</v>
      </c>
    </row>
    <row r="739" spans="5:18" x14ac:dyDescent="0.15">
      <c r="E739" s="5"/>
      <c r="H739" s="19">
        <v>737</v>
      </c>
      <c r="R739" s="19">
        <v>737</v>
      </c>
    </row>
    <row r="740" spans="5:18" x14ac:dyDescent="0.15">
      <c r="E740" s="5"/>
      <c r="H740" s="19">
        <v>738</v>
      </c>
      <c r="R740" s="19">
        <v>738</v>
      </c>
    </row>
    <row r="741" spans="5:18" x14ac:dyDescent="0.15">
      <c r="E741" s="5"/>
      <c r="H741" s="19">
        <v>739</v>
      </c>
      <c r="R741" s="19">
        <v>739</v>
      </c>
    </row>
    <row r="742" spans="5:18" x14ac:dyDescent="0.15">
      <c r="E742" s="5"/>
      <c r="H742" s="19">
        <v>740</v>
      </c>
      <c r="R742" s="19">
        <v>740</v>
      </c>
    </row>
    <row r="743" spans="5:18" x14ac:dyDescent="0.15">
      <c r="E743" s="5"/>
      <c r="H743" s="19">
        <v>741</v>
      </c>
      <c r="R743" s="19">
        <v>741</v>
      </c>
    </row>
    <row r="744" spans="5:18" x14ac:dyDescent="0.15">
      <c r="E744" s="5"/>
      <c r="H744" s="19">
        <v>742</v>
      </c>
      <c r="R744" s="19">
        <v>742</v>
      </c>
    </row>
    <row r="745" spans="5:18" x14ac:dyDescent="0.15">
      <c r="E745" s="5"/>
      <c r="H745" s="19">
        <v>743</v>
      </c>
      <c r="R745" s="19">
        <v>743</v>
      </c>
    </row>
    <row r="746" spans="5:18" x14ac:dyDescent="0.15">
      <c r="E746" s="5"/>
      <c r="H746" s="19">
        <v>744</v>
      </c>
      <c r="R746" s="19">
        <v>744</v>
      </c>
    </row>
    <row r="747" spans="5:18" x14ac:dyDescent="0.15">
      <c r="E747" s="5"/>
      <c r="H747" s="19">
        <v>745</v>
      </c>
      <c r="R747" s="19">
        <v>745</v>
      </c>
    </row>
    <row r="748" spans="5:18" x14ac:dyDescent="0.15">
      <c r="E748" s="5"/>
      <c r="H748" s="19">
        <v>746</v>
      </c>
      <c r="R748" s="19">
        <v>746</v>
      </c>
    </row>
    <row r="749" spans="5:18" x14ac:dyDescent="0.15">
      <c r="E749" s="5"/>
      <c r="H749" s="19">
        <v>747</v>
      </c>
      <c r="R749" s="19">
        <v>747</v>
      </c>
    </row>
    <row r="750" spans="5:18" x14ac:dyDescent="0.15">
      <c r="E750" s="5"/>
      <c r="H750" s="19">
        <v>748</v>
      </c>
      <c r="R750" s="19">
        <v>748</v>
      </c>
    </row>
  </sheetData>
  <autoFilter ref="A2:V750"/>
  <phoneticPr fontId="2" type="noConversion"/>
  <hyperlinks>
    <hyperlink ref="C1" r:id="rId1" display="雪球组合：wbb双低可转债ZH29827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Y743"/>
  <sheetViews>
    <sheetView tabSelected="1" workbookViewId="0">
      <pane ySplit="1" topLeftCell="A2" activePane="bottomLeft" state="frozen"/>
      <selection pane="bottomLeft" activeCell="J7" sqref="J7"/>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375" bestFit="1" customWidth="1"/>
    <col min="10" max="10" width="10.625" customWidth="1"/>
    <col min="11" max="11" width="8" style="57" customWidth="1"/>
    <col min="12" max="12" width="7.75" style="57" customWidth="1"/>
    <col min="13" max="13" width="8.75" style="57" customWidth="1"/>
    <col min="14" max="14" width="8.125" style="57" customWidth="1"/>
    <col min="15" max="16" width="8.375" style="57" customWidth="1"/>
    <col min="17" max="17" width="8.5" style="57" customWidth="1"/>
    <col min="18" max="18" width="8.625" style="57" customWidth="1"/>
    <col min="19" max="19" width="8.875" customWidth="1"/>
    <col min="20" max="20" width="9" customWidth="1"/>
    <col min="21" max="21" width="8" customWidth="1"/>
    <col min="22" max="22" width="11.625" style="20" customWidth="1"/>
  </cols>
  <sheetData>
    <row r="1" spans="1:25" s="21" customFormat="1" ht="53.25" customHeight="1" x14ac:dyDescent="0.15">
      <c r="A1" s="27" t="s">
        <v>264</v>
      </c>
      <c r="B1" s="22" t="s">
        <v>39</v>
      </c>
      <c r="C1" s="22" t="s">
        <v>38</v>
      </c>
      <c r="D1" s="22" t="s">
        <v>1668</v>
      </c>
      <c r="E1" s="25"/>
      <c r="F1" s="27" t="s">
        <v>760</v>
      </c>
      <c r="G1" s="23"/>
      <c r="H1" s="22" t="s">
        <v>39</v>
      </c>
      <c r="I1" s="22" t="s">
        <v>38</v>
      </c>
      <c r="J1" s="22" t="s">
        <v>37</v>
      </c>
      <c r="K1" s="59" t="s">
        <v>35</v>
      </c>
      <c r="L1" s="59" t="s">
        <v>1909</v>
      </c>
      <c r="M1" s="59" t="s">
        <v>1910</v>
      </c>
      <c r="N1" s="59" t="s">
        <v>36</v>
      </c>
      <c r="O1" s="59" t="s">
        <v>2052</v>
      </c>
      <c r="P1" s="59" t="s">
        <v>2053</v>
      </c>
      <c r="Q1" s="59" t="s">
        <v>2054</v>
      </c>
      <c r="R1" s="59" t="s">
        <v>2055</v>
      </c>
      <c r="S1" s="22" t="s">
        <v>34</v>
      </c>
      <c r="T1" s="22" t="s">
        <v>1662</v>
      </c>
      <c r="U1" s="22" t="s">
        <v>1663</v>
      </c>
      <c r="V1" s="24" t="s">
        <v>1664</v>
      </c>
      <c r="X1" s="50" t="s">
        <v>1901</v>
      </c>
    </row>
    <row r="2" spans="1:25" x14ac:dyDescent="0.15">
      <c r="A2">
        <v>1</v>
      </c>
      <c r="B2">
        <v>159981</v>
      </c>
      <c r="C2" t="s">
        <v>33</v>
      </c>
      <c r="D2">
        <f>MATCH(IF(B2&lt;499999,"SZ"&amp;B2,"SH"&amp;B2),$H$2:$H$2339,0)</f>
        <v>73</v>
      </c>
      <c r="G2" s="11">
        <v>1</v>
      </c>
      <c r="H2" s="10" t="s">
        <v>274</v>
      </c>
      <c r="I2" t="s">
        <v>844</v>
      </c>
      <c r="J2" t="s">
        <v>814</v>
      </c>
      <c r="K2" s="57">
        <v>-4.1599999999999998E-2</v>
      </c>
      <c r="L2" s="57">
        <v>3.0700000000000002E-2</v>
      </c>
      <c r="M2" s="57">
        <v>2.5700000000000001E-2</v>
      </c>
      <c r="N2" s="57">
        <v>0.10290000000000001</v>
      </c>
      <c r="O2" s="57">
        <v>0.23089999999999999</v>
      </c>
      <c r="P2" s="57">
        <v>2.5700000000000001E-2</v>
      </c>
      <c r="Q2" s="57">
        <v>-0.19470000000000001</v>
      </c>
      <c r="R2" s="57">
        <v>7.9600000000000004E-2</v>
      </c>
      <c r="S2">
        <v>100</v>
      </c>
      <c r="T2">
        <v>99.6</v>
      </c>
      <c r="U2">
        <v>99.33</v>
      </c>
      <c r="V2" s="20">
        <v>1254.0211999999999</v>
      </c>
      <c r="X2" s="9"/>
      <c r="Y2" s="9"/>
    </row>
    <row r="3" spans="1:25" x14ac:dyDescent="0.15">
      <c r="A3">
        <v>2</v>
      </c>
      <c r="B3">
        <v>160416</v>
      </c>
      <c r="C3" t="s">
        <v>32</v>
      </c>
      <c r="D3">
        <f>MATCH(IF(B3&lt;499999,"SZ"&amp;B3,"SH"&amp;B3),$H$2:$H$2339,0)</f>
        <v>2</v>
      </c>
      <c r="G3" s="11">
        <v>2</v>
      </c>
      <c r="H3" s="10" t="s">
        <v>340</v>
      </c>
      <c r="I3" t="s">
        <v>1196</v>
      </c>
      <c r="J3" t="s">
        <v>1192</v>
      </c>
      <c r="K3" s="57">
        <v>-1.3299999999999999E-2</v>
      </c>
      <c r="L3" s="57">
        <v>2.3199999999999998E-2</v>
      </c>
      <c r="M3" s="57">
        <v>8.3699999999999997E-2</v>
      </c>
      <c r="N3" s="57">
        <v>0.1197</v>
      </c>
      <c r="O3" s="57">
        <v>-9.7999999999999997E-3</v>
      </c>
      <c r="P3" s="57">
        <v>0.15740000000000001</v>
      </c>
      <c r="Q3" s="57">
        <v>0.38569999999999999</v>
      </c>
      <c r="R3" s="57">
        <v>0.66510000000000002</v>
      </c>
      <c r="S3">
        <v>99.87</v>
      </c>
      <c r="T3">
        <v>99.73</v>
      </c>
      <c r="U3">
        <v>97.17</v>
      </c>
      <c r="V3" s="20">
        <v>114.9362344</v>
      </c>
      <c r="X3" s="9"/>
      <c r="Y3" s="9"/>
    </row>
    <row r="4" spans="1:25" x14ac:dyDescent="0.15">
      <c r="A4">
        <v>3</v>
      </c>
      <c r="B4">
        <v>164906</v>
      </c>
      <c r="C4" t="s">
        <v>31</v>
      </c>
      <c r="D4">
        <f>MATCH(IF(B4&lt;499999,"SZ"&amp;B4,"SH"&amp;B4),$H$2:$H$2339,0)</f>
        <v>733</v>
      </c>
      <c r="G4" s="11">
        <v>3</v>
      </c>
      <c r="H4" s="10" t="s">
        <v>269</v>
      </c>
      <c r="I4" t="s">
        <v>1194</v>
      </c>
      <c r="J4" t="s">
        <v>1192</v>
      </c>
      <c r="K4" s="57">
        <v>-1.12E-2</v>
      </c>
      <c r="L4" s="57">
        <v>4.5699999999999998E-2</v>
      </c>
      <c r="M4" s="57">
        <v>0.15090000000000001</v>
      </c>
      <c r="N4" s="57">
        <v>0.1595</v>
      </c>
      <c r="O4" s="57">
        <v>1.15E-2</v>
      </c>
      <c r="P4" s="57">
        <v>0.43559999999999999</v>
      </c>
      <c r="Q4" s="57">
        <v>0.83830000000000005</v>
      </c>
      <c r="R4" s="57">
        <v>1.7246999999999999</v>
      </c>
      <c r="S4">
        <v>99.73</v>
      </c>
      <c r="T4">
        <v>100</v>
      </c>
      <c r="U4">
        <v>96.77</v>
      </c>
      <c r="V4" s="20">
        <v>5035.0085873999997</v>
      </c>
      <c r="X4" s="9"/>
      <c r="Y4" s="9"/>
    </row>
    <row r="5" spans="1:25" x14ac:dyDescent="0.15">
      <c r="A5">
        <v>4</v>
      </c>
      <c r="B5">
        <v>159985</v>
      </c>
      <c r="C5" t="s">
        <v>30</v>
      </c>
      <c r="D5">
        <f>MATCH(IF(B5&lt;499999,"SZ"&amp;B5,"SH"&amp;B5),$H$2:$H$2339,0)</f>
        <v>359</v>
      </c>
      <c r="G5" s="11">
        <v>4</v>
      </c>
      <c r="H5" s="10" t="s">
        <v>286</v>
      </c>
      <c r="I5" t="s">
        <v>832</v>
      </c>
      <c r="J5" t="s">
        <v>814</v>
      </c>
      <c r="K5" s="57">
        <v>-2.4799999999999999E-2</v>
      </c>
      <c r="L5" s="57">
        <v>5.0000000000000001E-4</v>
      </c>
      <c r="M5" s="57">
        <v>-3.5000000000000001E-3</v>
      </c>
      <c r="N5" s="57">
        <v>7.9899999999999999E-2</v>
      </c>
      <c r="O5" s="57">
        <v>0.31669999999999998</v>
      </c>
      <c r="P5" s="57">
        <v>5.0000000000000001E-3</v>
      </c>
      <c r="Q5" s="57">
        <v>-0.19620000000000001</v>
      </c>
      <c r="R5" s="57">
        <v>-1.09E-2</v>
      </c>
      <c r="S5">
        <v>99.6</v>
      </c>
      <c r="T5">
        <v>98.11</v>
      </c>
      <c r="U5">
        <v>98.11</v>
      </c>
      <c r="V5" s="20">
        <v>826.67190000000005</v>
      </c>
      <c r="X5" s="9"/>
      <c r="Y5" s="9"/>
    </row>
    <row r="6" spans="1:25" x14ac:dyDescent="0.15">
      <c r="A6">
        <v>5</v>
      </c>
      <c r="B6">
        <v>501046</v>
      </c>
      <c r="C6" t="s">
        <v>40</v>
      </c>
      <c r="D6">
        <f>MATCH(IF(B6&lt;499999,"SZ"&amp;B6,"SH"&amp;B6),$H$2:$H$2339,0)</f>
        <v>678</v>
      </c>
      <c r="G6" s="11">
        <v>5</v>
      </c>
      <c r="H6" s="10" t="s">
        <v>268</v>
      </c>
      <c r="I6" t="s">
        <v>24</v>
      </c>
      <c r="J6" t="s">
        <v>1192</v>
      </c>
      <c r="K6" s="57">
        <v>-1.0999999999999999E-2</v>
      </c>
      <c r="L6" s="57">
        <v>2.2200000000000001E-2</v>
      </c>
      <c r="M6" s="57">
        <v>9.6500000000000002E-2</v>
      </c>
      <c r="N6" s="57">
        <v>9.06E-2</v>
      </c>
      <c r="O6" s="57">
        <v>-3.6200000000000003E-2</v>
      </c>
      <c r="P6" s="57">
        <v>0.26219999999999999</v>
      </c>
      <c r="Q6" s="57">
        <v>0.62280000000000002</v>
      </c>
      <c r="R6" s="57">
        <v>1.0717000000000001</v>
      </c>
      <c r="S6">
        <v>99.46</v>
      </c>
      <c r="T6">
        <v>99.19</v>
      </c>
      <c r="U6">
        <v>96.63</v>
      </c>
      <c r="V6" s="20">
        <v>79.217748700000001</v>
      </c>
      <c r="X6" t="s">
        <v>2141</v>
      </c>
    </row>
    <row r="7" spans="1:25" x14ac:dyDescent="0.15">
      <c r="A7">
        <v>6</v>
      </c>
      <c r="B7">
        <v>159980</v>
      </c>
      <c r="C7" t="s">
        <v>29</v>
      </c>
      <c r="D7">
        <f>MATCH(IF(B7&lt;499999,"SZ"&amp;B7,"SH"&amp;B7),$H$2:$H$2339,0)</f>
        <v>17</v>
      </c>
      <c r="G7" s="11">
        <v>6</v>
      </c>
      <c r="H7" s="10" t="s">
        <v>265</v>
      </c>
      <c r="I7" t="s">
        <v>825</v>
      </c>
      <c r="J7" t="s">
        <v>814</v>
      </c>
      <c r="K7" s="57">
        <v>-2.0299999999999999E-2</v>
      </c>
      <c r="L7" s="57">
        <v>5.96E-2</v>
      </c>
      <c r="M7" s="57">
        <v>6.5299999999999997E-2</v>
      </c>
      <c r="N7" s="57">
        <v>7.9000000000000001E-2</v>
      </c>
      <c r="O7" s="57">
        <v>0.31290000000000001</v>
      </c>
      <c r="P7" s="57">
        <v>0.16400000000000001</v>
      </c>
      <c r="Q7" s="57">
        <v>1.8499999999999999E-2</v>
      </c>
      <c r="R7" s="57">
        <v>-1.78E-2</v>
      </c>
      <c r="S7">
        <v>99.33</v>
      </c>
      <c r="T7">
        <v>97.98</v>
      </c>
      <c r="U7">
        <v>97.84</v>
      </c>
      <c r="V7" s="20">
        <v>344.38400000000001</v>
      </c>
    </row>
    <row r="8" spans="1:25" x14ac:dyDescent="0.15">
      <c r="A8">
        <v>7</v>
      </c>
      <c r="B8">
        <v>160216</v>
      </c>
      <c r="C8" t="s">
        <v>28</v>
      </c>
      <c r="D8">
        <f>MATCH(IF(B8&lt;499999,"SZ"&amp;B8,"SH"&amp;B8),$H$2:$H$2339,0)</f>
        <v>131</v>
      </c>
      <c r="G8" s="11">
        <v>7</v>
      </c>
      <c r="H8" s="10" t="s">
        <v>755</v>
      </c>
      <c r="I8" t="s">
        <v>1193</v>
      </c>
      <c r="J8" t="s">
        <v>1192</v>
      </c>
      <c r="K8" s="57">
        <v>-9.1999999999999998E-3</v>
      </c>
      <c r="L8" s="57">
        <v>5.04E-2</v>
      </c>
      <c r="M8" s="57">
        <v>0.15329999999999999</v>
      </c>
      <c r="N8" s="57">
        <v>0.1517</v>
      </c>
      <c r="O8" s="57">
        <v>0</v>
      </c>
      <c r="P8" s="57">
        <v>0.34660000000000002</v>
      </c>
      <c r="Q8" s="57">
        <v>0.88029999999999997</v>
      </c>
      <c r="R8" s="57">
        <v>1.8082</v>
      </c>
      <c r="S8">
        <v>99.19</v>
      </c>
      <c r="T8">
        <v>99.87</v>
      </c>
      <c r="U8">
        <v>95.15</v>
      </c>
      <c r="V8" s="20">
        <v>521.82727299999999</v>
      </c>
    </row>
    <row r="9" spans="1:25" x14ac:dyDescent="0.15">
      <c r="A9">
        <v>8</v>
      </c>
      <c r="B9">
        <v>513680</v>
      </c>
      <c r="C9" t="s">
        <v>238</v>
      </c>
      <c r="D9">
        <f>MATCH(IF(B9&lt;499999,"SZ"&amp;B9,"SH"&amp;B9),$H$2:$H$2339,0)</f>
        <v>707</v>
      </c>
      <c r="G9" s="11">
        <v>8</v>
      </c>
      <c r="H9" s="10" t="s">
        <v>270</v>
      </c>
      <c r="I9" t="s">
        <v>845</v>
      </c>
      <c r="J9" t="s">
        <v>814</v>
      </c>
      <c r="K9" s="57">
        <v>-1.06E-2</v>
      </c>
      <c r="L9" s="57">
        <v>2.5100000000000001E-2</v>
      </c>
      <c r="M9" s="57">
        <v>3.3799999999999997E-2</v>
      </c>
      <c r="N9" s="57">
        <v>8.7499999999999994E-2</v>
      </c>
      <c r="O9" s="57">
        <v>0.2853</v>
      </c>
      <c r="P9" s="57">
        <v>0.1295</v>
      </c>
      <c r="Q9" s="57">
        <v>-9.2499999999999999E-2</v>
      </c>
      <c r="R9" s="57">
        <v>0.20749999999999999</v>
      </c>
      <c r="S9">
        <v>99.06</v>
      </c>
      <c r="T9">
        <v>98.65</v>
      </c>
      <c r="U9">
        <v>96.23</v>
      </c>
      <c r="V9" s="20">
        <v>1235.0694000000001</v>
      </c>
    </row>
    <row r="10" spans="1:25" x14ac:dyDescent="0.15">
      <c r="A10">
        <v>9</v>
      </c>
      <c r="B10">
        <v>160717</v>
      </c>
      <c r="C10" t="s">
        <v>25</v>
      </c>
      <c r="D10">
        <f>MATCH(IF(B10&lt;499999,"SZ"&amp;B10,"SH"&amp;B10),$H$2:$H$2339,0)</f>
        <v>386</v>
      </c>
      <c r="G10" s="11">
        <v>9</v>
      </c>
      <c r="H10" s="10" t="s">
        <v>272</v>
      </c>
      <c r="I10" t="s">
        <v>830</v>
      </c>
      <c r="J10" t="s">
        <v>814</v>
      </c>
      <c r="K10" s="57">
        <v>-4.2599999999999999E-2</v>
      </c>
      <c r="L10" s="57">
        <v>1.44E-2</v>
      </c>
      <c r="M10" s="57">
        <v>-6.0000000000000001E-3</v>
      </c>
      <c r="N10" s="57">
        <v>5.9799999999999999E-2</v>
      </c>
      <c r="O10" s="57">
        <v>0.3125</v>
      </c>
      <c r="P10" s="57">
        <v>9.7500000000000003E-2</v>
      </c>
      <c r="Q10" s="57">
        <v>-0.1363</v>
      </c>
      <c r="R10" s="57">
        <v>-5.1200000000000002E-2</v>
      </c>
      <c r="S10">
        <v>98.92</v>
      </c>
      <c r="T10">
        <v>94.74</v>
      </c>
      <c r="U10">
        <v>99.6</v>
      </c>
      <c r="V10" s="20">
        <v>223.36160000000001</v>
      </c>
    </row>
    <row r="11" spans="1:25" x14ac:dyDescent="0.15">
      <c r="A11">
        <v>10</v>
      </c>
      <c r="B11">
        <v>162411</v>
      </c>
      <c r="C11" t="s">
        <v>27</v>
      </c>
      <c r="D11">
        <f>MATCH(IF(B11&lt;499999,"SZ"&amp;B11,"SH"&amp;B11),$H$2:$H$2339,0)</f>
        <v>3</v>
      </c>
      <c r="G11" s="11">
        <v>10</v>
      </c>
      <c r="H11" s="10" t="s">
        <v>336</v>
      </c>
      <c r="I11" t="s">
        <v>836</v>
      </c>
      <c r="J11" t="s">
        <v>814</v>
      </c>
      <c r="K11" s="57">
        <v>-6.3200000000000006E-2</v>
      </c>
      <c r="L11" s="57">
        <v>7.3000000000000001E-3</v>
      </c>
      <c r="M11" s="57">
        <v>-5.7999999999999996E-3</v>
      </c>
      <c r="N11" s="57">
        <v>5.8500000000000003E-2</v>
      </c>
      <c r="O11" s="57">
        <v>0.2059</v>
      </c>
      <c r="P11" s="57">
        <v>-8.9999999999999998E-4</v>
      </c>
      <c r="Q11" s="57">
        <v>-0.2291</v>
      </c>
      <c r="R11" s="57">
        <v>5.1299999999999998E-2</v>
      </c>
      <c r="S11">
        <v>98.79</v>
      </c>
      <c r="T11">
        <v>94.2</v>
      </c>
      <c r="U11">
        <v>100</v>
      </c>
      <c r="V11" s="20">
        <v>506.36329999999998</v>
      </c>
    </row>
    <row r="12" spans="1:25" x14ac:dyDescent="0.15">
      <c r="G12" s="11">
        <v>11</v>
      </c>
      <c r="H12" s="10" t="s">
        <v>276</v>
      </c>
      <c r="I12" t="s">
        <v>846</v>
      </c>
      <c r="J12" t="s">
        <v>814</v>
      </c>
      <c r="K12" s="57">
        <v>-9.4000000000000004E-3</v>
      </c>
      <c r="L12" s="57">
        <v>4.6100000000000002E-2</v>
      </c>
      <c r="M12" s="57">
        <v>6.6900000000000001E-2</v>
      </c>
      <c r="N12" s="57">
        <v>8.7999999999999995E-2</v>
      </c>
      <c r="O12" s="57">
        <v>0.29699999999999999</v>
      </c>
      <c r="P12" s="57">
        <v>0.1166</v>
      </c>
      <c r="Q12" s="57">
        <v>-4.9700000000000001E-2</v>
      </c>
      <c r="R12" s="57">
        <v>0.31480000000000002</v>
      </c>
      <c r="S12">
        <v>98.65</v>
      </c>
      <c r="T12">
        <v>98.92</v>
      </c>
      <c r="U12">
        <v>95.28</v>
      </c>
      <c r="V12" s="20">
        <v>843.88199999999995</v>
      </c>
    </row>
    <row r="13" spans="1:25" x14ac:dyDescent="0.15">
      <c r="G13" s="11">
        <v>12</v>
      </c>
      <c r="H13" s="10" t="s">
        <v>275</v>
      </c>
      <c r="I13" t="s">
        <v>842</v>
      </c>
      <c r="J13" t="s">
        <v>814</v>
      </c>
      <c r="K13" s="57">
        <v>-9.9000000000000008E-3</v>
      </c>
      <c r="L13" s="57">
        <v>4.6100000000000002E-2</v>
      </c>
      <c r="M13" s="57">
        <v>6.6299999999999998E-2</v>
      </c>
      <c r="N13" s="57">
        <v>6.9599999999999995E-2</v>
      </c>
      <c r="O13" s="57">
        <v>0.2477</v>
      </c>
      <c r="P13" s="57">
        <v>6.6299999999999998E-2</v>
      </c>
      <c r="Q13" s="57">
        <v>-9.74E-2</v>
      </c>
      <c r="R13" s="57">
        <v>0.16039999999999999</v>
      </c>
      <c r="S13">
        <v>98.52</v>
      </c>
      <c r="T13">
        <v>96.23</v>
      </c>
      <c r="U13">
        <v>95.69</v>
      </c>
      <c r="V13" s="20">
        <v>547.87323329999992</v>
      </c>
    </row>
    <row r="14" spans="1:25" x14ac:dyDescent="0.15">
      <c r="G14" s="11">
        <v>13</v>
      </c>
      <c r="H14" s="10" t="s">
        <v>753</v>
      </c>
      <c r="I14" t="s">
        <v>1188</v>
      </c>
      <c r="J14" t="s">
        <v>1177</v>
      </c>
      <c r="K14" s="57">
        <v>-9.9000000000000008E-3</v>
      </c>
      <c r="L14" s="57">
        <v>2.2499999999999999E-2</v>
      </c>
      <c r="M14" s="57">
        <v>1.67E-2</v>
      </c>
      <c r="N14" s="57">
        <v>6.9699999999999998E-2</v>
      </c>
      <c r="O14" s="57">
        <v>0.14369999999999999</v>
      </c>
      <c r="P14" s="57">
        <v>6.7900000000000002E-2</v>
      </c>
      <c r="Q14" s="57">
        <v>-6.3200000000000006E-2</v>
      </c>
      <c r="R14" s="57">
        <v>0.2051</v>
      </c>
      <c r="S14">
        <v>98.38</v>
      </c>
      <c r="T14">
        <v>96.36</v>
      </c>
      <c r="U14">
        <v>95.55</v>
      </c>
      <c r="V14" s="20">
        <v>440.29200319999995</v>
      </c>
    </row>
    <row r="15" spans="1:25" x14ac:dyDescent="0.15">
      <c r="G15" s="11">
        <v>14</v>
      </c>
      <c r="H15" s="10" t="s">
        <v>324</v>
      </c>
      <c r="I15" t="s">
        <v>847</v>
      </c>
      <c r="J15" t="s">
        <v>814</v>
      </c>
      <c r="K15" s="57">
        <v>-4.6300000000000001E-2</v>
      </c>
      <c r="L15" s="57">
        <v>8.6E-3</v>
      </c>
      <c r="M15" s="57">
        <v>3.8600000000000002E-2</v>
      </c>
      <c r="N15" s="57">
        <v>5.2400000000000002E-2</v>
      </c>
      <c r="O15" s="57">
        <v>0.2472</v>
      </c>
      <c r="P15" s="57">
        <v>4.1799999999999997E-2</v>
      </c>
      <c r="Q15" s="57">
        <v>-0.12</v>
      </c>
      <c r="R15" s="57">
        <v>0.16239999999999999</v>
      </c>
      <c r="S15">
        <v>98.25</v>
      </c>
      <c r="T15">
        <v>91.78</v>
      </c>
      <c r="U15">
        <v>99.87</v>
      </c>
      <c r="V15" s="20">
        <v>96.230527800000004</v>
      </c>
    </row>
    <row r="16" spans="1:25" x14ac:dyDescent="0.15">
      <c r="G16" s="11">
        <v>15</v>
      </c>
      <c r="H16" s="10" t="s">
        <v>281</v>
      </c>
      <c r="I16" t="s">
        <v>1246</v>
      </c>
      <c r="J16" t="s">
        <v>1230</v>
      </c>
      <c r="K16" s="57">
        <v>-7.1999999999999998E-3</v>
      </c>
      <c r="L16" s="57">
        <v>2.18E-2</v>
      </c>
      <c r="M16" s="57">
        <v>0.1033</v>
      </c>
      <c r="N16" s="57">
        <v>8.7599999999999997E-2</v>
      </c>
      <c r="O16" s="57">
        <v>5.67E-2</v>
      </c>
      <c r="P16" s="57">
        <v>0.24610000000000001</v>
      </c>
      <c r="Q16" s="57">
        <v>0.43290000000000001</v>
      </c>
      <c r="R16" s="57">
        <v>1.2703</v>
      </c>
      <c r="S16">
        <v>98.11</v>
      </c>
      <c r="T16">
        <v>98.79</v>
      </c>
      <c r="U16">
        <v>92.59</v>
      </c>
      <c r="V16" s="20">
        <v>452.12626130000001</v>
      </c>
    </row>
    <row r="17" spans="7:22" x14ac:dyDescent="0.15">
      <c r="G17" s="11">
        <v>16</v>
      </c>
      <c r="H17" s="10" t="s">
        <v>1658</v>
      </c>
      <c r="I17" t="s">
        <v>1659</v>
      </c>
      <c r="J17" t="s">
        <v>1665</v>
      </c>
      <c r="K17" s="57">
        <v>-8.6E-3</v>
      </c>
      <c r="L17" s="57">
        <v>2.63E-2</v>
      </c>
      <c r="M17" s="57">
        <v>3.5499999999999997E-2</v>
      </c>
      <c r="N17" s="57">
        <v>7.2800000000000004E-2</v>
      </c>
      <c r="O17" s="57">
        <v>0.1008</v>
      </c>
      <c r="P17" s="57">
        <v>9.0300000000000005E-2</v>
      </c>
      <c r="Q17" s="57">
        <v>9.0300000000000005E-2</v>
      </c>
      <c r="R17" s="57">
        <v>9.0300000000000005E-2</v>
      </c>
      <c r="S17">
        <v>97.98</v>
      </c>
      <c r="T17">
        <v>96.77</v>
      </c>
      <c r="U17">
        <v>94.61</v>
      </c>
      <c r="V17" s="20">
        <v>5932.4343500000004</v>
      </c>
    </row>
    <row r="18" spans="7:22" x14ac:dyDescent="0.15">
      <c r="G18" s="11">
        <v>17</v>
      </c>
      <c r="H18" s="10" t="s">
        <v>283</v>
      </c>
      <c r="I18" t="s">
        <v>793</v>
      </c>
      <c r="J18" t="s">
        <v>851</v>
      </c>
      <c r="K18" s="57">
        <v>-8.0000000000000002E-3</v>
      </c>
      <c r="L18" s="57">
        <v>-2.3099999999999999E-2</v>
      </c>
      <c r="M18" s="57">
        <v>1.5299999999999999E-2</v>
      </c>
      <c r="N18" s="57">
        <v>7.5700000000000003E-2</v>
      </c>
      <c r="O18" s="57">
        <v>-0.1066</v>
      </c>
      <c r="P18" s="57">
        <v>-0.1153</v>
      </c>
      <c r="Q18" s="57">
        <v>9.9000000000000008E-3</v>
      </c>
      <c r="R18" s="57">
        <v>0.33900000000000002</v>
      </c>
      <c r="S18">
        <v>97.84</v>
      </c>
      <c r="T18">
        <v>97.57</v>
      </c>
      <c r="U18">
        <v>93.8</v>
      </c>
      <c r="V18" s="20">
        <v>7312.6309900000006</v>
      </c>
    </row>
    <row r="19" spans="7:22" x14ac:dyDescent="0.15">
      <c r="G19" s="11">
        <v>18</v>
      </c>
      <c r="H19" s="10" t="s">
        <v>483</v>
      </c>
      <c r="I19" t="s">
        <v>1185</v>
      </c>
      <c r="J19" t="s">
        <v>1177</v>
      </c>
      <c r="K19" s="57">
        <v>-6.4999999999999997E-3</v>
      </c>
      <c r="L19" s="57">
        <v>3.5000000000000003E-2</v>
      </c>
      <c r="M19" s="57">
        <v>2.4199999999999999E-2</v>
      </c>
      <c r="N19" s="57">
        <v>9.5299999999999996E-2</v>
      </c>
      <c r="O19" s="57">
        <v>0.21679999999999999</v>
      </c>
      <c r="P19" s="57">
        <v>8.3799999999999999E-2</v>
      </c>
      <c r="Q19" s="57">
        <v>-4.1000000000000003E-3</v>
      </c>
      <c r="R19" s="57">
        <v>0.21</v>
      </c>
      <c r="S19">
        <v>97.71</v>
      </c>
      <c r="T19">
        <v>99.33</v>
      </c>
      <c r="U19">
        <v>91.64</v>
      </c>
      <c r="V19" s="20">
        <v>38.104820000000004</v>
      </c>
    </row>
    <row r="20" spans="7:22" x14ac:dyDescent="0.15">
      <c r="G20" s="11">
        <v>19</v>
      </c>
      <c r="H20" s="10" t="s">
        <v>278</v>
      </c>
      <c r="I20" t="s">
        <v>1232</v>
      </c>
      <c r="J20" t="s">
        <v>1230</v>
      </c>
      <c r="K20" s="57">
        <v>-7.6E-3</v>
      </c>
      <c r="L20" s="57">
        <v>2.5700000000000001E-2</v>
      </c>
      <c r="M20" s="57">
        <v>9.6199999999999994E-2</v>
      </c>
      <c r="N20" s="57">
        <v>7.4399999999999994E-2</v>
      </c>
      <c r="O20" s="57">
        <v>4.6100000000000002E-2</v>
      </c>
      <c r="P20" s="57">
        <v>0.2031</v>
      </c>
      <c r="Q20" s="57">
        <v>0.38129999999999997</v>
      </c>
      <c r="R20" s="57">
        <v>1.1313</v>
      </c>
      <c r="S20">
        <v>97.57</v>
      </c>
      <c r="T20">
        <v>97.17</v>
      </c>
      <c r="U20">
        <v>93.4</v>
      </c>
      <c r="V20" s="20">
        <v>82.667710700000001</v>
      </c>
    </row>
    <row r="21" spans="7:22" x14ac:dyDescent="0.15">
      <c r="G21" s="11">
        <v>20</v>
      </c>
      <c r="H21" s="10" t="s">
        <v>757</v>
      </c>
      <c r="I21" t="s">
        <v>1189</v>
      </c>
      <c r="J21" t="s">
        <v>1177</v>
      </c>
      <c r="K21" s="57">
        <v>-6.6E-3</v>
      </c>
      <c r="L21" s="57">
        <v>2.81E-2</v>
      </c>
      <c r="M21" s="57">
        <v>2.4799999999999999E-2</v>
      </c>
      <c r="N21" s="57">
        <v>8.2000000000000003E-2</v>
      </c>
      <c r="O21" s="57">
        <v>0.14349999999999999</v>
      </c>
      <c r="P21" s="57">
        <v>5.62E-2</v>
      </c>
      <c r="Q21" s="57">
        <v>1.34E-2</v>
      </c>
      <c r="R21" s="57">
        <v>0.29160000000000003</v>
      </c>
      <c r="S21">
        <v>97.44</v>
      </c>
      <c r="T21">
        <v>98.25</v>
      </c>
      <c r="U21">
        <v>91.78</v>
      </c>
      <c r="V21" s="20">
        <v>108.84386859999999</v>
      </c>
    </row>
    <row r="22" spans="7:22" x14ac:dyDescent="0.15">
      <c r="G22" s="11">
        <v>21</v>
      </c>
      <c r="H22" s="10" t="s">
        <v>749</v>
      </c>
      <c r="I22" t="s">
        <v>1186</v>
      </c>
      <c r="J22" t="s">
        <v>1177</v>
      </c>
      <c r="K22" s="57">
        <v>-7.1000000000000004E-3</v>
      </c>
      <c r="L22" s="57">
        <v>2.4500000000000001E-2</v>
      </c>
      <c r="M22" s="57">
        <v>2.0799999999999999E-2</v>
      </c>
      <c r="N22" s="57">
        <v>7.51E-2</v>
      </c>
      <c r="O22" s="57">
        <v>0.1512</v>
      </c>
      <c r="P22" s="57">
        <v>7.0499999999999993E-2</v>
      </c>
      <c r="Q22" s="57">
        <v>-6.6100000000000006E-2</v>
      </c>
      <c r="R22" s="57">
        <v>0.15609999999999999</v>
      </c>
      <c r="S22">
        <v>97.3</v>
      </c>
      <c r="T22">
        <v>97.44</v>
      </c>
      <c r="U22">
        <v>92.45</v>
      </c>
      <c r="V22" s="20">
        <v>7143.6619000000001</v>
      </c>
    </row>
    <row r="23" spans="7:22" x14ac:dyDescent="0.15">
      <c r="G23" s="11">
        <v>22</v>
      </c>
      <c r="H23" s="10" t="s">
        <v>273</v>
      </c>
      <c r="I23" t="s">
        <v>239</v>
      </c>
      <c r="J23" t="s">
        <v>1230</v>
      </c>
      <c r="K23" s="57">
        <v>-6.1999999999999998E-3</v>
      </c>
      <c r="L23" s="57">
        <v>2.3300000000000001E-2</v>
      </c>
      <c r="M23" s="57">
        <v>0.1032</v>
      </c>
      <c r="N23" s="57">
        <v>8.6499999999999994E-2</v>
      </c>
      <c r="O23" s="57">
        <v>5.16E-2</v>
      </c>
      <c r="P23" s="57">
        <v>0.21010000000000001</v>
      </c>
      <c r="Q23" s="57">
        <v>0.45710000000000001</v>
      </c>
      <c r="R23" s="57">
        <v>2.0234000000000001</v>
      </c>
      <c r="S23">
        <v>97.17</v>
      </c>
      <c r="T23">
        <v>98.38</v>
      </c>
      <c r="U23">
        <v>91.11</v>
      </c>
      <c r="V23" s="20">
        <v>254.3175502</v>
      </c>
    </row>
    <row r="24" spans="7:22" x14ac:dyDescent="0.15">
      <c r="G24" s="11">
        <v>23</v>
      </c>
      <c r="H24" s="10" t="s">
        <v>366</v>
      </c>
      <c r="I24" t="s">
        <v>833</v>
      </c>
      <c r="J24" t="s">
        <v>814</v>
      </c>
      <c r="K24" s="57">
        <v>-3.85E-2</v>
      </c>
      <c r="L24" s="57">
        <v>3.73E-2</v>
      </c>
      <c r="M24" s="57">
        <v>4.8599999999999997E-2</v>
      </c>
      <c r="N24" s="57">
        <v>4.24E-2</v>
      </c>
      <c r="O24" s="57">
        <v>0.13869999999999999</v>
      </c>
      <c r="P24" s="57">
        <v>-3.8E-3</v>
      </c>
      <c r="Q24" s="57">
        <v>-0.1313</v>
      </c>
      <c r="R24" s="57">
        <v>0.29709999999999998</v>
      </c>
      <c r="S24">
        <v>97.04</v>
      </c>
      <c r="T24">
        <v>89.62</v>
      </c>
      <c r="U24">
        <v>99.19</v>
      </c>
      <c r="V24" s="20">
        <v>137.63856000000001</v>
      </c>
    </row>
    <row r="25" spans="7:22" x14ac:dyDescent="0.15">
      <c r="G25" s="11">
        <v>24</v>
      </c>
      <c r="H25" s="10" t="s">
        <v>277</v>
      </c>
      <c r="I25" t="s">
        <v>838</v>
      </c>
      <c r="J25" t="s">
        <v>814</v>
      </c>
      <c r="K25" s="57">
        <v>-1.6199999999999999E-2</v>
      </c>
      <c r="L25" s="57">
        <v>-1.3599999999999999E-2</v>
      </c>
      <c r="M25" s="57">
        <v>-2.3800000000000002E-2</v>
      </c>
      <c r="N25" s="57">
        <v>4.9599999999999998E-2</v>
      </c>
      <c r="O25" s="57">
        <v>0.20019999999999999</v>
      </c>
      <c r="P25" s="57">
        <v>8.9399999999999993E-2</v>
      </c>
      <c r="Q25" s="57">
        <v>-0.1105</v>
      </c>
      <c r="R25" s="57">
        <v>0.28189999999999998</v>
      </c>
      <c r="S25">
        <v>96.9</v>
      </c>
      <c r="T25">
        <v>90.97</v>
      </c>
      <c r="U25">
        <v>97.44</v>
      </c>
      <c r="V25" s="20">
        <v>240.16480000000001</v>
      </c>
    </row>
    <row r="26" spans="7:22" x14ac:dyDescent="0.15">
      <c r="G26" s="11">
        <v>25</v>
      </c>
      <c r="H26" s="10" t="s">
        <v>751</v>
      </c>
      <c r="I26" t="s">
        <v>1183</v>
      </c>
      <c r="J26" t="s">
        <v>1177</v>
      </c>
      <c r="K26" s="57">
        <v>-7.6E-3</v>
      </c>
      <c r="L26" s="57">
        <v>-3.2000000000000002E-3</v>
      </c>
      <c r="M26" s="57">
        <v>1.04E-2</v>
      </c>
      <c r="N26" s="57">
        <v>5.8900000000000001E-2</v>
      </c>
      <c r="O26" s="57">
        <v>1.2999999999999999E-2</v>
      </c>
      <c r="P26" s="57">
        <v>-5.0500000000000003E-2</v>
      </c>
      <c r="Q26" s="57">
        <v>-0.11890000000000001</v>
      </c>
      <c r="R26" s="57">
        <v>0.1404</v>
      </c>
      <c r="S26">
        <v>96.77</v>
      </c>
      <c r="T26">
        <v>94.47</v>
      </c>
      <c r="U26">
        <v>93.53</v>
      </c>
      <c r="V26" s="20">
        <v>101.5951</v>
      </c>
    </row>
    <row r="27" spans="7:22" x14ac:dyDescent="0.15">
      <c r="G27" s="11">
        <v>26</v>
      </c>
      <c r="H27" s="10" t="s">
        <v>611</v>
      </c>
      <c r="I27" t="s">
        <v>1187</v>
      </c>
      <c r="J27" t="s">
        <v>1177</v>
      </c>
      <c r="K27" s="57">
        <v>-5.7999999999999996E-3</v>
      </c>
      <c r="L27" s="57">
        <v>2.29E-2</v>
      </c>
      <c r="M27" s="57">
        <v>1.6899999999999998E-2</v>
      </c>
      <c r="N27" s="57">
        <v>7.22E-2</v>
      </c>
      <c r="O27" s="57">
        <v>0.1492</v>
      </c>
      <c r="P27" s="57">
        <v>6.3399999999999998E-2</v>
      </c>
      <c r="Q27" s="57">
        <v>-6.9900000000000004E-2</v>
      </c>
      <c r="R27" s="57">
        <v>0.20799999999999999</v>
      </c>
      <c r="S27">
        <v>96.63</v>
      </c>
      <c r="T27">
        <v>96.5</v>
      </c>
      <c r="U27">
        <v>90.3</v>
      </c>
      <c r="V27" s="20">
        <v>45419.271985500003</v>
      </c>
    </row>
    <row r="28" spans="7:22" x14ac:dyDescent="0.15">
      <c r="G28" s="11">
        <v>27</v>
      </c>
      <c r="H28" s="10" t="s">
        <v>717</v>
      </c>
      <c r="I28" t="s">
        <v>1279</v>
      </c>
      <c r="J28" t="s">
        <v>1267</v>
      </c>
      <c r="K28" s="57">
        <v>-7.3000000000000001E-3</v>
      </c>
      <c r="L28" s="57">
        <v>1.6999999999999999E-3</v>
      </c>
      <c r="M28" s="57">
        <v>1.14E-2</v>
      </c>
      <c r="N28" s="57">
        <v>5.4199999999999998E-2</v>
      </c>
      <c r="O28" s="57">
        <v>3.4700000000000002E-2</v>
      </c>
      <c r="P28" s="57">
        <v>1.7899999999999999E-2</v>
      </c>
      <c r="Q28" s="57">
        <v>-0.10539999999999999</v>
      </c>
      <c r="R28" s="57">
        <v>5.7000000000000002E-3</v>
      </c>
      <c r="S28">
        <v>96.5</v>
      </c>
      <c r="T28">
        <v>92.72</v>
      </c>
      <c r="U28">
        <v>92.86</v>
      </c>
      <c r="V28" s="20">
        <v>137.26429999999999</v>
      </c>
    </row>
    <row r="29" spans="7:22" x14ac:dyDescent="0.15">
      <c r="G29" s="11">
        <v>28</v>
      </c>
      <c r="H29" s="10" t="s">
        <v>2139</v>
      </c>
      <c r="I29" t="s">
        <v>2140</v>
      </c>
      <c r="J29" t="s">
        <v>2058</v>
      </c>
      <c r="K29" s="57">
        <v>-5.3E-3</v>
      </c>
      <c r="L29" s="57">
        <v>6.8599999999999994E-2</v>
      </c>
      <c r="M29" s="57">
        <v>6.8599999999999994E-2</v>
      </c>
      <c r="N29" s="57">
        <v>6.8599999999999994E-2</v>
      </c>
      <c r="O29" s="57">
        <v>6.8599999999999994E-2</v>
      </c>
      <c r="P29" s="57">
        <v>6.8599999999999994E-2</v>
      </c>
      <c r="Q29" s="57">
        <v>6.8599999999999994E-2</v>
      </c>
      <c r="R29" s="57">
        <v>6.8599999999999994E-2</v>
      </c>
      <c r="S29">
        <v>96.36</v>
      </c>
      <c r="T29">
        <v>96.09</v>
      </c>
      <c r="U29">
        <v>89.49</v>
      </c>
      <c r="V29" s="20">
        <v>2053.0204988999999</v>
      </c>
    </row>
    <row r="30" spans="7:22" x14ac:dyDescent="0.15">
      <c r="G30" s="11">
        <v>29</v>
      </c>
      <c r="H30" s="10" t="s">
        <v>650</v>
      </c>
      <c r="I30" t="s">
        <v>1184</v>
      </c>
      <c r="J30" t="s">
        <v>1177</v>
      </c>
      <c r="K30" s="57">
        <v>-4.5999999999999999E-3</v>
      </c>
      <c r="L30" s="57">
        <v>2.5600000000000001E-2</v>
      </c>
      <c r="M30" s="57">
        <v>3.49E-2</v>
      </c>
      <c r="N30" s="57">
        <v>7.46E-2</v>
      </c>
      <c r="O30" s="57">
        <v>9.7199999999999995E-2</v>
      </c>
      <c r="P30" s="57">
        <v>6.2899999999999998E-2</v>
      </c>
      <c r="Q30" s="57">
        <v>1.3899999999999999E-2</v>
      </c>
      <c r="R30" s="57">
        <v>0.32390000000000002</v>
      </c>
      <c r="S30">
        <v>96.23</v>
      </c>
      <c r="T30">
        <v>97.3</v>
      </c>
      <c r="U30">
        <v>87.74</v>
      </c>
      <c r="V30" s="20">
        <v>21379.600299999998</v>
      </c>
    </row>
    <row r="31" spans="7:22" x14ac:dyDescent="0.15">
      <c r="G31" s="11">
        <v>30</v>
      </c>
      <c r="H31" s="10" t="s">
        <v>314</v>
      </c>
      <c r="I31" t="s">
        <v>841</v>
      </c>
      <c r="J31" t="s">
        <v>814</v>
      </c>
      <c r="K31" s="57">
        <v>-3.0800000000000001E-2</v>
      </c>
      <c r="L31" s="57">
        <v>1.7500000000000002E-2</v>
      </c>
      <c r="M31" s="57">
        <v>3.4599999999999999E-2</v>
      </c>
      <c r="N31" s="57">
        <v>2.9600000000000001E-2</v>
      </c>
      <c r="O31" s="57">
        <v>8.8000000000000005E-3</v>
      </c>
      <c r="P31" s="57">
        <v>-3.6299999999999999E-2</v>
      </c>
      <c r="Q31" s="57">
        <v>-6.5799999999999997E-2</v>
      </c>
      <c r="R31" s="57">
        <v>0.49359999999999998</v>
      </c>
      <c r="S31">
        <v>96.09</v>
      </c>
      <c r="T31">
        <v>86.25</v>
      </c>
      <c r="U31">
        <v>98.65</v>
      </c>
      <c r="V31" s="20">
        <v>121.2827078</v>
      </c>
    </row>
    <row r="32" spans="7:22" x14ac:dyDescent="0.15">
      <c r="G32" s="11">
        <v>31</v>
      </c>
      <c r="H32" s="10" t="s">
        <v>740</v>
      </c>
      <c r="I32" t="s">
        <v>1264</v>
      </c>
      <c r="J32" t="s">
        <v>1177</v>
      </c>
      <c r="K32" s="57">
        <v>-1.7100000000000001E-2</v>
      </c>
      <c r="L32" s="57">
        <v>-5.1999999999999998E-3</v>
      </c>
      <c r="M32" s="57">
        <v>5.3E-3</v>
      </c>
      <c r="N32" s="57">
        <v>3.3700000000000001E-2</v>
      </c>
      <c r="O32" s="57">
        <v>-6.1199999999999997E-2</v>
      </c>
      <c r="P32" s="57">
        <v>-0.1129</v>
      </c>
      <c r="Q32" s="57">
        <v>-0.2361</v>
      </c>
      <c r="R32" s="57">
        <v>-0.11940000000000001</v>
      </c>
      <c r="S32">
        <v>95.96</v>
      </c>
      <c r="T32">
        <v>87.33</v>
      </c>
      <c r="U32">
        <v>97.57</v>
      </c>
      <c r="V32" s="20">
        <v>1773.9512</v>
      </c>
    </row>
    <row r="33" spans="7:22" x14ac:dyDescent="0.15">
      <c r="G33" s="11">
        <v>32</v>
      </c>
      <c r="H33" s="10" t="s">
        <v>696</v>
      </c>
      <c r="I33" t="s">
        <v>1187</v>
      </c>
      <c r="J33" t="s">
        <v>1177</v>
      </c>
      <c r="K33" s="57">
        <v>-4.3E-3</v>
      </c>
      <c r="L33" s="57">
        <v>2.3099999999999999E-2</v>
      </c>
      <c r="M33" s="57">
        <v>1.7500000000000002E-2</v>
      </c>
      <c r="N33" s="57">
        <v>7.2499999999999995E-2</v>
      </c>
      <c r="O33" s="57">
        <v>0.1492</v>
      </c>
      <c r="P33" s="57">
        <v>6.2700000000000006E-2</v>
      </c>
      <c r="Q33" s="57">
        <v>-6.9900000000000004E-2</v>
      </c>
      <c r="R33" s="57">
        <v>0.2082</v>
      </c>
      <c r="S33">
        <v>95.82</v>
      </c>
      <c r="T33">
        <v>96.63</v>
      </c>
      <c r="U33">
        <v>86.66</v>
      </c>
      <c r="V33" s="20">
        <v>23523.359199999999</v>
      </c>
    </row>
    <row r="34" spans="7:22" x14ac:dyDescent="0.15">
      <c r="G34" s="11">
        <v>33</v>
      </c>
      <c r="H34" s="10" t="s">
        <v>603</v>
      </c>
      <c r="I34" t="s">
        <v>1277</v>
      </c>
      <c r="J34" t="s">
        <v>1267</v>
      </c>
      <c r="K34" s="57">
        <v>-5.1000000000000004E-3</v>
      </c>
      <c r="L34" s="57">
        <v>2.5000000000000001E-3</v>
      </c>
      <c r="M34" s="57">
        <v>1.3100000000000001E-2</v>
      </c>
      <c r="N34" s="57">
        <v>5.28E-2</v>
      </c>
      <c r="O34" s="57">
        <v>3.5700000000000003E-2</v>
      </c>
      <c r="P34" s="57">
        <v>2.1399999999999999E-2</v>
      </c>
      <c r="Q34" s="57">
        <v>-9.9099999999999994E-2</v>
      </c>
      <c r="R34" s="57">
        <v>2.2200000000000001E-2</v>
      </c>
      <c r="S34">
        <v>95.69</v>
      </c>
      <c r="T34">
        <v>92.05</v>
      </c>
      <c r="U34">
        <v>88.95</v>
      </c>
      <c r="V34" s="20">
        <v>70.240600000000001</v>
      </c>
    </row>
    <row r="35" spans="7:22" x14ac:dyDescent="0.15">
      <c r="G35" s="11">
        <v>34</v>
      </c>
      <c r="H35" s="10" t="s">
        <v>328</v>
      </c>
      <c r="I35" t="s">
        <v>815</v>
      </c>
      <c r="J35" t="s">
        <v>814</v>
      </c>
      <c r="K35" s="57">
        <v>-2.9399999999999999E-2</v>
      </c>
      <c r="L35" s="57">
        <v>1E-3</v>
      </c>
      <c r="M35" s="57">
        <v>2.0500000000000001E-2</v>
      </c>
      <c r="N35" s="57">
        <v>1.9199999999999998E-2</v>
      </c>
      <c r="O35" s="57">
        <v>0.1242</v>
      </c>
      <c r="P35" s="57">
        <v>-2.3400000000000001E-2</v>
      </c>
      <c r="Q35" s="57">
        <v>-0.14269999999999999</v>
      </c>
      <c r="R35" s="57">
        <v>0.1323</v>
      </c>
      <c r="S35">
        <v>95.55</v>
      </c>
      <c r="T35">
        <v>80.05</v>
      </c>
      <c r="U35">
        <v>98.38</v>
      </c>
      <c r="V35" s="20">
        <v>162.12280000000001</v>
      </c>
    </row>
    <row r="36" spans="7:22" x14ac:dyDescent="0.15">
      <c r="G36" s="11">
        <v>35</v>
      </c>
      <c r="H36" s="10" t="s">
        <v>380</v>
      </c>
      <c r="I36" t="s">
        <v>900</v>
      </c>
      <c r="J36" t="s">
        <v>851</v>
      </c>
      <c r="K36" s="57">
        <v>-2.2000000000000001E-3</v>
      </c>
      <c r="L36" s="57">
        <v>2.3300000000000001E-2</v>
      </c>
      <c r="M36" s="57">
        <v>0.1027</v>
      </c>
      <c r="N36" s="57">
        <v>8.7300000000000003E-2</v>
      </c>
      <c r="O36" s="57">
        <v>5.33E-2</v>
      </c>
      <c r="P36" s="57">
        <v>0.14879999999999999</v>
      </c>
      <c r="Q36" s="57">
        <v>0.41959999999999997</v>
      </c>
      <c r="R36" s="57">
        <v>0.81869999999999998</v>
      </c>
      <c r="S36">
        <v>95.42</v>
      </c>
      <c r="T36">
        <v>98.52</v>
      </c>
      <c r="U36">
        <v>78.84</v>
      </c>
      <c r="V36" s="20">
        <v>509.96206739999997</v>
      </c>
    </row>
    <row r="37" spans="7:22" x14ac:dyDescent="0.15">
      <c r="G37" s="11">
        <v>36</v>
      </c>
      <c r="H37" s="10" t="s">
        <v>702</v>
      </c>
      <c r="I37" t="s">
        <v>1073</v>
      </c>
      <c r="J37" t="s">
        <v>851</v>
      </c>
      <c r="K37" s="57">
        <v>-4.1999999999999997E-3</v>
      </c>
      <c r="L37" s="57">
        <v>4.6399999999999997E-2</v>
      </c>
      <c r="M37" s="57">
        <v>6.3E-2</v>
      </c>
      <c r="N37" s="57">
        <v>4.9599999999999998E-2</v>
      </c>
      <c r="O37" s="57">
        <v>-2.3900000000000001E-2</v>
      </c>
      <c r="P37" s="57">
        <v>-7.4899999999999994E-2</v>
      </c>
      <c r="Q37" s="57">
        <v>-0.04</v>
      </c>
      <c r="R37" s="57">
        <v>-0.04</v>
      </c>
      <c r="S37">
        <v>95.28</v>
      </c>
      <c r="T37">
        <v>90.84</v>
      </c>
      <c r="U37">
        <v>86.39</v>
      </c>
      <c r="V37" s="20">
        <v>3599.4866399999996</v>
      </c>
    </row>
    <row r="38" spans="7:22" x14ac:dyDescent="0.15">
      <c r="G38" s="11">
        <v>37</v>
      </c>
      <c r="H38" s="10" t="s">
        <v>587</v>
      </c>
      <c r="I38" t="s">
        <v>1077</v>
      </c>
      <c r="J38" t="s">
        <v>851</v>
      </c>
      <c r="K38" s="57">
        <v>-2.5999999999999999E-3</v>
      </c>
      <c r="L38" s="57">
        <v>-1.5100000000000001E-2</v>
      </c>
      <c r="M38" s="57">
        <v>-7.6E-3</v>
      </c>
      <c r="N38" s="57">
        <v>6.1699999999999998E-2</v>
      </c>
      <c r="O38" s="57">
        <v>0.1366</v>
      </c>
      <c r="P38" s="57">
        <v>-0.13270000000000001</v>
      </c>
      <c r="Q38" s="57">
        <v>-0.22869999999999999</v>
      </c>
      <c r="R38" s="57">
        <v>-0.24429999999999999</v>
      </c>
      <c r="S38">
        <v>95.15</v>
      </c>
      <c r="T38">
        <v>95.28</v>
      </c>
      <c r="U38">
        <v>81.27</v>
      </c>
      <c r="V38" s="20">
        <v>2541.3673800000001</v>
      </c>
    </row>
    <row r="39" spans="7:22" x14ac:dyDescent="0.15">
      <c r="G39" s="11">
        <v>38</v>
      </c>
      <c r="H39" s="10" t="s">
        <v>732</v>
      </c>
      <c r="I39" t="s">
        <v>792</v>
      </c>
      <c r="J39" t="s">
        <v>1267</v>
      </c>
      <c r="K39" s="57">
        <v>-3.0999999999999999E-3</v>
      </c>
      <c r="L39" s="57">
        <v>1.1000000000000001E-3</v>
      </c>
      <c r="M39" s="57">
        <v>1.32E-2</v>
      </c>
      <c r="N39" s="57">
        <v>5.5199999999999999E-2</v>
      </c>
      <c r="O39" s="57">
        <v>2.2800000000000001E-2</v>
      </c>
      <c r="P39" s="57">
        <v>1.26E-2</v>
      </c>
      <c r="Q39" s="57">
        <v>-0.10630000000000001</v>
      </c>
      <c r="R39" s="57">
        <v>7.0000000000000001E-3</v>
      </c>
      <c r="S39">
        <v>95.01</v>
      </c>
      <c r="T39">
        <v>92.99</v>
      </c>
      <c r="U39">
        <v>82.88</v>
      </c>
      <c r="V39" s="20">
        <v>297.56259999999997</v>
      </c>
    </row>
    <row r="40" spans="7:22" x14ac:dyDescent="0.15">
      <c r="G40" s="11">
        <v>39</v>
      </c>
      <c r="H40" s="10" t="s">
        <v>813</v>
      </c>
      <c r="I40" t="s">
        <v>812</v>
      </c>
      <c r="J40" t="s">
        <v>1665</v>
      </c>
      <c r="K40" s="57">
        <v>-5.1000000000000004E-3</v>
      </c>
      <c r="L40" s="57">
        <v>-8.0999999999999996E-3</v>
      </c>
      <c r="M40" s="57">
        <v>-7.4999999999999997E-3</v>
      </c>
      <c r="N40" s="57">
        <v>2.8799999999999999E-2</v>
      </c>
      <c r="O40" s="57">
        <v>-3.6900000000000002E-2</v>
      </c>
      <c r="P40" s="57">
        <v>-3.3399999999999999E-2</v>
      </c>
      <c r="Q40" s="57">
        <v>-3.3399999999999999E-2</v>
      </c>
      <c r="R40" s="57">
        <v>-3.3399999999999999E-2</v>
      </c>
      <c r="S40">
        <v>94.88</v>
      </c>
      <c r="T40">
        <v>85.58</v>
      </c>
      <c r="U40">
        <v>89.08</v>
      </c>
      <c r="V40" s="20">
        <v>222.40736000000001</v>
      </c>
    </row>
    <row r="41" spans="7:22" x14ac:dyDescent="0.15">
      <c r="G41" s="11">
        <v>40</v>
      </c>
      <c r="H41" s="10" t="s">
        <v>372</v>
      </c>
      <c r="I41" t="s">
        <v>1224</v>
      </c>
      <c r="J41" t="s">
        <v>1221</v>
      </c>
      <c r="K41" s="57">
        <v>-3.3999999999999998E-3</v>
      </c>
      <c r="L41" s="57">
        <v>7.6E-3</v>
      </c>
      <c r="M41" s="57">
        <v>2.0799999999999999E-2</v>
      </c>
      <c r="N41" s="57">
        <v>4.6199999999999998E-2</v>
      </c>
      <c r="O41" s="57">
        <v>0.1132</v>
      </c>
      <c r="P41" s="57">
        <v>-4.5100000000000001E-2</v>
      </c>
      <c r="Q41" s="57">
        <v>-0.2344</v>
      </c>
      <c r="R41" s="57">
        <v>-1.8700000000000001E-2</v>
      </c>
      <c r="S41">
        <v>94.74</v>
      </c>
      <c r="T41">
        <v>90.03</v>
      </c>
      <c r="U41">
        <v>84.5</v>
      </c>
      <c r="V41" s="20">
        <v>144.4034</v>
      </c>
    </row>
    <row r="42" spans="7:22" x14ac:dyDescent="0.15">
      <c r="G42" s="11">
        <v>41</v>
      </c>
      <c r="H42" s="10" t="s">
        <v>433</v>
      </c>
      <c r="I42" t="s">
        <v>821</v>
      </c>
      <c r="J42" t="s">
        <v>814</v>
      </c>
      <c r="K42" s="57">
        <v>-2.98E-2</v>
      </c>
      <c r="L42" s="57">
        <v>-8.5000000000000006E-3</v>
      </c>
      <c r="M42" s="57">
        <v>2.3999999999999998E-3</v>
      </c>
      <c r="N42" s="57">
        <v>1.15E-2</v>
      </c>
      <c r="O42" s="57">
        <v>0.1149</v>
      </c>
      <c r="P42" s="57">
        <v>-0.11070000000000001</v>
      </c>
      <c r="Q42" s="57">
        <v>-0.20979999999999999</v>
      </c>
      <c r="R42" s="57">
        <v>-5.57E-2</v>
      </c>
      <c r="S42">
        <v>94.61</v>
      </c>
      <c r="T42">
        <v>70.75</v>
      </c>
      <c r="U42">
        <v>98.52</v>
      </c>
      <c r="V42" s="20">
        <v>3.5682900000000002</v>
      </c>
    </row>
    <row r="43" spans="7:22" x14ac:dyDescent="0.15">
      <c r="G43" s="11">
        <v>42</v>
      </c>
      <c r="H43" s="10" t="s">
        <v>305</v>
      </c>
      <c r="I43" t="s">
        <v>1347</v>
      </c>
      <c r="J43" t="s">
        <v>1665</v>
      </c>
      <c r="K43" s="57">
        <v>-1.0999999999999999E-2</v>
      </c>
      <c r="L43" s="57">
        <v>5.4999999999999997E-3</v>
      </c>
      <c r="M43" s="57">
        <v>6.1000000000000004E-3</v>
      </c>
      <c r="N43" s="57">
        <v>1.18E-2</v>
      </c>
      <c r="O43" s="57">
        <v>1.47E-2</v>
      </c>
      <c r="P43" s="57">
        <v>2.8500000000000001E-2</v>
      </c>
      <c r="Q43" s="57">
        <v>5.21E-2</v>
      </c>
      <c r="R43" s="57">
        <v>8.5099999999999995E-2</v>
      </c>
      <c r="S43">
        <v>94.47</v>
      </c>
      <c r="T43">
        <v>71.430000000000007</v>
      </c>
      <c r="U43">
        <v>96.5</v>
      </c>
      <c r="V43" s="20">
        <v>29564.080999999998</v>
      </c>
    </row>
    <row r="44" spans="7:22" x14ac:dyDescent="0.15">
      <c r="G44" s="11">
        <v>43</v>
      </c>
      <c r="H44" s="10" t="s">
        <v>298</v>
      </c>
      <c r="I44" t="s">
        <v>831</v>
      </c>
      <c r="J44" t="s">
        <v>814</v>
      </c>
      <c r="K44" s="57">
        <v>-3.3E-3</v>
      </c>
      <c r="L44" s="57">
        <v>1.61E-2</v>
      </c>
      <c r="M44" s="57">
        <v>1.9599999999999999E-2</v>
      </c>
      <c r="N44" s="57">
        <v>2.47E-2</v>
      </c>
      <c r="O44" s="57">
        <v>9.4299999999999995E-2</v>
      </c>
      <c r="P44" s="57">
        <v>-4.7E-2</v>
      </c>
      <c r="Q44" s="57">
        <v>-0.1363</v>
      </c>
      <c r="R44" s="57">
        <v>0.13969999999999999</v>
      </c>
      <c r="S44">
        <v>94.34</v>
      </c>
      <c r="T44">
        <v>83.15</v>
      </c>
      <c r="U44">
        <v>83.83</v>
      </c>
      <c r="V44" s="20">
        <v>151.19883870000001</v>
      </c>
    </row>
    <row r="45" spans="7:22" x14ac:dyDescent="0.15">
      <c r="G45" s="11">
        <v>44</v>
      </c>
      <c r="H45" s="10" t="s">
        <v>817</v>
      </c>
      <c r="I45" t="s">
        <v>818</v>
      </c>
      <c r="J45" t="s">
        <v>814</v>
      </c>
      <c r="K45" s="57">
        <v>-2.4400000000000002E-2</v>
      </c>
      <c r="L45" s="57">
        <v>-2.8899999999999999E-2</v>
      </c>
      <c r="M45" s="57">
        <v>-4.3400000000000001E-2</v>
      </c>
      <c r="N45" s="57">
        <v>9.5999999999999992E-3</v>
      </c>
      <c r="O45" s="57">
        <v>8.5500000000000007E-2</v>
      </c>
      <c r="P45" s="57">
        <v>-0.14169999999999999</v>
      </c>
      <c r="Q45" s="57">
        <v>-0.14460000000000001</v>
      </c>
      <c r="R45" s="57">
        <v>-0.14460000000000001</v>
      </c>
      <c r="S45">
        <v>94.2</v>
      </c>
      <c r="T45">
        <v>68.73</v>
      </c>
      <c r="U45">
        <v>97.98</v>
      </c>
      <c r="V45" s="20">
        <v>106.71469999999999</v>
      </c>
    </row>
    <row r="46" spans="7:22" x14ac:dyDescent="0.15">
      <c r="G46" s="11">
        <v>45</v>
      </c>
      <c r="H46" s="10" t="s">
        <v>701</v>
      </c>
      <c r="I46" t="s">
        <v>1141</v>
      </c>
      <c r="J46" t="s">
        <v>851</v>
      </c>
      <c r="K46" s="57">
        <v>-2.2000000000000001E-3</v>
      </c>
      <c r="L46" s="57">
        <v>2.93E-2</v>
      </c>
      <c r="M46" s="57">
        <v>4.6600000000000003E-2</v>
      </c>
      <c r="N46" s="57">
        <v>3.7400000000000003E-2</v>
      </c>
      <c r="O46" s="57">
        <v>-1.89E-2</v>
      </c>
      <c r="P46" s="57">
        <v>-6.0999999999999999E-2</v>
      </c>
      <c r="Q46" s="57">
        <v>5.0000000000000001E-4</v>
      </c>
      <c r="R46" s="57">
        <v>-0.21379999999999999</v>
      </c>
      <c r="S46">
        <v>94.07</v>
      </c>
      <c r="T46">
        <v>88.27</v>
      </c>
      <c r="U46">
        <v>78.44</v>
      </c>
      <c r="V46" s="20">
        <v>31397.630300000001</v>
      </c>
    </row>
    <row r="47" spans="7:22" x14ac:dyDescent="0.15">
      <c r="G47" s="11">
        <v>46</v>
      </c>
      <c r="H47" s="10" t="s">
        <v>1304</v>
      </c>
      <c r="I47" t="s">
        <v>1305</v>
      </c>
      <c r="J47" t="s">
        <v>1665</v>
      </c>
      <c r="K47" s="57">
        <v>-7.3000000000000001E-3</v>
      </c>
      <c r="L47" s="57">
        <v>1E-4</v>
      </c>
      <c r="M47" s="57">
        <v>3.0599999999999999E-2</v>
      </c>
      <c r="N47" s="57">
        <v>1.35E-2</v>
      </c>
      <c r="O47" s="57">
        <v>1.7100000000000001E-2</v>
      </c>
      <c r="P47" s="57">
        <v>-7.8899999999999998E-2</v>
      </c>
      <c r="Q47" s="57">
        <v>-7.8299999999999995E-2</v>
      </c>
      <c r="R47" s="57">
        <v>-7.8299999999999995E-2</v>
      </c>
      <c r="S47">
        <v>93.94</v>
      </c>
      <c r="T47">
        <v>73.989999999999995</v>
      </c>
      <c r="U47">
        <v>92.72</v>
      </c>
      <c r="V47" s="20">
        <v>1645.6110000000001</v>
      </c>
    </row>
    <row r="48" spans="7:22" x14ac:dyDescent="0.15">
      <c r="G48" s="11">
        <v>47</v>
      </c>
      <c r="H48" s="10" t="s">
        <v>1634</v>
      </c>
      <c r="I48" t="s">
        <v>1635</v>
      </c>
      <c r="J48" t="s">
        <v>1665</v>
      </c>
      <c r="K48" s="57">
        <v>-1.4E-3</v>
      </c>
      <c r="L48" s="57">
        <v>-5.7999999999999996E-3</v>
      </c>
      <c r="M48" s="57">
        <v>2.2000000000000001E-3</v>
      </c>
      <c r="N48" s="57">
        <v>5.67E-2</v>
      </c>
      <c r="O48" s="57">
        <v>0.1095</v>
      </c>
      <c r="P48" s="57">
        <v>-0.13489999999999999</v>
      </c>
      <c r="Q48" s="57">
        <v>-0.21290000000000001</v>
      </c>
      <c r="R48" s="57">
        <v>-0.21290000000000001</v>
      </c>
      <c r="S48">
        <v>93.8</v>
      </c>
      <c r="T48">
        <v>93.8</v>
      </c>
      <c r="U48">
        <v>72.78</v>
      </c>
      <c r="V48" s="20">
        <v>947.09730000000002</v>
      </c>
    </row>
    <row r="49" spans="7:22" x14ac:dyDescent="0.15">
      <c r="G49" s="11">
        <v>48</v>
      </c>
      <c r="H49" s="10" t="s">
        <v>1292</v>
      </c>
      <c r="I49" t="s">
        <v>1293</v>
      </c>
      <c r="J49" t="s">
        <v>814</v>
      </c>
      <c r="K49" s="57">
        <v>-2.5000000000000001E-2</v>
      </c>
      <c r="L49" s="57">
        <v>2.5000000000000001E-3</v>
      </c>
      <c r="M49" s="57">
        <v>5.1999999999999998E-3</v>
      </c>
      <c r="N49" s="57">
        <v>5.4999999999999997E-3</v>
      </c>
      <c r="O49" s="57">
        <v>7.4000000000000003E-3</v>
      </c>
      <c r="P49" s="57">
        <v>-6.7999999999999996E-3</v>
      </c>
      <c r="Q49" s="57">
        <v>-5.5999999999999999E-3</v>
      </c>
      <c r="R49" s="57">
        <v>7.4999999999999997E-2</v>
      </c>
      <c r="S49">
        <v>93.67</v>
      </c>
      <c r="T49">
        <v>64.959999999999994</v>
      </c>
      <c r="U49">
        <v>98.25</v>
      </c>
      <c r="V49" s="20">
        <v>56.106069200000007</v>
      </c>
    </row>
    <row r="50" spans="7:22" x14ac:dyDescent="0.15">
      <c r="G50" s="11">
        <v>49</v>
      </c>
      <c r="H50" s="10" t="s">
        <v>280</v>
      </c>
      <c r="I50" t="s">
        <v>828</v>
      </c>
      <c r="J50" t="s">
        <v>814</v>
      </c>
      <c r="K50" s="57">
        <v>-5.4000000000000003E-3</v>
      </c>
      <c r="L50" s="57">
        <v>6.1000000000000004E-3</v>
      </c>
      <c r="M50" s="57">
        <v>5.9999999999999995E-4</v>
      </c>
      <c r="N50" s="57">
        <v>1.32E-2</v>
      </c>
      <c r="O50" s="57">
        <v>3.5700000000000003E-2</v>
      </c>
      <c r="P50" s="57">
        <v>-3.5700000000000003E-2</v>
      </c>
      <c r="Q50" s="57">
        <v>-0.1198</v>
      </c>
      <c r="R50" s="57">
        <v>-3.7199999999999997E-2</v>
      </c>
      <c r="S50">
        <v>93.53</v>
      </c>
      <c r="T50">
        <v>73.180000000000007</v>
      </c>
      <c r="U50">
        <v>89.76</v>
      </c>
      <c r="V50" s="20">
        <v>23.898199999999999</v>
      </c>
    </row>
    <row r="51" spans="7:22" x14ac:dyDescent="0.15">
      <c r="G51" s="11">
        <v>50</v>
      </c>
      <c r="H51" s="10" t="s">
        <v>819</v>
      </c>
      <c r="I51" t="s">
        <v>820</v>
      </c>
      <c r="J51" t="s">
        <v>814</v>
      </c>
      <c r="K51" s="57">
        <v>-4.24E-2</v>
      </c>
      <c r="L51" s="57">
        <v>6.9999999999999999E-4</v>
      </c>
      <c r="M51" s="57">
        <v>2.0999999999999999E-3</v>
      </c>
      <c r="N51" s="57">
        <v>4.3E-3</v>
      </c>
      <c r="O51" s="57">
        <v>0.01</v>
      </c>
      <c r="P51" s="57">
        <v>4.3E-3</v>
      </c>
      <c r="Q51" s="57">
        <v>1.6500000000000001E-2</v>
      </c>
      <c r="R51" s="57">
        <v>0.29049999999999998</v>
      </c>
      <c r="S51">
        <v>93.4</v>
      </c>
      <c r="T51">
        <v>63.48</v>
      </c>
      <c r="U51">
        <v>99.46</v>
      </c>
      <c r="V51" s="20">
        <v>39.390009999999997</v>
      </c>
    </row>
    <row r="52" spans="7:22" x14ac:dyDescent="0.15">
      <c r="G52" s="11">
        <v>51</v>
      </c>
      <c r="H52" s="10" t="s">
        <v>370</v>
      </c>
      <c r="I52" t="s">
        <v>1244</v>
      </c>
      <c r="J52" t="s">
        <v>1230</v>
      </c>
      <c r="K52" s="57">
        <v>-4.8999999999999998E-3</v>
      </c>
      <c r="L52" s="57">
        <v>1.6000000000000001E-3</v>
      </c>
      <c r="M52" s="57">
        <v>3.0599999999999999E-2</v>
      </c>
      <c r="N52" s="57">
        <v>1.34E-2</v>
      </c>
      <c r="O52" s="57">
        <v>1.18E-2</v>
      </c>
      <c r="P52" s="57">
        <v>2.5999999999999999E-3</v>
      </c>
      <c r="Q52" s="57">
        <v>0.12790000000000001</v>
      </c>
      <c r="R52" s="57">
        <v>0.1933</v>
      </c>
      <c r="S52">
        <v>93.26</v>
      </c>
      <c r="T52">
        <v>73.72</v>
      </c>
      <c r="U52">
        <v>88.54</v>
      </c>
      <c r="V52" s="20">
        <v>51.740900000000003</v>
      </c>
    </row>
    <row r="53" spans="7:22" x14ac:dyDescent="0.15">
      <c r="G53" s="11">
        <v>52</v>
      </c>
      <c r="H53" s="10" t="s">
        <v>618</v>
      </c>
      <c r="I53" t="s">
        <v>1058</v>
      </c>
      <c r="J53" t="s">
        <v>851</v>
      </c>
      <c r="K53" s="57">
        <v>-1.5E-3</v>
      </c>
      <c r="L53" s="57">
        <v>7.3000000000000001E-3</v>
      </c>
      <c r="M53" s="57">
        <v>5.7999999999999996E-3</v>
      </c>
      <c r="N53" s="57">
        <v>3.4099999999999998E-2</v>
      </c>
      <c r="O53" s="57">
        <v>0.17399999999999999</v>
      </c>
      <c r="P53" s="57">
        <v>-5.8500000000000003E-2</v>
      </c>
      <c r="Q53" s="57">
        <v>-0.10100000000000001</v>
      </c>
      <c r="R53" s="57">
        <v>-0.23150000000000001</v>
      </c>
      <c r="S53">
        <v>93.13</v>
      </c>
      <c r="T53">
        <v>87.47</v>
      </c>
      <c r="U53">
        <v>74.260000000000005</v>
      </c>
      <c r="V53" s="20">
        <v>4737.6907000000001</v>
      </c>
    </row>
    <row r="54" spans="7:22" x14ac:dyDescent="0.15">
      <c r="G54" s="11">
        <v>53</v>
      </c>
      <c r="H54" s="10" t="s">
        <v>640</v>
      </c>
      <c r="I54" t="s">
        <v>240</v>
      </c>
      <c r="J54" t="s">
        <v>1221</v>
      </c>
      <c r="K54" s="57">
        <v>-1.5E-3</v>
      </c>
      <c r="L54" s="57">
        <v>-8.8999999999999999E-3</v>
      </c>
      <c r="M54" s="57">
        <v>1.8599999999999998E-2</v>
      </c>
      <c r="N54" s="57">
        <v>3.6700000000000003E-2</v>
      </c>
      <c r="O54" s="57">
        <v>-3.5299999999999998E-2</v>
      </c>
      <c r="P54" s="57">
        <v>-0.04</v>
      </c>
      <c r="Q54" s="57">
        <v>-0.1023</v>
      </c>
      <c r="R54" s="57">
        <v>-0.24279999999999999</v>
      </c>
      <c r="S54">
        <v>92.99</v>
      </c>
      <c r="T54">
        <v>88.14</v>
      </c>
      <c r="U54">
        <v>73.45</v>
      </c>
      <c r="V54" s="20">
        <v>22.486087899999998</v>
      </c>
    </row>
    <row r="55" spans="7:22" x14ac:dyDescent="0.15">
      <c r="G55" s="11">
        <v>54</v>
      </c>
      <c r="H55" s="10" t="s">
        <v>294</v>
      </c>
      <c r="I55" t="s">
        <v>1359</v>
      </c>
      <c r="J55" t="s">
        <v>1665</v>
      </c>
      <c r="K55" s="57">
        <v>-8.3999999999999995E-3</v>
      </c>
      <c r="L55" s="57">
        <v>4.4999999999999997E-3</v>
      </c>
      <c r="M55" s="57">
        <v>2.8E-3</v>
      </c>
      <c r="N55" s="57">
        <v>8.0000000000000002E-3</v>
      </c>
      <c r="O55" s="57">
        <v>1.1599999999999999E-2</v>
      </c>
      <c r="P55" s="57">
        <v>2.01E-2</v>
      </c>
      <c r="Q55" s="57">
        <v>4.1700000000000001E-2</v>
      </c>
      <c r="R55" s="57">
        <v>8.2500000000000004E-2</v>
      </c>
      <c r="S55">
        <v>92.86</v>
      </c>
      <c r="T55">
        <v>67.25</v>
      </c>
      <c r="U55">
        <v>94.34</v>
      </c>
      <c r="V55" s="20">
        <v>2522.1570999999999</v>
      </c>
    </row>
    <row r="56" spans="7:22" x14ac:dyDescent="0.15">
      <c r="G56" s="11">
        <v>55</v>
      </c>
      <c r="H56" s="10" t="s">
        <v>1484</v>
      </c>
      <c r="I56" t="s">
        <v>1485</v>
      </c>
      <c r="J56" t="s">
        <v>1665</v>
      </c>
      <c r="K56" s="57">
        <v>-1.6999999999999999E-3</v>
      </c>
      <c r="L56" s="57">
        <v>-9.2999999999999992E-3</v>
      </c>
      <c r="M56" s="57">
        <v>-8.6E-3</v>
      </c>
      <c r="N56" s="57">
        <v>2.9100000000000001E-2</v>
      </c>
      <c r="O56" s="57">
        <v>-3.8100000000000002E-2</v>
      </c>
      <c r="P56" s="57">
        <v>-2.9700000000000001E-2</v>
      </c>
      <c r="Q56" s="57">
        <v>-2.9700000000000001E-2</v>
      </c>
      <c r="R56" s="57">
        <v>-2.9700000000000001E-2</v>
      </c>
      <c r="S56">
        <v>92.72</v>
      </c>
      <c r="T56">
        <v>85.71</v>
      </c>
      <c r="U56">
        <v>75.88</v>
      </c>
      <c r="V56" s="20">
        <v>800.28961320000008</v>
      </c>
    </row>
    <row r="57" spans="7:22" x14ac:dyDescent="0.15">
      <c r="G57" s="11">
        <v>56</v>
      </c>
      <c r="H57" s="10" t="s">
        <v>456</v>
      </c>
      <c r="I57" t="s">
        <v>961</v>
      </c>
      <c r="J57" t="s">
        <v>851</v>
      </c>
      <c r="K57" s="57">
        <v>-8.9999999999999998E-4</v>
      </c>
      <c r="L57" s="57">
        <v>-1.6500000000000001E-2</v>
      </c>
      <c r="M57" s="57">
        <v>-1.5599999999999999E-2</v>
      </c>
      <c r="N57" s="57">
        <v>0.06</v>
      </c>
      <c r="O57" s="57">
        <v>0.11269999999999999</v>
      </c>
      <c r="P57" s="57">
        <v>-0.14369999999999999</v>
      </c>
      <c r="Q57" s="57">
        <v>-0.2631</v>
      </c>
      <c r="R57" s="57">
        <v>-0.18679999999999999</v>
      </c>
      <c r="S57">
        <v>92.59</v>
      </c>
      <c r="T57">
        <v>94.88</v>
      </c>
      <c r="U57">
        <v>66.58</v>
      </c>
      <c r="V57" s="20">
        <v>4519.2339700000002</v>
      </c>
    </row>
    <row r="58" spans="7:22" x14ac:dyDescent="0.15">
      <c r="G58" s="11">
        <v>57</v>
      </c>
      <c r="H58" s="10" t="s">
        <v>300</v>
      </c>
      <c r="I58" t="s">
        <v>19</v>
      </c>
      <c r="J58" t="s">
        <v>849</v>
      </c>
      <c r="K58" s="57">
        <v>-1.9099999999999999E-2</v>
      </c>
      <c r="L58" s="57">
        <v>2.0999999999999999E-3</v>
      </c>
      <c r="M58" s="57">
        <v>2.0999999999999999E-3</v>
      </c>
      <c r="N58" s="57">
        <v>4.1000000000000003E-3</v>
      </c>
      <c r="O58" s="57">
        <v>6.0000000000000001E-3</v>
      </c>
      <c r="P58" s="57">
        <v>1.0999999999999999E-2</v>
      </c>
      <c r="Q58" s="57">
        <v>2.4899999999999999E-2</v>
      </c>
      <c r="R58" s="57">
        <v>5.2299999999999999E-2</v>
      </c>
      <c r="S58">
        <v>92.45</v>
      </c>
      <c r="T58">
        <v>63.34</v>
      </c>
      <c r="U58">
        <v>97.71</v>
      </c>
      <c r="V58" s="20">
        <v>108.61725519999999</v>
      </c>
    </row>
    <row r="59" spans="7:22" x14ac:dyDescent="0.15">
      <c r="G59" s="11">
        <v>58</v>
      </c>
      <c r="H59" s="10" t="s">
        <v>1306</v>
      </c>
      <c r="I59" t="s">
        <v>1307</v>
      </c>
      <c r="J59" t="s">
        <v>1665</v>
      </c>
      <c r="K59" s="57">
        <v>-1.1999999999999999E-3</v>
      </c>
      <c r="L59" s="57">
        <v>4.6199999999999998E-2</v>
      </c>
      <c r="M59" s="57">
        <v>6.2100000000000002E-2</v>
      </c>
      <c r="N59" s="57">
        <v>4.7300000000000002E-2</v>
      </c>
      <c r="O59" s="57">
        <v>-2.3599999999999999E-2</v>
      </c>
      <c r="P59" s="57">
        <v>-8.1100000000000005E-2</v>
      </c>
      <c r="Q59" s="57">
        <v>-0.1019</v>
      </c>
      <c r="R59" s="57">
        <v>-0.1019</v>
      </c>
      <c r="S59">
        <v>92.32</v>
      </c>
      <c r="T59">
        <v>90.43</v>
      </c>
      <c r="U59">
        <v>70.22</v>
      </c>
      <c r="V59" s="20">
        <v>4466.1057499999997</v>
      </c>
    </row>
    <row r="60" spans="7:22" x14ac:dyDescent="0.15">
      <c r="G60" s="11">
        <v>59</v>
      </c>
      <c r="H60" s="10" t="s">
        <v>352</v>
      </c>
      <c r="I60" t="s">
        <v>860</v>
      </c>
      <c r="J60" t="s">
        <v>851</v>
      </c>
      <c r="K60" s="57">
        <v>-3.3999999999999998E-3</v>
      </c>
      <c r="L60" s="57">
        <v>-3.8999999999999998E-3</v>
      </c>
      <c r="M60" s="57">
        <v>1.8800000000000001E-2</v>
      </c>
      <c r="N60" s="57">
        <v>1.6500000000000001E-2</v>
      </c>
      <c r="O60" s="57">
        <v>8.0100000000000005E-2</v>
      </c>
      <c r="P60" s="57">
        <v>-3.3500000000000002E-2</v>
      </c>
      <c r="Q60" s="57">
        <v>-2.86E-2</v>
      </c>
      <c r="R60" s="57">
        <v>8.2900000000000001E-2</v>
      </c>
      <c r="S60">
        <v>92.18</v>
      </c>
      <c r="T60">
        <v>76.28</v>
      </c>
      <c r="U60">
        <v>84.37</v>
      </c>
      <c r="V60" s="20">
        <v>81.951899999999995</v>
      </c>
    </row>
    <row r="61" spans="7:22" x14ac:dyDescent="0.15">
      <c r="G61" s="11">
        <v>60</v>
      </c>
      <c r="H61" s="10" t="s">
        <v>562</v>
      </c>
      <c r="I61" t="s">
        <v>975</v>
      </c>
      <c r="J61" t="s">
        <v>851</v>
      </c>
      <c r="K61" s="57">
        <v>-2.3E-3</v>
      </c>
      <c r="L61" s="57">
        <v>-3.2000000000000002E-3</v>
      </c>
      <c r="M61" s="57">
        <v>2.1299999999999999E-2</v>
      </c>
      <c r="N61" s="57">
        <v>2.1499999999999998E-2</v>
      </c>
      <c r="O61" s="57">
        <v>0.10199999999999999</v>
      </c>
      <c r="P61" s="57">
        <v>-3.0300000000000001E-2</v>
      </c>
      <c r="Q61" s="57">
        <v>-4.2299999999999997E-2</v>
      </c>
      <c r="R61" s="57">
        <v>0.1482</v>
      </c>
      <c r="S61">
        <v>92.05</v>
      </c>
      <c r="T61">
        <v>81.27</v>
      </c>
      <c r="U61">
        <v>79.38</v>
      </c>
      <c r="V61" s="20">
        <v>836.65530000000001</v>
      </c>
    </row>
    <row r="62" spans="7:22" x14ac:dyDescent="0.15">
      <c r="G62" s="11">
        <v>61</v>
      </c>
      <c r="H62" s="10" t="s">
        <v>578</v>
      </c>
      <c r="I62" t="s">
        <v>1240</v>
      </c>
      <c r="J62" t="s">
        <v>1230</v>
      </c>
      <c r="K62" s="57">
        <v>-5.0000000000000001E-3</v>
      </c>
      <c r="L62" s="57">
        <v>-2.8999999999999998E-3</v>
      </c>
      <c r="M62" s="57">
        <v>1.8100000000000002E-2</v>
      </c>
      <c r="N62" s="57">
        <v>1.21E-2</v>
      </c>
      <c r="O62" s="57">
        <v>7.4700000000000003E-2</v>
      </c>
      <c r="P62" s="57">
        <v>-1.4999999999999999E-2</v>
      </c>
      <c r="Q62" s="57">
        <v>-4.8899999999999999E-2</v>
      </c>
      <c r="R62" s="57">
        <v>6.4399999999999999E-2</v>
      </c>
      <c r="S62">
        <v>91.91</v>
      </c>
      <c r="T62">
        <v>71.83</v>
      </c>
      <c r="U62">
        <v>88.81</v>
      </c>
      <c r="V62" s="20">
        <v>44.764829999999996</v>
      </c>
    </row>
    <row r="63" spans="7:22" x14ac:dyDescent="0.15">
      <c r="G63" s="11">
        <v>62</v>
      </c>
      <c r="H63" s="10" t="s">
        <v>577</v>
      </c>
      <c r="I63" t="s">
        <v>245</v>
      </c>
      <c r="J63" t="s">
        <v>1221</v>
      </c>
      <c r="K63" s="57">
        <v>-1.23E-2</v>
      </c>
      <c r="L63" s="57">
        <v>-2.9999999999999997E-4</v>
      </c>
      <c r="M63" s="57">
        <v>5.4999999999999997E-3</v>
      </c>
      <c r="N63" s="57">
        <v>4.4000000000000003E-3</v>
      </c>
      <c r="O63" s="57">
        <v>1.55E-2</v>
      </c>
      <c r="P63" s="57">
        <v>-6.6799999999999998E-2</v>
      </c>
      <c r="Q63" s="57">
        <v>-8.3299999999999999E-2</v>
      </c>
      <c r="R63" s="57">
        <v>9.1800000000000007E-2</v>
      </c>
      <c r="S63">
        <v>91.78</v>
      </c>
      <c r="T63">
        <v>63.61</v>
      </c>
      <c r="U63">
        <v>96.9</v>
      </c>
      <c r="V63" s="20">
        <v>122.33860039999999</v>
      </c>
    </row>
    <row r="64" spans="7:22" x14ac:dyDescent="0.15">
      <c r="G64" s="11">
        <v>63</v>
      </c>
      <c r="H64" s="10" t="s">
        <v>398</v>
      </c>
      <c r="I64" t="s">
        <v>966</v>
      </c>
      <c r="J64" t="s">
        <v>851</v>
      </c>
      <c r="K64" s="57">
        <v>-2.0999999999999999E-3</v>
      </c>
      <c r="L64" s="57">
        <v>8.5000000000000006E-3</v>
      </c>
      <c r="M64" s="57">
        <v>3.1899999999999998E-2</v>
      </c>
      <c r="N64" s="57">
        <v>2.24E-2</v>
      </c>
      <c r="O64" s="57">
        <v>1.06E-2</v>
      </c>
      <c r="P64" s="57">
        <v>1.9099999999999999E-2</v>
      </c>
      <c r="Q64" s="57">
        <v>6.2399999999999997E-2</v>
      </c>
      <c r="R64" s="57">
        <v>0.13969999999999999</v>
      </c>
      <c r="S64">
        <v>91.64</v>
      </c>
      <c r="T64">
        <v>82.21</v>
      </c>
      <c r="U64">
        <v>77.900000000000006</v>
      </c>
      <c r="V64" s="20">
        <v>38918.974000000002</v>
      </c>
    </row>
    <row r="65" spans="7:22" x14ac:dyDescent="0.15">
      <c r="G65" s="11">
        <v>64</v>
      </c>
      <c r="H65" s="10" t="s">
        <v>482</v>
      </c>
      <c r="I65" t="s">
        <v>1024</v>
      </c>
      <c r="J65" t="s">
        <v>851</v>
      </c>
      <c r="K65" s="57">
        <v>-1.4E-3</v>
      </c>
      <c r="L65" s="57">
        <v>1.0200000000000001E-2</v>
      </c>
      <c r="M65" s="57">
        <v>4.2599999999999999E-2</v>
      </c>
      <c r="N65" s="57">
        <v>3.0800000000000001E-2</v>
      </c>
      <c r="O65" s="57">
        <v>2.93E-2</v>
      </c>
      <c r="P65" s="57">
        <v>1.52E-2</v>
      </c>
      <c r="Q65" s="57">
        <v>5.7599999999999998E-2</v>
      </c>
      <c r="R65" s="57">
        <v>0.1991</v>
      </c>
      <c r="S65">
        <v>91.51</v>
      </c>
      <c r="T65">
        <v>86.66</v>
      </c>
      <c r="U65">
        <v>73.319999999999993</v>
      </c>
      <c r="V65" s="20">
        <v>1223.9483</v>
      </c>
    </row>
    <row r="66" spans="7:22" x14ac:dyDescent="0.15">
      <c r="G66" s="11">
        <v>65</v>
      </c>
      <c r="H66" s="10" t="s">
        <v>495</v>
      </c>
      <c r="I66" t="s">
        <v>1084</v>
      </c>
      <c r="J66" t="s">
        <v>851</v>
      </c>
      <c r="K66" s="57">
        <v>-1.6000000000000001E-3</v>
      </c>
      <c r="L66" s="57">
        <v>9.4000000000000004E-3</v>
      </c>
      <c r="M66" s="57">
        <v>4.0099999999999997E-2</v>
      </c>
      <c r="N66" s="57">
        <v>2.8299999999999999E-2</v>
      </c>
      <c r="O66" s="57">
        <v>2.52E-2</v>
      </c>
      <c r="P66" s="57">
        <v>1.1599999999999999E-2</v>
      </c>
      <c r="Q66" s="57">
        <v>7.3200000000000001E-2</v>
      </c>
      <c r="R66" s="57">
        <v>0.33250000000000002</v>
      </c>
      <c r="S66">
        <v>91.37</v>
      </c>
      <c r="T66">
        <v>85.31</v>
      </c>
      <c r="U66">
        <v>74.53</v>
      </c>
      <c r="V66" s="20">
        <v>4853.6130000000003</v>
      </c>
    </row>
    <row r="67" spans="7:22" x14ac:dyDescent="0.15">
      <c r="G67" s="11">
        <v>66</v>
      </c>
      <c r="H67" s="10" t="s">
        <v>505</v>
      </c>
      <c r="I67" t="s">
        <v>1236</v>
      </c>
      <c r="J67" t="s">
        <v>1230</v>
      </c>
      <c r="K67" s="57">
        <v>-5.3E-3</v>
      </c>
      <c r="L67" s="57">
        <v>-1.0500000000000001E-2</v>
      </c>
      <c r="M67" s="57">
        <v>1.52E-2</v>
      </c>
      <c r="N67" s="57">
        <v>1.03E-2</v>
      </c>
      <c r="O67" s="57">
        <v>7.1900000000000006E-2</v>
      </c>
      <c r="P67" s="57">
        <v>-1.1299999999999999E-2</v>
      </c>
      <c r="Q67" s="57">
        <v>-6.7599999999999993E-2</v>
      </c>
      <c r="R67" s="57">
        <v>0.2596</v>
      </c>
      <c r="S67">
        <v>91.24</v>
      </c>
      <c r="T67">
        <v>69.41</v>
      </c>
      <c r="U67">
        <v>89.22</v>
      </c>
      <c r="V67" s="20">
        <v>150.8596</v>
      </c>
    </row>
    <row r="68" spans="7:22" x14ac:dyDescent="0.15">
      <c r="G68" s="11">
        <v>67</v>
      </c>
      <c r="H68" s="10" t="s">
        <v>637</v>
      </c>
      <c r="I68" t="s">
        <v>1234</v>
      </c>
      <c r="J68" t="s">
        <v>1230</v>
      </c>
      <c r="K68" s="57">
        <v>-2.8999999999999998E-3</v>
      </c>
      <c r="L68" s="57">
        <v>-3.8999999999999998E-3</v>
      </c>
      <c r="M68" s="57">
        <v>1.78E-2</v>
      </c>
      <c r="N68" s="57">
        <v>1.6299999999999999E-2</v>
      </c>
      <c r="O68" s="57">
        <v>8.7499999999999994E-2</v>
      </c>
      <c r="P68" s="57">
        <v>-3.2099999999999997E-2</v>
      </c>
      <c r="Q68" s="57">
        <v>-5.7200000000000001E-2</v>
      </c>
      <c r="R68" s="57">
        <v>1.66E-2</v>
      </c>
      <c r="S68">
        <v>91.11</v>
      </c>
      <c r="T68">
        <v>76.010000000000005</v>
      </c>
      <c r="U68">
        <v>82.61</v>
      </c>
      <c r="V68" s="20">
        <v>38.2155378</v>
      </c>
    </row>
    <row r="69" spans="7:22" x14ac:dyDescent="0.15">
      <c r="G69" s="11">
        <v>68</v>
      </c>
      <c r="H69" s="10" t="s">
        <v>405</v>
      </c>
      <c r="I69" t="s">
        <v>1043</v>
      </c>
      <c r="J69" t="s">
        <v>851</v>
      </c>
      <c r="K69" s="57">
        <v>-8.9999999999999998E-4</v>
      </c>
      <c r="L69" s="57">
        <v>5.2999999999999999E-2</v>
      </c>
      <c r="M69" s="57">
        <v>8.5000000000000006E-2</v>
      </c>
      <c r="N69" s="57">
        <v>5.1700000000000003E-2</v>
      </c>
      <c r="O69" s="57">
        <v>0.31669999999999998</v>
      </c>
      <c r="P69" s="57">
        <v>0.19750000000000001</v>
      </c>
      <c r="Q69" s="57">
        <v>8.2600000000000007E-2</v>
      </c>
      <c r="R69" s="57">
        <v>0.49530000000000002</v>
      </c>
      <c r="S69">
        <v>90.97</v>
      </c>
      <c r="T69">
        <v>91.51</v>
      </c>
      <c r="U69">
        <v>66.44</v>
      </c>
      <c r="V69" s="20">
        <v>6884.3131000000003</v>
      </c>
    </row>
    <row r="70" spans="7:22" x14ac:dyDescent="0.15">
      <c r="G70" s="11">
        <v>69</v>
      </c>
      <c r="H70" s="10" t="s">
        <v>619</v>
      </c>
      <c r="I70" t="s">
        <v>1016</v>
      </c>
      <c r="J70" t="s">
        <v>851</v>
      </c>
      <c r="K70" s="57">
        <v>-2.5999999999999999E-3</v>
      </c>
      <c r="L70" s="57">
        <v>-3.3E-3</v>
      </c>
      <c r="M70" s="57">
        <v>3.3300000000000003E-2</v>
      </c>
      <c r="N70" s="57">
        <v>1.55E-2</v>
      </c>
      <c r="O70" s="57">
        <v>5.5399999999999998E-2</v>
      </c>
      <c r="P70" s="57">
        <v>-6.5299999999999997E-2</v>
      </c>
      <c r="Q70" s="57">
        <v>-7.1999999999999998E-3</v>
      </c>
      <c r="R70" s="57">
        <v>-0.18090000000000001</v>
      </c>
      <c r="S70">
        <v>90.84</v>
      </c>
      <c r="T70">
        <v>75.47</v>
      </c>
      <c r="U70">
        <v>81.13</v>
      </c>
      <c r="V70" s="20">
        <v>1609.9684999999999</v>
      </c>
    </row>
    <row r="71" spans="7:22" x14ac:dyDescent="0.15">
      <c r="G71" s="11">
        <v>70</v>
      </c>
      <c r="H71" s="10" t="s">
        <v>323</v>
      </c>
      <c r="I71" t="s">
        <v>983</v>
      </c>
      <c r="J71" t="s">
        <v>851</v>
      </c>
      <c r="K71" s="57">
        <v>-8.0000000000000004E-4</v>
      </c>
      <c r="L71" s="57">
        <v>5.4699999999999999E-2</v>
      </c>
      <c r="M71" s="57">
        <v>8.77E-2</v>
      </c>
      <c r="N71" s="57">
        <v>5.6399999999999999E-2</v>
      </c>
      <c r="O71" s="57">
        <v>0.32929999999999998</v>
      </c>
      <c r="P71" s="57">
        <v>0.21079999999999999</v>
      </c>
      <c r="Q71" s="57">
        <v>0.1172</v>
      </c>
      <c r="R71" s="57">
        <v>0.77290000000000003</v>
      </c>
      <c r="S71">
        <v>90.7</v>
      </c>
      <c r="T71">
        <v>93.53</v>
      </c>
      <c r="U71">
        <v>62.53</v>
      </c>
      <c r="V71" s="20">
        <v>2815.4321516</v>
      </c>
    </row>
    <row r="72" spans="7:22" x14ac:dyDescent="0.15">
      <c r="G72" s="11">
        <v>71</v>
      </c>
      <c r="H72" s="10" t="s">
        <v>559</v>
      </c>
      <c r="I72" t="s">
        <v>1117</v>
      </c>
      <c r="J72" t="s">
        <v>851</v>
      </c>
      <c r="K72" s="57">
        <v>-1.6000000000000001E-3</v>
      </c>
      <c r="L72" s="57">
        <v>-2.0799999999999999E-2</v>
      </c>
      <c r="M72" s="57">
        <v>6.4999999999999997E-3</v>
      </c>
      <c r="N72" s="57">
        <v>1.9699999999999999E-2</v>
      </c>
      <c r="O72" s="57">
        <v>0.13619999999999999</v>
      </c>
      <c r="P72" s="57">
        <v>-4.2799999999999998E-2</v>
      </c>
      <c r="Q72" s="57">
        <v>-0.13600000000000001</v>
      </c>
      <c r="R72" s="57">
        <v>0.16470000000000001</v>
      </c>
      <c r="S72">
        <v>90.57</v>
      </c>
      <c r="T72">
        <v>80.459999999999994</v>
      </c>
      <c r="U72">
        <v>74.930000000000007</v>
      </c>
      <c r="V72" s="20">
        <v>16828.884999999998</v>
      </c>
    </row>
    <row r="73" spans="7:22" x14ac:dyDescent="0.15">
      <c r="G73" s="11">
        <v>72</v>
      </c>
      <c r="H73" s="10" t="s">
        <v>1217</v>
      </c>
      <c r="I73" t="s">
        <v>1218</v>
      </c>
      <c r="J73" t="s">
        <v>1199</v>
      </c>
      <c r="K73" s="57">
        <v>-3.78E-2</v>
      </c>
      <c r="L73" s="57">
        <v>0</v>
      </c>
      <c r="M73" s="57">
        <v>0</v>
      </c>
      <c r="N73" s="57">
        <v>0</v>
      </c>
      <c r="O73" s="57">
        <v>0</v>
      </c>
      <c r="P73" s="57">
        <v>0</v>
      </c>
      <c r="Q73" s="57">
        <v>0</v>
      </c>
      <c r="R73" s="57">
        <v>0</v>
      </c>
      <c r="S73">
        <v>90.43</v>
      </c>
      <c r="T73">
        <v>56.2</v>
      </c>
      <c r="U73">
        <v>99.06</v>
      </c>
      <c r="V73" s="20">
        <v>2745.4453596000003</v>
      </c>
    </row>
    <row r="74" spans="7:22" x14ac:dyDescent="0.15">
      <c r="G74" s="11">
        <v>73</v>
      </c>
      <c r="H74" s="10" t="s">
        <v>279</v>
      </c>
      <c r="I74" t="s">
        <v>794</v>
      </c>
      <c r="J74" t="s">
        <v>851</v>
      </c>
      <c r="K74" s="57">
        <v>-7.4999999999999997E-3</v>
      </c>
      <c r="L74" s="57">
        <v>-3.7499999999999999E-2</v>
      </c>
      <c r="M74" s="57">
        <v>-2.2100000000000002E-2</v>
      </c>
      <c r="N74" s="57">
        <v>3.2000000000000002E-3</v>
      </c>
      <c r="O74" s="57">
        <v>-0.15679999999999999</v>
      </c>
      <c r="P74" s="57">
        <v>-0.1181</v>
      </c>
      <c r="Q74" s="57">
        <v>7.5899999999999995E-2</v>
      </c>
      <c r="R74" s="57">
        <v>0.69</v>
      </c>
      <c r="S74">
        <v>90.3</v>
      </c>
      <c r="T74">
        <v>61.73</v>
      </c>
      <c r="U74">
        <v>93.26</v>
      </c>
      <c r="V74" s="20">
        <v>3202.9813454</v>
      </c>
    </row>
    <row r="75" spans="7:22" x14ac:dyDescent="0.15">
      <c r="G75" s="11">
        <v>74</v>
      </c>
      <c r="H75" s="10" t="s">
        <v>518</v>
      </c>
      <c r="I75" t="s">
        <v>1048</v>
      </c>
      <c r="J75" t="s">
        <v>851</v>
      </c>
      <c r="K75" s="57">
        <v>-1.5E-3</v>
      </c>
      <c r="L75" s="57">
        <v>-4.0000000000000001E-3</v>
      </c>
      <c r="M75" s="57">
        <v>0.02</v>
      </c>
      <c r="N75" s="57">
        <v>1.9800000000000002E-2</v>
      </c>
      <c r="O75" s="57">
        <v>9.8900000000000002E-2</v>
      </c>
      <c r="P75" s="57">
        <v>-3.5700000000000003E-2</v>
      </c>
      <c r="Q75" s="57">
        <v>-5.0500000000000003E-2</v>
      </c>
      <c r="R75" s="57">
        <v>8.9200000000000002E-2</v>
      </c>
      <c r="S75">
        <v>90.16</v>
      </c>
      <c r="T75">
        <v>80.59</v>
      </c>
      <c r="U75">
        <v>74.12</v>
      </c>
      <c r="V75" s="20">
        <v>763.45322640000006</v>
      </c>
    </row>
    <row r="76" spans="7:22" x14ac:dyDescent="0.15">
      <c r="G76" s="11">
        <v>75</v>
      </c>
      <c r="H76" s="10" t="s">
        <v>668</v>
      </c>
      <c r="I76" t="s">
        <v>996</v>
      </c>
      <c r="J76" t="s">
        <v>851</v>
      </c>
      <c r="K76" s="57">
        <v>-1.6000000000000001E-3</v>
      </c>
      <c r="L76" s="57">
        <v>-3.5999999999999999E-3</v>
      </c>
      <c r="M76" s="57">
        <v>4.1099999999999998E-2</v>
      </c>
      <c r="N76" s="57">
        <v>1.9099999999999999E-2</v>
      </c>
      <c r="O76" s="57">
        <v>6.2799999999999995E-2</v>
      </c>
      <c r="P76" s="57">
        <v>-8.2900000000000001E-2</v>
      </c>
      <c r="Q76" s="57">
        <v>-0.1255</v>
      </c>
      <c r="R76" s="57">
        <v>-0.2016</v>
      </c>
      <c r="S76">
        <v>90.03</v>
      </c>
      <c r="T76">
        <v>79.92</v>
      </c>
      <c r="U76">
        <v>74.66</v>
      </c>
      <c r="V76" s="20">
        <v>1173.2324000000001</v>
      </c>
    </row>
    <row r="77" spans="7:22" x14ac:dyDescent="0.15">
      <c r="G77" s="11">
        <v>76</v>
      </c>
      <c r="H77" s="10" t="s">
        <v>1406</v>
      </c>
      <c r="I77" t="s">
        <v>1407</v>
      </c>
      <c r="J77" t="s">
        <v>1665</v>
      </c>
      <c r="K77" s="57">
        <v>-1.2999999999999999E-3</v>
      </c>
      <c r="L77" s="57">
        <v>5.45E-2</v>
      </c>
      <c r="M77" s="57">
        <v>7.9100000000000004E-2</v>
      </c>
      <c r="N77" s="57">
        <v>2.3900000000000001E-2</v>
      </c>
      <c r="O77" s="57">
        <v>0.1091</v>
      </c>
      <c r="P77" s="57">
        <v>0.19850000000000001</v>
      </c>
      <c r="Q77" s="57">
        <v>0.19850000000000001</v>
      </c>
      <c r="R77" s="57">
        <v>0.19850000000000001</v>
      </c>
      <c r="S77">
        <v>89.89</v>
      </c>
      <c r="T77">
        <v>82.75</v>
      </c>
      <c r="U77">
        <v>71.56</v>
      </c>
      <c r="V77" s="20">
        <v>7389.7201654999999</v>
      </c>
    </row>
    <row r="78" spans="7:22" x14ac:dyDescent="0.15">
      <c r="G78" s="11">
        <v>77</v>
      </c>
      <c r="H78" s="10" t="s">
        <v>420</v>
      </c>
      <c r="I78" t="s">
        <v>249</v>
      </c>
      <c r="J78" t="s">
        <v>1221</v>
      </c>
      <c r="K78" s="57">
        <v>-2.3999999999999998E-3</v>
      </c>
      <c r="L78" s="57">
        <v>1.9E-3</v>
      </c>
      <c r="M78" s="57">
        <v>6.4999999999999997E-3</v>
      </c>
      <c r="N78" s="57">
        <v>1.3599999999999999E-2</v>
      </c>
      <c r="O78" s="57">
        <v>8.7499999999999994E-2</v>
      </c>
      <c r="P78" s="57">
        <v>-4.19E-2</v>
      </c>
      <c r="Q78" s="57">
        <v>-9.0399999999999994E-2</v>
      </c>
      <c r="R78" s="57">
        <v>3.5400000000000001E-2</v>
      </c>
      <c r="S78">
        <v>89.76</v>
      </c>
      <c r="T78">
        <v>74.260000000000005</v>
      </c>
      <c r="U78">
        <v>79.78</v>
      </c>
      <c r="V78" s="20">
        <v>287.47531579999998</v>
      </c>
    </row>
    <row r="79" spans="7:22" x14ac:dyDescent="0.15">
      <c r="G79" s="11">
        <v>78</v>
      </c>
      <c r="H79" s="10" t="s">
        <v>304</v>
      </c>
      <c r="I79" t="s">
        <v>850</v>
      </c>
      <c r="J79" t="s">
        <v>849</v>
      </c>
      <c r="K79" s="57">
        <v>-8.0000000000000002E-3</v>
      </c>
      <c r="L79" s="57">
        <v>0</v>
      </c>
      <c r="M79" s="57">
        <v>1.1000000000000001E-3</v>
      </c>
      <c r="N79" s="57">
        <v>1.6999999999999999E-3</v>
      </c>
      <c r="O79" s="57">
        <v>6.3E-3</v>
      </c>
      <c r="P79" s="57">
        <v>1.6299999999999999E-2</v>
      </c>
      <c r="Q79" s="57">
        <v>3.6799999999999999E-2</v>
      </c>
      <c r="R79" s="57">
        <v>5.8099999999999999E-2</v>
      </c>
      <c r="S79">
        <v>89.62</v>
      </c>
      <c r="T79">
        <v>59.97</v>
      </c>
      <c r="U79">
        <v>93.94</v>
      </c>
      <c r="V79" s="20">
        <v>0</v>
      </c>
    </row>
    <row r="80" spans="7:22" x14ac:dyDescent="0.15">
      <c r="G80" s="11">
        <v>79</v>
      </c>
      <c r="H80" s="10" t="s">
        <v>267</v>
      </c>
      <c r="I80" t="s">
        <v>20</v>
      </c>
      <c r="J80" t="s">
        <v>1192</v>
      </c>
      <c r="K80" s="57">
        <v>-9.5999999999999992E-3</v>
      </c>
      <c r="L80" s="57">
        <v>-1.4800000000000001E-2</v>
      </c>
      <c r="M80" s="57">
        <v>3.2399999999999998E-2</v>
      </c>
      <c r="N80" s="57">
        <v>0</v>
      </c>
      <c r="O80" s="57">
        <v>-6.9800000000000001E-2</v>
      </c>
      <c r="P80" s="57">
        <v>0.13289999999999999</v>
      </c>
      <c r="Q80" s="57">
        <v>0.33029999999999998</v>
      </c>
      <c r="R80" s="57">
        <v>0.79220000000000002</v>
      </c>
      <c r="S80">
        <v>89.49</v>
      </c>
      <c r="T80">
        <v>57.01</v>
      </c>
      <c r="U80">
        <v>95.42</v>
      </c>
      <c r="V80" s="20">
        <v>56.160769999999992</v>
      </c>
    </row>
    <row r="81" spans="7:22" x14ac:dyDescent="0.15">
      <c r="G81" s="11">
        <v>80</v>
      </c>
      <c r="H81" s="10" t="s">
        <v>535</v>
      </c>
      <c r="I81" t="s">
        <v>1227</v>
      </c>
      <c r="J81" t="s">
        <v>1221</v>
      </c>
      <c r="K81" s="57">
        <v>-3.8999999999999998E-3</v>
      </c>
      <c r="L81" s="57">
        <v>5.4999999999999997E-3</v>
      </c>
      <c r="M81" s="57">
        <v>9.4999999999999998E-3</v>
      </c>
      <c r="N81" s="57">
        <v>7.4000000000000003E-3</v>
      </c>
      <c r="O81" s="57">
        <v>6.8099999999999994E-2</v>
      </c>
      <c r="P81" s="57">
        <v>1.5100000000000001E-2</v>
      </c>
      <c r="Q81" s="57">
        <v>-6.4100000000000004E-2</v>
      </c>
      <c r="R81" s="57">
        <v>-1.7999999999999999E-2</v>
      </c>
      <c r="S81">
        <v>89.35</v>
      </c>
      <c r="T81">
        <v>66.44</v>
      </c>
      <c r="U81">
        <v>85.85</v>
      </c>
      <c r="V81" s="20">
        <v>1327.8348771999999</v>
      </c>
    </row>
    <row r="82" spans="7:22" x14ac:dyDescent="0.15">
      <c r="G82" s="11">
        <v>81</v>
      </c>
      <c r="H82" s="10" t="s">
        <v>2093</v>
      </c>
      <c r="I82" t="s">
        <v>2094</v>
      </c>
      <c r="J82" t="s">
        <v>2058</v>
      </c>
      <c r="K82" s="57">
        <v>-1E-3</v>
      </c>
      <c r="L82" s="57">
        <v>2.7900000000000001E-2</v>
      </c>
      <c r="M82" s="57">
        <v>2.7900000000000001E-2</v>
      </c>
      <c r="N82" s="57">
        <v>2.7900000000000001E-2</v>
      </c>
      <c r="O82" s="57">
        <v>2.7900000000000001E-2</v>
      </c>
      <c r="P82" s="57">
        <v>2.7900000000000001E-2</v>
      </c>
      <c r="Q82" s="57">
        <v>2.7900000000000001E-2</v>
      </c>
      <c r="R82" s="57">
        <v>2.7900000000000001E-2</v>
      </c>
      <c r="S82">
        <v>89.22</v>
      </c>
      <c r="T82">
        <v>84.77</v>
      </c>
      <c r="U82">
        <v>66.98</v>
      </c>
      <c r="V82" s="20">
        <v>1120.6366</v>
      </c>
    </row>
    <row r="83" spans="7:22" x14ac:dyDescent="0.15">
      <c r="G83" s="11">
        <v>82</v>
      </c>
      <c r="H83" s="10" t="s">
        <v>530</v>
      </c>
      <c r="I83" t="s">
        <v>1124</v>
      </c>
      <c r="J83" t="s">
        <v>851</v>
      </c>
      <c r="K83" s="57">
        <v>-3.2000000000000002E-3</v>
      </c>
      <c r="L83" s="57">
        <v>1.0200000000000001E-2</v>
      </c>
      <c r="M83" s="57">
        <v>1.5800000000000002E-2</v>
      </c>
      <c r="N83" s="57">
        <v>8.8999999999999999E-3</v>
      </c>
      <c r="O83" s="57">
        <v>0.19409999999999999</v>
      </c>
      <c r="P83" s="57">
        <v>5.0000000000000001E-3</v>
      </c>
      <c r="Q83" s="57">
        <v>-0.1797</v>
      </c>
      <c r="R83" s="57">
        <v>0.19040000000000001</v>
      </c>
      <c r="S83">
        <v>89.08</v>
      </c>
      <c r="T83">
        <v>68.06</v>
      </c>
      <c r="U83">
        <v>83.29</v>
      </c>
      <c r="V83" s="20">
        <v>19856.977019999998</v>
      </c>
    </row>
    <row r="84" spans="7:22" x14ac:dyDescent="0.15">
      <c r="G84" s="11">
        <v>83</v>
      </c>
      <c r="H84" s="10" t="s">
        <v>586</v>
      </c>
      <c r="I84" t="s">
        <v>901</v>
      </c>
      <c r="J84" t="s">
        <v>851</v>
      </c>
      <c r="K84" s="57">
        <v>-1.2999999999999999E-3</v>
      </c>
      <c r="L84" s="57">
        <v>-3.3999999999999998E-3</v>
      </c>
      <c r="M84" s="57">
        <v>1.8599999999999998E-2</v>
      </c>
      <c r="N84" s="57">
        <v>1.8499999999999999E-2</v>
      </c>
      <c r="O84" s="57">
        <v>8.9300000000000004E-2</v>
      </c>
      <c r="P84" s="57">
        <v>-3.3099999999999997E-2</v>
      </c>
      <c r="Q84" s="57">
        <v>-5.6399999999999999E-2</v>
      </c>
      <c r="R84" s="57">
        <v>4.0800000000000003E-2</v>
      </c>
      <c r="S84">
        <v>88.95</v>
      </c>
      <c r="T84">
        <v>78.98</v>
      </c>
      <c r="U84">
        <v>72.239999999999995</v>
      </c>
      <c r="V84" s="20">
        <v>268.18900000000002</v>
      </c>
    </row>
    <row r="85" spans="7:22" x14ac:dyDescent="0.15">
      <c r="G85" s="11">
        <v>84</v>
      </c>
      <c r="H85" s="10" t="s">
        <v>531</v>
      </c>
      <c r="I85" t="s">
        <v>1040</v>
      </c>
      <c r="J85" t="s">
        <v>851</v>
      </c>
      <c r="K85" s="57">
        <v>-6.9999999999999999E-4</v>
      </c>
      <c r="L85" s="57">
        <v>2.93E-2</v>
      </c>
      <c r="M85" s="57">
        <v>4.7E-2</v>
      </c>
      <c r="N85" s="57">
        <v>3.9199999999999999E-2</v>
      </c>
      <c r="O85" s="57">
        <v>-1.37E-2</v>
      </c>
      <c r="P85" s="57">
        <v>-5.5800000000000002E-2</v>
      </c>
      <c r="Q85" s="57">
        <v>2.4899999999999999E-2</v>
      </c>
      <c r="R85" s="57">
        <v>-0.10920000000000001</v>
      </c>
      <c r="S85">
        <v>88.81</v>
      </c>
      <c r="T85">
        <v>89.08</v>
      </c>
      <c r="U85">
        <v>61.99</v>
      </c>
      <c r="V85" s="20">
        <v>2668.6884</v>
      </c>
    </row>
    <row r="86" spans="7:22" x14ac:dyDescent="0.15">
      <c r="G86" s="11">
        <v>85</v>
      </c>
      <c r="H86" s="10" t="s">
        <v>462</v>
      </c>
      <c r="I86" t="s">
        <v>1111</v>
      </c>
      <c r="J86" t="s">
        <v>851</v>
      </c>
      <c r="K86" s="57">
        <v>-2.2000000000000001E-3</v>
      </c>
      <c r="L86" s="57">
        <v>-1.14E-2</v>
      </c>
      <c r="M86" s="57">
        <v>9.5999999999999992E-3</v>
      </c>
      <c r="N86" s="57">
        <v>1.2800000000000001E-2</v>
      </c>
      <c r="O86" s="57">
        <v>0.14230000000000001</v>
      </c>
      <c r="P86" s="57">
        <v>1.1299999999999999E-2</v>
      </c>
      <c r="Q86" s="57">
        <v>-9.74E-2</v>
      </c>
      <c r="R86" s="57">
        <v>0.2525</v>
      </c>
      <c r="S86">
        <v>88.68</v>
      </c>
      <c r="T86">
        <v>72.510000000000005</v>
      </c>
      <c r="U86">
        <v>78.3</v>
      </c>
      <c r="V86" s="20">
        <v>15167.9953</v>
      </c>
    </row>
    <row r="87" spans="7:22" x14ac:dyDescent="0.15">
      <c r="G87" s="11">
        <v>86</v>
      </c>
      <c r="H87" s="10" t="s">
        <v>684</v>
      </c>
      <c r="I87" t="s">
        <v>965</v>
      </c>
      <c r="J87" t="s">
        <v>851</v>
      </c>
      <c r="K87" s="57">
        <v>-8.0000000000000004E-4</v>
      </c>
      <c r="L87" s="57">
        <v>-1.6899999999999998E-2</v>
      </c>
      <c r="M87" s="57">
        <v>-1.5900000000000001E-2</v>
      </c>
      <c r="N87" s="57">
        <v>3.5900000000000001E-2</v>
      </c>
      <c r="O87" s="57">
        <v>0.10009999999999999</v>
      </c>
      <c r="P87" s="57">
        <v>-0.1346</v>
      </c>
      <c r="Q87" s="57">
        <v>-0.22720000000000001</v>
      </c>
      <c r="R87" s="57">
        <v>-0.2157</v>
      </c>
      <c r="S87">
        <v>88.54</v>
      </c>
      <c r="T87">
        <v>87.87</v>
      </c>
      <c r="U87">
        <v>62.94</v>
      </c>
      <c r="V87" s="20">
        <v>80.339100000000002</v>
      </c>
    </row>
    <row r="88" spans="7:22" x14ac:dyDescent="0.15">
      <c r="G88" s="11">
        <v>87</v>
      </c>
      <c r="H88" s="10" t="s">
        <v>662</v>
      </c>
      <c r="I88" t="s">
        <v>1063</v>
      </c>
      <c r="J88" t="s">
        <v>851</v>
      </c>
      <c r="K88" s="57">
        <v>-5.9999999999999995E-4</v>
      </c>
      <c r="L88" s="57">
        <v>-2E-3</v>
      </c>
      <c r="M88" s="57">
        <v>-5.9999999999999995E-4</v>
      </c>
      <c r="N88" s="57">
        <v>4.8899999999999999E-2</v>
      </c>
      <c r="O88" s="57">
        <v>0.10340000000000001</v>
      </c>
      <c r="P88" s="57">
        <v>-0.12759999999999999</v>
      </c>
      <c r="Q88" s="57">
        <v>-0.2341</v>
      </c>
      <c r="R88" s="57">
        <v>-0.30570000000000003</v>
      </c>
      <c r="S88">
        <v>88.41</v>
      </c>
      <c r="T88">
        <v>90.7</v>
      </c>
      <c r="U88">
        <v>59.97</v>
      </c>
      <c r="V88" s="20">
        <v>4002.6456748999999</v>
      </c>
    </row>
    <row r="89" spans="7:22" x14ac:dyDescent="0.15">
      <c r="G89" s="11">
        <v>88</v>
      </c>
      <c r="H89" s="10" t="s">
        <v>1654</v>
      </c>
      <c r="I89" t="s">
        <v>1655</v>
      </c>
      <c r="J89" t="s">
        <v>1665</v>
      </c>
      <c r="K89" s="57">
        <v>-6.9999999999999999E-4</v>
      </c>
      <c r="L89" s="57">
        <v>-3.0999999999999999E-3</v>
      </c>
      <c r="M89" s="57">
        <v>1.6199999999999999E-2</v>
      </c>
      <c r="N89" s="57">
        <v>3.8600000000000002E-2</v>
      </c>
      <c r="O89" s="57">
        <v>0.1918</v>
      </c>
      <c r="P89" s="57">
        <v>0.1048</v>
      </c>
      <c r="Q89" s="57">
        <v>0.1048</v>
      </c>
      <c r="R89" s="57">
        <v>0.1048</v>
      </c>
      <c r="S89">
        <v>88.27</v>
      </c>
      <c r="T89">
        <v>88.81</v>
      </c>
      <c r="U89">
        <v>61.59</v>
      </c>
      <c r="V89" s="20">
        <v>297.39429999999999</v>
      </c>
    </row>
    <row r="90" spans="7:22" x14ac:dyDescent="0.15">
      <c r="G90" s="11">
        <v>89</v>
      </c>
      <c r="H90" s="10" t="s">
        <v>725</v>
      </c>
      <c r="I90" t="s">
        <v>928</v>
      </c>
      <c r="J90" t="s">
        <v>851</v>
      </c>
      <c r="K90" s="57">
        <v>-1.5E-3</v>
      </c>
      <c r="L90" s="57">
        <v>-4.0000000000000001E-3</v>
      </c>
      <c r="M90" s="57">
        <v>3.9100000000000003E-2</v>
      </c>
      <c r="N90" s="57">
        <v>1.61E-2</v>
      </c>
      <c r="O90" s="57">
        <v>5.8500000000000003E-2</v>
      </c>
      <c r="P90" s="57">
        <v>-8.1500000000000003E-2</v>
      </c>
      <c r="Q90" s="57">
        <v>-0.13300000000000001</v>
      </c>
      <c r="R90" s="57">
        <v>-9.3600000000000003E-2</v>
      </c>
      <c r="S90">
        <v>88.14</v>
      </c>
      <c r="T90">
        <v>75.88</v>
      </c>
      <c r="U90">
        <v>73.72</v>
      </c>
      <c r="V90" s="20">
        <v>646.61310000000003</v>
      </c>
    </row>
    <row r="91" spans="7:22" x14ac:dyDescent="0.15">
      <c r="G91" s="11">
        <v>90</v>
      </c>
      <c r="H91" s="10" t="s">
        <v>509</v>
      </c>
      <c r="I91" t="s">
        <v>1079</v>
      </c>
      <c r="J91" t="s">
        <v>851</v>
      </c>
      <c r="K91" s="57">
        <v>-1.6000000000000001E-3</v>
      </c>
      <c r="L91" s="57">
        <v>-1.29E-2</v>
      </c>
      <c r="M91" s="57">
        <v>6.6E-3</v>
      </c>
      <c r="N91" s="57">
        <v>1.4800000000000001E-2</v>
      </c>
      <c r="O91" s="57">
        <v>0.13769999999999999</v>
      </c>
      <c r="P91" s="57">
        <v>-2.52E-2</v>
      </c>
      <c r="Q91" s="57">
        <v>-6.1499999999999999E-2</v>
      </c>
      <c r="R91" s="57">
        <v>0.29360000000000003</v>
      </c>
      <c r="S91">
        <v>88.01</v>
      </c>
      <c r="T91">
        <v>75.2</v>
      </c>
      <c r="U91">
        <v>74.39</v>
      </c>
      <c r="V91" s="20">
        <v>7121.7008999999998</v>
      </c>
    </row>
    <row r="92" spans="7:22" x14ac:dyDescent="0.15">
      <c r="G92" s="11">
        <v>91</v>
      </c>
      <c r="H92" s="10" t="s">
        <v>1610</v>
      </c>
      <c r="I92" t="s">
        <v>1611</v>
      </c>
      <c r="J92" t="s">
        <v>1665</v>
      </c>
      <c r="K92" s="57">
        <v>-2.3999999999999998E-3</v>
      </c>
      <c r="L92" s="57">
        <v>-4.7999999999999996E-3</v>
      </c>
      <c r="M92" s="57">
        <v>0.02</v>
      </c>
      <c r="N92" s="57">
        <v>9.7000000000000003E-3</v>
      </c>
      <c r="O92" s="57">
        <v>6.9099999999999995E-2</v>
      </c>
      <c r="P92" s="57">
        <v>-3.1099999999999999E-2</v>
      </c>
      <c r="Q92" s="57">
        <v>1.4E-3</v>
      </c>
      <c r="R92" s="57">
        <v>1.4E-3</v>
      </c>
      <c r="S92">
        <v>87.87</v>
      </c>
      <c r="T92">
        <v>68.87</v>
      </c>
      <c r="U92">
        <v>80.05</v>
      </c>
      <c r="V92" s="20">
        <v>35.395099999999999</v>
      </c>
    </row>
    <row r="93" spans="7:22" x14ac:dyDescent="0.15">
      <c r="G93" s="11">
        <v>92</v>
      </c>
      <c r="H93" s="10" t="s">
        <v>438</v>
      </c>
      <c r="I93" t="s">
        <v>931</v>
      </c>
      <c r="J93" t="s">
        <v>851</v>
      </c>
      <c r="K93" s="57">
        <v>-1.1000000000000001E-3</v>
      </c>
      <c r="L93" s="57">
        <v>-4.3E-3</v>
      </c>
      <c r="M93" s="57">
        <v>2.0299999999999999E-2</v>
      </c>
      <c r="N93" s="57">
        <v>1.9E-2</v>
      </c>
      <c r="O93" s="57">
        <v>9.9599999999999994E-2</v>
      </c>
      <c r="P93" s="57">
        <v>-3.5799999999999998E-2</v>
      </c>
      <c r="Q93" s="57">
        <v>-6.1699999999999998E-2</v>
      </c>
      <c r="R93" s="57">
        <v>2.4E-2</v>
      </c>
      <c r="S93">
        <v>87.74</v>
      </c>
      <c r="T93">
        <v>79.78</v>
      </c>
      <c r="U93">
        <v>69</v>
      </c>
      <c r="V93" s="20">
        <v>1269.4718800000001</v>
      </c>
    </row>
    <row r="94" spans="7:22" x14ac:dyDescent="0.15">
      <c r="G94" s="11">
        <v>93</v>
      </c>
      <c r="H94" s="10" t="s">
        <v>503</v>
      </c>
      <c r="I94" t="s">
        <v>998</v>
      </c>
      <c r="J94" t="s">
        <v>851</v>
      </c>
      <c r="K94" s="57">
        <v>-2.5999999999999999E-3</v>
      </c>
      <c r="L94" s="57">
        <v>3.1E-2</v>
      </c>
      <c r="M94" s="57">
        <v>4.5100000000000001E-2</v>
      </c>
      <c r="N94" s="57">
        <v>7.9000000000000008E-3</v>
      </c>
      <c r="O94" s="57">
        <v>0.22159999999999999</v>
      </c>
      <c r="P94" s="57">
        <v>6.5600000000000006E-2</v>
      </c>
      <c r="Q94" s="57">
        <v>-4.7100000000000003E-2</v>
      </c>
      <c r="R94" s="57">
        <v>0.21709999999999999</v>
      </c>
      <c r="S94">
        <v>87.6</v>
      </c>
      <c r="T94">
        <v>67.12</v>
      </c>
      <c r="U94">
        <v>81.540000000000006</v>
      </c>
      <c r="V94" s="20">
        <v>2846.9020999999998</v>
      </c>
    </row>
    <row r="95" spans="7:22" x14ac:dyDescent="0.15">
      <c r="G95" s="11">
        <v>94</v>
      </c>
      <c r="H95" s="10" t="s">
        <v>468</v>
      </c>
      <c r="I95" t="s">
        <v>1225</v>
      </c>
      <c r="J95" t="s">
        <v>1221</v>
      </c>
      <c r="K95" s="57">
        <v>-4.3E-3</v>
      </c>
      <c r="L95" s="57">
        <v>-1.0500000000000001E-2</v>
      </c>
      <c r="M95" s="57">
        <v>7.3000000000000001E-3</v>
      </c>
      <c r="N95" s="57">
        <v>3.3999999999999998E-3</v>
      </c>
      <c r="O95" s="57">
        <v>1.01E-2</v>
      </c>
      <c r="P95" s="57">
        <v>-7.7600000000000002E-2</v>
      </c>
      <c r="Q95" s="57">
        <v>-6.6E-3</v>
      </c>
      <c r="R95" s="57">
        <v>0.3286</v>
      </c>
      <c r="S95">
        <v>87.47</v>
      </c>
      <c r="T95">
        <v>61.99</v>
      </c>
      <c r="U95">
        <v>86.52</v>
      </c>
      <c r="V95" s="20">
        <v>30.600917800000001</v>
      </c>
    </row>
    <row r="96" spans="7:22" x14ac:dyDescent="0.15">
      <c r="G96" s="11">
        <v>95</v>
      </c>
      <c r="H96" s="10" t="s">
        <v>360</v>
      </c>
      <c r="I96" t="s">
        <v>1249</v>
      </c>
      <c r="J96" t="s">
        <v>1230</v>
      </c>
      <c r="K96" s="57">
        <v>-6.1999999999999998E-3</v>
      </c>
      <c r="L96" s="57">
        <v>3.8999999999999998E-3</v>
      </c>
      <c r="M96" s="57">
        <v>4.4999999999999997E-3</v>
      </c>
      <c r="N96" s="57">
        <v>0</v>
      </c>
      <c r="O96" s="57">
        <v>3.5000000000000003E-2</v>
      </c>
      <c r="P96" s="57">
        <v>-2.8E-3</v>
      </c>
      <c r="Q96" s="57">
        <v>-5.3499999999999999E-2</v>
      </c>
      <c r="R96" s="57">
        <v>-4.4000000000000003E-3</v>
      </c>
      <c r="S96">
        <v>87.33</v>
      </c>
      <c r="T96">
        <v>56.87</v>
      </c>
      <c r="U96">
        <v>91.24</v>
      </c>
      <c r="V96" s="20">
        <v>93.950911899999994</v>
      </c>
    </row>
    <row r="97" spans="7:22" x14ac:dyDescent="0.15">
      <c r="G97" s="11">
        <v>96</v>
      </c>
      <c r="H97" s="10" t="s">
        <v>2056</v>
      </c>
      <c r="I97" t="s">
        <v>2057</v>
      </c>
      <c r="J97" t="s">
        <v>2058</v>
      </c>
      <c r="K97" s="57">
        <v>-6.9999999999999999E-4</v>
      </c>
      <c r="L97" s="57">
        <v>5.8900000000000001E-2</v>
      </c>
      <c r="M97" s="57">
        <v>8.5900000000000004E-2</v>
      </c>
      <c r="N97" s="57">
        <v>3.3599999999999998E-2</v>
      </c>
      <c r="O97" s="57">
        <v>1.2500000000000001E-2</v>
      </c>
      <c r="P97" s="57">
        <v>1.2500000000000001E-2</v>
      </c>
      <c r="Q97" s="57">
        <v>1.2500000000000001E-2</v>
      </c>
      <c r="R97" s="57">
        <v>1.2500000000000001E-2</v>
      </c>
      <c r="S97">
        <v>87.2</v>
      </c>
      <c r="T97">
        <v>87.2</v>
      </c>
      <c r="U97">
        <v>60.78</v>
      </c>
      <c r="V97" s="20">
        <v>5756.9759000000004</v>
      </c>
    </row>
    <row r="98" spans="7:22" x14ac:dyDescent="0.15">
      <c r="G98" s="11">
        <v>97</v>
      </c>
      <c r="H98" s="10" t="s">
        <v>573</v>
      </c>
      <c r="I98" t="s">
        <v>1014</v>
      </c>
      <c r="J98" t="s">
        <v>851</v>
      </c>
      <c r="K98" s="57">
        <v>-5.0000000000000001E-4</v>
      </c>
      <c r="L98" s="57">
        <v>-2.01E-2</v>
      </c>
      <c r="M98" s="57">
        <v>-2.1399999999999999E-2</v>
      </c>
      <c r="N98" s="57">
        <v>4.6699999999999998E-2</v>
      </c>
      <c r="O98" s="57">
        <v>6.8699999999999997E-2</v>
      </c>
      <c r="P98" s="57">
        <v>-0.1729</v>
      </c>
      <c r="Q98" s="57">
        <v>-0.28050000000000003</v>
      </c>
      <c r="R98" s="57">
        <v>-0.2316</v>
      </c>
      <c r="S98">
        <v>87.06</v>
      </c>
      <c r="T98">
        <v>90.16</v>
      </c>
      <c r="U98">
        <v>57.82</v>
      </c>
      <c r="V98" s="20">
        <v>2796.3663999999999</v>
      </c>
    </row>
    <row r="99" spans="7:22" x14ac:dyDescent="0.15">
      <c r="G99" s="11">
        <v>98</v>
      </c>
      <c r="H99" s="10" t="s">
        <v>2063</v>
      </c>
      <c r="I99" t="s">
        <v>2064</v>
      </c>
      <c r="J99" t="s">
        <v>2058</v>
      </c>
      <c r="K99" s="57">
        <v>-4.5999999999999999E-3</v>
      </c>
      <c r="L99" s="57">
        <v>-1E-4</v>
      </c>
      <c r="M99" s="57">
        <v>2.7199999999999998E-2</v>
      </c>
      <c r="N99" s="57">
        <v>2E-3</v>
      </c>
      <c r="O99" s="57">
        <v>3.9800000000000002E-2</v>
      </c>
      <c r="P99" s="57">
        <v>-5.8700000000000002E-2</v>
      </c>
      <c r="Q99" s="57">
        <v>-5.8700000000000002E-2</v>
      </c>
      <c r="R99" s="57">
        <v>-5.8700000000000002E-2</v>
      </c>
      <c r="S99">
        <v>86.93</v>
      </c>
      <c r="T99">
        <v>60.65</v>
      </c>
      <c r="U99">
        <v>87.33</v>
      </c>
      <c r="V99" s="20">
        <v>246.78460000000001</v>
      </c>
    </row>
    <row r="100" spans="7:22" x14ac:dyDescent="0.15">
      <c r="G100" s="11">
        <v>99</v>
      </c>
      <c r="H100" s="10" t="s">
        <v>610</v>
      </c>
      <c r="I100" t="s">
        <v>1027</v>
      </c>
      <c r="J100" t="s">
        <v>851</v>
      </c>
      <c r="K100" s="57">
        <v>-2.0999999999999999E-3</v>
      </c>
      <c r="L100" s="57">
        <v>3.8399999999999997E-2</v>
      </c>
      <c r="M100" s="57">
        <v>2.0899999999999998E-2</v>
      </c>
      <c r="N100" s="57">
        <v>1.0500000000000001E-2</v>
      </c>
      <c r="O100" s="57">
        <v>0.1472</v>
      </c>
      <c r="P100" s="57">
        <v>2.1700000000000001E-2</v>
      </c>
      <c r="Q100" s="57">
        <v>0.11849999999999999</v>
      </c>
      <c r="R100" s="57">
        <v>-8.5099999999999995E-2</v>
      </c>
      <c r="S100">
        <v>86.79</v>
      </c>
      <c r="T100">
        <v>69.540000000000006</v>
      </c>
      <c r="U100">
        <v>78.17</v>
      </c>
      <c r="V100" s="20">
        <v>4944.9219000000003</v>
      </c>
    </row>
    <row r="101" spans="7:22" x14ac:dyDescent="0.15">
      <c r="G101" s="11">
        <v>100</v>
      </c>
      <c r="H101" s="10" t="s">
        <v>1535</v>
      </c>
      <c r="I101" t="s">
        <v>1536</v>
      </c>
      <c r="J101" t="s">
        <v>1665</v>
      </c>
      <c r="K101" s="57">
        <v>-3.3E-3</v>
      </c>
      <c r="L101" s="57">
        <v>-1.5599999999999999E-2</v>
      </c>
      <c r="M101" s="57">
        <v>1.18E-2</v>
      </c>
      <c r="N101" s="57">
        <v>4.1000000000000003E-3</v>
      </c>
      <c r="O101" s="57">
        <v>4.5900000000000003E-2</v>
      </c>
      <c r="P101" s="57">
        <v>-2.5700000000000001E-2</v>
      </c>
      <c r="Q101" s="57">
        <v>-0.1091</v>
      </c>
      <c r="R101" s="57">
        <v>-0.1091</v>
      </c>
      <c r="S101">
        <v>86.66</v>
      </c>
      <c r="T101">
        <v>63.21</v>
      </c>
      <c r="U101">
        <v>84.23</v>
      </c>
      <c r="V101" s="20">
        <v>57.288672300000002</v>
      </c>
    </row>
    <row r="102" spans="7:22" x14ac:dyDescent="0.15">
      <c r="G102" s="11">
        <v>101</v>
      </c>
      <c r="H102" s="10" t="s">
        <v>343</v>
      </c>
      <c r="I102" t="s">
        <v>1163</v>
      </c>
      <c r="J102" t="s">
        <v>1161</v>
      </c>
      <c r="K102" s="57">
        <v>-6.9999999999999999E-4</v>
      </c>
      <c r="L102" s="57">
        <v>-9.4999999999999998E-3</v>
      </c>
      <c r="M102" s="57">
        <v>-8.8000000000000005E-3</v>
      </c>
      <c r="N102" s="57">
        <v>2.9399999999999999E-2</v>
      </c>
      <c r="O102" s="57">
        <v>-3.7600000000000001E-2</v>
      </c>
      <c r="P102" s="57">
        <v>-2.6499999999999999E-2</v>
      </c>
      <c r="Q102" s="57">
        <v>4.6600000000000003E-2</v>
      </c>
      <c r="R102" s="57">
        <v>-0.1166</v>
      </c>
      <c r="S102">
        <v>86.52</v>
      </c>
      <c r="T102">
        <v>86.12</v>
      </c>
      <c r="U102">
        <v>61.05</v>
      </c>
      <c r="V102" s="20">
        <v>1510.3368</v>
      </c>
    </row>
    <row r="103" spans="7:22" x14ac:dyDescent="0.15">
      <c r="G103" s="11">
        <v>102</v>
      </c>
      <c r="H103" s="10" t="s">
        <v>1298</v>
      </c>
      <c r="I103" t="s">
        <v>1299</v>
      </c>
      <c r="J103" t="s">
        <v>1665</v>
      </c>
      <c r="K103" s="57">
        <v>-2.0000000000000001E-4</v>
      </c>
      <c r="L103" s="57">
        <v>-3.4200000000000001E-2</v>
      </c>
      <c r="M103" s="57">
        <v>-5.0200000000000002E-2</v>
      </c>
      <c r="N103" s="57">
        <v>7.3300000000000004E-2</v>
      </c>
      <c r="O103" s="57">
        <v>6.9699999999999998E-2</v>
      </c>
      <c r="P103" s="57">
        <v>6.3200000000000006E-2</v>
      </c>
      <c r="Q103" s="57">
        <v>6.3200000000000006E-2</v>
      </c>
      <c r="R103" s="57">
        <v>6.3200000000000006E-2</v>
      </c>
      <c r="S103">
        <v>86.39</v>
      </c>
      <c r="T103">
        <v>96.9</v>
      </c>
      <c r="U103">
        <v>50.13</v>
      </c>
      <c r="V103" s="20">
        <v>5490.2746999999999</v>
      </c>
    </row>
    <row r="104" spans="7:22" x14ac:dyDescent="0.15">
      <c r="G104" s="11">
        <v>103</v>
      </c>
      <c r="H104" s="10" t="s">
        <v>1602</v>
      </c>
      <c r="I104" t="s">
        <v>1603</v>
      </c>
      <c r="J104" t="s">
        <v>1665</v>
      </c>
      <c r="K104" s="57">
        <v>-8.3999999999999995E-3</v>
      </c>
      <c r="L104" s="57">
        <v>6.3E-3</v>
      </c>
      <c r="M104" s="57">
        <v>2.92E-2</v>
      </c>
      <c r="N104" s="57">
        <v>-2.0999999999999999E-3</v>
      </c>
      <c r="O104" s="57">
        <v>-2.3699999999999999E-2</v>
      </c>
      <c r="P104" s="57">
        <v>-1.8499999999999999E-2</v>
      </c>
      <c r="Q104" s="57">
        <v>2.5600000000000001E-2</v>
      </c>
      <c r="R104" s="57">
        <v>2.5600000000000001E-2</v>
      </c>
      <c r="S104">
        <v>86.25</v>
      </c>
      <c r="T104">
        <v>52.43</v>
      </c>
      <c r="U104">
        <v>94.47</v>
      </c>
      <c r="V104" s="20">
        <v>2.7867999999999999</v>
      </c>
    </row>
    <row r="105" spans="7:22" x14ac:dyDescent="0.15">
      <c r="G105" s="11">
        <v>104</v>
      </c>
      <c r="H105" s="10" t="s">
        <v>713</v>
      </c>
      <c r="I105" t="s">
        <v>990</v>
      </c>
      <c r="J105" t="s">
        <v>851</v>
      </c>
      <c r="K105" s="57">
        <v>-8.0000000000000004E-4</v>
      </c>
      <c r="L105" s="57">
        <v>-3.2199999999999999E-2</v>
      </c>
      <c r="M105" s="57">
        <v>-6.0000000000000001E-3</v>
      </c>
      <c r="N105" s="57">
        <v>2.52E-2</v>
      </c>
      <c r="O105" s="57">
        <v>0.1129</v>
      </c>
      <c r="P105" s="57">
        <v>-0.14249999999999999</v>
      </c>
      <c r="Q105" s="57">
        <v>-0.16239999999999999</v>
      </c>
      <c r="R105" s="57">
        <v>-3.1199999999999999E-2</v>
      </c>
      <c r="S105">
        <v>86.12</v>
      </c>
      <c r="T105">
        <v>83.42</v>
      </c>
      <c r="U105">
        <v>63.48</v>
      </c>
      <c r="V105" s="20">
        <v>1272.52673</v>
      </c>
    </row>
    <row r="106" spans="7:22" x14ac:dyDescent="0.15">
      <c r="G106" s="11">
        <v>105</v>
      </c>
      <c r="H106" s="10" t="s">
        <v>293</v>
      </c>
      <c r="I106" t="s">
        <v>822</v>
      </c>
      <c r="J106" t="s">
        <v>814</v>
      </c>
      <c r="K106" s="57">
        <v>-3.8E-3</v>
      </c>
      <c r="L106" s="57">
        <v>2.3E-3</v>
      </c>
      <c r="M106" s="57">
        <v>-2.3E-3</v>
      </c>
      <c r="N106" s="57">
        <v>2.3E-3</v>
      </c>
      <c r="O106" s="57">
        <v>6.0600000000000001E-2</v>
      </c>
      <c r="P106" s="57">
        <v>2.5700000000000001E-2</v>
      </c>
      <c r="Q106" s="57">
        <v>-6.6600000000000006E-2</v>
      </c>
      <c r="R106" s="57">
        <v>4.1700000000000001E-2</v>
      </c>
      <c r="S106">
        <v>85.98</v>
      </c>
      <c r="T106">
        <v>61.05</v>
      </c>
      <c r="U106">
        <v>85.58</v>
      </c>
      <c r="V106" s="20">
        <v>10.8147</v>
      </c>
    </row>
    <row r="107" spans="7:22" x14ac:dyDescent="0.15">
      <c r="G107" s="11">
        <v>106</v>
      </c>
      <c r="H107" s="10" t="s">
        <v>1339</v>
      </c>
      <c r="I107" t="s">
        <v>1340</v>
      </c>
      <c r="J107" t="s">
        <v>1665</v>
      </c>
      <c r="K107" s="57">
        <v>-8.0000000000000004E-4</v>
      </c>
      <c r="L107" s="57">
        <v>-3.2800000000000003E-2</v>
      </c>
      <c r="M107" s="57">
        <v>-7.1000000000000004E-3</v>
      </c>
      <c r="N107" s="57">
        <v>2.2700000000000001E-2</v>
      </c>
      <c r="O107" s="57">
        <v>0.1074</v>
      </c>
      <c r="P107" s="57">
        <v>-0.1479</v>
      </c>
      <c r="Q107" s="57">
        <v>-0.15040000000000001</v>
      </c>
      <c r="R107" s="57">
        <v>-0.15040000000000001</v>
      </c>
      <c r="S107">
        <v>85.85</v>
      </c>
      <c r="T107">
        <v>82.48</v>
      </c>
      <c r="U107">
        <v>64.02</v>
      </c>
      <c r="V107" s="20">
        <v>1513.6660999999999</v>
      </c>
    </row>
    <row r="108" spans="7:22" x14ac:dyDescent="0.15">
      <c r="G108" s="11">
        <v>107</v>
      </c>
      <c r="H108" s="10" t="s">
        <v>501</v>
      </c>
      <c r="I108" t="s">
        <v>1054</v>
      </c>
      <c r="J108" t="s">
        <v>851</v>
      </c>
      <c r="K108" s="57">
        <v>-6.9999999999999999E-4</v>
      </c>
      <c r="L108" s="57">
        <v>9.5999999999999992E-3</v>
      </c>
      <c r="M108" s="57">
        <v>4.0599999999999997E-2</v>
      </c>
      <c r="N108" s="57">
        <v>2.8000000000000001E-2</v>
      </c>
      <c r="O108" s="57">
        <v>2.3900000000000001E-2</v>
      </c>
      <c r="P108" s="57">
        <v>1.0500000000000001E-2</v>
      </c>
      <c r="Q108" s="57">
        <v>6.6199999999999995E-2</v>
      </c>
      <c r="R108" s="57">
        <v>0.26</v>
      </c>
      <c r="S108">
        <v>85.71</v>
      </c>
      <c r="T108">
        <v>84.91</v>
      </c>
      <c r="U108">
        <v>61.46</v>
      </c>
      <c r="V108" s="20">
        <v>4893.4741000000004</v>
      </c>
    </row>
    <row r="109" spans="7:22" x14ac:dyDescent="0.15">
      <c r="G109" s="11">
        <v>108</v>
      </c>
      <c r="H109" s="10" t="s">
        <v>648</v>
      </c>
      <c r="I109" t="s">
        <v>1239</v>
      </c>
      <c r="J109" t="s">
        <v>1230</v>
      </c>
      <c r="K109" s="57">
        <v>-2.2000000000000001E-3</v>
      </c>
      <c r="L109" s="57">
        <v>-1.9E-3</v>
      </c>
      <c r="M109" s="57">
        <v>1.9099999999999999E-2</v>
      </c>
      <c r="N109" s="57">
        <v>8.2000000000000007E-3</v>
      </c>
      <c r="O109" s="57">
        <v>2.7799999999999998E-2</v>
      </c>
      <c r="P109" s="57">
        <v>-4.2299999999999997E-2</v>
      </c>
      <c r="Q109" s="57">
        <v>-6.7000000000000004E-2</v>
      </c>
      <c r="R109" s="57">
        <v>-0.1298</v>
      </c>
      <c r="S109">
        <v>85.58</v>
      </c>
      <c r="T109">
        <v>67.52</v>
      </c>
      <c r="U109">
        <v>78.709999999999994</v>
      </c>
      <c r="V109" s="20">
        <v>34.678536700000002</v>
      </c>
    </row>
    <row r="110" spans="7:22" x14ac:dyDescent="0.15">
      <c r="G110" s="11">
        <v>109</v>
      </c>
      <c r="H110" s="10" t="s">
        <v>714</v>
      </c>
      <c r="I110" t="s">
        <v>1119</v>
      </c>
      <c r="J110" t="s">
        <v>851</v>
      </c>
      <c r="K110" s="57">
        <v>-1.1000000000000001E-3</v>
      </c>
      <c r="L110" s="57">
        <v>-4.1000000000000003E-3</v>
      </c>
      <c r="M110" s="57">
        <v>4.0599999999999997E-2</v>
      </c>
      <c r="N110" s="57">
        <v>1.67E-2</v>
      </c>
      <c r="O110" s="57">
        <v>5.9900000000000002E-2</v>
      </c>
      <c r="P110" s="57">
        <v>-8.6800000000000002E-2</v>
      </c>
      <c r="Q110" s="57">
        <v>-0.13700000000000001</v>
      </c>
      <c r="R110" s="57">
        <v>-0.25040000000000001</v>
      </c>
      <c r="S110">
        <v>85.44</v>
      </c>
      <c r="T110">
        <v>76.55</v>
      </c>
      <c r="U110">
        <v>69.540000000000006</v>
      </c>
      <c r="V110" s="20">
        <v>88465.428</v>
      </c>
    </row>
    <row r="111" spans="7:22" x14ac:dyDescent="0.15">
      <c r="G111" s="11">
        <v>110</v>
      </c>
      <c r="H111" s="10" t="s">
        <v>1553</v>
      </c>
      <c r="I111" t="s">
        <v>1554</v>
      </c>
      <c r="J111" t="s">
        <v>1665</v>
      </c>
      <c r="K111" s="57">
        <v>-7.4999999999999997E-3</v>
      </c>
      <c r="L111" s="57">
        <v>1.5800000000000002E-2</v>
      </c>
      <c r="M111" s="57">
        <v>1.84E-2</v>
      </c>
      <c r="N111" s="57">
        <v>-1.9E-3</v>
      </c>
      <c r="O111" s="57">
        <v>0.1754</v>
      </c>
      <c r="P111" s="57">
        <v>-1.7999999999999999E-2</v>
      </c>
      <c r="Q111" s="57">
        <v>-0.21310000000000001</v>
      </c>
      <c r="R111" s="57">
        <v>8.5000000000000006E-3</v>
      </c>
      <c r="S111">
        <v>85.31</v>
      </c>
      <c r="T111">
        <v>52.83</v>
      </c>
      <c r="U111">
        <v>93.13</v>
      </c>
      <c r="V111" s="20">
        <v>5.5557300000000005</v>
      </c>
    </row>
    <row r="112" spans="7:22" x14ac:dyDescent="0.15">
      <c r="G112" s="11">
        <v>111</v>
      </c>
      <c r="H112" s="10" t="s">
        <v>311</v>
      </c>
      <c r="I112" t="s">
        <v>1348</v>
      </c>
      <c r="J112" t="s">
        <v>1665</v>
      </c>
      <c r="K112" s="57">
        <v>-2.5000000000000001E-3</v>
      </c>
      <c r="L112" s="57">
        <v>3.5999999999999999E-3</v>
      </c>
      <c r="M112" s="57">
        <v>3.0999999999999999E-3</v>
      </c>
      <c r="N112" s="57">
        <v>7.1000000000000004E-3</v>
      </c>
      <c r="O112" s="57">
        <v>1.01E-2</v>
      </c>
      <c r="P112" s="57">
        <v>1.8700000000000001E-2</v>
      </c>
      <c r="Q112" s="57">
        <v>3.9800000000000002E-2</v>
      </c>
      <c r="R112" s="57">
        <v>7.5899999999999995E-2</v>
      </c>
      <c r="S112">
        <v>85.18</v>
      </c>
      <c r="T112">
        <v>65.63</v>
      </c>
      <c r="U112">
        <v>80.319999999999993</v>
      </c>
      <c r="V112" s="20">
        <v>20360.929899999999</v>
      </c>
    </row>
    <row r="113" spans="7:22" x14ac:dyDescent="0.15">
      <c r="G113" s="11">
        <v>112</v>
      </c>
      <c r="H113" s="10" t="s">
        <v>318</v>
      </c>
      <c r="I113" t="s">
        <v>978</v>
      </c>
      <c r="J113" t="s">
        <v>851</v>
      </c>
      <c r="K113" s="57">
        <v>-2.9999999999999997E-4</v>
      </c>
      <c r="L113" s="57">
        <v>5.3400000000000003E-2</v>
      </c>
      <c r="M113" s="57">
        <v>8.4900000000000003E-2</v>
      </c>
      <c r="N113" s="57">
        <v>5.45E-2</v>
      </c>
      <c r="O113" s="57">
        <v>0.31979999999999997</v>
      </c>
      <c r="P113" s="57">
        <v>0.2069</v>
      </c>
      <c r="Q113" s="57">
        <v>0.11119999999999999</v>
      </c>
      <c r="R113" s="57">
        <v>0.49440000000000001</v>
      </c>
      <c r="S113">
        <v>85.04</v>
      </c>
      <c r="T113">
        <v>92.86</v>
      </c>
      <c r="U113">
        <v>52.96</v>
      </c>
      <c r="V113" s="20">
        <v>2317.1417000000001</v>
      </c>
    </row>
    <row r="114" spans="7:22" x14ac:dyDescent="0.15">
      <c r="G114" s="11">
        <v>113</v>
      </c>
      <c r="H114" s="10" t="s">
        <v>1308</v>
      </c>
      <c r="I114" t="s">
        <v>1309</v>
      </c>
      <c r="J114" t="s">
        <v>1665</v>
      </c>
      <c r="K114" s="57">
        <v>-4.5999999999999999E-3</v>
      </c>
      <c r="L114" s="57">
        <v>1.52E-2</v>
      </c>
      <c r="M114" s="57">
        <v>1.83E-2</v>
      </c>
      <c r="N114" s="57">
        <v>2.0000000000000001E-4</v>
      </c>
      <c r="O114" s="57">
        <v>0.17799999999999999</v>
      </c>
      <c r="P114" s="57">
        <v>-1.1599999999999999E-2</v>
      </c>
      <c r="Q114" s="57">
        <v>-0.1976</v>
      </c>
      <c r="R114" s="57">
        <v>3.5400000000000001E-2</v>
      </c>
      <c r="S114">
        <v>84.91</v>
      </c>
      <c r="T114">
        <v>58.09</v>
      </c>
      <c r="U114">
        <v>87.6</v>
      </c>
      <c r="V114" s="20">
        <v>2.5715699999999999</v>
      </c>
    </row>
    <row r="115" spans="7:22" x14ac:dyDescent="0.15">
      <c r="G115" s="11">
        <v>114</v>
      </c>
      <c r="H115" s="10" t="s">
        <v>416</v>
      </c>
      <c r="I115" t="s">
        <v>987</v>
      </c>
      <c r="J115" t="s">
        <v>851</v>
      </c>
      <c r="K115" s="57">
        <v>-4.0000000000000002E-4</v>
      </c>
      <c r="L115" s="57">
        <v>-3.5999999999999999E-3</v>
      </c>
      <c r="M115" s="57">
        <v>4.1700000000000001E-2</v>
      </c>
      <c r="N115" s="57">
        <v>4.5699999999999998E-2</v>
      </c>
      <c r="O115" s="57">
        <v>6.6600000000000006E-2</v>
      </c>
      <c r="P115" s="57">
        <v>2.8799999999999999E-2</v>
      </c>
      <c r="Q115" s="57">
        <v>0.1101</v>
      </c>
      <c r="R115" s="57">
        <v>0.75290000000000001</v>
      </c>
      <c r="S115">
        <v>84.77</v>
      </c>
      <c r="T115">
        <v>89.89</v>
      </c>
      <c r="U115">
        <v>55.66</v>
      </c>
      <c r="V115" s="20">
        <v>2535.3416000000002</v>
      </c>
    </row>
    <row r="116" spans="7:22" x14ac:dyDescent="0.15">
      <c r="G116" s="11">
        <v>115</v>
      </c>
      <c r="H116" s="10" t="s">
        <v>1398</v>
      </c>
      <c r="I116" t="s">
        <v>1399</v>
      </c>
      <c r="J116" t="s">
        <v>1665</v>
      </c>
      <c r="K116" s="57">
        <v>-1.6999999999999999E-3</v>
      </c>
      <c r="L116" s="57">
        <v>-1.8100000000000002E-2</v>
      </c>
      <c r="M116" s="57">
        <v>-1.66E-2</v>
      </c>
      <c r="N116" s="57">
        <v>1.09E-2</v>
      </c>
      <c r="O116" s="57">
        <v>8.4900000000000003E-2</v>
      </c>
      <c r="P116" s="57">
        <v>-0.13150000000000001</v>
      </c>
      <c r="Q116" s="57">
        <v>-0.23899999999999999</v>
      </c>
      <c r="R116" s="57">
        <v>-0.19270000000000001</v>
      </c>
      <c r="S116">
        <v>84.64</v>
      </c>
      <c r="T116">
        <v>69.81</v>
      </c>
      <c r="U116">
        <v>75.61</v>
      </c>
      <c r="V116" s="20">
        <v>28.047040200000001</v>
      </c>
    </row>
    <row r="117" spans="7:22" x14ac:dyDescent="0.15">
      <c r="G117" s="11">
        <v>116</v>
      </c>
      <c r="H117" s="10" t="s">
        <v>512</v>
      </c>
      <c r="I117" t="s">
        <v>855</v>
      </c>
      <c r="J117" t="s">
        <v>851</v>
      </c>
      <c r="K117" s="57">
        <v>-1.1999999999999999E-3</v>
      </c>
      <c r="L117" s="57">
        <v>-9.2999999999999992E-3</v>
      </c>
      <c r="M117" s="57">
        <v>1.7000000000000001E-2</v>
      </c>
      <c r="N117" s="57">
        <v>1.3899999999999999E-2</v>
      </c>
      <c r="O117" s="57">
        <v>3.7600000000000001E-2</v>
      </c>
      <c r="P117" s="57">
        <v>-5.45E-2</v>
      </c>
      <c r="Q117" s="57">
        <v>-1.6199999999999999E-2</v>
      </c>
      <c r="R117" s="57">
        <v>3.4500000000000003E-2</v>
      </c>
      <c r="S117">
        <v>84.5</v>
      </c>
      <c r="T117">
        <v>74.66</v>
      </c>
      <c r="U117">
        <v>70.62</v>
      </c>
      <c r="V117" s="20">
        <v>79.436000000000007</v>
      </c>
    </row>
    <row r="118" spans="7:22" x14ac:dyDescent="0.15">
      <c r="G118" s="11">
        <v>117</v>
      </c>
      <c r="H118" s="10" t="s">
        <v>395</v>
      </c>
      <c r="I118" t="s">
        <v>22</v>
      </c>
      <c r="J118" t="s">
        <v>1665</v>
      </c>
      <c r="K118" s="57">
        <v>-5.9999999999999995E-4</v>
      </c>
      <c r="L118" s="57">
        <v>-9.4999999999999998E-3</v>
      </c>
      <c r="M118" s="57">
        <v>-8.8999999999999999E-3</v>
      </c>
      <c r="N118" s="57">
        <v>2.92E-2</v>
      </c>
      <c r="O118" s="57">
        <v>-3.7699999999999997E-2</v>
      </c>
      <c r="P118" s="57">
        <v>-2.6700000000000002E-2</v>
      </c>
      <c r="Q118" s="57">
        <v>4.7100000000000003E-2</v>
      </c>
      <c r="R118" s="57">
        <v>-0.11550000000000001</v>
      </c>
      <c r="S118">
        <v>84.37</v>
      </c>
      <c r="T118">
        <v>85.85</v>
      </c>
      <c r="U118">
        <v>59.43</v>
      </c>
      <c r="V118" s="20">
        <v>328.84530000000001</v>
      </c>
    </row>
    <row r="119" spans="7:22" x14ac:dyDescent="0.15">
      <c r="G119" s="11">
        <v>118</v>
      </c>
      <c r="H119" s="10" t="s">
        <v>1630</v>
      </c>
      <c r="I119" t="s">
        <v>1631</v>
      </c>
      <c r="J119" t="s">
        <v>1665</v>
      </c>
      <c r="K119" s="57">
        <v>-1.9E-3</v>
      </c>
      <c r="L119" s="57">
        <v>8.8000000000000005E-3</v>
      </c>
      <c r="M119" s="57">
        <v>3.1399999999999997E-2</v>
      </c>
      <c r="N119" s="57">
        <v>9.1999999999999998E-3</v>
      </c>
      <c r="O119" s="57">
        <v>0.1245</v>
      </c>
      <c r="P119" s="57">
        <v>-2.8E-3</v>
      </c>
      <c r="Q119" s="57">
        <v>-3.0200000000000001E-2</v>
      </c>
      <c r="R119" s="57">
        <v>-3.0200000000000001E-2</v>
      </c>
      <c r="S119">
        <v>84.23</v>
      </c>
      <c r="T119">
        <v>68.19</v>
      </c>
      <c r="U119">
        <v>76.680000000000007</v>
      </c>
      <c r="V119" s="20">
        <v>3205.0052999999998</v>
      </c>
    </row>
    <row r="120" spans="7:22" x14ac:dyDescent="0.15">
      <c r="G120" s="11">
        <v>119</v>
      </c>
      <c r="H120" s="10" t="s">
        <v>1273</v>
      </c>
      <c r="I120" t="s">
        <v>1274</v>
      </c>
      <c r="J120" t="s">
        <v>1267</v>
      </c>
      <c r="K120" s="57">
        <v>-5.5999999999999999E-3</v>
      </c>
      <c r="L120" s="57">
        <v>-1.11E-2</v>
      </c>
      <c r="M120" s="57">
        <v>-1E-4</v>
      </c>
      <c r="N120" s="57">
        <v>-1.1999999999999999E-3</v>
      </c>
      <c r="O120" s="57">
        <v>-4.7E-2</v>
      </c>
      <c r="P120" s="57">
        <v>-6.0699999999999997E-2</v>
      </c>
      <c r="Q120" s="57">
        <v>1.8E-3</v>
      </c>
      <c r="R120" s="57">
        <v>3.0499999999999999E-2</v>
      </c>
      <c r="S120">
        <v>84.1</v>
      </c>
      <c r="T120">
        <v>54.58</v>
      </c>
      <c r="U120">
        <v>90.03</v>
      </c>
      <c r="V120" s="20">
        <v>12.2735</v>
      </c>
    </row>
    <row r="121" spans="7:22" x14ac:dyDescent="0.15">
      <c r="G121" s="11">
        <v>120</v>
      </c>
      <c r="H121" s="10" t="s">
        <v>421</v>
      </c>
      <c r="I121" t="s">
        <v>843</v>
      </c>
      <c r="J121" t="s">
        <v>814</v>
      </c>
      <c r="K121" s="57">
        <v>-4.5900000000000003E-2</v>
      </c>
      <c r="L121" s="57">
        <v>-9.1000000000000004E-3</v>
      </c>
      <c r="M121" s="57">
        <v>6.9999999999999999E-4</v>
      </c>
      <c r="N121" s="57">
        <v>-9.2999999999999992E-3</v>
      </c>
      <c r="O121" s="57">
        <v>5.9299999999999999E-2</v>
      </c>
      <c r="P121" s="57">
        <v>-7.3200000000000001E-2</v>
      </c>
      <c r="Q121" s="57">
        <v>-0.19689999999999999</v>
      </c>
      <c r="R121" s="57">
        <v>4.3799999999999999E-2</v>
      </c>
      <c r="S121">
        <v>83.96</v>
      </c>
      <c r="T121">
        <v>44.88</v>
      </c>
      <c r="U121">
        <v>99.73</v>
      </c>
      <c r="V121" s="20">
        <v>519.66660000000002</v>
      </c>
    </row>
    <row r="122" spans="7:22" x14ac:dyDescent="0.15">
      <c r="G122" s="11">
        <v>121</v>
      </c>
      <c r="H122" s="10" t="s">
        <v>643</v>
      </c>
      <c r="I122" t="s">
        <v>1101</v>
      </c>
      <c r="J122" t="s">
        <v>851</v>
      </c>
      <c r="K122" s="57">
        <v>-1E-3</v>
      </c>
      <c r="L122" s="57">
        <v>-4.1000000000000003E-3</v>
      </c>
      <c r="M122" s="57">
        <v>4.0800000000000003E-2</v>
      </c>
      <c r="N122" s="57">
        <v>1.6799999999999999E-2</v>
      </c>
      <c r="O122" s="57">
        <v>5.9700000000000003E-2</v>
      </c>
      <c r="P122" s="57">
        <v>-8.6599999999999996E-2</v>
      </c>
      <c r="Q122" s="57">
        <v>-0.13600000000000001</v>
      </c>
      <c r="R122" s="57">
        <v>-0.2429</v>
      </c>
      <c r="S122">
        <v>83.83</v>
      </c>
      <c r="T122">
        <v>76.819999999999993</v>
      </c>
      <c r="U122">
        <v>67.790000000000006</v>
      </c>
      <c r="V122" s="20">
        <v>7307.3625000000002</v>
      </c>
    </row>
    <row r="123" spans="7:22" x14ac:dyDescent="0.15">
      <c r="G123" s="11">
        <v>122</v>
      </c>
      <c r="H123" s="10" t="s">
        <v>335</v>
      </c>
      <c r="I123" t="s">
        <v>21</v>
      </c>
      <c r="J123" t="s">
        <v>1665</v>
      </c>
      <c r="K123" s="57">
        <v>-5.9999999999999995E-4</v>
      </c>
      <c r="L123" s="57">
        <v>-9.5999999999999992E-3</v>
      </c>
      <c r="M123" s="57">
        <v>-9.1999999999999998E-3</v>
      </c>
      <c r="N123" s="57">
        <v>2.8799999999999999E-2</v>
      </c>
      <c r="O123" s="57">
        <v>-3.9899999999999998E-2</v>
      </c>
      <c r="P123" s="57">
        <v>-3.09E-2</v>
      </c>
      <c r="Q123" s="57">
        <v>3.2899999999999999E-2</v>
      </c>
      <c r="R123" s="57">
        <v>-4.4999999999999997E-3</v>
      </c>
      <c r="S123">
        <v>83.69</v>
      </c>
      <c r="T123">
        <v>85.44</v>
      </c>
      <c r="U123">
        <v>58.89</v>
      </c>
      <c r="V123" s="20">
        <v>115.57723999999999</v>
      </c>
    </row>
    <row r="124" spans="7:22" x14ac:dyDescent="0.15">
      <c r="G124" s="11">
        <v>123</v>
      </c>
      <c r="H124" s="10" t="s">
        <v>1396</v>
      </c>
      <c r="I124" t="s">
        <v>1397</v>
      </c>
      <c r="J124" t="s">
        <v>1665</v>
      </c>
      <c r="K124" s="57">
        <v>-1E-3</v>
      </c>
      <c r="L124" s="57">
        <v>-9.4999999999999998E-3</v>
      </c>
      <c r="M124" s="57">
        <v>1.34E-2</v>
      </c>
      <c r="N124" s="57">
        <v>1.6400000000000001E-2</v>
      </c>
      <c r="O124" s="57">
        <v>6.6699999999999995E-2</v>
      </c>
      <c r="P124" s="57">
        <v>-5.6599999999999998E-2</v>
      </c>
      <c r="Q124" s="57">
        <v>-0.12809999999999999</v>
      </c>
      <c r="R124" s="57">
        <v>-0.12809999999999999</v>
      </c>
      <c r="S124">
        <v>83.56</v>
      </c>
      <c r="T124">
        <v>76.150000000000006</v>
      </c>
      <c r="U124">
        <v>67.92</v>
      </c>
      <c r="V124" s="20">
        <v>10812.6104946</v>
      </c>
    </row>
    <row r="125" spans="7:22" x14ac:dyDescent="0.15">
      <c r="G125" s="11">
        <v>124</v>
      </c>
      <c r="H125" s="10" t="s">
        <v>1370</v>
      </c>
      <c r="I125" t="s">
        <v>1371</v>
      </c>
      <c r="J125" t="s">
        <v>1665</v>
      </c>
      <c r="K125" s="57">
        <v>0</v>
      </c>
      <c r="L125" s="57">
        <v>1.2999999999999999E-2</v>
      </c>
      <c r="M125" s="57">
        <v>2.8400000000000002E-2</v>
      </c>
      <c r="N125" s="57">
        <v>7.4300000000000005E-2</v>
      </c>
      <c r="O125" s="57">
        <v>0.14549999999999999</v>
      </c>
      <c r="P125" s="57">
        <v>-0.1143</v>
      </c>
      <c r="Q125" s="57">
        <v>-0.1729</v>
      </c>
      <c r="R125" s="57">
        <v>-0.17899999999999999</v>
      </c>
      <c r="S125">
        <v>83.42</v>
      </c>
      <c r="T125">
        <v>97.04</v>
      </c>
      <c r="U125">
        <v>46.77</v>
      </c>
      <c r="V125" s="20">
        <v>3088.5201000000002</v>
      </c>
    </row>
    <row r="126" spans="7:22" x14ac:dyDescent="0.15">
      <c r="G126" s="11">
        <v>125</v>
      </c>
      <c r="H126" s="10" t="s">
        <v>374</v>
      </c>
      <c r="I126" t="s">
        <v>252</v>
      </c>
      <c r="J126" t="s">
        <v>1221</v>
      </c>
      <c r="K126" s="57">
        <v>-2.0999999999999999E-3</v>
      </c>
      <c r="L126" s="57">
        <v>-2.7000000000000001E-3</v>
      </c>
      <c r="M126" s="57">
        <v>-2.7000000000000001E-3</v>
      </c>
      <c r="N126" s="57">
        <v>7.3000000000000001E-3</v>
      </c>
      <c r="O126" s="57">
        <v>6.6400000000000001E-2</v>
      </c>
      <c r="P126" s="57">
        <v>-6.8599999999999994E-2</v>
      </c>
      <c r="Q126" s="57">
        <v>-0.15409999999999999</v>
      </c>
      <c r="R126" s="57">
        <v>4.07E-2</v>
      </c>
      <c r="S126">
        <v>83.29</v>
      </c>
      <c r="T126">
        <v>66.17</v>
      </c>
      <c r="U126">
        <v>77.489999999999995</v>
      </c>
      <c r="V126" s="20">
        <v>836.70268600000009</v>
      </c>
    </row>
    <row r="127" spans="7:22" x14ac:dyDescent="0.15">
      <c r="G127" s="11">
        <v>126</v>
      </c>
      <c r="H127" s="10" t="s">
        <v>479</v>
      </c>
      <c r="I127" t="s">
        <v>915</v>
      </c>
      <c r="J127" t="s">
        <v>851</v>
      </c>
      <c r="K127" s="57">
        <v>-2.0000000000000001E-4</v>
      </c>
      <c r="L127" s="57">
        <v>-6.4000000000000003E-3</v>
      </c>
      <c r="M127" s="57">
        <v>-3.7000000000000002E-3</v>
      </c>
      <c r="N127" s="57">
        <v>5.33E-2</v>
      </c>
      <c r="O127" s="57">
        <v>0.15809999999999999</v>
      </c>
      <c r="P127" s="57">
        <v>-6.0900000000000003E-2</v>
      </c>
      <c r="Q127" s="57">
        <v>-0.18410000000000001</v>
      </c>
      <c r="R127" s="57">
        <v>4.6199999999999998E-2</v>
      </c>
      <c r="S127">
        <v>83.15</v>
      </c>
      <c r="T127">
        <v>92.18</v>
      </c>
      <c r="U127">
        <v>51.48</v>
      </c>
      <c r="V127" s="20">
        <v>744.64449999999999</v>
      </c>
    </row>
    <row r="128" spans="7:22" x14ac:dyDescent="0.15">
      <c r="G128" s="11">
        <v>127</v>
      </c>
      <c r="H128" s="10" t="s">
        <v>628</v>
      </c>
      <c r="I128" t="s">
        <v>250</v>
      </c>
      <c r="J128" t="s">
        <v>1221</v>
      </c>
      <c r="K128" s="57">
        <v>-2.5000000000000001E-3</v>
      </c>
      <c r="L128" s="57">
        <v>-2.0000000000000001E-4</v>
      </c>
      <c r="M128" s="57">
        <v>1.6999999999999999E-3</v>
      </c>
      <c r="N128" s="57">
        <v>3.8999999999999998E-3</v>
      </c>
      <c r="O128" s="57">
        <v>1.84E-2</v>
      </c>
      <c r="P128" s="57">
        <v>-1.9900000000000001E-2</v>
      </c>
      <c r="Q128" s="57">
        <v>-4.9700000000000001E-2</v>
      </c>
      <c r="R128" s="57">
        <v>-2.2000000000000001E-3</v>
      </c>
      <c r="S128">
        <v>83.02</v>
      </c>
      <c r="T128">
        <v>63.07</v>
      </c>
      <c r="U128">
        <v>80.59</v>
      </c>
      <c r="V128" s="20">
        <v>627.82584069999996</v>
      </c>
    </row>
    <row r="129" spans="7:22" x14ac:dyDescent="0.15">
      <c r="G129" s="11">
        <v>128</v>
      </c>
      <c r="H129" s="10" t="s">
        <v>290</v>
      </c>
      <c r="I129" t="s">
        <v>835</v>
      </c>
      <c r="J129" t="s">
        <v>814</v>
      </c>
      <c r="K129" s="57">
        <v>-6.0000000000000001E-3</v>
      </c>
      <c r="L129" s="57">
        <v>-2.52E-2</v>
      </c>
      <c r="M129" s="57">
        <v>-2.81E-2</v>
      </c>
      <c r="N129" s="57">
        <v>-2.5000000000000001E-3</v>
      </c>
      <c r="O129" s="57">
        <v>6.4699999999999994E-2</v>
      </c>
      <c r="P129" s="57">
        <v>-9.7199999999999995E-2</v>
      </c>
      <c r="Q129" s="57">
        <v>-0.30909999999999999</v>
      </c>
      <c r="R129" s="57">
        <v>-0.13789999999999999</v>
      </c>
      <c r="S129">
        <v>82.88</v>
      </c>
      <c r="T129">
        <v>52.16</v>
      </c>
      <c r="U129">
        <v>90.84</v>
      </c>
      <c r="V129" s="20">
        <v>41.801759999999994</v>
      </c>
    </row>
    <row r="130" spans="7:22" x14ac:dyDescent="0.15">
      <c r="G130" s="11">
        <v>129</v>
      </c>
      <c r="H130" s="10" t="s">
        <v>471</v>
      </c>
      <c r="I130" t="s">
        <v>1137</v>
      </c>
      <c r="J130" t="s">
        <v>851</v>
      </c>
      <c r="K130" s="57">
        <v>-2.9999999999999997E-4</v>
      </c>
      <c r="L130" s="57">
        <v>-1.3899999999999999E-2</v>
      </c>
      <c r="M130" s="57">
        <v>-3.1099999999999999E-2</v>
      </c>
      <c r="N130" s="57">
        <v>4.0300000000000002E-2</v>
      </c>
      <c r="O130" s="57">
        <v>8.9899999999999994E-2</v>
      </c>
      <c r="P130" s="57">
        <v>-0.14799999999999999</v>
      </c>
      <c r="Q130" s="57">
        <v>-0.27750000000000002</v>
      </c>
      <c r="R130" s="57">
        <v>-7.7600000000000002E-2</v>
      </c>
      <c r="S130">
        <v>82.75</v>
      </c>
      <c r="T130">
        <v>89.35</v>
      </c>
      <c r="U130">
        <v>53.64</v>
      </c>
      <c r="V130" s="20">
        <v>52907.921566799996</v>
      </c>
    </row>
    <row r="131" spans="7:22" x14ac:dyDescent="0.15">
      <c r="G131" s="11">
        <v>130</v>
      </c>
      <c r="H131" s="10" t="s">
        <v>423</v>
      </c>
      <c r="I131" t="s">
        <v>1142</v>
      </c>
      <c r="J131" t="s">
        <v>851</v>
      </c>
      <c r="K131" s="57">
        <v>-1E-3</v>
      </c>
      <c r="L131" s="57">
        <v>-1.29E-2</v>
      </c>
      <c r="M131" s="57">
        <v>6.1000000000000004E-3</v>
      </c>
      <c r="N131" s="57">
        <v>1.41E-2</v>
      </c>
      <c r="O131" s="57">
        <v>0.1381</v>
      </c>
      <c r="P131" s="57">
        <v>-2.8299999999999999E-2</v>
      </c>
      <c r="Q131" s="57">
        <v>-9.1200000000000003E-2</v>
      </c>
      <c r="R131" s="57">
        <v>0.1229</v>
      </c>
      <c r="S131">
        <v>82.61</v>
      </c>
      <c r="T131">
        <v>74.8</v>
      </c>
      <c r="U131">
        <v>68.06</v>
      </c>
      <c r="V131" s="20">
        <v>56591.338100000001</v>
      </c>
    </row>
    <row r="132" spans="7:22" x14ac:dyDescent="0.15">
      <c r="G132" s="11">
        <v>131</v>
      </c>
      <c r="H132" s="10" t="s">
        <v>488</v>
      </c>
      <c r="I132" t="s">
        <v>28</v>
      </c>
      <c r="J132" t="s">
        <v>1192</v>
      </c>
      <c r="K132" s="57">
        <v>-1.09E-2</v>
      </c>
      <c r="L132" s="57">
        <v>-1.2699999999999999E-2</v>
      </c>
      <c r="M132" s="57">
        <v>3.3300000000000003E-2</v>
      </c>
      <c r="N132" s="57">
        <v>-8.5000000000000006E-3</v>
      </c>
      <c r="O132" s="57">
        <v>-6.25E-2</v>
      </c>
      <c r="P132" s="57">
        <v>0.20469999999999999</v>
      </c>
      <c r="Q132" s="57">
        <v>0.55520000000000003</v>
      </c>
      <c r="R132" s="57">
        <v>1.2906</v>
      </c>
      <c r="S132">
        <v>82.48</v>
      </c>
      <c r="T132">
        <v>45.96</v>
      </c>
      <c r="U132">
        <v>96.36</v>
      </c>
      <c r="V132" s="20">
        <v>133.25124479999999</v>
      </c>
    </row>
    <row r="133" spans="7:22" x14ac:dyDescent="0.15">
      <c r="G133" s="11">
        <v>132</v>
      </c>
      <c r="H133" s="10" t="s">
        <v>394</v>
      </c>
      <c r="I133" t="s">
        <v>1065</v>
      </c>
      <c r="J133" t="s">
        <v>851</v>
      </c>
      <c r="K133" s="57">
        <v>-2.3E-3</v>
      </c>
      <c r="L133" s="57">
        <v>-1.8E-3</v>
      </c>
      <c r="M133" s="57">
        <v>1.44E-2</v>
      </c>
      <c r="N133" s="57">
        <v>3.8E-3</v>
      </c>
      <c r="O133" s="57">
        <v>7.7499999999999999E-2</v>
      </c>
      <c r="P133" s="57">
        <v>-1.09E-2</v>
      </c>
      <c r="Q133" s="57">
        <v>2.1899999999999999E-2</v>
      </c>
      <c r="R133" s="57">
        <v>4.8099999999999997E-2</v>
      </c>
      <c r="S133">
        <v>82.35</v>
      </c>
      <c r="T133">
        <v>62.67</v>
      </c>
      <c r="U133">
        <v>79.510000000000005</v>
      </c>
      <c r="V133" s="20">
        <v>3801.2574</v>
      </c>
    </row>
    <row r="134" spans="7:22" x14ac:dyDescent="0.15">
      <c r="G134" s="11">
        <v>133</v>
      </c>
      <c r="H134" s="10" t="s">
        <v>2104</v>
      </c>
      <c r="I134" t="s">
        <v>2105</v>
      </c>
      <c r="J134" t="s">
        <v>2058</v>
      </c>
      <c r="K134" s="57">
        <v>-4.0000000000000002E-4</v>
      </c>
      <c r="L134" s="57">
        <v>3.0300000000000001E-2</v>
      </c>
      <c r="M134" s="57">
        <v>3.0300000000000001E-2</v>
      </c>
      <c r="N134" s="57">
        <v>3.0300000000000001E-2</v>
      </c>
      <c r="O134" s="57">
        <v>3.0300000000000001E-2</v>
      </c>
      <c r="P134" s="57">
        <v>3.0300000000000001E-2</v>
      </c>
      <c r="Q134" s="57">
        <v>3.0300000000000001E-2</v>
      </c>
      <c r="R134" s="57">
        <v>3.0300000000000001E-2</v>
      </c>
      <c r="S134">
        <v>82.21</v>
      </c>
      <c r="T134">
        <v>86.52</v>
      </c>
      <c r="U134">
        <v>55.53</v>
      </c>
      <c r="V134" s="20">
        <v>27218.162799999998</v>
      </c>
    </row>
    <row r="135" spans="7:22" x14ac:dyDescent="0.15">
      <c r="G135" s="11">
        <v>134</v>
      </c>
      <c r="H135" s="10" t="s">
        <v>626</v>
      </c>
      <c r="I135" t="s">
        <v>1158</v>
      </c>
      <c r="J135" t="s">
        <v>851</v>
      </c>
      <c r="K135" s="57">
        <v>-8.0000000000000004E-4</v>
      </c>
      <c r="L135" s="57">
        <v>-4.3E-3</v>
      </c>
      <c r="M135" s="57">
        <v>1.9900000000000001E-2</v>
      </c>
      <c r="N135" s="57">
        <v>1.8200000000000001E-2</v>
      </c>
      <c r="O135" s="57">
        <v>9.8000000000000004E-2</v>
      </c>
      <c r="P135" s="57">
        <v>-3.7199999999999997E-2</v>
      </c>
      <c r="Q135" s="57">
        <v>-6.5699999999999995E-2</v>
      </c>
      <c r="R135" s="57">
        <v>1.32E-2</v>
      </c>
      <c r="S135">
        <v>82.08</v>
      </c>
      <c r="T135">
        <v>78.709999999999994</v>
      </c>
      <c r="U135">
        <v>62.8</v>
      </c>
      <c r="V135" s="20">
        <v>87910.991299999994</v>
      </c>
    </row>
    <row r="136" spans="7:22" x14ac:dyDescent="0.15">
      <c r="G136" s="11">
        <v>135</v>
      </c>
      <c r="H136" s="10" t="s">
        <v>719</v>
      </c>
      <c r="I136" t="s">
        <v>1056</v>
      </c>
      <c r="J136" t="s">
        <v>851</v>
      </c>
      <c r="K136" s="57">
        <v>-8.0000000000000004E-4</v>
      </c>
      <c r="L136" s="57">
        <v>-4.0000000000000001E-3</v>
      </c>
      <c r="M136" s="57">
        <v>4.0800000000000003E-2</v>
      </c>
      <c r="N136" s="57">
        <v>1.6899999999999998E-2</v>
      </c>
      <c r="O136" s="57">
        <v>5.9299999999999999E-2</v>
      </c>
      <c r="P136" s="57">
        <v>-8.6800000000000002E-2</v>
      </c>
      <c r="Q136" s="57">
        <v>-0.13650000000000001</v>
      </c>
      <c r="R136" s="57">
        <v>-0.247</v>
      </c>
      <c r="S136">
        <v>81.94</v>
      </c>
      <c r="T136">
        <v>76.95</v>
      </c>
      <c r="U136">
        <v>64.42</v>
      </c>
      <c r="V136" s="20">
        <v>41368.169699999999</v>
      </c>
    </row>
    <row r="137" spans="7:22" x14ac:dyDescent="0.15">
      <c r="G137" s="11">
        <v>136</v>
      </c>
      <c r="H137" s="10" t="s">
        <v>301</v>
      </c>
      <c r="I137" t="s">
        <v>837</v>
      </c>
      <c r="J137" t="s">
        <v>814</v>
      </c>
      <c r="K137" s="57">
        <v>-5.4999999999999997E-3</v>
      </c>
      <c r="L137" s="57">
        <v>1.26E-2</v>
      </c>
      <c r="M137" s="57">
        <v>2.0899999999999998E-2</v>
      </c>
      <c r="N137" s="57">
        <v>-4.7000000000000002E-3</v>
      </c>
      <c r="O137" s="57">
        <v>0.21920000000000001</v>
      </c>
      <c r="P137" s="57">
        <v>7.1099999999999997E-2</v>
      </c>
      <c r="Q137" s="57">
        <v>-0.1</v>
      </c>
      <c r="R137" s="57">
        <v>0.18779999999999999</v>
      </c>
      <c r="S137">
        <v>81.81</v>
      </c>
      <c r="T137">
        <v>50.67</v>
      </c>
      <c r="U137">
        <v>89.89</v>
      </c>
      <c r="V137" s="20">
        <v>852.46220000000005</v>
      </c>
    </row>
    <row r="138" spans="7:22" x14ac:dyDescent="0.15">
      <c r="G138" s="11">
        <v>137</v>
      </c>
      <c r="H138" s="10" t="s">
        <v>1316</v>
      </c>
      <c r="I138" t="s">
        <v>1317</v>
      </c>
      <c r="J138" t="s">
        <v>1665</v>
      </c>
      <c r="K138" s="57">
        <v>1E-4</v>
      </c>
      <c r="L138" s="57">
        <v>-2.4899999999999999E-2</v>
      </c>
      <c r="M138" s="57">
        <v>-3.8399999999999997E-2</v>
      </c>
      <c r="N138" s="57">
        <v>6.1100000000000002E-2</v>
      </c>
      <c r="O138" s="57">
        <v>0.1048</v>
      </c>
      <c r="P138" s="57">
        <v>-0.1303</v>
      </c>
      <c r="Q138" s="57">
        <v>-0.2671</v>
      </c>
      <c r="R138" s="57">
        <v>-0.2671</v>
      </c>
      <c r="S138">
        <v>81.67</v>
      </c>
      <c r="T138">
        <v>95.01</v>
      </c>
      <c r="U138">
        <v>45.55</v>
      </c>
      <c r="V138" s="20">
        <v>5676.7718000000004</v>
      </c>
    </row>
    <row r="139" spans="7:22" x14ac:dyDescent="0.15">
      <c r="G139" s="11">
        <v>138</v>
      </c>
      <c r="H139" s="10" t="s">
        <v>1660</v>
      </c>
      <c r="I139" t="s">
        <v>1661</v>
      </c>
      <c r="J139" t="s">
        <v>1665</v>
      </c>
      <c r="K139" s="57">
        <v>-2.9999999999999997E-4</v>
      </c>
      <c r="L139" s="57">
        <v>5.96E-2</v>
      </c>
      <c r="M139" s="57">
        <v>8.7400000000000005E-2</v>
      </c>
      <c r="N139" s="57">
        <v>3.5900000000000001E-2</v>
      </c>
      <c r="O139" s="57">
        <v>9.7299999999999998E-2</v>
      </c>
      <c r="P139" s="57">
        <v>0.1333</v>
      </c>
      <c r="Q139" s="57">
        <v>0.1333</v>
      </c>
      <c r="R139" s="57">
        <v>0.1333</v>
      </c>
      <c r="S139">
        <v>81.540000000000006</v>
      </c>
      <c r="T139">
        <v>87.74</v>
      </c>
      <c r="U139">
        <v>52.7</v>
      </c>
      <c r="V139" s="20">
        <v>4369.5556999999999</v>
      </c>
    </row>
    <row r="140" spans="7:22" x14ac:dyDescent="0.15">
      <c r="G140" s="11">
        <v>139</v>
      </c>
      <c r="H140" s="10" t="s">
        <v>266</v>
      </c>
      <c r="I140" t="s">
        <v>26</v>
      </c>
      <c r="J140" t="s">
        <v>1192</v>
      </c>
      <c r="K140" s="57">
        <v>-6.8999999999999999E-3</v>
      </c>
      <c r="L140" s="57">
        <v>-1.52E-2</v>
      </c>
      <c r="M140" s="57">
        <v>2.2800000000000001E-2</v>
      </c>
      <c r="N140" s="57">
        <v>-6.7999999999999996E-3</v>
      </c>
      <c r="O140" s="57">
        <v>-6.5600000000000006E-2</v>
      </c>
      <c r="P140" s="57">
        <v>0.187</v>
      </c>
      <c r="Q140" s="57">
        <v>0.46729999999999999</v>
      </c>
      <c r="R140" s="57">
        <v>1.0278</v>
      </c>
      <c r="S140">
        <v>81.400000000000006</v>
      </c>
      <c r="T140">
        <v>47.98</v>
      </c>
      <c r="U140">
        <v>92.32</v>
      </c>
      <c r="V140" s="20">
        <v>20.7773334</v>
      </c>
    </row>
    <row r="141" spans="7:22" x14ac:dyDescent="0.15">
      <c r="G141" s="11">
        <v>140</v>
      </c>
      <c r="H141" s="10" t="s">
        <v>493</v>
      </c>
      <c r="I141" t="s">
        <v>1229</v>
      </c>
      <c r="J141" t="s">
        <v>1221</v>
      </c>
      <c r="K141" s="57">
        <v>-1.04E-2</v>
      </c>
      <c r="L141" s="57">
        <v>-5.7000000000000002E-3</v>
      </c>
      <c r="M141" s="57">
        <v>-1.12E-2</v>
      </c>
      <c r="N141" s="57">
        <v>-9.4999999999999998E-3</v>
      </c>
      <c r="O141" s="57">
        <v>7.5899999999999995E-2</v>
      </c>
      <c r="P141" s="57">
        <v>-6.7799999999999999E-2</v>
      </c>
      <c r="Q141" s="57">
        <v>-0.17249999999999999</v>
      </c>
      <c r="R141" s="57">
        <v>-6.0000000000000001E-3</v>
      </c>
      <c r="S141">
        <v>81.27</v>
      </c>
      <c r="T141">
        <v>44.2</v>
      </c>
      <c r="U141">
        <v>96.09</v>
      </c>
      <c r="V141" s="20">
        <v>4587.1829637000001</v>
      </c>
    </row>
    <row r="142" spans="7:22" x14ac:dyDescent="0.15">
      <c r="G142" s="11">
        <v>141</v>
      </c>
      <c r="H142" s="10" t="s">
        <v>1392</v>
      </c>
      <c r="I142" t="s">
        <v>1393</v>
      </c>
      <c r="J142" t="s">
        <v>1665</v>
      </c>
      <c r="K142" s="57">
        <v>-1.6000000000000001E-3</v>
      </c>
      <c r="L142" s="57">
        <v>-3.5000000000000003E-2</v>
      </c>
      <c r="M142" s="57">
        <v>-4.2900000000000001E-2</v>
      </c>
      <c r="N142" s="57">
        <v>5.4999999999999997E-3</v>
      </c>
      <c r="O142" s="57">
        <v>9.11E-2</v>
      </c>
      <c r="P142" s="57">
        <v>-0.19209999999999999</v>
      </c>
      <c r="Q142" s="57">
        <v>-0.24779999999999999</v>
      </c>
      <c r="R142" s="57">
        <v>-0.24779999999999999</v>
      </c>
      <c r="S142">
        <v>81.13</v>
      </c>
      <c r="T142">
        <v>64.819999999999993</v>
      </c>
      <c r="U142">
        <v>75.34</v>
      </c>
      <c r="V142" s="20">
        <v>328.3576286</v>
      </c>
    </row>
    <row r="143" spans="7:22" x14ac:dyDescent="0.15">
      <c r="G143" s="11">
        <v>142</v>
      </c>
      <c r="H143" s="10" t="s">
        <v>454</v>
      </c>
      <c r="I143" t="s">
        <v>1071</v>
      </c>
      <c r="J143" t="s">
        <v>851</v>
      </c>
      <c r="K143" s="57">
        <v>-8.9999999999999998E-4</v>
      </c>
      <c r="L143" s="57">
        <v>-1.34E-2</v>
      </c>
      <c r="M143" s="57">
        <v>5.7999999999999996E-3</v>
      </c>
      <c r="N143" s="57">
        <v>1.32E-2</v>
      </c>
      <c r="O143" s="57">
        <v>0.1394</v>
      </c>
      <c r="P143" s="57">
        <v>-2.6700000000000002E-2</v>
      </c>
      <c r="Q143" s="57">
        <v>-8.43E-2</v>
      </c>
      <c r="R143" s="57">
        <v>0.13389999999999999</v>
      </c>
      <c r="S143">
        <v>81</v>
      </c>
      <c r="T143">
        <v>73.319999999999993</v>
      </c>
      <c r="U143">
        <v>66.040000000000006</v>
      </c>
      <c r="V143" s="20">
        <v>4414.5348999999997</v>
      </c>
    </row>
    <row r="144" spans="7:22" x14ac:dyDescent="0.15">
      <c r="G144" s="11">
        <v>143</v>
      </c>
      <c r="H144" s="10" t="s">
        <v>519</v>
      </c>
      <c r="I144" t="s">
        <v>1074</v>
      </c>
      <c r="J144" t="s">
        <v>851</v>
      </c>
      <c r="K144" s="57">
        <v>-2.9999999999999997E-4</v>
      </c>
      <c r="L144" s="57">
        <v>8.0000000000000004E-4</v>
      </c>
      <c r="M144" s="57">
        <v>2.07E-2</v>
      </c>
      <c r="N144" s="57">
        <v>2.8199999999999999E-2</v>
      </c>
      <c r="O144" s="57">
        <v>0.16489999999999999</v>
      </c>
      <c r="P144" s="57">
        <v>-1.5E-3</v>
      </c>
      <c r="Q144" s="57">
        <v>-1.9800000000000002E-2</v>
      </c>
      <c r="R144" s="57">
        <v>0.20349999999999999</v>
      </c>
      <c r="S144">
        <v>80.86</v>
      </c>
      <c r="T144">
        <v>85.04</v>
      </c>
      <c r="U144">
        <v>53.91</v>
      </c>
      <c r="V144" s="20">
        <v>174481.62938310002</v>
      </c>
    </row>
    <row r="145" spans="7:22" x14ac:dyDescent="0.15">
      <c r="G145" s="11">
        <v>144</v>
      </c>
      <c r="H145" s="10" t="s">
        <v>334</v>
      </c>
      <c r="I145" t="s">
        <v>1247</v>
      </c>
      <c r="J145" t="s">
        <v>1230</v>
      </c>
      <c r="K145" s="57">
        <v>-1.6999999999999999E-3</v>
      </c>
      <c r="L145" s="57">
        <v>-3.3E-3</v>
      </c>
      <c r="M145" s="57">
        <v>1.6999999999999999E-3</v>
      </c>
      <c r="N145" s="57">
        <v>3.3999999999999998E-3</v>
      </c>
      <c r="O145" s="57">
        <v>3.2199999999999999E-2</v>
      </c>
      <c r="P145" s="57">
        <v>-6.1000000000000004E-3</v>
      </c>
      <c r="Q145" s="57">
        <v>-2.29E-2</v>
      </c>
      <c r="R145" s="57">
        <v>3.2199999999999999E-2</v>
      </c>
      <c r="S145">
        <v>80.73</v>
      </c>
      <c r="T145">
        <v>62.26</v>
      </c>
      <c r="U145">
        <v>76.150000000000006</v>
      </c>
      <c r="V145" s="20">
        <v>263.78006620000002</v>
      </c>
    </row>
    <row r="146" spans="7:22" x14ac:dyDescent="0.15">
      <c r="G146" s="11">
        <v>145</v>
      </c>
      <c r="H146" s="10" t="s">
        <v>2106</v>
      </c>
      <c r="I146" t="s">
        <v>2107</v>
      </c>
      <c r="J146" t="s">
        <v>2058</v>
      </c>
      <c r="K146" s="57">
        <v>-5.0000000000000001E-4</v>
      </c>
      <c r="L146" s="57">
        <v>2.1499999999999998E-2</v>
      </c>
      <c r="M146" s="57">
        <v>2.1499999999999998E-2</v>
      </c>
      <c r="N146" s="57">
        <v>2.1499999999999998E-2</v>
      </c>
      <c r="O146" s="57">
        <v>2.1499999999999998E-2</v>
      </c>
      <c r="P146" s="57">
        <v>2.1499999999999998E-2</v>
      </c>
      <c r="Q146" s="57">
        <v>2.1499999999999998E-2</v>
      </c>
      <c r="R146" s="57">
        <v>2.1499999999999998E-2</v>
      </c>
      <c r="S146">
        <v>80.59</v>
      </c>
      <c r="T146">
        <v>81.13</v>
      </c>
      <c r="U146">
        <v>56.47</v>
      </c>
      <c r="V146" s="20">
        <v>151387.2653</v>
      </c>
    </row>
    <row r="147" spans="7:22" x14ac:dyDescent="0.15">
      <c r="G147" s="11">
        <v>146</v>
      </c>
      <c r="H147" s="10" t="s">
        <v>1652</v>
      </c>
      <c r="I147" t="s">
        <v>1653</v>
      </c>
      <c r="J147" t="s">
        <v>1665</v>
      </c>
      <c r="K147" s="57">
        <v>-4.0000000000000002E-4</v>
      </c>
      <c r="L147" s="57">
        <v>-3.5000000000000001E-3</v>
      </c>
      <c r="M147" s="57">
        <v>1.9699999999999999E-2</v>
      </c>
      <c r="N147" s="57">
        <v>2.1600000000000001E-2</v>
      </c>
      <c r="O147" s="57">
        <v>9.7699999999999995E-2</v>
      </c>
      <c r="P147" s="57">
        <v>-4.0000000000000002E-4</v>
      </c>
      <c r="Q147" s="57">
        <v>-1.6000000000000001E-3</v>
      </c>
      <c r="R147" s="57">
        <v>-1.6000000000000001E-3</v>
      </c>
      <c r="S147">
        <v>80.459999999999994</v>
      </c>
      <c r="T147">
        <v>81.400000000000006</v>
      </c>
      <c r="U147">
        <v>55.93</v>
      </c>
      <c r="V147" s="20">
        <v>2483.9479000000001</v>
      </c>
    </row>
    <row r="148" spans="7:22" x14ac:dyDescent="0.15">
      <c r="G148" s="11">
        <v>147</v>
      </c>
      <c r="H148" s="10" t="s">
        <v>588</v>
      </c>
      <c r="I148" t="s">
        <v>1126</v>
      </c>
      <c r="J148" t="s">
        <v>851</v>
      </c>
      <c r="K148" s="57">
        <v>-5.0000000000000001E-4</v>
      </c>
      <c r="L148" s="57">
        <v>-4.1000000000000003E-3</v>
      </c>
      <c r="M148" s="57">
        <v>2.01E-2</v>
      </c>
      <c r="N148" s="57">
        <v>1.8599999999999998E-2</v>
      </c>
      <c r="O148" s="57">
        <v>9.7799999999999998E-2</v>
      </c>
      <c r="P148" s="57">
        <v>-3.6999999999999998E-2</v>
      </c>
      <c r="Q148" s="57">
        <v>-6.59E-2</v>
      </c>
      <c r="R148" s="57">
        <v>1.9099999999999999E-2</v>
      </c>
      <c r="S148">
        <v>80.319999999999993</v>
      </c>
      <c r="T148">
        <v>79.38</v>
      </c>
      <c r="U148">
        <v>57.95</v>
      </c>
      <c r="V148" s="20">
        <v>14519.767419100001</v>
      </c>
    </row>
    <row r="149" spans="7:22" x14ac:dyDescent="0.15">
      <c r="G149" s="11">
        <v>148</v>
      </c>
      <c r="H149" s="10" t="s">
        <v>307</v>
      </c>
      <c r="I149" t="s">
        <v>1136</v>
      </c>
      <c r="J149" t="s">
        <v>851</v>
      </c>
      <c r="K149" s="57">
        <v>5.0000000000000001E-4</v>
      </c>
      <c r="L149" s="57">
        <v>2.3199999999999998E-2</v>
      </c>
      <c r="M149" s="57">
        <v>0.10580000000000001</v>
      </c>
      <c r="N149" s="57">
        <v>8.9200000000000002E-2</v>
      </c>
      <c r="O149" s="57">
        <v>4.8000000000000001E-2</v>
      </c>
      <c r="P149" s="57">
        <v>0.20130000000000001</v>
      </c>
      <c r="Q149" s="57">
        <v>0.46039999999999998</v>
      </c>
      <c r="R149" s="57">
        <v>1.3912</v>
      </c>
      <c r="S149">
        <v>80.19</v>
      </c>
      <c r="T149">
        <v>99.06</v>
      </c>
      <c r="U149">
        <v>37.869999999999997</v>
      </c>
      <c r="V149" s="20">
        <v>35437.071799999998</v>
      </c>
    </row>
    <row r="150" spans="7:22" x14ac:dyDescent="0.15">
      <c r="G150" s="11">
        <v>149</v>
      </c>
      <c r="H150" s="10" t="s">
        <v>644</v>
      </c>
      <c r="I150" t="s">
        <v>1059</v>
      </c>
      <c r="J150" t="s">
        <v>851</v>
      </c>
      <c r="K150" s="57">
        <v>-5.0000000000000001E-4</v>
      </c>
      <c r="L150" s="57">
        <v>-4.0000000000000001E-3</v>
      </c>
      <c r="M150" s="57">
        <v>2.0299999999999999E-2</v>
      </c>
      <c r="N150" s="57">
        <v>1.8599999999999998E-2</v>
      </c>
      <c r="O150" s="57">
        <v>9.9900000000000003E-2</v>
      </c>
      <c r="P150" s="57">
        <v>-3.4700000000000002E-2</v>
      </c>
      <c r="Q150" s="57">
        <v>-5.4399999999999997E-2</v>
      </c>
      <c r="R150" s="57">
        <v>7.2400000000000006E-2</v>
      </c>
      <c r="S150">
        <v>80.05</v>
      </c>
      <c r="T150">
        <v>79.25</v>
      </c>
      <c r="U150">
        <v>57.55</v>
      </c>
      <c r="V150" s="20">
        <v>3059.1293000000001</v>
      </c>
    </row>
    <row r="151" spans="7:22" x14ac:dyDescent="0.15">
      <c r="G151" s="11">
        <v>150</v>
      </c>
      <c r="H151" s="10" t="s">
        <v>651</v>
      </c>
      <c r="I151" t="s">
        <v>974</v>
      </c>
      <c r="J151" t="s">
        <v>851</v>
      </c>
      <c r="K151" s="57">
        <v>-1E-4</v>
      </c>
      <c r="L151" s="57">
        <v>-1.3899999999999999E-2</v>
      </c>
      <c r="M151" s="57">
        <v>-4.4999999999999997E-3</v>
      </c>
      <c r="N151" s="57">
        <v>3.85E-2</v>
      </c>
      <c r="O151" s="57">
        <v>8.43E-2</v>
      </c>
      <c r="P151" s="57">
        <v>-0.13420000000000001</v>
      </c>
      <c r="Q151" s="57">
        <v>-0.21779999999999999</v>
      </c>
      <c r="R151" s="57">
        <v>-3.39E-2</v>
      </c>
      <c r="S151">
        <v>79.92</v>
      </c>
      <c r="T151">
        <v>88.54</v>
      </c>
      <c r="U151">
        <v>47.98</v>
      </c>
      <c r="V151" s="20">
        <v>219.93100000000001</v>
      </c>
    </row>
    <row r="152" spans="7:22" x14ac:dyDescent="0.15">
      <c r="G152" s="11">
        <v>151</v>
      </c>
      <c r="H152" s="10" t="s">
        <v>310</v>
      </c>
      <c r="I152" t="s">
        <v>1481</v>
      </c>
      <c r="J152" t="s">
        <v>1665</v>
      </c>
      <c r="K152" s="57">
        <v>-2.9999999999999997E-4</v>
      </c>
      <c r="L152" s="57">
        <v>-1.0500000000000001E-2</v>
      </c>
      <c r="M152" s="57">
        <v>-1.0699999999999999E-2</v>
      </c>
      <c r="N152" s="57">
        <v>2.69E-2</v>
      </c>
      <c r="O152" s="57">
        <v>-3.8399999999999997E-2</v>
      </c>
      <c r="P152" s="57">
        <v>-2.69E-2</v>
      </c>
      <c r="Q152" s="57">
        <v>4.65E-2</v>
      </c>
      <c r="R152" s="57">
        <v>-0.1157</v>
      </c>
      <c r="S152">
        <v>79.78</v>
      </c>
      <c r="T152">
        <v>83.83</v>
      </c>
      <c r="U152">
        <v>52.43</v>
      </c>
      <c r="V152" s="20">
        <v>64.300960000000003</v>
      </c>
    </row>
    <row r="153" spans="7:22" x14ac:dyDescent="0.15">
      <c r="G153" s="11">
        <v>152</v>
      </c>
      <c r="H153" s="10" t="s">
        <v>2102</v>
      </c>
      <c r="I153" t="s">
        <v>2103</v>
      </c>
      <c r="J153" t="s">
        <v>2058</v>
      </c>
      <c r="K153" s="57">
        <v>-5.9999999999999995E-4</v>
      </c>
      <c r="L153" s="57">
        <v>1.66E-2</v>
      </c>
      <c r="M153" s="57">
        <v>1.66E-2</v>
      </c>
      <c r="N153" s="57">
        <v>1.66E-2</v>
      </c>
      <c r="O153" s="57">
        <v>1.66E-2</v>
      </c>
      <c r="P153" s="57">
        <v>1.66E-2</v>
      </c>
      <c r="Q153" s="57">
        <v>1.66E-2</v>
      </c>
      <c r="R153" s="57">
        <v>1.66E-2</v>
      </c>
      <c r="S153">
        <v>79.650000000000006</v>
      </c>
      <c r="T153">
        <v>76.42</v>
      </c>
      <c r="U153">
        <v>59.7</v>
      </c>
      <c r="V153" s="20">
        <v>216303.70841379999</v>
      </c>
    </row>
    <row r="154" spans="7:22" x14ac:dyDescent="0.15">
      <c r="G154" s="11">
        <v>153</v>
      </c>
      <c r="H154" s="10" t="s">
        <v>348</v>
      </c>
      <c r="I154" t="s">
        <v>23</v>
      </c>
      <c r="J154" t="s">
        <v>1161</v>
      </c>
      <c r="K154" s="57">
        <v>-2.0000000000000001E-4</v>
      </c>
      <c r="L154" s="57">
        <v>-9.4999999999999998E-3</v>
      </c>
      <c r="M154" s="57">
        <v>-8.8000000000000005E-3</v>
      </c>
      <c r="N154" s="57">
        <v>2.93E-2</v>
      </c>
      <c r="O154" s="57">
        <v>-3.7400000000000003E-2</v>
      </c>
      <c r="P154" s="57">
        <v>-2.58E-2</v>
      </c>
      <c r="Q154" s="57">
        <v>4.9099999999999998E-2</v>
      </c>
      <c r="R154" s="57">
        <v>-8.1600000000000006E-2</v>
      </c>
      <c r="S154">
        <v>79.510000000000005</v>
      </c>
      <c r="T154">
        <v>85.98</v>
      </c>
      <c r="U154">
        <v>50</v>
      </c>
      <c r="V154" s="20">
        <v>322.39690000000002</v>
      </c>
    </row>
    <row r="155" spans="7:22" x14ac:dyDescent="0.15">
      <c r="G155" s="11">
        <v>154</v>
      </c>
      <c r="H155" s="10" t="s">
        <v>412</v>
      </c>
      <c r="I155" t="s">
        <v>248</v>
      </c>
      <c r="J155" t="s">
        <v>851</v>
      </c>
      <c r="K155" s="57">
        <v>-5.0000000000000001E-4</v>
      </c>
      <c r="L155" s="57">
        <v>-4.4999999999999997E-3</v>
      </c>
      <c r="M155" s="57">
        <v>1.9300000000000001E-2</v>
      </c>
      <c r="N155" s="57">
        <v>1.7399999999999999E-2</v>
      </c>
      <c r="O155" s="57">
        <v>9.2899999999999996E-2</v>
      </c>
      <c r="P155" s="57">
        <v>-4.1599999999999998E-2</v>
      </c>
      <c r="Q155" s="57">
        <v>-7.4300000000000005E-2</v>
      </c>
      <c r="R155" s="57">
        <v>-5.7000000000000002E-3</v>
      </c>
      <c r="S155">
        <v>79.38</v>
      </c>
      <c r="T155">
        <v>77.489999999999995</v>
      </c>
      <c r="U155">
        <v>58.09</v>
      </c>
      <c r="V155" s="20">
        <v>1852.4091000000001</v>
      </c>
    </row>
    <row r="156" spans="7:22" x14ac:dyDescent="0.15">
      <c r="G156" s="11">
        <v>155</v>
      </c>
      <c r="H156" s="10" t="s">
        <v>759</v>
      </c>
      <c r="I156" t="s">
        <v>1191</v>
      </c>
      <c r="J156" t="s">
        <v>1192</v>
      </c>
      <c r="K156" s="57">
        <v>-0.01</v>
      </c>
      <c r="L156" s="57">
        <v>-1.5800000000000002E-2</v>
      </c>
      <c r="M156" s="57">
        <v>3.4599999999999999E-2</v>
      </c>
      <c r="N156" s="57">
        <v>-1.3100000000000001E-2</v>
      </c>
      <c r="O156" s="57">
        <v>-6.7900000000000002E-2</v>
      </c>
      <c r="P156" s="57">
        <v>0.18229999999999999</v>
      </c>
      <c r="Q156" s="57">
        <v>0.54810000000000003</v>
      </c>
      <c r="R156" s="57">
        <v>1.2555000000000001</v>
      </c>
      <c r="S156">
        <v>79.25</v>
      </c>
      <c r="T156">
        <v>39.22</v>
      </c>
      <c r="U156">
        <v>95.82</v>
      </c>
      <c r="V156" s="20">
        <v>343.95850000000002</v>
      </c>
    </row>
    <row r="157" spans="7:22" x14ac:dyDescent="0.15">
      <c r="G157" s="11">
        <v>156</v>
      </c>
      <c r="H157" s="10" t="s">
        <v>1372</v>
      </c>
      <c r="I157" t="s">
        <v>1373</v>
      </c>
      <c r="J157" t="s">
        <v>1665</v>
      </c>
      <c r="K157" s="57">
        <v>2.9999999999999997E-4</v>
      </c>
      <c r="L157" s="57">
        <v>-2.5100000000000001E-2</v>
      </c>
      <c r="M157" s="57">
        <v>-3.8699999999999998E-2</v>
      </c>
      <c r="N157" s="57">
        <v>5.8900000000000001E-2</v>
      </c>
      <c r="O157" s="57">
        <v>9.9199999999999997E-2</v>
      </c>
      <c r="P157" s="57">
        <v>-0.13389999999999999</v>
      </c>
      <c r="Q157" s="57">
        <v>-0.28220000000000001</v>
      </c>
      <c r="R157" s="57">
        <v>-0.28220000000000001</v>
      </c>
      <c r="S157">
        <v>79.11</v>
      </c>
      <c r="T157">
        <v>94.34</v>
      </c>
      <c r="U157">
        <v>40.57</v>
      </c>
      <c r="V157" s="20">
        <v>1197.7493999999999</v>
      </c>
    </row>
    <row r="158" spans="7:22" x14ac:dyDescent="0.15">
      <c r="G158" s="11">
        <v>157</v>
      </c>
      <c r="H158" s="10" t="s">
        <v>711</v>
      </c>
      <c r="I158" t="s">
        <v>917</v>
      </c>
      <c r="J158" t="s">
        <v>851</v>
      </c>
      <c r="K158" s="57">
        <v>-1.9E-3</v>
      </c>
      <c r="L158" s="57">
        <v>3.5000000000000001E-3</v>
      </c>
      <c r="M158" s="57">
        <v>1.7399999999999999E-2</v>
      </c>
      <c r="N158" s="57">
        <v>2.0000000000000001E-4</v>
      </c>
      <c r="O158" s="57">
        <v>8.5800000000000001E-2</v>
      </c>
      <c r="P158" s="57">
        <v>-6.5000000000000002E-2</v>
      </c>
      <c r="Q158" s="57">
        <v>-0.1434</v>
      </c>
      <c r="R158" s="57">
        <v>5.4899999999999997E-2</v>
      </c>
      <c r="S158">
        <v>78.98</v>
      </c>
      <c r="T158">
        <v>57.95</v>
      </c>
      <c r="U158">
        <v>76.819999999999993</v>
      </c>
      <c r="V158" s="20">
        <v>600.19579999999996</v>
      </c>
    </row>
    <row r="159" spans="7:22" x14ac:dyDescent="0.15">
      <c r="G159" s="11">
        <v>158</v>
      </c>
      <c r="H159" s="10" t="s">
        <v>1541</v>
      </c>
      <c r="I159" t="s">
        <v>1542</v>
      </c>
      <c r="J159" t="s">
        <v>1665</v>
      </c>
      <c r="K159" s="57">
        <v>-1.2999999999999999E-3</v>
      </c>
      <c r="L159" s="57">
        <v>1.5599999999999999E-2</v>
      </c>
      <c r="M159" s="57">
        <v>3.5499999999999997E-2</v>
      </c>
      <c r="N159" s="57">
        <v>3.7000000000000002E-3</v>
      </c>
      <c r="O159" s="57">
        <v>1.9300000000000001E-2</v>
      </c>
      <c r="P159" s="57">
        <v>1.7500000000000002E-2</v>
      </c>
      <c r="Q159" s="57">
        <v>-5.3800000000000001E-2</v>
      </c>
      <c r="R159" s="57">
        <v>-5.3800000000000001E-2</v>
      </c>
      <c r="S159">
        <v>78.84</v>
      </c>
      <c r="T159">
        <v>62.53</v>
      </c>
      <c r="U159">
        <v>71.97</v>
      </c>
      <c r="V159" s="20">
        <v>266.41050000000001</v>
      </c>
    </row>
    <row r="160" spans="7:22" x14ac:dyDescent="0.15">
      <c r="G160" s="11">
        <v>159</v>
      </c>
      <c r="H160" s="10" t="s">
        <v>1628</v>
      </c>
      <c r="I160" t="s">
        <v>1629</v>
      </c>
      <c r="J160" t="s">
        <v>1665</v>
      </c>
      <c r="K160" s="57">
        <v>-2E-3</v>
      </c>
      <c r="L160" s="57">
        <v>1.4200000000000001E-2</v>
      </c>
      <c r="M160" s="57">
        <v>3.0099999999999998E-2</v>
      </c>
      <c r="N160" s="57">
        <v>1E-4</v>
      </c>
      <c r="O160" s="57">
        <v>0.18129999999999999</v>
      </c>
      <c r="P160" s="57">
        <v>2.5999999999999999E-2</v>
      </c>
      <c r="Q160" s="57">
        <v>-4.2099999999999999E-2</v>
      </c>
      <c r="R160" s="57">
        <v>-4.2099999999999999E-2</v>
      </c>
      <c r="S160">
        <v>78.709999999999994</v>
      </c>
      <c r="T160">
        <v>57.55</v>
      </c>
      <c r="U160">
        <v>76.95</v>
      </c>
      <c r="V160" s="20">
        <v>1008.0829</v>
      </c>
    </row>
    <row r="161" spans="7:22" x14ac:dyDescent="0.15">
      <c r="G161" s="11">
        <v>160</v>
      </c>
      <c r="H161" s="10" t="s">
        <v>564</v>
      </c>
      <c r="I161" t="s">
        <v>995</v>
      </c>
      <c r="J161" t="s">
        <v>851</v>
      </c>
      <c r="K161" s="57">
        <v>-3.5000000000000001E-3</v>
      </c>
      <c r="L161" s="57">
        <v>1.2699999999999999E-2</v>
      </c>
      <c r="M161" s="57">
        <v>1.72E-2</v>
      </c>
      <c r="N161" s="57">
        <v>-5.4000000000000003E-3</v>
      </c>
      <c r="O161" s="57">
        <v>0.17130000000000001</v>
      </c>
      <c r="P161" s="57">
        <v>1.1999999999999999E-3</v>
      </c>
      <c r="Q161" s="57">
        <v>-0.21160000000000001</v>
      </c>
      <c r="R161" s="57">
        <v>0.1009</v>
      </c>
      <c r="S161">
        <v>78.569999999999993</v>
      </c>
      <c r="T161">
        <v>49.6</v>
      </c>
      <c r="U161">
        <v>84.77</v>
      </c>
      <c r="V161" s="20">
        <v>537.35311999999999</v>
      </c>
    </row>
    <row r="162" spans="7:22" x14ac:dyDescent="0.15">
      <c r="G162" s="11">
        <v>161</v>
      </c>
      <c r="H162" s="10" t="s">
        <v>553</v>
      </c>
      <c r="I162" t="s">
        <v>247</v>
      </c>
      <c r="J162" t="s">
        <v>851</v>
      </c>
      <c r="K162" s="57">
        <v>-2.9999999999999997E-4</v>
      </c>
      <c r="L162" s="57">
        <v>-3.8E-3</v>
      </c>
      <c r="M162" s="57">
        <v>2.07E-2</v>
      </c>
      <c r="N162" s="57">
        <v>1.95E-2</v>
      </c>
      <c r="O162" s="57">
        <v>9.9099999999999994E-2</v>
      </c>
      <c r="P162" s="57">
        <v>-3.6600000000000001E-2</v>
      </c>
      <c r="Q162" s="57">
        <v>-6.6799999999999998E-2</v>
      </c>
      <c r="R162" s="57">
        <v>4.4299999999999999E-2</v>
      </c>
      <c r="S162">
        <v>78.44</v>
      </c>
      <c r="T162">
        <v>80.19</v>
      </c>
      <c r="U162">
        <v>53.77</v>
      </c>
      <c r="V162" s="20">
        <v>823.62660000000005</v>
      </c>
    </row>
    <row r="163" spans="7:22" x14ac:dyDescent="0.15">
      <c r="G163" s="11">
        <v>162</v>
      </c>
      <c r="H163" s="10" t="s">
        <v>296</v>
      </c>
      <c r="I163" t="s">
        <v>1326</v>
      </c>
      <c r="J163" t="s">
        <v>1665</v>
      </c>
      <c r="K163" s="57">
        <v>-1.1999999999999999E-3</v>
      </c>
      <c r="L163" s="57">
        <v>1.6999999999999999E-3</v>
      </c>
      <c r="M163" s="57">
        <v>1.1000000000000001E-3</v>
      </c>
      <c r="N163" s="57">
        <v>4.4000000000000003E-3</v>
      </c>
      <c r="O163" s="57">
        <v>7.4000000000000003E-3</v>
      </c>
      <c r="P163" s="57">
        <v>1.49E-2</v>
      </c>
      <c r="Q163" s="57">
        <v>3.2399999999999998E-2</v>
      </c>
      <c r="R163" s="57">
        <v>6.2600000000000003E-2</v>
      </c>
      <c r="S163">
        <v>78.3</v>
      </c>
      <c r="T163">
        <v>63.75</v>
      </c>
      <c r="U163">
        <v>70.08</v>
      </c>
      <c r="V163" s="20">
        <v>1633.6768</v>
      </c>
    </row>
    <row r="164" spans="7:22" x14ac:dyDescent="0.15">
      <c r="G164" s="11">
        <v>163</v>
      </c>
      <c r="H164" s="10" t="s">
        <v>1300</v>
      </c>
      <c r="I164" t="s">
        <v>1301</v>
      </c>
      <c r="J164" t="s">
        <v>1665</v>
      </c>
      <c r="K164" s="57">
        <v>6.9999999999999999E-4</v>
      </c>
      <c r="L164" s="57">
        <v>-3.3799999999999997E-2</v>
      </c>
      <c r="M164" s="57">
        <v>-4.9399999999999999E-2</v>
      </c>
      <c r="N164" s="57">
        <v>7.6300000000000007E-2</v>
      </c>
      <c r="O164" s="57">
        <v>7.3200000000000001E-2</v>
      </c>
      <c r="P164" s="57">
        <v>5.8299999999999998E-2</v>
      </c>
      <c r="Q164" s="57">
        <v>5.8299999999999998E-2</v>
      </c>
      <c r="R164" s="57">
        <v>5.8299999999999998E-2</v>
      </c>
      <c r="S164">
        <v>78.17</v>
      </c>
      <c r="T164">
        <v>97.71</v>
      </c>
      <c r="U164">
        <v>35.85</v>
      </c>
      <c r="V164" s="20">
        <v>7132.3636999999999</v>
      </c>
    </row>
    <row r="165" spans="7:22" x14ac:dyDescent="0.15">
      <c r="G165" s="11">
        <v>164</v>
      </c>
      <c r="H165" s="10" t="s">
        <v>697</v>
      </c>
      <c r="I165" t="s">
        <v>1010</v>
      </c>
      <c r="J165" t="s">
        <v>851</v>
      </c>
      <c r="K165" s="57">
        <v>-4.0000000000000002E-4</v>
      </c>
      <c r="L165" s="57">
        <v>-3.7000000000000002E-3</v>
      </c>
      <c r="M165" s="57">
        <v>3.9899999999999998E-2</v>
      </c>
      <c r="N165" s="57">
        <v>1.7000000000000001E-2</v>
      </c>
      <c r="O165" s="57">
        <v>6.0699999999999997E-2</v>
      </c>
      <c r="P165" s="57">
        <v>-8.6699999999999999E-2</v>
      </c>
      <c r="Q165" s="57">
        <v>-0.1188</v>
      </c>
      <c r="R165" s="57">
        <v>-6.88E-2</v>
      </c>
      <c r="S165">
        <v>78.03</v>
      </c>
      <c r="T165">
        <v>77.09</v>
      </c>
      <c r="U165">
        <v>56.06</v>
      </c>
      <c r="V165" s="20">
        <v>616.59929999999997</v>
      </c>
    </row>
    <row r="166" spans="7:22" x14ac:dyDescent="0.15">
      <c r="G166" s="11">
        <v>165</v>
      </c>
      <c r="H166" s="10" t="s">
        <v>549</v>
      </c>
      <c r="I166" t="s">
        <v>1226</v>
      </c>
      <c r="J166" t="s">
        <v>1221</v>
      </c>
      <c r="K166" s="57">
        <v>-1.2999999999999999E-3</v>
      </c>
      <c r="L166" s="57">
        <v>-1.09E-2</v>
      </c>
      <c r="M166" s="57">
        <v>7.4999999999999997E-3</v>
      </c>
      <c r="N166" s="57">
        <v>2.2000000000000001E-3</v>
      </c>
      <c r="O166" s="57">
        <v>8.0000000000000002E-3</v>
      </c>
      <c r="P166" s="57">
        <v>-7.1800000000000003E-2</v>
      </c>
      <c r="Q166" s="57">
        <v>-1.8E-3</v>
      </c>
      <c r="R166" s="57">
        <v>0.29909999999999998</v>
      </c>
      <c r="S166">
        <v>77.900000000000006</v>
      </c>
      <c r="T166">
        <v>60.92</v>
      </c>
      <c r="U166">
        <v>71.83</v>
      </c>
      <c r="V166" s="20">
        <v>33.014800000000001</v>
      </c>
    </row>
    <row r="167" spans="7:22" x14ac:dyDescent="0.15">
      <c r="G167" s="11">
        <v>166</v>
      </c>
      <c r="H167" s="10" t="s">
        <v>516</v>
      </c>
      <c r="I167" t="s">
        <v>991</v>
      </c>
      <c r="J167" t="s">
        <v>851</v>
      </c>
      <c r="K167" s="57">
        <v>-1.6000000000000001E-3</v>
      </c>
      <c r="L167" s="57">
        <v>1.11E-2</v>
      </c>
      <c r="M167" s="57">
        <v>1.2999999999999999E-2</v>
      </c>
      <c r="N167" s="57">
        <v>1E-4</v>
      </c>
      <c r="O167" s="57">
        <v>6.6299999999999998E-2</v>
      </c>
      <c r="P167" s="57">
        <v>8.5000000000000006E-3</v>
      </c>
      <c r="Q167" s="57">
        <v>3.9800000000000002E-2</v>
      </c>
      <c r="R167" s="57">
        <v>-2.24E-2</v>
      </c>
      <c r="S167">
        <v>77.760000000000005</v>
      </c>
      <c r="T167">
        <v>57.41</v>
      </c>
      <c r="U167">
        <v>75.069999999999993</v>
      </c>
      <c r="V167" s="20">
        <v>14237.716880199998</v>
      </c>
    </row>
    <row r="168" spans="7:22" x14ac:dyDescent="0.15">
      <c r="G168" s="11">
        <v>167</v>
      </c>
      <c r="H168" s="10" t="s">
        <v>473</v>
      </c>
      <c r="I168" t="s">
        <v>1137</v>
      </c>
      <c r="J168" t="s">
        <v>851</v>
      </c>
      <c r="K168" s="57">
        <v>5.9999999999999995E-4</v>
      </c>
      <c r="L168" s="57">
        <v>-2.3900000000000001E-2</v>
      </c>
      <c r="M168" s="57">
        <v>-4.1200000000000001E-2</v>
      </c>
      <c r="N168" s="57">
        <v>6.2E-2</v>
      </c>
      <c r="O168" s="57">
        <v>0.1011</v>
      </c>
      <c r="P168" s="57">
        <v>-0.14269999999999999</v>
      </c>
      <c r="Q168" s="57">
        <v>-0.28689999999999999</v>
      </c>
      <c r="R168" s="57">
        <v>-9.7600000000000006E-2</v>
      </c>
      <c r="S168">
        <v>77.63</v>
      </c>
      <c r="T168">
        <v>95.42</v>
      </c>
      <c r="U168">
        <v>36.93</v>
      </c>
      <c r="V168" s="20">
        <v>44655.452400000002</v>
      </c>
    </row>
    <row r="169" spans="7:22" x14ac:dyDescent="0.15">
      <c r="G169" s="11">
        <v>168</v>
      </c>
      <c r="H169" s="10" t="s">
        <v>437</v>
      </c>
      <c r="I169" t="s">
        <v>922</v>
      </c>
      <c r="J169" t="s">
        <v>851</v>
      </c>
      <c r="K169" s="57">
        <v>-2.0999999999999999E-3</v>
      </c>
      <c r="L169" s="57">
        <v>1.5900000000000001E-2</v>
      </c>
      <c r="M169" s="57">
        <v>1.8700000000000001E-2</v>
      </c>
      <c r="N169" s="57">
        <v>-1.2999999999999999E-3</v>
      </c>
      <c r="O169" s="57">
        <v>0.17749999999999999</v>
      </c>
      <c r="P169" s="57">
        <v>-1.6500000000000001E-2</v>
      </c>
      <c r="Q169" s="57">
        <v>-0.20860000000000001</v>
      </c>
      <c r="R169" s="57">
        <v>-2.1700000000000001E-2</v>
      </c>
      <c r="S169">
        <v>77.489999999999995</v>
      </c>
      <c r="T169">
        <v>54.45</v>
      </c>
      <c r="U169">
        <v>77.63</v>
      </c>
      <c r="V169" s="20">
        <v>121.74831999999999</v>
      </c>
    </row>
    <row r="170" spans="7:22" x14ac:dyDescent="0.15">
      <c r="G170" s="11">
        <v>169</v>
      </c>
      <c r="H170" s="10" t="s">
        <v>1382</v>
      </c>
      <c r="I170" t="s">
        <v>1383</v>
      </c>
      <c r="J170" t="s">
        <v>1665</v>
      </c>
      <c r="K170" s="57">
        <v>2.0000000000000001E-4</v>
      </c>
      <c r="L170" s="57">
        <v>5.3E-3</v>
      </c>
      <c r="M170" s="57">
        <v>1.9599999999999999E-2</v>
      </c>
      <c r="N170" s="57">
        <v>3.5999999999999997E-2</v>
      </c>
      <c r="O170" s="57">
        <v>0.15160000000000001</v>
      </c>
      <c r="P170" s="57">
        <v>-5.7999999999999996E-3</v>
      </c>
      <c r="Q170" s="57">
        <v>-9.6199999999999994E-2</v>
      </c>
      <c r="R170" s="57">
        <v>-9.6199999999999994E-2</v>
      </c>
      <c r="S170">
        <v>77.36</v>
      </c>
      <c r="T170">
        <v>88.01</v>
      </c>
      <c r="U170">
        <v>43.94</v>
      </c>
      <c r="V170" s="20">
        <v>99.086709999999997</v>
      </c>
    </row>
    <row r="171" spans="7:22" x14ac:dyDescent="0.15">
      <c r="G171" s="11">
        <v>170</v>
      </c>
      <c r="H171" s="10" t="s">
        <v>393</v>
      </c>
      <c r="I171" t="s">
        <v>1165</v>
      </c>
      <c r="J171" t="s">
        <v>1161</v>
      </c>
      <c r="K171" s="57">
        <v>-1E-4</v>
      </c>
      <c r="L171" s="57">
        <v>-1.04E-2</v>
      </c>
      <c r="M171" s="57">
        <v>-1.06E-2</v>
      </c>
      <c r="N171" s="57">
        <v>2.7199999999999998E-2</v>
      </c>
      <c r="O171" s="57">
        <v>-3.85E-2</v>
      </c>
      <c r="P171" s="57">
        <v>-2.6499999999999999E-2</v>
      </c>
      <c r="Q171" s="57">
        <v>4.8099999999999997E-2</v>
      </c>
      <c r="R171" s="57">
        <v>-0.1144</v>
      </c>
      <c r="S171">
        <v>77.22</v>
      </c>
      <c r="T171">
        <v>84.1</v>
      </c>
      <c r="U171">
        <v>47.84</v>
      </c>
      <c r="V171" s="20">
        <v>365.61579999999998</v>
      </c>
    </row>
    <row r="172" spans="7:22" x14ac:dyDescent="0.15">
      <c r="G172" s="11">
        <v>171</v>
      </c>
      <c r="H172" s="10" t="s">
        <v>2134</v>
      </c>
      <c r="I172" t="s">
        <v>2135</v>
      </c>
      <c r="J172" t="s">
        <v>2058</v>
      </c>
      <c r="K172" s="57">
        <v>4.0000000000000002E-4</v>
      </c>
      <c r="L172" s="57">
        <v>5.1700000000000003E-2</v>
      </c>
      <c r="M172" s="57">
        <v>8.3400000000000002E-2</v>
      </c>
      <c r="N172" s="57">
        <v>5.0599999999999999E-2</v>
      </c>
      <c r="O172" s="57">
        <v>5.5599999999999997E-2</v>
      </c>
      <c r="P172" s="57">
        <v>5.5599999999999997E-2</v>
      </c>
      <c r="Q172" s="57">
        <v>5.5599999999999997E-2</v>
      </c>
      <c r="R172" s="57">
        <v>5.5599999999999997E-2</v>
      </c>
      <c r="S172">
        <v>77.09</v>
      </c>
      <c r="T172">
        <v>91.24</v>
      </c>
      <c r="U172">
        <v>40.159999999999997</v>
      </c>
      <c r="V172" s="20">
        <v>2768.5667251999998</v>
      </c>
    </row>
    <row r="173" spans="7:22" x14ac:dyDescent="0.15">
      <c r="G173" s="11">
        <v>172</v>
      </c>
      <c r="H173" s="10" t="s">
        <v>1410</v>
      </c>
      <c r="I173" t="s">
        <v>1411</v>
      </c>
      <c r="J173" t="s">
        <v>1665</v>
      </c>
      <c r="K173" s="57">
        <v>-8.0000000000000004E-4</v>
      </c>
      <c r="L173" s="57">
        <v>-6.0000000000000001E-3</v>
      </c>
      <c r="M173" s="57">
        <v>-1.6199999999999999E-2</v>
      </c>
      <c r="N173" s="57">
        <v>7.9000000000000008E-3</v>
      </c>
      <c r="O173" s="57">
        <v>0.12189999999999999</v>
      </c>
      <c r="P173" s="57">
        <v>-0.1023</v>
      </c>
      <c r="Q173" s="57">
        <v>-9.2299999999999993E-2</v>
      </c>
      <c r="R173" s="57">
        <v>-9.2299999999999993E-2</v>
      </c>
      <c r="S173">
        <v>76.95</v>
      </c>
      <c r="T173">
        <v>66.849999999999994</v>
      </c>
      <c r="U173">
        <v>64.290000000000006</v>
      </c>
      <c r="V173" s="20">
        <v>55.535180000000004</v>
      </c>
    </row>
    <row r="174" spans="7:22" x14ac:dyDescent="0.15">
      <c r="G174" s="11">
        <v>173</v>
      </c>
      <c r="H174" s="10" t="s">
        <v>1331</v>
      </c>
      <c r="I174" t="s">
        <v>1332</v>
      </c>
      <c r="J174" t="s">
        <v>1665</v>
      </c>
      <c r="K174" s="57">
        <v>5.9999999999999995E-4</v>
      </c>
      <c r="L174" s="57">
        <v>-2.4899999999999999E-2</v>
      </c>
      <c r="M174" s="57">
        <v>-3.8399999999999997E-2</v>
      </c>
      <c r="N174" s="57">
        <v>5.9799999999999999E-2</v>
      </c>
      <c r="O174" s="57">
        <v>0.1016</v>
      </c>
      <c r="P174" s="57">
        <v>-0.1313</v>
      </c>
      <c r="Q174" s="57">
        <v>-0.20949999999999999</v>
      </c>
      <c r="R174" s="57">
        <v>-0.20949999999999999</v>
      </c>
      <c r="S174">
        <v>76.819999999999993</v>
      </c>
      <c r="T174">
        <v>94.61</v>
      </c>
      <c r="U174">
        <v>36.520000000000003</v>
      </c>
      <c r="V174" s="20">
        <v>874.87040000000002</v>
      </c>
    </row>
    <row r="175" spans="7:22" x14ac:dyDescent="0.15">
      <c r="G175" s="11">
        <v>174</v>
      </c>
      <c r="H175" s="10" t="s">
        <v>679</v>
      </c>
      <c r="I175" t="s">
        <v>952</v>
      </c>
      <c r="J175" t="s">
        <v>851</v>
      </c>
      <c r="K175" s="57">
        <v>-2.9999999999999997E-4</v>
      </c>
      <c r="L175" s="57">
        <v>-3.8E-3</v>
      </c>
      <c r="M175" s="57">
        <v>4.07E-2</v>
      </c>
      <c r="N175" s="57">
        <v>1.72E-2</v>
      </c>
      <c r="O175" s="57">
        <v>5.9900000000000002E-2</v>
      </c>
      <c r="P175" s="57">
        <v>-8.4699999999999998E-2</v>
      </c>
      <c r="Q175" s="57">
        <v>-0.13420000000000001</v>
      </c>
      <c r="R175" s="57">
        <v>-0.21970000000000001</v>
      </c>
      <c r="S175">
        <v>76.680000000000007</v>
      </c>
      <c r="T175">
        <v>77.36</v>
      </c>
      <c r="U175">
        <v>53.37</v>
      </c>
      <c r="V175" s="20">
        <v>484.06849999999997</v>
      </c>
    </row>
    <row r="176" spans="7:22" x14ac:dyDescent="0.15">
      <c r="G176" s="11">
        <v>175</v>
      </c>
      <c r="H176" s="10" t="s">
        <v>361</v>
      </c>
      <c r="I176" t="s">
        <v>956</v>
      </c>
      <c r="J176" t="s">
        <v>851</v>
      </c>
      <c r="K176" s="57">
        <v>0</v>
      </c>
      <c r="L176" s="57">
        <v>-1.2200000000000001E-2</v>
      </c>
      <c r="M176" s="57">
        <v>3.1800000000000002E-2</v>
      </c>
      <c r="N176" s="57">
        <v>2.6200000000000001E-2</v>
      </c>
      <c r="O176" s="57">
        <v>4.4999999999999998E-2</v>
      </c>
      <c r="P176" s="57">
        <v>4.4000000000000003E-3</v>
      </c>
      <c r="Q176" s="57">
        <v>8.0799999999999997E-2</v>
      </c>
      <c r="R176" s="57">
        <v>0.7046</v>
      </c>
      <c r="S176">
        <v>76.55</v>
      </c>
      <c r="T176">
        <v>83.69</v>
      </c>
      <c r="U176">
        <v>46.9</v>
      </c>
      <c r="V176" s="20">
        <v>124.82769999999999</v>
      </c>
    </row>
    <row r="177" spans="7:22" x14ac:dyDescent="0.15">
      <c r="G177" s="11">
        <v>176</v>
      </c>
      <c r="H177" s="10" t="s">
        <v>507</v>
      </c>
      <c r="I177" t="s">
        <v>867</v>
      </c>
      <c r="J177" t="s">
        <v>851</v>
      </c>
      <c r="K177" s="57">
        <v>-2.5999999999999999E-3</v>
      </c>
      <c r="L177" s="57">
        <v>-6.0000000000000001E-3</v>
      </c>
      <c r="M177" s="57">
        <v>1.7000000000000001E-2</v>
      </c>
      <c r="N177" s="57">
        <v>-6.1000000000000004E-3</v>
      </c>
      <c r="O177" s="57">
        <v>2.0500000000000001E-2</v>
      </c>
      <c r="P177" s="57">
        <v>-0.1232</v>
      </c>
      <c r="Q177" s="57">
        <v>-0.18709999999999999</v>
      </c>
      <c r="R177" s="57">
        <v>-0.29930000000000001</v>
      </c>
      <c r="S177">
        <v>76.42</v>
      </c>
      <c r="T177">
        <v>48.92</v>
      </c>
      <c r="U177">
        <v>81.400000000000006</v>
      </c>
      <c r="V177" s="20">
        <v>21.311989999999998</v>
      </c>
    </row>
    <row r="178" spans="7:22" x14ac:dyDescent="0.15">
      <c r="G178" s="11">
        <v>177</v>
      </c>
      <c r="H178" s="10" t="s">
        <v>439</v>
      </c>
      <c r="I178" t="s">
        <v>1023</v>
      </c>
      <c r="J178" t="s">
        <v>851</v>
      </c>
      <c r="K178" s="57">
        <v>-5.9999999999999995E-4</v>
      </c>
      <c r="L178" s="57">
        <v>-1.0800000000000001E-2</v>
      </c>
      <c r="M178" s="57">
        <v>-6.4000000000000003E-3</v>
      </c>
      <c r="N178" s="57">
        <v>1.09E-2</v>
      </c>
      <c r="O178" s="57">
        <v>8.4599999999999995E-2</v>
      </c>
      <c r="P178" s="57">
        <v>-0.12970000000000001</v>
      </c>
      <c r="Q178" s="57">
        <v>-0.24210000000000001</v>
      </c>
      <c r="R178" s="57">
        <v>-0.2031</v>
      </c>
      <c r="S178">
        <v>76.28</v>
      </c>
      <c r="T178">
        <v>69.95</v>
      </c>
      <c r="U178">
        <v>59.84</v>
      </c>
      <c r="V178" s="20">
        <v>2107.3688999999999</v>
      </c>
    </row>
    <row r="179" spans="7:22" x14ac:dyDescent="0.15">
      <c r="G179" s="11">
        <v>178</v>
      </c>
      <c r="H179" s="10" t="s">
        <v>1624</v>
      </c>
      <c r="I179" t="s">
        <v>1625</v>
      </c>
      <c r="J179" t="s">
        <v>1665</v>
      </c>
      <c r="K179" s="57">
        <v>-2.0000000000000001E-4</v>
      </c>
      <c r="L179" s="57">
        <v>-3.5000000000000001E-3</v>
      </c>
      <c r="M179" s="57">
        <v>1.9800000000000002E-2</v>
      </c>
      <c r="N179" s="57">
        <v>1.78E-2</v>
      </c>
      <c r="O179" s="57">
        <v>9.74E-2</v>
      </c>
      <c r="P179" s="57">
        <v>-3.5299999999999998E-2</v>
      </c>
      <c r="Q179" s="57">
        <v>-6.4799999999999996E-2</v>
      </c>
      <c r="R179" s="57">
        <v>-6.4799999999999996E-2</v>
      </c>
      <c r="S179">
        <v>76.150000000000006</v>
      </c>
      <c r="T179">
        <v>78.3</v>
      </c>
      <c r="U179">
        <v>50.81</v>
      </c>
      <c r="V179" s="20">
        <v>7639.9022999999997</v>
      </c>
    </row>
    <row r="180" spans="7:22" x14ac:dyDescent="0.15">
      <c r="G180" s="11">
        <v>179</v>
      </c>
      <c r="H180" s="10" t="s">
        <v>787</v>
      </c>
      <c r="I180" t="s">
        <v>786</v>
      </c>
      <c r="J180" t="s">
        <v>1665</v>
      </c>
      <c r="K180" s="57">
        <v>2.0000000000000001E-4</v>
      </c>
      <c r="L180" s="57">
        <v>-9.2999999999999992E-3</v>
      </c>
      <c r="M180" s="57">
        <v>-8.6999999999999994E-3</v>
      </c>
      <c r="N180" s="57">
        <v>2.98E-2</v>
      </c>
      <c r="O180" s="57">
        <v>-3.6999999999999998E-2</v>
      </c>
      <c r="P180" s="57">
        <v>-3.4799999999999998E-2</v>
      </c>
      <c r="Q180" s="57">
        <v>-3.4799999999999998E-2</v>
      </c>
      <c r="R180" s="57">
        <v>-3.4799999999999998E-2</v>
      </c>
      <c r="S180">
        <v>76.010000000000005</v>
      </c>
      <c r="T180">
        <v>86.39</v>
      </c>
      <c r="U180">
        <v>42.32</v>
      </c>
      <c r="V180" s="20">
        <v>365.05280440000001</v>
      </c>
    </row>
    <row r="181" spans="7:22" x14ac:dyDescent="0.15">
      <c r="G181" s="11">
        <v>180</v>
      </c>
      <c r="H181" s="10" t="s">
        <v>638</v>
      </c>
      <c r="I181" t="s">
        <v>977</v>
      </c>
      <c r="J181" t="s">
        <v>851</v>
      </c>
      <c r="K181" s="57">
        <v>-8.0000000000000004E-4</v>
      </c>
      <c r="L181" s="57">
        <v>3.6200000000000003E-2</v>
      </c>
      <c r="M181" s="57">
        <v>1.8200000000000001E-2</v>
      </c>
      <c r="N181" s="57">
        <v>6.7999999999999996E-3</v>
      </c>
      <c r="O181" s="57">
        <v>0.1348</v>
      </c>
      <c r="P181" s="57">
        <v>8.6999999999999994E-3</v>
      </c>
      <c r="Q181" s="57">
        <v>0.10349999999999999</v>
      </c>
      <c r="R181" s="57">
        <v>-0.14030000000000001</v>
      </c>
      <c r="S181">
        <v>75.88</v>
      </c>
      <c r="T181">
        <v>65.5</v>
      </c>
      <c r="U181">
        <v>63.21</v>
      </c>
      <c r="V181" s="20">
        <v>37071.103219899996</v>
      </c>
    </row>
    <row r="182" spans="7:22" x14ac:dyDescent="0.15">
      <c r="G182" s="11">
        <v>181</v>
      </c>
      <c r="H182" s="10" t="s">
        <v>431</v>
      </c>
      <c r="I182" t="s">
        <v>1132</v>
      </c>
      <c r="J182" t="s">
        <v>851</v>
      </c>
      <c r="K182" s="57">
        <v>2.0000000000000001E-4</v>
      </c>
      <c r="L182" s="57">
        <v>8.9999999999999998E-4</v>
      </c>
      <c r="M182" s="57">
        <v>2.0500000000000001E-2</v>
      </c>
      <c r="N182" s="57">
        <v>2.8199999999999999E-2</v>
      </c>
      <c r="O182" s="57">
        <v>0.16569999999999999</v>
      </c>
      <c r="P182" s="57">
        <v>-1.1000000000000001E-3</v>
      </c>
      <c r="Q182" s="57">
        <v>-2.7699999999999999E-2</v>
      </c>
      <c r="R182" s="57">
        <v>0.1014</v>
      </c>
      <c r="S182">
        <v>75.739999999999995</v>
      </c>
      <c r="T182">
        <v>85.18</v>
      </c>
      <c r="U182">
        <v>43.26</v>
      </c>
      <c r="V182" s="20">
        <v>135631.92009999999</v>
      </c>
    </row>
    <row r="183" spans="7:22" x14ac:dyDescent="0.15">
      <c r="G183" s="11">
        <v>182</v>
      </c>
      <c r="H183" s="10" t="s">
        <v>620</v>
      </c>
      <c r="I183" t="s">
        <v>241</v>
      </c>
      <c r="J183" t="s">
        <v>851</v>
      </c>
      <c r="K183" s="57">
        <v>-6.7999999999999996E-3</v>
      </c>
      <c r="L183" s="57">
        <v>-8.6999999999999994E-3</v>
      </c>
      <c r="M183" s="57">
        <v>0</v>
      </c>
      <c r="N183" s="57">
        <v>-1.7000000000000001E-2</v>
      </c>
      <c r="O183" s="57">
        <v>5.8900000000000001E-2</v>
      </c>
      <c r="P183" s="57">
        <v>-6.3399999999999998E-2</v>
      </c>
      <c r="Q183" s="57">
        <v>-0.11799999999999999</v>
      </c>
      <c r="R183" s="57">
        <v>5.4199999999999998E-2</v>
      </c>
      <c r="S183">
        <v>75.61</v>
      </c>
      <c r="T183">
        <v>36.25</v>
      </c>
      <c r="U183">
        <v>92.18</v>
      </c>
      <c r="V183" s="20">
        <v>7.1402000000000001</v>
      </c>
    </row>
    <row r="184" spans="7:22" x14ac:dyDescent="0.15">
      <c r="G184" s="11">
        <v>183</v>
      </c>
      <c r="H184" s="10" t="s">
        <v>306</v>
      </c>
      <c r="I184" t="s">
        <v>824</v>
      </c>
      <c r="J184" t="s">
        <v>814</v>
      </c>
      <c r="K184" s="57">
        <v>-3.5200000000000002E-2</v>
      </c>
      <c r="L184" s="57">
        <v>-5.1000000000000004E-3</v>
      </c>
      <c r="M184" s="57">
        <v>2.2000000000000001E-3</v>
      </c>
      <c r="N184" s="57">
        <v>-2.29E-2</v>
      </c>
      <c r="O184" s="57">
        <v>0.1232</v>
      </c>
      <c r="P184" s="57">
        <v>1.9300000000000001E-2</v>
      </c>
      <c r="Q184" s="57">
        <v>-9.9000000000000005E-2</v>
      </c>
      <c r="R184" s="57">
        <v>0.18579999999999999</v>
      </c>
      <c r="S184">
        <v>75.47</v>
      </c>
      <c r="T184">
        <v>29.38</v>
      </c>
      <c r="U184">
        <v>98.79</v>
      </c>
      <c r="V184" s="20">
        <v>33.243659999999998</v>
      </c>
    </row>
    <row r="185" spans="7:22" x14ac:dyDescent="0.15">
      <c r="G185" s="11">
        <v>184</v>
      </c>
      <c r="H185" s="10" t="s">
        <v>1515</v>
      </c>
      <c r="I185" t="s">
        <v>1516</v>
      </c>
      <c r="J185" t="s">
        <v>1665</v>
      </c>
      <c r="K185" s="57">
        <v>-4.4999999999999997E-3</v>
      </c>
      <c r="L185" s="57">
        <v>3.3999999999999998E-3</v>
      </c>
      <c r="M185" s="57">
        <v>4.4000000000000003E-3</v>
      </c>
      <c r="N185" s="57">
        <v>-1.17E-2</v>
      </c>
      <c r="O185" s="57">
        <v>4.1000000000000002E-2</v>
      </c>
      <c r="P185" s="57">
        <v>-0.1105</v>
      </c>
      <c r="Q185" s="57">
        <v>-0.21079999999999999</v>
      </c>
      <c r="R185" s="57">
        <v>-0.17649999999999999</v>
      </c>
      <c r="S185">
        <v>75.34</v>
      </c>
      <c r="T185">
        <v>40.700000000000003</v>
      </c>
      <c r="U185">
        <v>86.93</v>
      </c>
      <c r="V185" s="20">
        <v>28.0283032</v>
      </c>
    </row>
    <row r="186" spans="7:22" x14ac:dyDescent="0.15">
      <c r="G186" s="11">
        <v>185</v>
      </c>
      <c r="H186" s="10" t="s">
        <v>458</v>
      </c>
      <c r="I186" t="s">
        <v>1005</v>
      </c>
      <c r="J186" t="s">
        <v>851</v>
      </c>
      <c r="K186" s="57">
        <v>-1E-4</v>
      </c>
      <c r="L186" s="57">
        <v>6.8999999999999999E-3</v>
      </c>
      <c r="M186" s="57">
        <v>3.6600000000000001E-2</v>
      </c>
      <c r="N186" s="57">
        <v>1.7399999999999999E-2</v>
      </c>
      <c r="O186" s="57">
        <v>-1.54E-2</v>
      </c>
      <c r="P186" s="57">
        <v>1.3299999999999999E-2</v>
      </c>
      <c r="Q186" s="57">
        <v>0.1464</v>
      </c>
      <c r="R186" s="57">
        <v>0.25969999999999999</v>
      </c>
      <c r="S186">
        <v>75.2</v>
      </c>
      <c r="T186">
        <v>77.760000000000005</v>
      </c>
      <c r="U186">
        <v>49.87</v>
      </c>
      <c r="V186" s="20">
        <v>1959.7682</v>
      </c>
    </row>
    <row r="187" spans="7:22" x14ac:dyDescent="0.15">
      <c r="G187" s="11">
        <v>186</v>
      </c>
      <c r="H187" s="10" t="s">
        <v>1322</v>
      </c>
      <c r="I187" t="s">
        <v>1323</v>
      </c>
      <c r="J187" t="s">
        <v>1665</v>
      </c>
      <c r="K187" s="57">
        <v>8.0000000000000004E-4</v>
      </c>
      <c r="L187" s="57">
        <v>5.5100000000000003E-2</v>
      </c>
      <c r="M187" s="57">
        <v>8.72E-2</v>
      </c>
      <c r="N187" s="57">
        <v>5.6599999999999998E-2</v>
      </c>
      <c r="O187" s="57">
        <v>0.33629999999999999</v>
      </c>
      <c r="P187" s="57">
        <v>0.2344</v>
      </c>
      <c r="Q187" s="57">
        <v>0.1167</v>
      </c>
      <c r="R187" s="57">
        <v>0.12809999999999999</v>
      </c>
      <c r="S187">
        <v>75.069999999999993</v>
      </c>
      <c r="T187">
        <v>93.67</v>
      </c>
      <c r="U187">
        <v>33.83</v>
      </c>
      <c r="V187" s="20">
        <v>5623.0496002</v>
      </c>
    </row>
    <row r="188" spans="7:22" x14ac:dyDescent="0.15">
      <c r="G188" s="11">
        <v>187</v>
      </c>
      <c r="H188" s="10" t="s">
        <v>467</v>
      </c>
      <c r="I188" t="s">
        <v>1062</v>
      </c>
      <c r="J188" t="s">
        <v>851</v>
      </c>
      <c r="K188" s="57">
        <v>-1E-3</v>
      </c>
      <c r="L188" s="57">
        <v>2.47E-2</v>
      </c>
      <c r="M188" s="57">
        <v>3.8800000000000001E-2</v>
      </c>
      <c r="N188" s="57">
        <v>1.9E-3</v>
      </c>
      <c r="O188" s="57">
        <v>0.22359999999999999</v>
      </c>
      <c r="P188" s="57">
        <v>8.5300000000000001E-2</v>
      </c>
      <c r="Q188" s="57">
        <v>2.29E-2</v>
      </c>
      <c r="R188" s="57">
        <v>0.79920000000000002</v>
      </c>
      <c r="S188">
        <v>74.930000000000007</v>
      </c>
      <c r="T188">
        <v>60.38</v>
      </c>
      <c r="U188">
        <v>67.12</v>
      </c>
      <c r="V188" s="20">
        <v>7310.0093999999999</v>
      </c>
    </row>
    <row r="189" spans="7:22" x14ac:dyDescent="0.15">
      <c r="G189" s="11">
        <v>188</v>
      </c>
      <c r="H189" s="10" t="s">
        <v>429</v>
      </c>
      <c r="I189" t="s">
        <v>823</v>
      </c>
      <c r="J189" t="s">
        <v>814</v>
      </c>
      <c r="K189" s="57">
        <v>-3.7699999999999997E-2</v>
      </c>
      <c r="L189" s="57">
        <v>1.6000000000000001E-3</v>
      </c>
      <c r="M189" s="57">
        <v>1.21E-2</v>
      </c>
      <c r="N189" s="57">
        <v>-2.4299999999999999E-2</v>
      </c>
      <c r="O189" s="57">
        <v>-9.1999999999999998E-3</v>
      </c>
      <c r="P189" s="57">
        <v>-7.7299999999999994E-2</v>
      </c>
      <c r="Q189" s="57">
        <v>-3.2800000000000003E-2</v>
      </c>
      <c r="R189" s="57">
        <v>9.3799999999999994E-2</v>
      </c>
      <c r="S189">
        <v>74.8</v>
      </c>
      <c r="T189">
        <v>28.44</v>
      </c>
      <c r="U189">
        <v>98.92</v>
      </c>
      <c r="V189" s="20">
        <v>20.114439999999998</v>
      </c>
    </row>
    <row r="190" spans="7:22" x14ac:dyDescent="0.15">
      <c r="G190" s="11">
        <v>189</v>
      </c>
      <c r="H190" s="10" t="s">
        <v>400</v>
      </c>
      <c r="I190" t="s">
        <v>943</v>
      </c>
      <c r="J190" t="s">
        <v>851</v>
      </c>
      <c r="K190" s="57">
        <v>2.0000000000000001E-4</v>
      </c>
      <c r="L190" s="57">
        <v>1.1999999999999999E-3</v>
      </c>
      <c r="M190" s="57">
        <v>1.9900000000000001E-2</v>
      </c>
      <c r="N190" s="57">
        <v>2.5700000000000001E-2</v>
      </c>
      <c r="O190" s="57">
        <v>0.15759999999999999</v>
      </c>
      <c r="P190" s="57">
        <v>-3.8E-3</v>
      </c>
      <c r="Q190" s="57">
        <v>-2.8500000000000001E-2</v>
      </c>
      <c r="R190" s="57">
        <v>0.15079999999999999</v>
      </c>
      <c r="S190">
        <v>74.66</v>
      </c>
      <c r="T190">
        <v>83.56</v>
      </c>
      <c r="U190">
        <v>43.67</v>
      </c>
      <c r="V190" s="20">
        <v>2483.3764000000001</v>
      </c>
    </row>
    <row r="191" spans="7:22" x14ac:dyDescent="0.15">
      <c r="G191" s="11">
        <v>190</v>
      </c>
      <c r="H191" s="10" t="s">
        <v>571</v>
      </c>
      <c r="I191" t="s">
        <v>1102</v>
      </c>
      <c r="J191" t="s">
        <v>851</v>
      </c>
      <c r="K191" s="57">
        <v>1E-4</v>
      </c>
      <c r="L191" s="57">
        <v>-3.2500000000000001E-2</v>
      </c>
      <c r="M191" s="57">
        <v>-4.1500000000000002E-2</v>
      </c>
      <c r="N191" s="57">
        <v>2.2800000000000001E-2</v>
      </c>
      <c r="O191" s="57">
        <v>0.1048</v>
      </c>
      <c r="P191" s="57">
        <v>-8.7099999999999997E-2</v>
      </c>
      <c r="Q191" s="57">
        <v>-0.29389999999999999</v>
      </c>
      <c r="R191" s="57">
        <v>-0.1956</v>
      </c>
      <c r="S191">
        <v>74.53</v>
      </c>
      <c r="T191">
        <v>82.61</v>
      </c>
      <c r="U191">
        <v>44.61</v>
      </c>
      <c r="V191" s="20">
        <v>13943.562</v>
      </c>
    </row>
    <row r="192" spans="7:22" x14ac:dyDescent="0.15">
      <c r="G192" s="11">
        <v>191</v>
      </c>
      <c r="H192" s="10" t="s">
        <v>1486</v>
      </c>
      <c r="I192" t="s">
        <v>1487</v>
      </c>
      <c r="J192" t="s">
        <v>1665</v>
      </c>
      <c r="K192" s="57">
        <v>-3.5999999999999999E-3</v>
      </c>
      <c r="L192" s="57">
        <v>3.5000000000000001E-3</v>
      </c>
      <c r="M192" s="57">
        <v>4.5999999999999999E-3</v>
      </c>
      <c r="N192" s="57">
        <v>-1.11E-2</v>
      </c>
      <c r="O192" s="57">
        <v>4.4200000000000003E-2</v>
      </c>
      <c r="P192" s="57">
        <v>-0.111</v>
      </c>
      <c r="Q192" s="57">
        <v>-0.19550000000000001</v>
      </c>
      <c r="R192" s="57">
        <v>-0.1239</v>
      </c>
      <c r="S192">
        <v>74.39</v>
      </c>
      <c r="T192">
        <v>41.64</v>
      </c>
      <c r="U192">
        <v>85.18</v>
      </c>
      <c r="V192" s="20">
        <v>104.62602</v>
      </c>
    </row>
    <row r="193" spans="7:22" x14ac:dyDescent="0.15">
      <c r="G193" s="11">
        <v>192</v>
      </c>
      <c r="H193" s="10" t="s">
        <v>1531</v>
      </c>
      <c r="I193" t="s">
        <v>1532</v>
      </c>
      <c r="J193" t="s">
        <v>1665</v>
      </c>
      <c r="K193" s="57">
        <v>-8.6999999999999994E-3</v>
      </c>
      <c r="L193" s="57">
        <v>-7.1000000000000004E-3</v>
      </c>
      <c r="M193" s="57">
        <v>-2.0999999999999999E-3</v>
      </c>
      <c r="N193" s="57">
        <v>-2.06E-2</v>
      </c>
      <c r="O193" s="57">
        <v>3.5499999999999997E-2</v>
      </c>
      <c r="P193" s="57">
        <v>-8.3799999999999999E-2</v>
      </c>
      <c r="Q193" s="57">
        <v>-0.16450000000000001</v>
      </c>
      <c r="R193" s="57">
        <v>-0.2031</v>
      </c>
      <c r="S193">
        <v>74.260000000000005</v>
      </c>
      <c r="T193">
        <v>31.94</v>
      </c>
      <c r="U193">
        <v>94.88</v>
      </c>
      <c r="V193" s="20">
        <v>67.728099999999998</v>
      </c>
    </row>
    <row r="194" spans="7:22" x14ac:dyDescent="0.15">
      <c r="G194" s="11">
        <v>193</v>
      </c>
      <c r="H194" s="10" t="s">
        <v>271</v>
      </c>
      <c r="I194" t="s">
        <v>826</v>
      </c>
      <c r="J194" t="s">
        <v>814</v>
      </c>
      <c r="K194" s="57">
        <v>1.1000000000000001E-3</v>
      </c>
      <c r="L194" s="57">
        <v>2.5399999999999999E-2</v>
      </c>
      <c r="M194" s="57">
        <v>4.2599999999999999E-2</v>
      </c>
      <c r="N194" s="57">
        <v>7.6399999999999996E-2</v>
      </c>
      <c r="O194" s="57">
        <v>0.21199999999999999</v>
      </c>
      <c r="P194" s="57">
        <v>2.64E-2</v>
      </c>
      <c r="Q194" s="57">
        <v>-8.5199999999999998E-2</v>
      </c>
      <c r="R194" s="57">
        <v>0.25919999999999999</v>
      </c>
      <c r="S194">
        <v>74.12</v>
      </c>
      <c r="T194">
        <v>97.84</v>
      </c>
      <c r="U194">
        <v>28.71</v>
      </c>
      <c r="V194" s="20">
        <v>83.755700000000004</v>
      </c>
    </row>
    <row r="195" spans="7:22" x14ac:dyDescent="0.15">
      <c r="G195" s="11">
        <v>194</v>
      </c>
      <c r="H195" s="10" t="s">
        <v>513</v>
      </c>
      <c r="I195" t="s">
        <v>886</v>
      </c>
      <c r="J195" t="s">
        <v>851</v>
      </c>
      <c r="K195" s="57">
        <v>-8.6999999999999994E-3</v>
      </c>
      <c r="L195" s="57">
        <v>-8.5000000000000006E-3</v>
      </c>
      <c r="M195" s="57">
        <v>-2E-3</v>
      </c>
      <c r="N195" s="57">
        <v>-2.1399999999999999E-2</v>
      </c>
      <c r="O195" s="57">
        <v>4.3999999999999997E-2</v>
      </c>
      <c r="P195" s="57">
        <v>-6.9900000000000004E-2</v>
      </c>
      <c r="Q195" s="57">
        <v>-0.15820000000000001</v>
      </c>
      <c r="R195" s="57">
        <v>-0.26669999999999999</v>
      </c>
      <c r="S195">
        <v>73.989999999999995</v>
      </c>
      <c r="T195">
        <v>31</v>
      </c>
      <c r="U195">
        <v>95.01</v>
      </c>
      <c r="V195" s="20">
        <v>110.2722</v>
      </c>
    </row>
    <row r="196" spans="7:22" x14ac:dyDescent="0.15">
      <c r="G196" s="11">
        <v>195</v>
      </c>
      <c r="H196" s="10" t="s">
        <v>1324</v>
      </c>
      <c r="I196" t="s">
        <v>1325</v>
      </c>
      <c r="J196" t="s">
        <v>1665</v>
      </c>
      <c r="K196" s="57">
        <v>-1.4E-3</v>
      </c>
      <c r="L196" s="57">
        <v>-1.2699999999999999E-2</v>
      </c>
      <c r="M196" s="57">
        <v>-2.9100000000000001E-2</v>
      </c>
      <c r="N196" s="57">
        <v>-1.8E-3</v>
      </c>
      <c r="O196" s="57">
        <v>0.1951</v>
      </c>
      <c r="P196" s="57">
        <v>-6.6600000000000006E-2</v>
      </c>
      <c r="Q196" s="57">
        <v>-5.3699999999999998E-2</v>
      </c>
      <c r="R196" s="57">
        <v>-5.3699999999999998E-2</v>
      </c>
      <c r="S196">
        <v>73.849999999999994</v>
      </c>
      <c r="T196">
        <v>52.96</v>
      </c>
      <c r="U196">
        <v>73.05</v>
      </c>
      <c r="V196" s="20">
        <v>800.56875000000002</v>
      </c>
    </row>
    <row r="197" spans="7:22" x14ac:dyDescent="0.15">
      <c r="G197" s="11">
        <v>196</v>
      </c>
      <c r="H197" s="10" t="s">
        <v>1451</v>
      </c>
      <c r="I197" t="s">
        <v>1452</v>
      </c>
      <c r="J197" t="s">
        <v>1665</v>
      </c>
      <c r="K197" s="57">
        <v>1E-3</v>
      </c>
      <c r="L197" s="57">
        <v>-4.8999999999999998E-3</v>
      </c>
      <c r="M197" s="57">
        <v>1E-4</v>
      </c>
      <c r="N197" s="57">
        <v>6.3799999999999996E-2</v>
      </c>
      <c r="O197" s="57">
        <v>0.1069</v>
      </c>
      <c r="P197" s="57">
        <v>-0.1618</v>
      </c>
      <c r="Q197" s="57">
        <v>-0.2278</v>
      </c>
      <c r="R197" s="57">
        <v>-0.2278</v>
      </c>
      <c r="S197">
        <v>73.72</v>
      </c>
      <c r="T197">
        <v>95.69</v>
      </c>
      <c r="U197">
        <v>30.19</v>
      </c>
      <c r="V197" s="20">
        <v>1528.97828</v>
      </c>
    </row>
    <row r="198" spans="7:22" x14ac:dyDescent="0.15">
      <c r="G198" s="11">
        <v>197</v>
      </c>
      <c r="H198" s="10" t="s">
        <v>639</v>
      </c>
      <c r="I198" t="s">
        <v>1069</v>
      </c>
      <c r="J198" t="s">
        <v>851</v>
      </c>
      <c r="K198" s="57">
        <v>0</v>
      </c>
      <c r="L198" s="57">
        <v>-4.0000000000000001E-3</v>
      </c>
      <c r="M198" s="57">
        <v>1.9800000000000002E-2</v>
      </c>
      <c r="N198" s="57">
        <v>1.8100000000000002E-2</v>
      </c>
      <c r="O198" s="57">
        <v>9.2999999999999999E-2</v>
      </c>
      <c r="P198" s="57">
        <v>-4.2799999999999998E-2</v>
      </c>
      <c r="Q198" s="57">
        <v>-7.0999999999999994E-2</v>
      </c>
      <c r="R198" s="57">
        <v>1.21E-2</v>
      </c>
      <c r="S198">
        <v>73.58</v>
      </c>
      <c r="T198">
        <v>78.569999999999993</v>
      </c>
      <c r="U198">
        <v>47.3</v>
      </c>
      <c r="V198" s="20">
        <v>2694.7851000000001</v>
      </c>
    </row>
    <row r="199" spans="7:22" x14ac:dyDescent="0.15">
      <c r="G199" s="11">
        <v>198</v>
      </c>
      <c r="H199" s="10" t="s">
        <v>756</v>
      </c>
      <c r="I199" t="s">
        <v>1195</v>
      </c>
      <c r="J199" t="s">
        <v>1192</v>
      </c>
      <c r="K199" s="57">
        <v>-8.3000000000000001E-3</v>
      </c>
      <c r="L199" s="57">
        <v>-1.66E-2</v>
      </c>
      <c r="M199" s="57">
        <v>2.8899999999999999E-2</v>
      </c>
      <c r="N199" s="57">
        <v>-2.07E-2</v>
      </c>
      <c r="O199" s="57">
        <v>-7.7600000000000002E-2</v>
      </c>
      <c r="P199" s="57">
        <v>0.17130000000000001</v>
      </c>
      <c r="Q199" s="57">
        <v>0.54369999999999996</v>
      </c>
      <c r="R199" s="57">
        <v>1.2578</v>
      </c>
      <c r="S199">
        <v>73.45</v>
      </c>
      <c r="T199">
        <v>31.67</v>
      </c>
      <c r="U199">
        <v>94.07</v>
      </c>
      <c r="V199" s="20">
        <v>544.04529720000005</v>
      </c>
    </row>
    <row r="200" spans="7:22" x14ac:dyDescent="0.15">
      <c r="G200" s="11">
        <v>199</v>
      </c>
      <c r="H200" s="10" t="s">
        <v>309</v>
      </c>
      <c r="I200" t="s">
        <v>827</v>
      </c>
      <c r="J200" t="s">
        <v>814</v>
      </c>
      <c r="K200" s="57">
        <v>-1.37E-2</v>
      </c>
      <c r="L200" s="57">
        <v>1.21E-2</v>
      </c>
      <c r="M200" s="57">
        <v>2.3E-3</v>
      </c>
      <c r="N200" s="57">
        <v>-2.4299999999999999E-2</v>
      </c>
      <c r="O200" s="57">
        <v>0.14099999999999999</v>
      </c>
      <c r="P200" s="57">
        <v>1.37E-2</v>
      </c>
      <c r="Q200" s="57">
        <v>-0.14829999999999999</v>
      </c>
      <c r="R200" s="57">
        <v>-0.11</v>
      </c>
      <c r="S200">
        <v>73.319999999999993</v>
      </c>
      <c r="T200">
        <v>28.17</v>
      </c>
      <c r="U200">
        <v>97.3</v>
      </c>
      <c r="V200" s="20">
        <v>325.09869520000001</v>
      </c>
    </row>
    <row r="201" spans="7:22" x14ac:dyDescent="0.15">
      <c r="G201" s="11">
        <v>200</v>
      </c>
      <c r="H201" s="10" t="s">
        <v>373</v>
      </c>
      <c r="I201" t="s">
        <v>1114</v>
      </c>
      <c r="J201" t="s">
        <v>851</v>
      </c>
      <c r="K201" s="57">
        <v>-1.6000000000000001E-3</v>
      </c>
      <c r="L201" s="57">
        <v>-3.6200000000000003E-2</v>
      </c>
      <c r="M201" s="57">
        <v>-1.6400000000000001E-2</v>
      </c>
      <c r="N201" s="57">
        <v>-5.3E-3</v>
      </c>
      <c r="O201" s="57">
        <v>6.4100000000000004E-2</v>
      </c>
      <c r="P201" s="57">
        <v>-0.10050000000000001</v>
      </c>
      <c r="Q201" s="57">
        <v>-0.1255</v>
      </c>
      <c r="R201" s="57">
        <v>0.44769999999999999</v>
      </c>
      <c r="S201">
        <v>73.180000000000007</v>
      </c>
      <c r="T201">
        <v>50</v>
      </c>
      <c r="U201">
        <v>75.2</v>
      </c>
      <c r="V201" s="20">
        <v>10384.595300000001</v>
      </c>
    </row>
    <row r="202" spans="7:22" x14ac:dyDescent="0.15">
      <c r="G202" s="11">
        <v>201</v>
      </c>
      <c r="H202" s="10" t="s">
        <v>356</v>
      </c>
      <c r="I202" t="s">
        <v>1018</v>
      </c>
      <c r="J202" t="s">
        <v>851</v>
      </c>
      <c r="K202" s="57">
        <v>-8.9999999999999998E-4</v>
      </c>
      <c r="L202" s="57">
        <v>2.35E-2</v>
      </c>
      <c r="M202" s="57">
        <v>3.4700000000000002E-2</v>
      </c>
      <c r="N202" s="57">
        <v>1.4E-3</v>
      </c>
      <c r="O202" s="57">
        <v>0.21360000000000001</v>
      </c>
      <c r="P202" s="57">
        <v>9.9099999999999994E-2</v>
      </c>
      <c r="Q202" s="57">
        <v>1.78E-2</v>
      </c>
      <c r="R202" s="57">
        <v>0.55940000000000001</v>
      </c>
      <c r="S202">
        <v>73.05</v>
      </c>
      <c r="T202">
        <v>59.57</v>
      </c>
      <c r="U202">
        <v>65.63</v>
      </c>
      <c r="V202" s="20">
        <v>3172.71974</v>
      </c>
    </row>
    <row r="203" spans="7:22" x14ac:dyDescent="0.15">
      <c r="G203" s="11">
        <v>202</v>
      </c>
      <c r="H203" s="10" t="s">
        <v>358</v>
      </c>
      <c r="I203" t="s">
        <v>1134</v>
      </c>
      <c r="J203" t="s">
        <v>851</v>
      </c>
      <c r="K203" s="57">
        <v>-2.9999999999999997E-4</v>
      </c>
      <c r="L203" s="57">
        <v>6.4999999999999997E-3</v>
      </c>
      <c r="M203" s="57">
        <v>5.5999999999999999E-3</v>
      </c>
      <c r="N203" s="57">
        <v>1.2500000000000001E-2</v>
      </c>
      <c r="O203" s="57">
        <v>0.15310000000000001</v>
      </c>
      <c r="P203" s="57">
        <v>-4.5600000000000002E-2</v>
      </c>
      <c r="Q203" s="57">
        <v>-0.29609999999999997</v>
      </c>
      <c r="R203" s="57">
        <v>-0.31380000000000002</v>
      </c>
      <c r="S203">
        <v>72.91</v>
      </c>
      <c r="T203">
        <v>72.099999999999994</v>
      </c>
      <c r="U203">
        <v>53.1</v>
      </c>
      <c r="V203" s="20">
        <v>14867.029375799999</v>
      </c>
    </row>
    <row r="204" spans="7:22" x14ac:dyDescent="0.15">
      <c r="G204" s="11">
        <v>203</v>
      </c>
      <c r="H204" s="10" t="s">
        <v>452</v>
      </c>
      <c r="I204" t="s">
        <v>920</v>
      </c>
      <c r="J204" t="s">
        <v>851</v>
      </c>
      <c r="K204" s="57">
        <v>-8.9999999999999998E-4</v>
      </c>
      <c r="L204" s="57">
        <v>1.6299999999999999E-2</v>
      </c>
      <c r="M204" s="57">
        <v>1.7600000000000001E-2</v>
      </c>
      <c r="N204" s="57">
        <v>1.6999999999999999E-3</v>
      </c>
      <c r="O204" s="57">
        <v>0.1696</v>
      </c>
      <c r="P204" s="57">
        <v>-2.35E-2</v>
      </c>
      <c r="Q204" s="57">
        <v>-0.2162</v>
      </c>
      <c r="R204" s="57">
        <v>4.7999999999999996E-3</v>
      </c>
      <c r="S204">
        <v>72.78</v>
      </c>
      <c r="T204">
        <v>59.84</v>
      </c>
      <c r="U204">
        <v>65.23</v>
      </c>
      <c r="V204" s="20">
        <v>150.40835000000001</v>
      </c>
    </row>
    <row r="205" spans="7:22" x14ac:dyDescent="0.15">
      <c r="G205" s="11">
        <v>204</v>
      </c>
      <c r="H205" s="10" t="s">
        <v>337</v>
      </c>
      <c r="I205" t="s">
        <v>1044</v>
      </c>
      <c r="J205" t="s">
        <v>851</v>
      </c>
      <c r="K205" s="57">
        <v>-4.0000000000000002E-4</v>
      </c>
      <c r="L205" s="57">
        <v>4.8999999999999998E-3</v>
      </c>
      <c r="M205" s="57">
        <v>3.2000000000000002E-3</v>
      </c>
      <c r="N205" s="57">
        <v>1.06E-2</v>
      </c>
      <c r="O205" s="57">
        <v>0.14879999999999999</v>
      </c>
      <c r="P205" s="57">
        <v>-4.02E-2</v>
      </c>
      <c r="Q205" s="57">
        <v>-0.2737</v>
      </c>
      <c r="R205" s="57">
        <v>-0.28570000000000001</v>
      </c>
      <c r="S205">
        <v>72.64</v>
      </c>
      <c r="T205">
        <v>69.680000000000007</v>
      </c>
      <c r="U205">
        <v>55.26</v>
      </c>
      <c r="V205" s="20">
        <v>3896.3553999999999</v>
      </c>
    </row>
    <row r="206" spans="7:22" x14ac:dyDescent="0.15">
      <c r="G206" s="11">
        <v>205</v>
      </c>
      <c r="H206" s="10" t="s">
        <v>447</v>
      </c>
      <c r="I206" t="s">
        <v>1055</v>
      </c>
      <c r="J206" t="s">
        <v>851</v>
      </c>
      <c r="K206" s="57">
        <v>6.9999999999999999E-4</v>
      </c>
      <c r="L206" s="57">
        <v>-1.38E-2</v>
      </c>
      <c r="M206" s="57">
        <v>-3.1099999999999999E-2</v>
      </c>
      <c r="N206" s="57">
        <v>4.02E-2</v>
      </c>
      <c r="O206" s="57">
        <v>8.5199999999999998E-2</v>
      </c>
      <c r="P206" s="57">
        <v>-0.1512</v>
      </c>
      <c r="Q206" s="57">
        <v>-0.27739999999999998</v>
      </c>
      <c r="R206" s="57">
        <v>-7.2599999999999998E-2</v>
      </c>
      <c r="S206">
        <v>72.510000000000005</v>
      </c>
      <c r="T206">
        <v>89.22</v>
      </c>
      <c r="U206">
        <v>35.71</v>
      </c>
      <c r="V206" s="20">
        <v>4652.0528299999996</v>
      </c>
    </row>
    <row r="207" spans="7:22" x14ac:dyDescent="0.15">
      <c r="G207" s="11">
        <v>206</v>
      </c>
      <c r="H207" s="10" t="s">
        <v>703</v>
      </c>
      <c r="I207" t="s">
        <v>1052</v>
      </c>
      <c r="J207" t="s">
        <v>851</v>
      </c>
      <c r="K207" s="57">
        <v>-1.5E-3</v>
      </c>
      <c r="L207" s="57">
        <v>-4.19E-2</v>
      </c>
      <c r="M207" s="57">
        <v>-4.7899999999999998E-2</v>
      </c>
      <c r="N207" s="57">
        <v>-4.0000000000000001E-3</v>
      </c>
      <c r="O207" s="57">
        <v>9.1399999999999995E-2</v>
      </c>
      <c r="P207" s="57">
        <v>-0.19370000000000001</v>
      </c>
      <c r="Q207" s="57">
        <v>-0.30459999999999998</v>
      </c>
      <c r="R207" s="57">
        <v>-0.33550000000000002</v>
      </c>
      <c r="S207">
        <v>72.37</v>
      </c>
      <c r="T207">
        <v>51.08</v>
      </c>
      <c r="U207">
        <v>73.58</v>
      </c>
      <c r="V207" s="20">
        <v>4960.5250999999998</v>
      </c>
    </row>
    <row r="208" spans="7:22" x14ac:dyDescent="0.15">
      <c r="G208" s="11">
        <v>207</v>
      </c>
      <c r="H208" s="10" t="s">
        <v>704</v>
      </c>
      <c r="I208" t="s">
        <v>1091</v>
      </c>
      <c r="J208" t="s">
        <v>851</v>
      </c>
      <c r="K208" s="57">
        <v>-2.9999999999999997E-4</v>
      </c>
      <c r="L208" s="57">
        <v>-6.3E-3</v>
      </c>
      <c r="M208" s="57">
        <v>3.4799999999999998E-2</v>
      </c>
      <c r="N208" s="57">
        <v>1.23E-2</v>
      </c>
      <c r="O208" s="57">
        <v>4.4499999999999998E-2</v>
      </c>
      <c r="P208" s="57">
        <v>-9.1600000000000001E-2</v>
      </c>
      <c r="Q208" s="57">
        <v>-0.1323</v>
      </c>
      <c r="R208" s="57">
        <v>-0.19670000000000001</v>
      </c>
      <c r="S208">
        <v>72.239999999999995</v>
      </c>
      <c r="T208">
        <v>71.97</v>
      </c>
      <c r="U208">
        <v>52.56</v>
      </c>
      <c r="V208" s="20">
        <v>3397.5619100000004</v>
      </c>
    </row>
    <row r="209" spans="7:22" x14ac:dyDescent="0.15">
      <c r="G209" s="11">
        <v>208</v>
      </c>
      <c r="H209" s="10" t="s">
        <v>435</v>
      </c>
      <c r="I209" t="s">
        <v>1143</v>
      </c>
      <c r="J209" t="s">
        <v>851</v>
      </c>
      <c r="K209" s="57">
        <v>1E-3</v>
      </c>
      <c r="L209" s="57">
        <v>-3.9300000000000002E-2</v>
      </c>
      <c r="M209" s="57">
        <v>-4.7100000000000003E-2</v>
      </c>
      <c r="N209" s="57">
        <v>6.1499999999999999E-2</v>
      </c>
      <c r="O209" s="57">
        <v>8.7999999999999995E-2</v>
      </c>
      <c r="P209" s="57">
        <v>-0.13120000000000001</v>
      </c>
      <c r="Q209" s="57">
        <v>-0.28589999999999999</v>
      </c>
      <c r="R209" s="57">
        <v>-0.14630000000000001</v>
      </c>
      <c r="S209">
        <v>72.099999999999994</v>
      </c>
      <c r="T209">
        <v>95.15</v>
      </c>
      <c r="U209">
        <v>29.25</v>
      </c>
      <c r="V209" s="20">
        <v>92829.122199999998</v>
      </c>
    </row>
    <row r="210" spans="7:22" x14ac:dyDescent="0.15">
      <c r="G210" s="11">
        <v>209</v>
      </c>
      <c r="H210" s="10" t="s">
        <v>2098</v>
      </c>
      <c r="I210" t="s">
        <v>2099</v>
      </c>
      <c r="J210" t="s">
        <v>2058</v>
      </c>
      <c r="K210" s="57">
        <v>5.9999999999999995E-4</v>
      </c>
      <c r="L210" s="57">
        <v>3.3E-3</v>
      </c>
      <c r="M210" s="57">
        <v>2.6800000000000001E-2</v>
      </c>
      <c r="N210" s="57">
        <v>3.1E-2</v>
      </c>
      <c r="O210" s="57">
        <v>4.9399999999999999E-2</v>
      </c>
      <c r="P210" s="57">
        <v>4.9399999999999999E-2</v>
      </c>
      <c r="Q210" s="57">
        <v>4.9399999999999999E-2</v>
      </c>
      <c r="R210" s="57">
        <v>4.9399999999999999E-2</v>
      </c>
      <c r="S210">
        <v>71.97</v>
      </c>
      <c r="T210">
        <v>86.93</v>
      </c>
      <c r="U210">
        <v>37.33</v>
      </c>
      <c r="V210" s="20">
        <v>2957.8315824000001</v>
      </c>
    </row>
    <row r="211" spans="7:22" x14ac:dyDescent="0.15">
      <c r="G211" s="11">
        <v>210</v>
      </c>
      <c r="H211" s="10" t="s">
        <v>2112</v>
      </c>
      <c r="I211" t="s">
        <v>2113</v>
      </c>
      <c r="J211" t="s">
        <v>2058</v>
      </c>
      <c r="K211" s="57">
        <v>-1.6999999999999999E-3</v>
      </c>
      <c r="L211" s="57">
        <v>8.8000000000000005E-3</v>
      </c>
      <c r="M211" s="57">
        <v>2.24E-2</v>
      </c>
      <c r="N211" s="57">
        <v>-6.7000000000000002E-3</v>
      </c>
      <c r="O211" s="57">
        <v>-2.3300000000000001E-2</v>
      </c>
      <c r="P211" s="57">
        <v>-2.3300000000000001E-2</v>
      </c>
      <c r="Q211" s="57">
        <v>-2.3300000000000001E-2</v>
      </c>
      <c r="R211" s="57">
        <v>-2.3300000000000001E-2</v>
      </c>
      <c r="S211">
        <v>71.83</v>
      </c>
      <c r="T211">
        <v>48.25</v>
      </c>
      <c r="U211">
        <v>75.47</v>
      </c>
      <c r="V211" s="20">
        <v>1493.3551480000001</v>
      </c>
    </row>
    <row r="212" spans="7:22" x14ac:dyDescent="0.15">
      <c r="G212" s="11">
        <v>211</v>
      </c>
      <c r="H212" s="10" t="s">
        <v>670</v>
      </c>
      <c r="I212" t="s">
        <v>1019</v>
      </c>
      <c r="J212" t="s">
        <v>851</v>
      </c>
      <c r="K212" s="57">
        <v>-1E-4</v>
      </c>
      <c r="L212" s="57">
        <v>-3.5999999999999999E-3</v>
      </c>
      <c r="M212" s="57">
        <v>2.87E-2</v>
      </c>
      <c r="N212" s="57">
        <v>1.37E-2</v>
      </c>
      <c r="O212" s="57">
        <v>1.9099999999999999E-2</v>
      </c>
      <c r="P212" s="57">
        <v>-5.2600000000000001E-2</v>
      </c>
      <c r="Q212" s="57">
        <v>7.9200000000000007E-2</v>
      </c>
      <c r="R212" s="57">
        <v>0.2268</v>
      </c>
      <c r="S212">
        <v>71.7</v>
      </c>
      <c r="T212">
        <v>74.53</v>
      </c>
      <c r="U212">
        <v>49.06</v>
      </c>
      <c r="V212" s="20">
        <v>990.80330000000004</v>
      </c>
    </row>
    <row r="213" spans="7:22" x14ac:dyDescent="0.15">
      <c r="G213" s="11">
        <v>212</v>
      </c>
      <c r="H213" s="10" t="s">
        <v>355</v>
      </c>
      <c r="I213" t="s">
        <v>1164</v>
      </c>
      <c r="J213" t="s">
        <v>1161</v>
      </c>
      <c r="K213" s="57">
        <v>4.0000000000000002E-4</v>
      </c>
      <c r="L213" s="57">
        <v>-1.04E-2</v>
      </c>
      <c r="M213" s="57">
        <v>-1.06E-2</v>
      </c>
      <c r="N213" s="57">
        <v>2.7400000000000001E-2</v>
      </c>
      <c r="O213" s="57">
        <v>-3.7999999999999999E-2</v>
      </c>
      <c r="P213" s="57">
        <v>-2.5600000000000001E-2</v>
      </c>
      <c r="Q213" s="57">
        <v>0.05</v>
      </c>
      <c r="R213" s="57">
        <v>-0.11119999999999999</v>
      </c>
      <c r="S213">
        <v>71.56</v>
      </c>
      <c r="T213">
        <v>84.23</v>
      </c>
      <c r="U213">
        <v>39.35</v>
      </c>
      <c r="V213" s="20">
        <v>13639.585800000001</v>
      </c>
    </row>
    <row r="214" spans="7:22" x14ac:dyDescent="0.15">
      <c r="G214" s="11">
        <v>213</v>
      </c>
      <c r="H214" s="10" t="s">
        <v>1318</v>
      </c>
      <c r="I214" t="s">
        <v>1319</v>
      </c>
      <c r="J214" t="s">
        <v>1665</v>
      </c>
      <c r="K214" s="57">
        <v>-1.1000000000000001E-3</v>
      </c>
      <c r="L214" s="57">
        <v>-1.21E-2</v>
      </c>
      <c r="M214" s="57">
        <v>-2.8400000000000002E-2</v>
      </c>
      <c r="N214" s="57">
        <v>-5.9999999999999995E-4</v>
      </c>
      <c r="O214" s="57">
        <v>0.1958</v>
      </c>
      <c r="P214" s="57">
        <v>-7.5600000000000001E-2</v>
      </c>
      <c r="Q214" s="57">
        <v>-4.19E-2</v>
      </c>
      <c r="R214" s="57">
        <v>-4.19E-2</v>
      </c>
      <c r="S214">
        <v>71.430000000000007</v>
      </c>
      <c r="T214">
        <v>55.12</v>
      </c>
      <c r="U214">
        <v>68.459999999999994</v>
      </c>
      <c r="V214" s="20">
        <v>4287.3513499999999</v>
      </c>
    </row>
    <row r="215" spans="7:22" x14ac:dyDescent="0.15">
      <c r="G215" s="11">
        <v>214</v>
      </c>
      <c r="H215" s="10" t="s">
        <v>492</v>
      </c>
      <c r="I215" t="s">
        <v>1432</v>
      </c>
      <c r="J215" t="s">
        <v>1665</v>
      </c>
      <c r="K215" s="57">
        <v>-4.0000000000000002E-4</v>
      </c>
      <c r="L215" s="57">
        <v>-1.5E-3</v>
      </c>
      <c r="M215" s="57">
        <v>5.8999999999999999E-3</v>
      </c>
      <c r="N215" s="57">
        <v>1.0200000000000001E-2</v>
      </c>
      <c r="O215" s="57">
        <v>3.2300000000000002E-2</v>
      </c>
      <c r="P215" s="57">
        <v>-3.5000000000000001E-3</v>
      </c>
      <c r="Q215" s="57">
        <v>4.36E-2</v>
      </c>
      <c r="R215" s="57">
        <v>9.5699999999999993E-2</v>
      </c>
      <c r="S215">
        <v>71.290000000000006</v>
      </c>
      <c r="T215">
        <v>69</v>
      </c>
      <c r="U215">
        <v>54.45</v>
      </c>
      <c r="V215" s="20">
        <v>14838.859899999999</v>
      </c>
    </row>
    <row r="216" spans="7:22" x14ac:dyDescent="0.15">
      <c r="G216" s="11">
        <v>215</v>
      </c>
      <c r="H216" s="10" t="s">
        <v>385</v>
      </c>
      <c r="I216" t="s">
        <v>1029</v>
      </c>
      <c r="J216" t="s">
        <v>851</v>
      </c>
      <c r="K216" s="57">
        <v>-2.9999999999999997E-4</v>
      </c>
      <c r="L216" s="57">
        <v>6.0000000000000001E-3</v>
      </c>
      <c r="M216" s="57">
        <v>4.7000000000000002E-3</v>
      </c>
      <c r="N216" s="57">
        <v>1.09E-2</v>
      </c>
      <c r="O216" s="57">
        <v>0.14630000000000001</v>
      </c>
      <c r="P216" s="57">
        <v>-0.05</v>
      </c>
      <c r="Q216" s="57">
        <v>-0.24779999999999999</v>
      </c>
      <c r="R216" s="57">
        <v>-0.24779999999999999</v>
      </c>
      <c r="S216">
        <v>71.16</v>
      </c>
      <c r="T216">
        <v>70.08</v>
      </c>
      <c r="U216">
        <v>53.23</v>
      </c>
      <c r="V216" s="20">
        <v>1994.0690999999999</v>
      </c>
    </row>
    <row r="217" spans="7:22" x14ac:dyDescent="0.15">
      <c r="G217" s="11">
        <v>216</v>
      </c>
      <c r="H217" s="10" t="s">
        <v>630</v>
      </c>
      <c r="I217" t="s">
        <v>1138</v>
      </c>
      <c r="J217" t="s">
        <v>851</v>
      </c>
      <c r="K217" s="57">
        <v>2.0000000000000001E-4</v>
      </c>
      <c r="L217" s="57">
        <v>-4.1000000000000003E-3</v>
      </c>
      <c r="M217" s="57">
        <v>2.0400000000000001E-2</v>
      </c>
      <c r="N217" s="57">
        <v>1.8700000000000001E-2</v>
      </c>
      <c r="O217" s="57">
        <v>9.9299999999999999E-2</v>
      </c>
      <c r="P217" s="57">
        <v>-3.6700000000000003E-2</v>
      </c>
      <c r="Q217" s="57">
        <v>-6.8199999999999997E-2</v>
      </c>
      <c r="R217" s="57">
        <v>1.26E-2</v>
      </c>
      <c r="S217">
        <v>71.02</v>
      </c>
      <c r="T217">
        <v>79.650000000000006</v>
      </c>
      <c r="U217">
        <v>43.53</v>
      </c>
      <c r="V217" s="20">
        <v>12637.5561</v>
      </c>
    </row>
    <row r="218" spans="7:22" x14ac:dyDescent="0.15">
      <c r="G218" s="11">
        <v>217</v>
      </c>
      <c r="H218" s="10" t="s">
        <v>2059</v>
      </c>
      <c r="I218" t="s">
        <v>2060</v>
      </c>
      <c r="J218" t="s">
        <v>2058</v>
      </c>
      <c r="K218" s="57">
        <v>6.9999999999999999E-4</v>
      </c>
      <c r="L218" s="57">
        <v>5.6899999999999999E-2</v>
      </c>
      <c r="M218" s="57">
        <v>8.2900000000000001E-2</v>
      </c>
      <c r="N218" s="57">
        <v>3.2599999999999997E-2</v>
      </c>
      <c r="O218" s="57">
        <v>2.2200000000000001E-2</v>
      </c>
      <c r="P218" s="57">
        <v>2.2200000000000001E-2</v>
      </c>
      <c r="Q218" s="57">
        <v>2.2200000000000001E-2</v>
      </c>
      <c r="R218" s="57">
        <v>2.2200000000000001E-2</v>
      </c>
      <c r="S218">
        <v>70.89</v>
      </c>
      <c r="T218">
        <v>87.06</v>
      </c>
      <c r="U218">
        <v>36.119999999999997</v>
      </c>
      <c r="V218" s="20">
        <v>1863.8479</v>
      </c>
    </row>
    <row r="219" spans="7:22" x14ac:dyDescent="0.15">
      <c r="G219" s="11">
        <v>218</v>
      </c>
      <c r="H219" s="10" t="s">
        <v>443</v>
      </c>
      <c r="I219" t="s">
        <v>907</v>
      </c>
      <c r="J219" t="s">
        <v>851</v>
      </c>
      <c r="K219" s="57">
        <v>1.1999999999999999E-3</v>
      </c>
      <c r="L219" s="57">
        <v>-1.43E-2</v>
      </c>
      <c r="M219" s="57">
        <v>-4.1000000000000003E-3</v>
      </c>
      <c r="N219" s="57">
        <v>6.8099999999999994E-2</v>
      </c>
      <c r="O219" s="57">
        <v>0.17069999999999999</v>
      </c>
      <c r="P219" s="57">
        <v>-0.1021</v>
      </c>
      <c r="Q219" s="57">
        <v>-0.1792</v>
      </c>
      <c r="R219" s="57">
        <v>-0.24529999999999999</v>
      </c>
      <c r="S219">
        <v>70.75</v>
      </c>
      <c r="T219">
        <v>95.96</v>
      </c>
      <c r="U219">
        <v>27.22</v>
      </c>
      <c r="V219" s="20">
        <v>323.70839999999998</v>
      </c>
    </row>
    <row r="220" spans="7:22" x14ac:dyDescent="0.15">
      <c r="G220" s="11">
        <v>219</v>
      </c>
      <c r="H220" s="10" t="s">
        <v>1419</v>
      </c>
      <c r="I220" t="s">
        <v>1420</v>
      </c>
      <c r="J220" t="s">
        <v>1665</v>
      </c>
      <c r="K220" s="57">
        <v>1E-4</v>
      </c>
      <c r="L220" s="57">
        <v>1.1299999999999999E-2</v>
      </c>
      <c r="M220" s="57">
        <v>3.04E-2</v>
      </c>
      <c r="N220" s="57">
        <v>1.7399999999999999E-2</v>
      </c>
      <c r="O220" s="57">
        <v>7.6799999999999993E-2</v>
      </c>
      <c r="P220" s="57">
        <v>-4.1300000000000003E-2</v>
      </c>
      <c r="Q220" s="57">
        <v>-9.7100000000000006E-2</v>
      </c>
      <c r="R220" s="57">
        <v>-9.7100000000000006E-2</v>
      </c>
      <c r="S220">
        <v>70.62</v>
      </c>
      <c r="T220">
        <v>77.63</v>
      </c>
      <c r="U220">
        <v>45.28</v>
      </c>
      <c r="V220" s="20">
        <v>1480.7115699999999</v>
      </c>
    </row>
    <row r="221" spans="7:22" x14ac:dyDescent="0.15">
      <c r="G221" s="11">
        <v>220</v>
      </c>
      <c r="H221" s="10" t="s">
        <v>386</v>
      </c>
      <c r="I221" t="s">
        <v>1162</v>
      </c>
      <c r="J221" t="s">
        <v>1161</v>
      </c>
      <c r="K221" s="57">
        <v>5.0000000000000001E-4</v>
      </c>
      <c r="L221" s="57">
        <v>-1.0500000000000001E-2</v>
      </c>
      <c r="M221" s="57">
        <v>-1.06E-2</v>
      </c>
      <c r="N221" s="57">
        <v>2.7400000000000001E-2</v>
      </c>
      <c r="O221" s="57">
        <v>-3.7999999999999999E-2</v>
      </c>
      <c r="P221" s="57">
        <v>-2.53E-2</v>
      </c>
      <c r="Q221" s="57">
        <v>5.0799999999999998E-2</v>
      </c>
      <c r="R221" s="57">
        <v>-0.11</v>
      </c>
      <c r="S221">
        <v>70.489999999999995</v>
      </c>
      <c r="T221">
        <v>84.37</v>
      </c>
      <c r="U221">
        <v>38.270000000000003</v>
      </c>
      <c r="V221" s="20">
        <v>20084.364043599999</v>
      </c>
    </row>
    <row r="222" spans="7:22" x14ac:dyDescent="0.15">
      <c r="G222" s="11">
        <v>221</v>
      </c>
      <c r="H222" s="10" t="s">
        <v>659</v>
      </c>
      <c r="I222" t="s">
        <v>1118</v>
      </c>
      <c r="J222" t="s">
        <v>851</v>
      </c>
      <c r="K222" s="57">
        <v>-2.9999999999999997E-4</v>
      </c>
      <c r="L222" s="57">
        <v>8.5000000000000006E-3</v>
      </c>
      <c r="M222" s="57">
        <v>3.2399999999999998E-2</v>
      </c>
      <c r="N222" s="57">
        <v>1.0200000000000001E-2</v>
      </c>
      <c r="O222" s="57">
        <v>0.1206</v>
      </c>
      <c r="P222" s="57">
        <v>-1.1900000000000001E-2</v>
      </c>
      <c r="Q222" s="57">
        <v>-0.17760000000000001</v>
      </c>
      <c r="R222" s="57">
        <v>-5.7799999999999997E-2</v>
      </c>
      <c r="S222">
        <v>70.349999999999994</v>
      </c>
      <c r="T222">
        <v>69.14</v>
      </c>
      <c r="U222">
        <v>53.5</v>
      </c>
      <c r="V222" s="20">
        <v>6744.0144730000002</v>
      </c>
    </row>
    <row r="223" spans="7:22" x14ac:dyDescent="0.15">
      <c r="G223" s="11">
        <v>222</v>
      </c>
      <c r="H223" s="10" t="s">
        <v>451</v>
      </c>
      <c r="I223" t="s">
        <v>919</v>
      </c>
      <c r="J223" t="s">
        <v>851</v>
      </c>
      <c r="K223" s="57">
        <v>-1.1000000000000001E-3</v>
      </c>
      <c r="L223" s="57">
        <v>1.06E-2</v>
      </c>
      <c r="M223" s="57">
        <v>1.23E-2</v>
      </c>
      <c r="N223" s="57">
        <v>-1.2999999999999999E-3</v>
      </c>
      <c r="O223" s="57">
        <v>6.3E-2</v>
      </c>
      <c r="P223" s="57">
        <v>4.4999999999999997E-3</v>
      </c>
      <c r="Q223" s="57">
        <v>4.5699999999999998E-2</v>
      </c>
      <c r="R223" s="57">
        <v>1.9099999999999999E-2</v>
      </c>
      <c r="S223">
        <v>70.22</v>
      </c>
      <c r="T223">
        <v>54.18</v>
      </c>
      <c r="U223">
        <v>68.33</v>
      </c>
      <c r="V223" s="20">
        <v>758.93236330000002</v>
      </c>
    </row>
    <row r="224" spans="7:22" x14ac:dyDescent="0.15">
      <c r="G224" s="11">
        <v>223</v>
      </c>
      <c r="H224" s="10" t="s">
        <v>567</v>
      </c>
      <c r="I224" t="s">
        <v>972</v>
      </c>
      <c r="J224" t="s">
        <v>851</v>
      </c>
      <c r="K224" s="57">
        <v>-2.3E-3</v>
      </c>
      <c r="L224" s="57">
        <v>-6.1000000000000004E-3</v>
      </c>
      <c r="M224" s="57">
        <v>5.5999999999999999E-3</v>
      </c>
      <c r="N224" s="57">
        <v>-9.9000000000000008E-3</v>
      </c>
      <c r="O224" s="57">
        <v>7.6799999999999993E-2</v>
      </c>
      <c r="P224" s="57">
        <v>-4.3299999999999998E-2</v>
      </c>
      <c r="Q224" s="57">
        <v>-0.10100000000000001</v>
      </c>
      <c r="R224" s="57">
        <v>7.3499999999999996E-2</v>
      </c>
      <c r="S224">
        <v>70.08</v>
      </c>
      <c r="T224">
        <v>43.4</v>
      </c>
      <c r="U224">
        <v>79.11</v>
      </c>
      <c r="V224" s="20">
        <v>1546.9444000000001</v>
      </c>
    </row>
    <row r="225" spans="7:22" x14ac:dyDescent="0.15">
      <c r="G225" s="11">
        <v>224</v>
      </c>
      <c r="H225" s="10" t="s">
        <v>736</v>
      </c>
      <c r="I225" t="s">
        <v>908</v>
      </c>
      <c r="J225" t="s">
        <v>851</v>
      </c>
      <c r="K225" s="57">
        <v>2.9999999999999997E-4</v>
      </c>
      <c r="L225" s="57">
        <v>-4.7000000000000002E-3</v>
      </c>
      <c r="M225" s="57">
        <v>3.4200000000000001E-2</v>
      </c>
      <c r="N225" s="57">
        <v>2.06E-2</v>
      </c>
      <c r="O225" s="57">
        <v>7.4099999999999999E-2</v>
      </c>
      <c r="P225" s="57">
        <v>-0.1138</v>
      </c>
      <c r="Q225" s="57">
        <v>-0.12640000000000001</v>
      </c>
      <c r="R225" s="57">
        <v>-0.223</v>
      </c>
      <c r="S225">
        <v>69.95</v>
      </c>
      <c r="T225">
        <v>80.73</v>
      </c>
      <c r="U225">
        <v>41.64</v>
      </c>
      <c r="V225" s="20">
        <v>152.4666</v>
      </c>
    </row>
    <row r="226" spans="7:22" x14ac:dyDescent="0.15">
      <c r="G226" s="11">
        <v>225</v>
      </c>
      <c r="H226" s="10" t="s">
        <v>729</v>
      </c>
      <c r="I226" t="s">
        <v>1119</v>
      </c>
      <c r="J226" t="s">
        <v>851</v>
      </c>
      <c r="K226" s="57">
        <v>2.0000000000000001E-4</v>
      </c>
      <c r="L226" s="57">
        <v>-3.8999999999999998E-3</v>
      </c>
      <c r="M226" s="57">
        <v>4.1099999999999998E-2</v>
      </c>
      <c r="N226" s="57">
        <v>1.7500000000000002E-2</v>
      </c>
      <c r="O226" s="57">
        <v>6.1899999999999997E-2</v>
      </c>
      <c r="P226" s="57">
        <v>-8.4699999999999998E-2</v>
      </c>
      <c r="Q226" s="57">
        <v>-0.13109999999999999</v>
      </c>
      <c r="R226" s="57">
        <v>-0.1522</v>
      </c>
      <c r="S226">
        <v>69.81</v>
      </c>
      <c r="T226">
        <v>78.17</v>
      </c>
      <c r="U226">
        <v>44.07</v>
      </c>
      <c r="V226" s="20">
        <v>9208.5997700000007</v>
      </c>
    </row>
    <row r="227" spans="7:22" x14ac:dyDescent="0.15">
      <c r="G227" s="11">
        <v>226</v>
      </c>
      <c r="H227" s="10" t="s">
        <v>432</v>
      </c>
      <c r="I227" t="s">
        <v>998</v>
      </c>
      <c r="J227" t="s">
        <v>851</v>
      </c>
      <c r="K227" s="57">
        <v>-1E-3</v>
      </c>
      <c r="L227" s="57">
        <v>2.5399999999999999E-2</v>
      </c>
      <c r="M227" s="57">
        <v>3.7499999999999999E-2</v>
      </c>
      <c r="N227" s="57">
        <v>-5.9999999999999995E-4</v>
      </c>
      <c r="O227" s="57">
        <v>0.20499999999999999</v>
      </c>
      <c r="P227" s="57">
        <v>4.7800000000000002E-2</v>
      </c>
      <c r="Q227" s="57">
        <v>-7.4399999999999994E-2</v>
      </c>
      <c r="R227" s="57">
        <v>0.25019999999999998</v>
      </c>
      <c r="S227">
        <v>69.680000000000007</v>
      </c>
      <c r="T227">
        <v>55.26</v>
      </c>
      <c r="U227">
        <v>66.709999999999994</v>
      </c>
      <c r="V227" s="20">
        <v>2372.1875500000001</v>
      </c>
    </row>
    <row r="228" spans="7:22" x14ac:dyDescent="0.15">
      <c r="G228" s="11">
        <v>227</v>
      </c>
      <c r="H228" s="10" t="s">
        <v>678</v>
      </c>
      <c r="I228" t="s">
        <v>1032</v>
      </c>
      <c r="J228" t="s">
        <v>851</v>
      </c>
      <c r="K228" s="57">
        <v>2.0000000000000001E-4</v>
      </c>
      <c r="L228" s="57">
        <v>-3.3E-3</v>
      </c>
      <c r="M228" s="57">
        <v>4.07E-2</v>
      </c>
      <c r="N228" s="57">
        <v>1.7500000000000002E-2</v>
      </c>
      <c r="O228" s="57">
        <v>6.13E-2</v>
      </c>
      <c r="P228" s="57">
        <v>-8.3400000000000002E-2</v>
      </c>
      <c r="Q228" s="57">
        <v>-0.12839999999999999</v>
      </c>
      <c r="R228" s="57">
        <v>-0.22090000000000001</v>
      </c>
      <c r="S228">
        <v>69.540000000000006</v>
      </c>
      <c r="T228">
        <v>77.900000000000006</v>
      </c>
      <c r="U228">
        <v>43.8</v>
      </c>
      <c r="V228" s="20">
        <v>1248.2666999999999</v>
      </c>
    </row>
    <row r="229" spans="7:22" x14ac:dyDescent="0.15">
      <c r="G229" s="11">
        <v>228</v>
      </c>
      <c r="H229" s="10" t="s">
        <v>466</v>
      </c>
      <c r="I229" t="s">
        <v>925</v>
      </c>
      <c r="J229" t="s">
        <v>851</v>
      </c>
      <c r="K229" s="57">
        <v>-6.9999999999999999E-4</v>
      </c>
      <c r="L229" s="57">
        <v>1.47E-2</v>
      </c>
      <c r="M229" s="57">
        <v>3.15E-2</v>
      </c>
      <c r="N229" s="57">
        <v>1.4E-3</v>
      </c>
      <c r="O229" s="57">
        <v>0.1895</v>
      </c>
      <c r="P229" s="57">
        <v>3.3300000000000003E-2</v>
      </c>
      <c r="Q229" s="57">
        <v>-8.8300000000000003E-2</v>
      </c>
      <c r="R229" s="57">
        <v>0.1118</v>
      </c>
      <c r="S229">
        <v>69.41</v>
      </c>
      <c r="T229">
        <v>59.43</v>
      </c>
      <c r="U229">
        <v>62.13</v>
      </c>
      <c r="V229" s="20">
        <v>236.9075</v>
      </c>
    </row>
    <row r="230" spans="7:22" x14ac:dyDescent="0.15">
      <c r="G230" s="11">
        <v>229</v>
      </c>
      <c r="H230" s="10" t="s">
        <v>1408</v>
      </c>
      <c r="I230" t="s">
        <v>1409</v>
      </c>
      <c r="J230" t="s">
        <v>1665</v>
      </c>
      <c r="K230" s="57">
        <v>-1.1999999999999999E-3</v>
      </c>
      <c r="L230" s="57">
        <v>-1.8E-3</v>
      </c>
      <c r="M230" s="57">
        <v>5.1999999999999998E-3</v>
      </c>
      <c r="N230" s="57">
        <v>-4.1000000000000003E-3</v>
      </c>
      <c r="O230" s="57">
        <v>0.1172</v>
      </c>
      <c r="P230" s="57">
        <v>-6.9500000000000006E-2</v>
      </c>
      <c r="Q230" s="57">
        <v>-0.214</v>
      </c>
      <c r="R230" s="57">
        <v>-0.19</v>
      </c>
      <c r="S230">
        <v>69.27</v>
      </c>
      <c r="T230">
        <v>50.94</v>
      </c>
      <c r="U230">
        <v>70.489999999999995</v>
      </c>
      <c r="V230" s="20">
        <v>182.81496000000001</v>
      </c>
    </row>
    <row r="231" spans="7:22" x14ac:dyDescent="0.15">
      <c r="G231" s="11">
        <v>230</v>
      </c>
      <c r="H231" s="10" t="s">
        <v>381</v>
      </c>
      <c r="I231" t="s">
        <v>1488</v>
      </c>
      <c r="J231" t="s">
        <v>1665</v>
      </c>
      <c r="K231" s="57">
        <v>5.9999999999999995E-4</v>
      </c>
      <c r="L231" s="57">
        <v>-1.04E-2</v>
      </c>
      <c r="M231" s="57">
        <v>-1.0699999999999999E-2</v>
      </c>
      <c r="N231" s="57">
        <v>2.69E-2</v>
      </c>
      <c r="O231" s="57">
        <v>-3.85E-2</v>
      </c>
      <c r="P231" s="57">
        <v>-2.7099999999999999E-2</v>
      </c>
      <c r="Q231" s="57">
        <v>4.58E-2</v>
      </c>
      <c r="R231" s="57">
        <v>-0.11550000000000001</v>
      </c>
      <c r="S231">
        <v>69.14</v>
      </c>
      <c r="T231">
        <v>83.96</v>
      </c>
      <c r="U231">
        <v>37.47</v>
      </c>
      <c r="V231" s="20">
        <v>281.81849999999997</v>
      </c>
    </row>
    <row r="232" spans="7:22" x14ac:dyDescent="0.15">
      <c r="G232" s="11">
        <v>231</v>
      </c>
      <c r="H232" s="10" t="s">
        <v>1378</v>
      </c>
      <c r="I232" t="s">
        <v>1379</v>
      </c>
      <c r="J232" t="s">
        <v>1665</v>
      </c>
      <c r="K232" s="57">
        <v>8.0000000000000004E-4</v>
      </c>
      <c r="L232" s="57">
        <v>-1.4200000000000001E-2</v>
      </c>
      <c r="M232" s="57">
        <v>-4.7000000000000002E-3</v>
      </c>
      <c r="N232" s="57">
        <v>3.9E-2</v>
      </c>
      <c r="O232" s="57">
        <v>8.5800000000000001E-2</v>
      </c>
      <c r="P232" s="57">
        <v>-0.13789999999999999</v>
      </c>
      <c r="Q232" s="57">
        <v>-0.22459999999999999</v>
      </c>
      <c r="R232" s="57">
        <v>-0.22459999999999999</v>
      </c>
      <c r="S232">
        <v>69</v>
      </c>
      <c r="T232">
        <v>88.95</v>
      </c>
      <c r="U232">
        <v>32.35</v>
      </c>
      <c r="V232" s="20">
        <v>824.87299000000007</v>
      </c>
    </row>
    <row r="233" spans="7:22" x14ac:dyDescent="0.15">
      <c r="G233" s="11">
        <v>232</v>
      </c>
      <c r="H233" s="10" t="s">
        <v>1638</v>
      </c>
      <c r="I233" t="s">
        <v>1639</v>
      </c>
      <c r="J233" t="s">
        <v>1665</v>
      </c>
      <c r="K233" s="57">
        <v>1.1000000000000001E-3</v>
      </c>
      <c r="L233" s="57">
        <v>-6.1999999999999998E-3</v>
      </c>
      <c r="M233" s="57">
        <v>1.1999999999999999E-3</v>
      </c>
      <c r="N233" s="57">
        <v>5.3499999999999999E-2</v>
      </c>
      <c r="O233" s="57">
        <v>0.1109</v>
      </c>
      <c r="P233" s="57">
        <v>-0.1353</v>
      </c>
      <c r="Q233" s="57">
        <v>-0.24379999999999999</v>
      </c>
      <c r="R233" s="57">
        <v>-0.24379999999999999</v>
      </c>
      <c r="S233">
        <v>68.87</v>
      </c>
      <c r="T233">
        <v>92.32</v>
      </c>
      <c r="U233">
        <v>28.84</v>
      </c>
      <c r="V233" s="20">
        <v>776.33190000000002</v>
      </c>
    </row>
    <row r="234" spans="7:22" x14ac:dyDescent="0.15">
      <c r="G234" s="11">
        <v>233</v>
      </c>
      <c r="H234" s="10" t="s">
        <v>529</v>
      </c>
      <c r="I234" t="s">
        <v>1157</v>
      </c>
      <c r="J234" t="s">
        <v>851</v>
      </c>
      <c r="K234" s="57">
        <v>-8.9999999999999998E-4</v>
      </c>
      <c r="L234" s="57">
        <v>1.61E-2</v>
      </c>
      <c r="M234" s="57">
        <v>1.8700000000000001E-2</v>
      </c>
      <c r="N234" s="57">
        <v>-1.2999999999999999E-3</v>
      </c>
      <c r="O234" s="57">
        <v>0.17979999999999999</v>
      </c>
      <c r="P234" s="57">
        <v>-1.52E-2</v>
      </c>
      <c r="Q234" s="57">
        <v>-0.20760000000000001</v>
      </c>
      <c r="R234" s="57">
        <v>-1.6899999999999998E-2</v>
      </c>
      <c r="S234">
        <v>68.73</v>
      </c>
      <c r="T234">
        <v>54.31</v>
      </c>
      <c r="U234">
        <v>66.31</v>
      </c>
      <c r="V234" s="20">
        <v>51461.651995</v>
      </c>
    </row>
    <row r="235" spans="7:22" x14ac:dyDescent="0.15">
      <c r="G235" s="11">
        <v>234</v>
      </c>
      <c r="H235" s="10" t="s">
        <v>589</v>
      </c>
      <c r="I235" t="s">
        <v>985</v>
      </c>
      <c r="J235" t="s">
        <v>851</v>
      </c>
      <c r="K235" s="57">
        <v>-1E-4</v>
      </c>
      <c r="L235" s="57">
        <v>-4.3E-3</v>
      </c>
      <c r="M235" s="57">
        <v>8.0000000000000002E-3</v>
      </c>
      <c r="N235" s="57">
        <v>1.15E-2</v>
      </c>
      <c r="O235" s="57">
        <v>0.1041</v>
      </c>
      <c r="P235" s="57">
        <v>-7.1900000000000006E-2</v>
      </c>
      <c r="Q235" s="57">
        <v>-0.13020000000000001</v>
      </c>
      <c r="R235" s="57">
        <v>1.38E-2</v>
      </c>
      <c r="S235">
        <v>68.599999999999994</v>
      </c>
      <c r="T235">
        <v>70.89</v>
      </c>
      <c r="U235">
        <v>49.6</v>
      </c>
      <c r="V235" s="20">
        <v>1589.4467999999999</v>
      </c>
    </row>
    <row r="236" spans="7:22" x14ac:dyDescent="0.15">
      <c r="G236" s="11">
        <v>235</v>
      </c>
      <c r="H236" s="10" t="s">
        <v>289</v>
      </c>
      <c r="I236" t="s">
        <v>1060</v>
      </c>
      <c r="J236" t="s">
        <v>851</v>
      </c>
      <c r="K236" s="57">
        <v>-8.9999999999999998E-4</v>
      </c>
      <c r="L236" s="57">
        <v>2.06E-2</v>
      </c>
      <c r="M236" s="57">
        <v>3.2199999999999999E-2</v>
      </c>
      <c r="N236" s="57">
        <v>-4.0000000000000002E-4</v>
      </c>
      <c r="O236" s="57">
        <v>0.2392</v>
      </c>
      <c r="P236" s="57">
        <v>8.0100000000000005E-2</v>
      </c>
      <c r="Q236" s="57">
        <v>1.1000000000000001E-3</v>
      </c>
      <c r="R236" s="57">
        <v>0.58340000000000003</v>
      </c>
      <c r="S236">
        <v>68.459999999999994</v>
      </c>
      <c r="T236">
        <v>55.53</v>
      </c>
      <c r="U236">
        <v>64.56</v>
      </c>
      <c r="V236" s="20">
        <v>3805.3865000000001</v>
      </c>
    </row>
    <row r="237" spans="7:22" x14ac:dyDescent="0.15">
      <c r="G237" s="11">
        <v>236</v>
      </c>
      <c r="H237" s="10" t="s">
        <v>1505</v>
      </c>
      <c r="I237" t="s">
        <v>1506</v>
      </c>
      <c r="J237" t="s">
        <v>1665</v>
      </c>
      <c r="K237" s="57">
        <v>-3.3E-3</v>
      </c>
      <c r="L237" s="57">
        <v>-7.0000000000000001E-3</v>
      </c>
      <c r="M237" s="57">
        <v>2.7000000000000001E-3</v>
      </c>
      <c r="N237" s="57">
        <v>-1.72E-2</v>
      </c>
      <c r="O237" s="57">
        <v>5.04E-2</v>
      </c>
      <c r="P237" s="57">
        <v>-6.6199999999999995E-2</v>
      </c>
      <c r="Q237" s="57">
        <v>-0.13619999999999999</v>
      </c>
      <c r="R237" s="57">
        <v>-8.6699999999999999E-2</v>
      </c>
      <c r="S237">
        <v>68.33</v>
      </c>
      <c r="T237">
        <v>35.979999999999997</v>
      </c>
      <c r="U237">
        <v>84.1</v>
      </c>
      <c r="V237" s="20">
        <v>9.6113100000000014</v>
      </c>
    </row>
    <row r="238" spans="7:22" x14ac:dyDescent="0.15">
      <c r="G238" s="11">
        <v>237</v>
      </c>
      <c r="H238" s="10" t="s">
        <v>1270</v>
      </c>
      <c r="I238" t="s">
        <v>1271</v>
      </c>
      <c r="J238" t="s">
        <v>1267</v>
      </c>
      <c r="K238" s="57">
        <v>-8.6E-3</v>
      </c>
      <c r="L238" s="57">
        <v>-6.7999999999999996E-3</v>
      </c>
      <c r="M238" s="57">
        <v>-7.7000000000000002E-3</v>
      </c>
      <c r="N238" s="57">
        <v>-2.81E-2</v>
      </c>
      <c r="O238" s="57">
        <v>8.3000000000000001E-3</v>
      </c>
      <c r="P238" s="57">
        <v>-6.7299999999999999E-2</v>
      </c>
      <c r="Q238" s="57">
        <v>-0.17760000000000001</v>
      </c>
      <c r="R238" s="57">
        <v>-0.2283</v>
      </c>
      <c r="S238">
        <v>68.19</v>
      </c>
      <c r="T238">
        <v>24.93</v>
      </c>
      <c r="U238">
        <v>94.74</v>
      </c>
      <c r="V238" s="20">
        <v>500.75084000000004</v>
      </c>
    </row>
    <row r="239" spans="7:22" x14ac:dyDescent="0.15">
      <c r="G239" s="11">
        <v>238</v>
      </c>
      <c r="H239" s="10" t="s">
        <v>2091</v>
      </c>
      <c r="I239" t="s">
        <v>2092</v>
      </c>
      <c r="J239" t="s">
        <v>2058</v>
      </c>
      <c r="K239" s="57">
        <v>-8.0000000000000004E-4</v>
      </c>
      <c r="L239" s="57">
        <v>-2.0000000000000001E-4</v>
      </c>
      <c r="M239" s="57">
        <v>-2.0000000000000001E-4</v>
      </c>
      <c r="N239" s="57">
        <v>-2.0000000000000001E-4</v>
      </c>
      <c r="O239" s="57">
        <v>-2.0000000000000001E-4</v>
      </c>
      <c r="P239" s="57">
        <v>-2.0000000000000001E-4</v>
      </c>
      <c r="Q239" s="57">
        <v>-2.0000000000000001E-4</v>
      </c>
      <c r="R239" s="57">
        <v>-2.0000000000000001E-4</v>
      </c>
      <c r="S239">
        <v>68.06</v>
      </c>
      <c r="T239">
        <v>55.8</v>
      </c>
      <c r="U239">
        <v>63.75</v>
      </c>
      <c r="V239" s="20">
        <v>3328.7827000000002</v>
      </c>
    </row>
    <row r="240" spans="7:22" x14ac:dyDescent="0.15">
      <c r="G240" s="11">
        <v>239</v>
      </c>
      <c r="H240" s="10" t="s">
        <v>1577</v>
      </c>
      <c r="I240" t="s">
        <v>1578</v>
      </c>
      <c r="J240" t="s">
        <v>1665</v>
      </c>
      <c r="K240" s="57">
        <v>-7.7999999999999996E-3</v>
      </c>
      <c r="L240" s="57">
        <v>-1.0200000000000001E-2</v>
      </c>
      <c r="M240" s="57">
        <v>-9.2999999999999992E-3</v>
      </c>
      <c r="N240" s="57">
        <v>-2.6800000000000001E-2</v>
      </c>
      <c r="O240" s="57">
        <v>1.6500000000000001E-2</v>
      </c>
      <c r="P240" s="57">
        <v>-5.16E-2</v>
      </c>
      <c r="Q240" s="57">
        <v>-0.12520000000000001</v>
      </c>
      <c r="R240" s="57">
        <v>-0.12520000000000001</v>
      </c>
      <c r="S240">
        <v>67.92</v>
      </c>
      <c r="T240">
        <v>25.88</v>
      </c>
      <c r="U240">
        <v>93.67</v>
      </c>
      <c r="V240" s="20">
        <v>1125.41137</v>
      </c>
    </row>
    <row r="241" spans="7:22" x14ac:dyDescent="0.15">
      <c r="G241" s="11">
        <v>240</v>
      </c>
      <c r="H241" s="10" t="s">
        <v>436</v>
      </c>
      <c r="I241" t="s">
        <v>1089</v>
      </c>
      <c r="J241" t="s">
        <v>851</v>
      </c>
      <c r="K241" s="57">
        <v>1E-3</v>
      </c>
      <c r="L241" s="57">
        <v>-1.35E-2</v>
      </c>
      <c r="M241" s="57">
        <v>-3.04E-2</v>
      </c>
      <c r="N241" s="57">
        <v>4.1300000000000003E-2</v>
      </c>
      <c r="O241" s="57">
        <v>8.7800000000000003E-2</v>
      </c>
      <c r="P241" s="57">
        <v>-0.14680000000000001</v>
      </c>
      <c r="Q241" s="57">
        <v>-0.2656</v>
      </c>
      <c r="R241" s="57">
        <v>-2.6700000000000002E-2</v>
      </c>
      <c r="S241">
        <v>67.790000000000006</v>
      </c>
      <c r="T241">
        <v>89.49</v>
      </c>
      <c r="U241">
        <v>30.05</v>
      </c>
      <c r="V241" s="20">
        <v>10626.85252</v>
      </c>
    </row>
    <row r="242" spans="7:22" x14ac:dyDescent="0.15">
      <c r="G242" s="11">
        <v>241</v>
      </c>
      <c r="H242" s="10" t="s">
        <v>2069</v>
      </c>
      <c r="I242" t="s">
        <v>2070</v>
      </c>
      <c r="J242" t="s">
        <v>2058</v>
      </c>
      <c r="K242" s="57">
        <v>-5.8999999999999999E-3</v>
      </c>
      <c r="L242" s="57">
        <v>-7.4999999999999997E-3</v>
      </c>
      <c r="M242" s="57">
        <v>-3.3E-3</v>
      </c>
      <c r="N242" s="57">
        <v>-2.35E-2</v>
      </c>
      <c r="O242" s="57">
        <v>3.2300000000000002E-2</v>
      </c>
      <c r="P242" s="57">
        <v>3.9100000000000003E-2</v>
      </c>
      <c r="Q242" s="57">
        <v>3.9100000000000003E-2</v>
      </c>
      <c r="R242" s="57">
        <v>3.9100000000000003E-2</v>
      </c>
      <c r="S242">
        <v>67.650000000000006</v>
      </c>
      <c r="T242">
        <v>28.98</v>
      </c>
      <c r="U242">
        <v>90.43</v>
      </c>
      <c r="V242" s="20">
        <v>1381.1864</v>
      </c>
    </row>
    <row r="243" spans="7:22" x14ac:dyDescent="0.15">
      <c r="G243" s="11">
        <v>242</v>
      </c>
      <c r="H243" s="10" t="s">
        <v>475</v>
      </c>
      <c r="I243" t="s">
        <v>1107</v>
      </c>
      <c r="J243" t="s">
        <v>851</v>
      </c>
      <c r="K243" s="57">
        <v>1.1999999999999999E-3</v>
      </c>
      <c r="L243" s="57">
        <v>5.3699999999999998E-2</v>
      </c>
      <c r="M243" s="57">
        <v>8.6499999999999994E-2</v>
      </c>
      <c r="N243" s="57">
        <v>5.4100000000000002E-2</v>
      </c>
      <c r="O243" s="57">
        <v>0.32969999999999999</v>
      </c>
      <c r="P243" s="57">
        <v>0.2104</v>
      </c>
      <c r="Q243" s="57">
        <v>0.1027</v>
      </c>
      <c r="R243" s="57">
        <v>0.5242</v>
      </c>
      <c r="S243">
        <v>67.52</v>
      </c>
      <c r="T243">
        <v>92.59</v>
      </c>
      <c r="U243">
        <v>26.68</v>
      </c>
      <c r="V243" s="20">
        <v>20106.972656099999</v>
      </c>
    </row>
    <row r="244" spans="7:22" x14ac:dyDescent="0.15">
      <c r="G244" s="11">
        <v>243</v>
      </c>
      <c r="H244" s="10" t="s">
        <v>1423</v>
      </c>
      <c r="I244" t="s">
        <v>1424</v>
      </c>
      <c r="J244" t="s">
        <v>1665</v>
      </c>
      <c r="K244" s="57">
        <v>-1.1000000000000001E-3</v>
      </c>
      <c r="L244" s="57">
        <v>-2.3E-3</v>
      </c>
      <c r="M244" s="57">
        <v>4.7999999999999996E-3</v>
      </c>
      <c r="N244" s="57">
        <v>-5.1000000000000004E-3</v>
      </c>
      <c r="O244" s="57">
        <v>0.11700000000000001</v>
      </c>
      <c r="P244" s="57">
        <v>-7.2099999999999997E-2</v>
      </c>
      <c r="Q244" s="57">
        <v>-0.22459999999999999</v>
      </c>
      <c r="R244" s="57">
        <v>-0.2021</v>
      </c>
      <c r="S244">
        <v>67.39</v>
      </c>
      <c r="T244">
        <v>50.27</v>
      </c>
      <c r="U244">
        <v>68.87</v>
      </c>
      <c r="V244" s="20">
        <v>323.42608999999999</v>
      </c>
    </row>
    <row r="245" spans="7:22" x14ac:dyDescent="0.15">
      <c r="G245" s="11">
        <v>244</v>
      </c>
      <c r="H245" s="10" t="s">
        <v>1258</v>
      </c>
      <c r="I245" t="s">
        <v>1259</v>
      </c>
      <c r="J245" t="s">
        <v>851</v>
      </c>
      <c r="K245" s="57">
        <v>-4.5999999999999999E-3</v>
      </c>
      <c r="L245" s="57">
        <v>-7.4000000000000003E-3</v>
      </c>
      <c r="M245" s="57">
        <v>-2.0999999999999999E-3</v>
      </c>
      <c r="N245" s="57">
        <v>-2.06E-2</v>
      </c>
      <c r="O245" s="57">
        <v>3.7100000000000001E-2</v>
      </c>
      <c r="P245" s="57">
        <v>-6.8199999999999997E-2</v>
      </c>
      <c r="Q245" s="57">
        <v>-0.15240000000000001</v>
      </c>
      <c r="R245" s="57">
        <v>-0.23949999999999999</v>
      </c>
      <c r="S245">
        <v>67.25</v>
      </c>
      <c r="T245">
        <v>31.81</v>
      </c>
      <c r="U245">
        <v>87.2</v>
      </c>
      <c r="V245" s="20">
        <v>456.3064</v>
      </c>
    </row>
    <row r="246" spans="7:22" x14ac:dyDescent="0.15">
      <c r="G246" s="11">
        <v>245</v>
      </c>
      <c r="H246" s="10" t="s">
        <v>367</v>
      </c>
      <c r="I246" t="s">
        <v>1161</v>
      </c>
      <c r="J246" t="s">
        <v>1161</v>
      </c>
      <c r="K246" s="57">
        <v>8.0000000000000004E-4</v>
      </c>
      <c r="L246" s="57">
        <v>-1.04E-2</v>
      </c>
      <c r="M246" s="57">
        <v>-1.0500000000000001E-2</v>
      </c>
      <c r="N246" s="57">
        <v>2.75E-2</v>
      </c>
      <c r="O246" s="57">
        <v>-3.78E-2</v>
      </c>
      <c r="P246" s="57">
        <v>-2.52E-2</v>
      </c>
      <c r="Q246" s="57">
        <v>5.0999999999999997E-2</v>
      </c>
      <c r="R246" s="57">
        <v>-0.10970000000000001</v>
      </c>
      <c r="S246">
        <v>67.12</v>
      </c>
      <c r="T246">
        <v>84.64</v>
      </c>
      <c r="U246">
        <v>34.1</v>
      </c>
      <c r="V246" s="20">
        <v>47448.070099999997</v>
      </c>
    </row>
    <row r="247" spans="7:22" x14ac:dyDescent="0.15">
      <c r="G247" s="11">
        <v>246</v>
      </c>
      <c r="H247" s="10" t="s">
        <v>2061</v>
      </c>
      <c r="I247" t="s">
        <v>2062</v>
      </c>
      <c r="J247" t="s">
        <v>2058</v>
      </c>
      <c r="K247" s="57">
        <v>-4.0000000000000002E-4</v>
      </c>
      <c r="L247" s="57">
        <v>3.3999999999999998E-3</v>
      </c>
      <c r="M247" s="57">
        <v>3.3999999999999998E-3</v>
      </c>
      <c r="N247" s="57">
        <v>3.3999999999999998E-3</v>
      </c>
      <c r="O247" s="57">
        <v>3.3999999999999998E-3</v>
      </c>
      <c r="P247" s="57">
        <v>3.3999999999999998E-3</v>
      </c>
      <c r="Q247" s="57">
        <v>3.3999999999999998E-3</v>
      </c>
      <c r="R247" s="57">
        <v>3.3999999999999998E-3</v>
      </c>
      <c r="S247">
        <v>66.98</v>
      </c>
      <c r="T247">
        <v>62.13</v>
      </c>
      <c r="U247">
        <v>56.2</v>
      </c>
      <c r="V247" s="20">
        <v>1390.3965280999998</v>
      </c>
    </row>
    <row r="248" spans="7:22" x14ac:dyDescent="0.15">
      <c r="G248" s="11">
        <v>247</v>
      </c>
      <c r="H248" s="10" t="s">
        <v>1467</v>
      </c>
      <c r="I248" t="s">
        <v>1468</v>
      </c>
      <c r="J248" t="s">
        <v>1665</v>
      </c>
      <c r="K248" s="57">
        <v>1E-3</v>
      </c>
      <c r="L248" s="57">
        <v>-1.41E-2</v>
      </c>
      <c r="M248" s="57">
        <v>-4.8999999999999998E-3</v>
      </c>
      <c r="N248" s="57">
        <v>3.85E-2</v>
      </c>
      <c r="O248" s="57">
        <v>8.5000000000000006E-2</v>
      </c>
      <c r="P248" s="57">
        <v>-0.13769999999999999</v>
      </c>
      <c r="Q248" s="57">
        <v>-0.2238</v>
      </c>
      <c r="R248" s="57">
        <v>-0.2238</v>
      </c>
      <c r="S248">
        <v>66.849999999999994</v>
      </c>
      <c r="T248">
        <v>88.68</v>
      </c>
      <c r="U248">
        <v>29.51</v>
      </c>
      <c r="V248" s="20">
        <v>759.05680999999993</v>
      </c>
    </row>
    <row r="249" spans="7:22" x14ac:dyDescent="0.15">
      <c r="G249" s="11">
        <v>248</v>
      </c>
      <c r="H249" s="10" t="s">
        <v>1632</v>
      </c>
      <c r="I249" t="s">
        <v>1633</v>
      </c>
      <c r="J249" t="s">
        <v>1665</v>
      </c>
      <c r="K249" s="57">
        <v>4.0000000000000002E-4</v>
      </c>
      <c r="L249" s="57">
        <v>-3.8E-3</v>
      </c>
      <c r="M249" s="57">
        <v>2.58E-2</v>
      </c>
      <c r="N249" s="57">
        <v>1.7500000000000002E-2</v>
      </c>
      <c r="O249" s="57">
        <v>8.0199999999999994E-2</v>
      </c>
      <c r="P249" s="57">
        <v>-1.84E-2</v>
      </c>
      <c r="Q249" s="57">
        <v>-6.0400000000000002E-2</v>
      </c>
      <c r="R249" s="57">
        <v>-6.0400000000000002E-2</v>
      </c>
      <c r="S249">
        <v>66.709999999999994</v>
      </c>
      <c r="T249">
        <v>78.03</v>
      </c>
      <c r="U249">
        <v>39.89</v>
      </c>
      <c r="V249" s="20">
        <v>18873.098699999999</v>
      </c>
    </row>
    <row r="250" spans="7:22" x14ac:dyDescent="0.15">
      <c r="G250" s="11">
        <v>249</v>
      </c>
      <c r="H250" s="10" t="s">
        <v>1343</v>
      </c>
      <c r="I250" t="s">
        <v>1344</v>
      </c>
      <c r="J250" t="s">
        <v>1665</v>
      </c>
      <c r="K250" s="57">
        <v>1.4E-3</v>
      </c>
      <c r="L250" s="57">
        <v>-5.8999999999999999E-3</v>
      </c>
      <c r="M250" s="57">
        <v>1.8E-3</v>
      </c>
      <c r="N250" s="57">
        <v>5.57E-2</v>
      </c>
      <c r="O250" s="57">
        <v>0.10390000000000001</v>
      </c>
      <c r="P250" s="57">
        <v>-0.14380000000000001</v>
      </c>
      <c r="Q250" s="57">
        <v>-0.1542</v>
      </c>
      <c r="R250" s="57">
        <v>-0.1542</v>
      </c>
      <c r="S250">
        <v>66.58</v>
      </c>
      <c r="T250">
        <v>93.26</v>
      </c>
      <c r="U250">
        <v>24.12</v>
      </c>
      <c r="V250" s="20">
        <v>435.71564999999998</v>
      </c>
    </row>
    <row r="251" spans="7:22" x14ac:dyDescent="0.15">
      <c r="G251" s="11">
        <v>250</v>
      </c>
      <c r="H251" s="10" t="s">
        <v>604</v>
      </c>
      <c r="I251" t="s">
        <v>1109</v>
      </c>
      <c r="J251" t="s">
        <v>851</v>
      </c>
      <c r="K251" s="57">
        <v>-1.6999999999999999E-3</v>
      </c>
      <c r="L251" s="57">
        <v>-2.7000000000000001E-3</v>
      </c>
      <c r="M251" s="57">
        <v>4.1000000000000003E-3</v>
      </c>
      <c r="N251" s="57">
        <v>-1.12E-2</v>
      </c>
      <c r="O251" s="57">
        <v>0.10009999999999999</v>
      </c>
      <c r="P251" s="57">
        <v>-5.6800000000000003E-2</v>
      </c>
      <c r="Q251" s="57">
        <v>-0.17899999999999999</v>
      </c>
      <c r="R251" s="57">
        <v>-5.8000000000000003E-2</v>
      </c>
      <c r="S251">
        <v>66.44</v>
      </c>
      <c r="T251">
        <v>41.51</v>
      </c>
      <c r="U251">
        <v>75.739999999999995</v>
      </c>
      <c r="V251" s="20">
        <v>6559.9742299999998</v>
      </c>
    </row>
    <row r="252" spans="7:22" x14ac:dyDescent="0.15">
      <c r="G252" s="11">
        <v>251</v>
      </c>
      <c r="H252" s="10" t="s">
        <v>1402</v>
      </c>
      <c r="I252" t="s">
        <v>1403</v>
      </c>
      <c r="J252" t="s">
        <v>1665</v>
      </c>
      <c r="K252" s="57">
        <v>2.0000000000000001E-4</v>
      </c>
      <c r="L252" s="57">
        <v>1.18E-2</v>
      </c>
      <c r="M252" s="57">
        <v>2.0400000000000001E-2</v>
      </c>
      <c r="N252" s="57">
        <v>1.2800000000000001E-2</v>
      </c>
      <c r="O252" s="57">
        <v>0.18720000000000001</v>
      </c>
      <c r="P252" s="57">
        <v>-4.24E-2</v>
      </c>
      <c r="Q252" s="57">
        <v>-0.18260000000000001</v>
      </c>
      <c r="R252" s="57">
        <v>-5.1200000000000002E-2</v>
      </c>
      <c r="S252">
        <v>66.31</v>
      </c>
      <c r="T252">
        <v>72.64</v>
      </c>
      <c r="U252">
        <v>44.34</v>
      </c>
      <c r="V252" s="20">
        <v>94.225169999999991</v>
      </c>
    </row>
    <row r="253" spans="7:22" x14ac:dyDescent="0.15">
      <c r="G253" s="11">
        <v>252</v>
      </c>
      <c r="H253" s="10" t="s">
        <v>2100</v>
      </c>
      <c r="I253" t="s">
        <v>2101</v>
      </c>
      <c r="J253" t="s">
        <v>2058</v>
      </c>
      <c r="K253" s="57">
        <v>2.0000000000000001E-4</v>
      </c>
      <c r="L253" s="57">
        <v>1.2800000000000001E-2</v>
      </c>
      <c r="M253" s="57">
        <v>1.2800000000000001E-2</v>
      </c>
      <c r="N253" s="57">
        <v>1.2800000000000001E-2</v>
      </c>
      <c r="O253" s="57">
        <v>1.2800000000000001E-2</v>
      </c>
      <c r="P253" s="57">
        <v>1.2800000000000001E-2</v>
      </c>
      <c r="Q253" s="57">
        <v>1.2800000000000001E-2</v>
      </c>
      <c r="R253" s="57">
        <v>1.2800000000000001E-2</v>
      </c>
      <c r="S253">
        <v>66.17</v>
      </c>
      <c r="T253">
        <v>72.78</v>
      </c>
      <c r="U253">
        <v>44.2</v>
      </c>
      <c r="V253" s="20">
        <v>198.18334870000001</v>
      </c>
    </row>
    <row r="254" spans="7:22" x14ac:dyDescent="0.15">
      <c r="G254" s="11">
        <v>253</v>
      </c>
      <c r="H254" s="10" t="s">
        <v>1455</v>
      </c>
      <c r="I254" t="s">
        <v>1456</v>
      </c>
      <c r="J254" t="s">
        <v>1665</v>
      </c>
      <c r="K254" s="57">
        <v>1.1000000000000001E-3</v>
      </c>
      <c r="L254" s="57">
        <v>-1.44E-2</v>
      </c>
      <c r="M254" s="57">
        <v>-5.4999999999999997E-3</v>
      </c>
      <c r="N254" s="57">
        <v>3.7600000000000001E-2</v>
      </c>
      <c r="O254" s="57">
        <v>8.0199999999999994E-2</v>
      </c>
      <c r="P254" s="57">
        <v>-0.1414</v>
      </c>
      <c r="Q254" s="57">
        <v>-0.16489999999999999</v>
      </c>
      <c r="R254" s="57">
        <v>-0.16489999999999999</v>
      </c>
      <c r="S254">
        <v>66.040000000000006</v>
      </c>
      <c r="T254">
        <v>88.41</v>
      </c>
      <c r="U254">
        <v>28.44</v>
      </c>
      <c r="V254" s="20">
        <v>238.36109999999999</v>
      </c>
    </row>
    <row r="255" spans="7:22" x14ac:dyDescent="0.15">
      <c r="G255" s="11">
        <v>254</v>
      </c>
      <c r="H255" s="10" t="s">
        <v>602</v>
      </c>
      <c r="I255" t="s">
        <v>888</v>
      </c>
      <c r="J255" t="s">
        <v>851</v>
      </c>
      <c r="K255" s="57">
        <v>-8.9999999999999998E-4</v>
      </c>
      <c r="L255" s="57">
        <v>-2.7E-2</v>
      </c>
      <c r="M255" s="57">
        <v>-1.7399999999999999E-2</v>
      </c>
      <c r="N255" s="57">
        <v>-3.3999999999999998E-3</v>
      </c>
      <c r="O255" s="57">
        <v>3.04E-2</v>
      </c>
      <c r="P255" s="57">
        <v>-0.1356</v>
      </c>
      <c r="Q255" s="57">
        <v>-0.27010000000000001</v>
      </c>
      <c r="R255" s="57">
        <v>-0.27510000000000001</v>
      </c>
      <c r="S255">
        <v>65.900000000000006</v>
      </c>
      <c r="T255">
        <v>51.35</v>
      </c>
      <c r="U255">
        <v>64.959999999999994</v>
      </c>
      <c r="V255" s="20">
        <v>422.20569999999998</v>
      </c>
    </row>
    <row r="256" spans="7:22" x14ac:dyDescent="0.15">
      <c r="G256" s="11">
        <v>255</v>
      </c>
      <c r="H256" s="10" t="s">
        <v>500</v>
      </c>
      <c r="I256" t="s">
        <v>961</v>
      </c>
      <c r="J256" t="s">
        <v>851</v>
      </c>
      <c r="K256" s="57">
        <v>1.2999999999999999E-3</v>
      </c>
      <c r="L256" s="57">
        <v>-1.9800000000000002E-2</v>
      </c>
      <c r="M256" s="57">
        <v>-2.0199999999999999E-2</v>
      </c>
      <c r="N256" s="57">
        <v>4.8500000000000001E-2</v>
      </c>
      <c r="O256" s="57">
        <v>7.2900000000000006E-2</v>
      </c>
      <c r="P256" s="57">
        <v>-0.17219999999999999</v>
      </c>
      <c r="Q256" s="57">
        <v>-0.2823</v>
      </c>
      <c r="R256" s="57">
        <v>-0.23630000000000001</v>
      </c>
      <c r="S256">
        <v>65.77</v>
      </c>
      <c r="T256">
        <v>90.57</v>
      </c>
      <c r="U256">
        <v>25.74</v>
      </c>
      <c r="V256" s="20">
        <v>1263.317</v>
      </c>
    </row>
    <row r="257" spans="7:22" x14ac:dyDescent="0.15">
      <c r="G257" s="11">
        <v>256</v>
      </c>
      <c r="H257" s="10" t="s">
        <v>631</v>
      </c>
      <c r="I257" t="s">
        <v>891</v>
      </c>
      <c r="J257" t="s">
        <v>851</v>
      </c>
      <c r="K257" s="57">
        <v>-1E-3</v>
      </c>
      <c r="L257" s="57">
        <v>-2.5000000000000001E-3</v>
      </c>
      <c r="M257" s="57">
        <v>1.54E-2</v>
      </c>
      <c r="N257" s="57">
        <v>-6.4000000000000003E-3</v>
      </c>
      <c r="O257" s="57">
        <v>-1.6999999999999999E-3</v>
      </c>
      <c r="P257" s="57">
        <v>-0.1129</v>
      </c>
      <c r="Q257" s="57">
        <v>-0.1069</v>
      </c>
      <c r="R257" s="57">
        <v>-0.16420000000000001</v>
      </c>
      <c r="S257">
        <v>65.63</v>
      </c>
      <c r="T257">
        <v>48.52</v>
      </c>
      <c r="U257">
        <v>67.39</v>
      </c>
      <c r="V257" s="20">
        <v>311.39647000000002</v>
      </c>
    </row>
    <row r="258" spans="7:22" x14ac:dyDescent="0.15">
      <c r="G258" s="11">
        <v>257</v>
      </c>
      <c r="H258" s="10" t="s">
        <v>1256</v>
      </c>
      <c r="I258" t="s">
        <v>1257</v>
      </c>
      <c r="J258" t="s">
        <v>851</v>
      </c>
      <c r="K258" s="57">
        <v>-2.5999999999999999E-3</v>
      </c>
      <c r="L258" s="57">
        <v>-7.3000000000000001E-3</v>
      </c>
      <c r="M258" s="57">
        <v>-1.2999999999999999E-3</v>
      </c>
      <c r="N258" s="57">
        <v>-1.84E-2</v>
      </c>
      <c r="O258" s="57">
        <v>4.2099999999999999E-2</v>
      </c>
      <c r="P258" s="57">
        <v>-6.7699999999999996E-2</v>
      </c>
      <c r="Q258" s="57">
        <v>-0.1522</v>
      </c>
      <c r="R258" s="57">
        <v>-0.23599999999999999</v>
      </c>
      <c r="S258">
        <v>65.5</v>
      </c>
      <c r="T258">
        <v>34.64</v>
      </c>
      <c r="U258">
        <v>81</v>
      </c>
      <c r="V258" s="20">
        <v>143.99719999999999</v>
      </c>
    </row>
    <row r="259" spans="7:22" x14ac:dyDescent="0.15">
      <c r="G259" s="11">
        <v>258</v>
      </c>
      <c r="H259" s="10" t="s">
        <v>321</v>
      </c>
      <c r="I259" t="s">
        <v>244</v>
      </c>
      <c r="J259" t="s">
        <v>1221</v>
      </c>
      <c r="K259" s="57">
        <v>4.0000000000000002E-4</v>
      </c>
      <c r="L259" s="57">
        <v>-1.49E-2</v>
      </c>
      <c r="M259" s="57">
        <v>-2.8500000000000001E-2</v>
      </c>
      <c r="N259" s="57">
        <v>1.6E-2</v>
      </c>
      <c r="O259" s="57">
        <v>3.0499999999999999E-2</v>
      </c>
      <c r="P259" s="57">
        <v>-8.9499999999999996E-2</v>
      </c>
      <c r="Q259" s="57">
        <v>-0.2303</v>
      </c>
      <c r="R259" s="57">
        <v>-5.6399999999999999E-2</v>
      </c>
      <c r="S259">
        <v>65.36</v>
      </c>
      <c r="T259">
        <v>75.739999999999995</v>
      </c>
      <c r="U259">
        <v>39.76</v>
      </c>
      <c r="V259" s="20">
        <v>800.17378600000006</v>
      </c>
    </row>
    <row r="260" spans="7:22" x14ac:dyDescent="0.15">
      <c r="G260" s="11">
        <v>259</v>
      </c>
      <c r="H260" s="10" t="s">
        <v>742</v>
      </c>
      <c r="I260" t="s">
        <v>1145</v>
      </c>
      <c r="J260" t="s">
        <v>851</v>
      </c>
      <c r="K260" s="57">
        <v>-8.9999999999999998E-4</v>
      </c>
      <c r="L260" s="57">
        <v>-1.32E-2</v>
      </c>
      <c r="M260" s="57">
        <v>8.8000000000000005E-3</v>
      </c>
      <c r="N260" s="57">
        <v>-5.4000000000000003E-3</v>
      </c>
      <c r="O260" s="57">
        <v>3.78E-2</v>
      </c>
      <c r="P260" s="57">
        <v>-9.7900000000000001E-2</v>
      </c>
      <c r="Q260" s="57">
        <v>-0.15409999999999999</v>
      </c>
      <c r="R260" s="57">
        <v>-0.1636</v>
      </c>
      <c r="S260">
        <v>65.23</v>
      </c>
      <c r="T260">
        <v>49.73</v>
      </c>
      <c r="U260">
        <v>65.5</v>
      </c>
      <c r="V260" s="20">
        <v>19765.726200000001</v>
      </c>
    </row>
    <row r="261" spans="7:22" x14ac:dyDescent="0.15">
      <c r="G261" s="11">
        <v>260</v>
      </c>
      <c r="H261" s="10" t="s">
        <v>353</v>
      </c>
      <c r="I261" t="s">
        <v>1107</v>
      </c>
      <c r="J261" t="s">
        <v>851</v>
      </c>
      <c r="K261" s="57">
        <v>1.5E-3</v>
      </c>
      <c r="L261" s="57">
        <v>5.3699999999999998E-2</v>
      </c>
      <c r="M261" s="57">
        <v>8.6699999999999999E-2</v>
      </c>
      <c r="N261" s="57">
        <v>5.2600000000000001E-2</v>
      </c>
      <c r="O261" s="57">
        <v>0.32529999999999998</v>
      </c>
      <c r="P261" s="57">
        <v>0.2054</v>
      </c>
      <c r="Q261" s="57">
        <v>8.8900000000000007E-2</v>
      </c>
      <c r="R261" s="57">
        <v>0.81830000000000003</v>
      </c>
      <c r="S261">
        <v>65.09</v>
      </c>
      <c r="T261">
        <v>91.91</v>
      </c>
      <c r="U261">
        <v>22.78</v>
      </c>
      <c r="V261" s="20">
        <v>114169.2519</v>
      </c>
    </row>
    <row r="262" spans="7:22" x14ac:dyDescent="0.15">
      <c r="G262" s="11">
        <v>261</v>
      </c>
      <c r="H262" s="10" t="s">
        <v>733</v>
      </c>
      <c r="I262" t="s">
        <v>1056</v>
      </c>
      <c r="J262" t="s">
        <v>851</v>
      </c>
      <c r="K262" s="57">
        <v>5.0000000000000001E-4</v>
      </c>
      <c r="L262" s="57">
        <v>-3.8999999999999998E-3</v>
      </c>
      <c r="M262" s="57">
        <v>4.02E-2</v>
      </c>
      <c r="N262" s="57">
        <v>1.67E-2</v>
      </c>
      <c r="O262" s="57">
        <v>5.8500000000000003E-2</v>
      </c>
      <c r="P262" s="57">
        <v>-8.6400000000000005E-2</v>
      </c>
      <c r="Q262" s="57">
        <v>-0.1263</v>
      </c>
      <c r="R262" s="57">
        <v>-0.1134</v>
      </c>
      <c r="S262">
        <v>64.959999999999994</v>
      </c>
      <c r="T262">
        <v>76.680000000000007</v>
      </c>
      <c r="U262">
        <v>38.01</v>
      </c>
      <c r="V262" s="20">
        <v>2265.9123199999999</v>
      </c>
    </row>
    <row r="263" spans="7:22" x14ac:dyDescent="0.15">
      <c r="G263" s="11">
        <v>262</v>
      </c>
      <c r="H263" s="10" t="s">
        <v>1254</v>
      </c>
      <c r="I263" t="s">
        <v>1255</v>
      </c>
      <c r="J263" t="s">
        <v>851</v>
      </c>
      <c r="K263" s="57">
        <v>1.6000000000000001E-3</v>
      </c>
      <c r="L263" s="57">
        <v>-5.7000000000000002E-3</v>
      </c>
      <c r="M263" s="57">
        <v>2.3E-3</v>
      </c>
      <c r="N263" s="57">
        <v>5.6899999999999999E-2</v>
      </c>
      <c r="O263" s="57">
        <v>0.1108</v>
      </c>
      <c r="P263" s="57">
        <v>-0.13850000000000001</v>
      </c>
      <c r="Q263" s="57">
        <v>-0.25319999999999998</v>
      </c>
      <c r="R263" s="57">
        <v>-0.25319999999999998</v>
      </c>
      <c r="S263">
        <v>64.819999999999993</v>
      </c>
      <c r="T263">
        <v>93.94</v>
      </c>
      <c r="U263">
        <v>20.62</v>
      </c>
      <c r="V263" s="20">
        <v>72.565550000000002</v>
      </c>
    </row>
    <row r="264" spans="7:22" x14ac:dyDescent="0.15">
      <c r="G264" s="11">
        <v>263</v>
      </c>
      <c r="H264" s="10" t="s">
        <v>655</v>
      </c>
      <c r="I264" t="s">
        <v>1063</v>
      </c>
      <c r="J264" t="s">
        <v>851</v>
      </c>
      <c r="K264" s="57">
        <v>1.5E-3</v>
      </c>
      <c r="L264" s="57">
        <v>-2.2000000000000001E-3</v>
      </c>
      <c r="M264" s="57">
        <v>-5.0000000000000001E-4</v>
      </c>
      <c r="N264" s="57">
        <v>4.99E-2</v>
      </c>
      <c r="O264" s="57">
        <v>0.106</v>
      </c>
      <c r="P264" s="57">
        <v>-0.1285</v>
      </c>
      <c r="Q264" s="57">
        <v>-0.23400000000000001</v>
      </c>
      <c r="R264" s="57">
        <v>-0.30130000000000001</v>
      </c>
      <c r="S264">
        <v>64.69</v>
      </c>
      <c r="T264">
        <v>91.11</v>
      </c>
      <c r="U264">
        <v>23.45</v>
      </c>
      <c r="V264" s="20">
        <v>11140.0522</v>
      </c>
    </row>
    <row r="265" spans="7:22" x14ac:dyDescent="0.15">
      <c r="G265" s="11">
        <v>264</v>
      </c>
      <c r="H265" s="10" t="s">
        <v>598</v>
      </c>
      <c r="I265" t="s">
        <v>902</v>
      </c>
      <c r="J265" t="s">
        <v>851</v>
      </c>
      <c r="K265" s="57">
        <v>-2.9999999999999997E-4</v>
      </c>
      <c r="L265" s="57">
        <v>1.2999999999999999E-3</v>
      </c>
      <c r="M265" s="57">
        <v>2.8299999999999999E-2</v>
      </c>
      <c r="N265" s="57">
        <v>3.5999999999999999E-3</v>
      </c>
      <c r="O265" s="57">
        <v>2.2499999999999999E-2</v>
      </c>
      <c r="P265" s="57">
        <v>-3.8399999999999997E-2</v>
      </c>
      <c r="Q265" s="57">
        <v>1.2999999999999999E-3</v>
      </c>
      <c r="R265" s="57">
        <v>0.1</v>
      </c>
      <c r="S265">
        <v>64.56</v>
      </c>
      <c r="T265">
        <v>62.4</v>
      </c>
      <c r="U265">
        <v>52.16</v>
      </c>
      <c r="V265" s="20">
        <v>42.85895</v>
      </c>
    </row>
    <row r="266" spans="7:22" x14ac:dyDescent="0.15">
      <c r="G266" s="11">
        <v>265</v>
      </c>
      <c r="H266" s="10" t="s">
        <v>2110</v>
      </c>
      <c r="I266" t="s">
        <v>2111</v>
      </c>
      <c r="J266" t="s">
        <v>2058</v>
      </c>
      <c r="K266" s="57">
        <v>8.9999999999999998E-4</v>
      </c>
      <c r="L266" s="57">
        <v>2.41E-2</v>
      </c>
      <c r="M266" s="57">
        <v>2.41E-2</v>
      </c>
      <c r="N266" s="57">
        <v>2.41E-2</v>
      </c>
      <c r="O266" s="57">
        <v>2.41E-2</v>
      </c>
      <c r="P266" s="57">
        <v>2.41E-2</v>
      </c>
      <c r="Q266" s="57">
        <v>2.41E-2</v>
      </c>
      <c r="R266" s="57">
        <v>2.41E-2</v>
      </c>
      <c r="S266">
        <v>64.42</v>
      </c>
      <c r="T266">
        <v>82.88</v>
      </c>
      <c r="U266">
        <v>31.27</v>
      </c>
      <c r="V266" s="20">
        <v>147383.31349239999</v>
      </c>
    </row>
    <row r="267" spans="7:22" x14ac:dyDescent="0.15">
      <c r="G267" s="11">
        <v>266</v>
      </c>
      <c r="H267" s="10" t="s">
        <v>2075</v>
      </c>
      <c r="I267" t="s">
        <v>2076</v>
      </c>
      <c r="J267" t="s">
        <v>2058</v>
      </c>
      <c r="K267" s="57">
        <v>-1E-4</v>
      </c>
      <c r="L267" s="57">
        <v>7.1000000000000004E-3</v>
      </c>
      <c r="M267" s="57">
        <v>7.1000000000000004E-3</v>
      </c>
      <c r="N267" s="57">
        <v>7.1000000000000004E-3</v>
      </c>
      <c r="O267" s="57">
        <v>7.1000000000000004E-3</v>
      </c>
      <c r="P267" s="57">
        <v>7.1000000000000004E-3</v>
      </c>
      <c r="Q267" s="57">
        <v>7.1000000000000004E-3</v>
      </c>
      <c r="R267" s="57">
        <v>7.1000000000000004E-3</v>
      </c>
      <c r="S267">
        <v>64.290000000000006</v>
      </c>
      <c r="T267">
        <v>65.900000000000006</v>
      </c>
      <c r="U267">
        <v>48.11</v>
      </c>
      <c r="V267" s="20">
        <v>207.13890000000001</v>
      </c>
    </row>
    <row r="268" spans="7:22" x14ac:dyDescent="0.15">
      <c r="G268" s="11">
        <v>267</v>
      </c>
      <c r="H268" s="10" t="s">
        <v>752</v>
      </c>
      <c r="I268" t="s">
        <v>1182</v>
      </c>
      <c r="J268" t="s">
        <v>1177</v>
      </c>
      <c r="K268" s="57">
        <v>1.8E-3</v>
      </c>
      <c r="L268" s="57">
        <v>2.2800000000000001E-2</v>
      </c>
      <c r="M268" s="57">
        <v>2.5899999999999999E-2</v>
      </c>
      <c r="N268" s="57">
        <v>6.8099999999999994E-2</v>
      </c>
      <c r="O268" s="57">
        <v>9.2799999999999994E-2</v>
      </c>
      <c r="P268" s="57">
        <v>6.3299999999999995E-2</v>
      </c>
      <c r="Q268" s="57">
        <v>4.4200000000000003E-2</v>
      </c>
      <c r="R268" s="57">
        <v>0.36549999999999999</v>
      </c>
      <c r="S268">
        <v>64.150000000000006</v>
      </c>
      <c r="T268">
        <v>95.82</v>
      </c>
      <c r="U268">
        <v>18.190000000000001</v>
      </c>
      <c r="V268" s="20">
        <v>87.461415099999996</v>
      </c>
    </row>
    <row r="269" spans="7:22" x14ac:dyDescent="0.15">
      <c r="G269" s="11">
        <v>268</v>
      </c>
      <c r="H269" s="10" t="s">
        <v>1433</v>
      </c>
      <c r="I269" t="s">
        <v>1434</v>
      </c>
      <c r="J269" t="s">
        <v>1665</v>
      </c>
      <c r="K269" s="57">
        <v>-2.5000000000000001E-3</v>
      </c>
      <c r="L269" s="57">
        <v>-7.0000000000000001E-3</v>
      </c>
      <c r="M269" s="57">
        <v>2.0999999999999999E-3</v>
      </c>
      <c r="N269" s="57">
        <v>-1.9099999999999999E-2</v>
      </c>
      <c r="O269" s="57">
        <v>0.1605</v>
      </c>
      <c r="P269" s="57">
        <v>5.0000000000000001E-3</v>
      </c>
      <c r="Q269" s="57">
        <v>-0.1308</v>
      </c>
      <c r="R269" s="57">
        <v>0.23</v>
      </c>
      <c r="S269">
        <v>64.02</v>
      </c>
      <c r="T269">
        <v>33.29</v>
      </c>
      <c r="U269">
        <v>80.459999999999994</v>
      </c>
      <c r="V269" s="20">
        <v>1479.8722</v>
      </c>
    </row>
    <row r="270" spans="7:22" x14ac:dyDescent="0.15">
      <c r="G270" s="11">
        <v>269</v>
      </c>
      <c r="H270" s="10" t="s">
        <v>391</v>
      </c>
      <c r="I270" t="s">
        <v>1161</v>
      </c>
      <c r="J270" t="s">
        <v>1161</v>
      </c>
      <c r="K270" s="57">
        <v>1E-3</v>
      </c>
      <c r="L270" s="57">
        <v>-1.04E-2</v>
      </c>
      <c r="M270" s="57">
        <v>-1.06E-2</v>
      </c>
      <c r="N270" s="57">
        <v>2.7400000000000001E-2</v>
      </c>
      <c r="O270" s="57">
        <v>-3.7900000000000003E-2</v>
      </c>
      <c r="P270" s="57">
        <v>-2.5399999999999999E-2</v>
      </c>
      <c r="Q270" s="57">
        <v>0.05</v>
      </c>
      <c r="R270" s="57">
        <v>-0.11119999999999999</v>
      </c>
      <c r="S270">
        <v>63.88</v>
      </c>
      <c r="T270">
        <v>84.5</v>
      </c>
      <c r="U270">
        <v>29.11</v>
      </c>
      <c r="V270" s="20">
        <v>7638.4934810000004</v>
      </c>
    </row>
    <row r="271" spans="7:22" x14ac:dyDescent="0.15">
      <c r="G271" s="11">
        <v>270</v>
      </c>
      <c r="H271" s="10" t="s">
        <v>1583</v>
      </c>
      <c r="I271" t="s">
        <v>1584</v>
      </c>
      <c r="J271" t="s">
        <v>1665</v>
      </c>
      <c r="K271" s="57">
        <v>-4.8999999999999998E-3</v>
      </c>
      <c r="L271" s="57">
        <v>-9.7999999999999997E-3</v>
      </c>
      <c r="M271" s="57">
        <v>-8.9999999999999993E-3</v>
      </c>
      <c r="N271" s="57">
        <v>-2.76E-2</v>
      </c>
      <c r="O271" s="57">
        <v>1.41E-2</v>
      </c>
      <c r="P271" s="57">
        <v>-5.6800000000000003E-2</v>
      </c>
      <c r="Q271" s="57">
        <v>-7.85E-2</v>
      </c>
      <c r="R271" s="57">
        <v>-7.85E-2</v>
      </c>
      <c r="S271">
        <v>63.75</v>
      </c>
      <c r="T271">
        <v>25.47</v>
      </c>
      <c r="U271">
        <v>88.14</v>
      </c>
      <c r="V271" s="20">
        <v>73.741159999999994</v>
      </c>
    </row>
    <row r="272" spans="7:22" x14ac:dyDescent="0.15">
      <c r="G272" s="11">
        <v>271</v>
      </c>
      <c r="H272" s="10" t="s">
        <v>339</v>
      </c>
      <c r="I272" t="s">
        <v>1034</v>
      </c>
      <c r="J272" t="s">
        <v>851</v>
      </c>
      <c r="K272" s="57">
        <v>2.5000000000000001E-3</v>
      </c>
      <c r="L272" s="57">
        <v>2.6200000000000001E-2</v>
      </c>
      <c r="M272" s="57">
        <v>0.1087</v>
      </c>
      <c r="N272" s="57">
        <v>9.7500000000000003E-2</v>
      </c>
      <c r="O272" s="57">
        <v>6.6000000000000003E-2</v>
      </c>
      <c r="P272" s="57">
        <v>0.1827</v>
      </c>
      <c r="Q272" s="57">
        <v>0.49590000000000001</v>
      </c>
      <c r="R272" s="57">
        <v>0.92910000000000004</v>
      </c>
      <c r="S272">
        <v>63.61</v>
      </c>
      <c r="T272">
        <v>99.46</v>
      </c>
      <c r="U272">
        <v>14.15</v>
      </c>
      <c r="V272" s="20">
        <v>2930.6328800000001</v>
      </c>
    </row>
    <row r="273" spans="7:22" x14ac:dyDescent="0.15">
      <c r="G273" s="11">
        <v>272</v>
      </c>
      <c r="H273" s="10" t="s">
        <v>544</v>
      </c>
      <c r="I273" t="s">
        <v>963</v>
      </c>
      <c r="J273" t="s">
        <v>851</v>
      </c>
      <c r="K273" s="57">
        <v>-2.9999999999999997E-4</v>
      </c>
      <c r="L273" s="57">
        <v>-6.7000000000000002E-3</v>
      </c>
      <c r="M273" s="57">
        <v>1.6400000000000001E-2</v>
      </c>
      <c r="N273" s="57">
        <v>2.3999999999999998E-3</v>
      </c>
      <c r="O273" s="57">
        <v>6.2199999999999998E-2</v>
      </c>
      <c r="P273" s="57">
        <v>-3.4099999999999998E-2</v>
      </c>
      <c r="Q273" s="57">
        <v>1.35E-2</v>
      </c>
      <c r="R273" s="57">
        <v>0.10440000000000001</v>
      </c>
      <c r="S273">
        <v>63.48</v>
      </c>
      <c r="T273">
        <v>61.19</v>
      </c>
      <c r="U273">
        <v>52.29</v>
      </c>
      <c r="V273" s="20">
        <v>716.51900000000001</v>
      </c>
    </row>
    <row r="274" spans="7:22" x14ac:dyDescent="0.15">
      <c r="G274" s="11">
        <v>273</v>
      </c>
      <c r="H274" s="10" t="s">
        <v>1353</v>
      </c>
      <c r="I274" t="s">
        <v>1354</v>
      </c>
      <c r="J274" t="s">
        <v>1665</v>
      </c>
      <c r="K274" s="57">
        <v>-1.2999999999999999E-3</v>
      </c>
      <c r="L274" s="57">
        <v>-2.8799999999999999E-2</v>
      </c>
      <c r="M274" s="57">
        <v>-1.37E-2</v>
      </c>
      <c r="N274" s="57">
        <v>-1.0699999999999999E-2</v>
      </c>
      <c r="O274" s="57">
        <v>6.3799999999999996E-2</v>
      </c>
      <c r="P274" s="57">
        <v>-0.106</v>
      </c>
      <c r="Q274" s="57">
        <v>-0.12870000000000001</v>
      </c>
      <c r="R274" s="57">
        <v>0.1885</v>
      </c>
      <c r="S274">
        <v>63.34</v>
      </c>
      <c r="T274">
        <v>42.18</v>
      </c>
      <c r="U274">
        <v>71.290000000000006</v>
      </c>
      <c r="V274" s="20">
        <v>760.83487000000002</v>
      </c>
    </row>
    <row r="275" spans="7:22" x14ac:dyDescent="0.15">
      <c r="G275" s="11">
        <v>274</v>
      </c>
      <c r="H275" s="10" t="s">
        <v>408</v>
      </c>
      <c r="I275" t="s">
        <v>1439</v>
      </c>
      <c r="J275" t="s">
        <v>1665</v>
      </c>
      <c r="K275" s="57">
        <v>-2.9999999999999997E-4</v>
      </c>
      <c r="L275" s="57">
        <v>5.0000000000000001E-4</v>
      </c>
      <c r="M275" s="57">
        <v>5.9999999999999995E-4</v>
      </c>
      <c r="N275" s="57">
        <v>1.9E-3</v>
      </c>
      <c r="O275" s="57">
        <v>5.3E-3</v>
      </c>
      <c r="P275" s="57">
        <v>1.2500000000000001E-2</v>
      </c>
      <c r="Q275" s="57">
        <v>2.6700000000000002E-2</v>
      </c>
      <c r="R275" s="57">
        <v>5.6599999999999998E-2</v>
      </c>
      <c r="S275">
        <v>63.21</v>
      </c>
      <c r="T275">
        <v>60.51</v>
      </c>
      <c r="U275">
        <v>52.83</v>
      </c>
      <c r="V275" s="20">
        <v>534661.48190000001</v>
      </c>
    </row>
    <row r="276" spans="7:22" x14ac:dyDescent="0.15">
      <c r="G276" s="11">
        <v>275</v>
      </c>
      <c r="H276" s="10" t="s">
        <v>379</v>
      </c>
      <c r="I276" t="s">
        <v>1067</v>
      </c>
      <c r="J276" t="s">
        <v>851</v>
      </c>
      <c r="K276" s="57">
        <v>2.9999999999999997E-4</v>
      </c>
      <c r="L276" s="57">
        <v>6.4999999999999997E-3</v>
      </c>
      <c r="M276" s="57">
        <v>5.3E-3</v>
      </c>
      <c r="N276" s="57">
        <v>1.2800000000000001E-2</v>
      </c>
      <c r="O276" s="57">
        <v>0.1507</v>
      </c>
      <c r="P276" s="57">
        <v>-4.4600000000000001E-2</v>
      </c>
      <c r="Q276" s="57">
        <v>-0.28510000000000002</v>
      </c>
      <c r="R276" s="57">
        <v>-0.31419999999999998</v>
      </c>
      <c r="S276">
        <v>63.07</v>
      </c>
      <c r="T276">
        <v>72.91</v>
      </c>
      <c r="U276">
        <v>40.43</v>
      </c>
      <c r="V276" s="20">
        <v>3656.6660000000002</v>
      </c>
    </row>
    <row r="277" spans="7:22" x14ac:dyDescent="0.15">
      <c r="G277" s="11">
        <v>276</v>
      </c>
      <c r="H277" s="10" t="s">
        <v>615</v>
      </c>
      <c r="I277" t="s">
        <v>950</v>
      </c>
      <c r="J277" t="s">
        <v>851</v>
      </c>
      <c r="K277" s="57">
        <v>-2.0000000000000001E-4</v>
      </c>
      <c r="L277" s="57">
        <v>-1.11E-2</v>
      </c>
      <c r="M277" s="57">
        <v>2.3E-3</v>
      </c>
      <c r="N277" s="57">
        <v>2.5000000000000001E-3</v>
      </c>
      <c r="O277" s="57">
        <v>9.3700000000000006E-2</v>
      </c>
      <c r="P277" s="57">
        <v>-6.7500000000000004E-2</v>
      </c>
      <c r="Q277" s="57">
        <v>-0.12870000000000001</v>
      </c>
      <c r="R277" s="57">
        <v>-5.1999999999999998E-2</v>
      </c>
      <c r="S277">
        <v>62.94</v>
      </c>
      <c r="T277">
        <v>61.32</v>
      </c>
      <c r="U277">
        <v>51.75</v>
      </c>
      <c r="V277" s="20">
        <v>364.01220000000001</v>
      </c>
    </row>
    <row r="278" spans="7:22" x14ac:dyDescent="0.15">
      <c r="G278" s="11">
        <v>277</v>
      </c>
      <c r="H278" s="10" t="s">
        <v>2077</v>
      </c>
      <c r="I278" t="s">
        <v>2078</v>
      </c>
      <c r="J278" t="s">
        <v>2058</v>
      </c>
      <c r="K278" s="57">
        <v>-2.3999999999999998E-3</v>
      </c>
      <c r="L278" s="57">
        <v>-9.5999999999999992E-3</v>
      </c>
      <c r="M278" s="57">
        <v>1.24E-2</v>
      </c>
      <c r="N278" s="57">
        <v>-1.9300000000000001E-2</v>
      </c>
      <c r="O278" s="57">
        <v>5.6399999999999999E-2</v>
      </c>
      <c r="P278" s="57">
        <v>-8.1100000000000005E-2</v>
      </c>
      <c r="Q278" s="57">
        <v>-4.5100000000000001E-2</v>
      </c>
      <c r="R278" s="57">
        <v>6.25E-2</v>
      </c>
      <c r="S278">
        <v>62.8</v>
      </c>
      <c r="T278">
        <v>32.880000000000003</v>
      </c>
      <c r="U278">
        <v>79.92</v>
      </c>
      <c r="V278" s="20">
        <v>372.53800000000001</v>
      </c>
    </row>
    <row r="279" spans="7:22" x14ac:dyDescent="0.15">
      <c r="G279" s="11">
        <v>278</v>
      </c>
      <c r="H279" s="10" t="s">
        <v>1453</v>
      </c>
      <c r="I279" t="s">
        <v>1454</v>
      </c>
      <c r="J279" t="s">
        <v>1665</v>
      </c>
      <c r="K279" s="57">
        <v>-1.2999999999999999E-3</v>
      </c>
      <c r="L279" s="57">
        <v>-4.0399999999999998E-2</v>
      </c>
      <c r="M279" s="57">
        <v>-4.0000000000000002E-4</v>
      </c>
      <c r="N279" s="57">
        <v>-1.1299999999999999E-2</v>
      </c>
      <c r="O279" s="57">
        <v>5.33E-2</v>
      </c>
      <c r="P279" s="57">
        <v>-0.1009</v>
      </c>
      <c r="Q279" s="57">
        <v>-0.1479</v>
      </c>
      <c r="R279" s="57">
        <v>-0.1479</v>
      </c>
      <c r="S279">
        <v>62.67</v>
      </c>
      <c r="T279">
        <v>41.24</v>
      </c>
      <c r="U279">
        <v>71.430000000000007</v>
      </c>
      <c r="V279" s="20">
        <v>651.77840000000003</v>
      </c>
    </row>
    <row r="280" spans="7:22" x14ac:dyDescent="0.15">
      <c r="G280" s="11">
        <v>279</v>
      </c>
      <c r="H280" s="10" t="s">
        <v>2130</v>
      </c>
      <c r="I280" t="s">
        <v>2131</v>
      </c>
      <c r="J280" t="s">
        <v>2058</v>
      </c>
      <c r="K280" s="57">
        <v>-2.9999999999999997E-4</v>
      </c>
      <c r="L280" s="57">
        <v>-4.3E-3</v>
      </c>
      <c r="M280" s="57">
        <v>6.6E-3</v>
      </c>
      <c r="N280" s="57">
        <v>4.0000000000000002E-4</v>
      </c>
      <c r="O280" s="57">
        <v>2.2000000000000001E-3</v>
      </c>
      <c r="P280" s="57">
        <v>2.2000000000000001E-3</v>
      </c>
      <c r="Q280" s="57">
        <v>2.2000000000000001E-3</v>
      </c>
      <c r="R280" s="57">
        <v>2.2000000000000001E-3</v>
      </c>
      <c r="S280">
        <v>62.53</v>
      </c>
      <c r="T280">
        <v>58.36</v>
      </c>
      <c r="U280">
        <v>54.31</v>
      </c>
      <c r="V280" s="20">
        <v>2031.0101</v>
      </c>
    </row>
    <row r="281" spans="7:22" x14ac:dyDescent="0.15">
      <c r="G281" s="11">
        <v>280</v>
      </c>
      <c r="H281" s="10" t="s">
        <v>533</v>
      </c>
      <c r="I281" t="s">
        <v>884</v>
      </c>
      <c r="J281" t="s">
        <v>851</v>
      </c>
      <c r="K281" s="57">
        <v>-1.1000000000000001E-3</v>
      </c>
      <c r="L281" s="57">
        <v>-1.23E-2</v>
      </c>
      <c r="M281" s="57">
        <v>-1.5900000000000001E-2</v>
      </c>
      <c r="N281" s="57">
        <v>-1.01E-2</v>
      </c>
      <c r="O281" s="57">
        <v>0.1051</v>
      </c>
      <c r="P281" s="57">
        <v>-7.22E-2</v>
      </c>
      <c r="Q281" s="57">
        <v>-0.2036</v>
      </c>
      <c r="R281" s="57">
        <v>7.6999999999999999E-2</v>
      </c>
      <c r="S281">
        <v>62.4</v>
      </c>
      <c r="T281">
        <v>42.86</v>
      </c>
      <c r="U281">
        <v>69.680000000000007</v>
      </c>
      <c r="V281" s="20">
        <v>574.06780000000003</v>
      </c>
    </row>
    <row r="282" spans="7:22" x14ac:dyDescent="0.15">
      <c r="G282" s="11">
        <v>281</v>
      </c>
      <c r="H282" s="10" t="s">
        <v>1517</v>
      </c>
      <c r="I282" t="s">
        <v>1518</v>
      </c>
      <c r="J282" t="s">
        <v>1665</v>
      </c>
      <c r="K282" s="57">
        <v>-1.9E-3</v>
      </c>
      <c r="L282" s="57">
        <v>-1.0800000000000001E-2</v>
      </c>
      <c r="M282" s="57">
        <v>-3.8999999999999998E-3</v>
      </c>
      <c r="N282" s="57">
        <v>-1.7100000000000001E-2</v>
      </c>
      <c r="O282" s="57">
        <v>2.9399999999999999E-2</v>
      </c>
      <c r="P282" s="57">
        <v>-9.7900000000000001E-2</v>
      </c>
      <c r="Q282" s="57">
        <v>-0.1724</v>
      </c>
      <c r="R282" s="57">
        <v>-0.1724</v>
      </c>
      <c r="S282">
        <v>62.26</v>
      </c>
      <c r="T282">
        <v>36.119999999999997</v>
      </c>
      <c r="U282">
        <v>76.42</v>
      </c>
      <c r="V282" s="20">
        <v>642.28700000000003</v>
      </c>
    </row>
    <row r="283" spans="7:22" x14ac:dyDescent="0.15">
      <c r="G283" s="11">
        <v>282</v>
      </c>
      <c r="H283" s="10" t="s">
        <v>537</v>
      </c>
      <c r="I283" t="s">
        <v>1154</v>
      </c>
      <c r="J283" t="s">
        <v>851</v>
      </c>
      <c r="K283" s="57">
        <v>8.9999999999999998E-4</v>
      </c>
      <c r="L283" s="57">
        <v>-3.2800000000000003E-2</v>
      </c>
      <c r="M283" s="57">
        <v>-4.19E-2</v>
      </c>
      <c r="N283" s="57">
        <v>2.18E-2</v>
      </c>
      <c r="O283" s="57">
        <v>0.1074</v>
      </c>
      <c r="P283" s="57">
        <v>-8.2400000000000001E-2</v>
      </c>
      <c r="Q283" s="57">
        <v>-0.28999999999999998</v>
      </c>
      <c r="R283" s="57">
        <v>-0.19450000000000001</v>
      </c>
      <c r="S283">
        <v>62.13</v>
      </c>
      <c r="T283">
        <v>81.67</v>
      </c>
      <c r="U283">
        <v>30.73</v>
      </c>
      <c r="V283" s="20">
        <v>186724.31299999999</v>
      </c>
    </row>
    <row r="284" spans="7:22" x14ac:dyDescent="0.15">
      <c r="G284" s="11">
        <v>283</v>
      </c>
      <c r="H284" s="10" t="s">
        <v>658</v>
      </c>
      <c r="I284" t="s">
        <v>992</v>
      </c>
      <c r="J284" t="s">
        <v>851</v>
      </c>
      <c r="K284" s="57">
        <v>-1.1999999999999999E-3</v>
      </c>
      <c r="L284" s="57">
        <v>-3.8899999999999997E-2</v>
      </c>
      <c r="M284" s="57">
        <v>-4.9200000000000001E-2</v>
      </c>
      <c r="N284" s="57">
        <v>-1.1299999999999999E-2</v>
      </c>
      <c r="O284" s="57">
        <v>9.9000000000000005E-2</v>
      </c>
      <c r="P284" s="57">
        <v>-0.1847</v>
      </c>
      <c r="Q284" s="57">
        <v>-0.28960000000000002</v>
      </c>
      <c r="R284" s="57">
        <v>-0.24709999999999999</v>
      </c>
      <c r="S284">
        <v>61.99</v>
      </c>
      <c r="T284">
        <v>41.37</v>
      </c>
      <c r="U284">
        <v>70.75</v>
      </c>
      <c r="V284" s="20">
        <v>3563.7698</v>
      </c>
    </row>
    <row r="285" spans="7:22" x14ac:dyDescent="0.15">
      <c r="G285" s="11">
        <v>284</v>
      </c>
      <c r="H285" s="10" t="s">
        <v>481</v>
      </c>
      <c r="I285" t="s">
        <v>1093</v>
      </c>
      <c r="J285" t="s">
        <v>851</v>
      </c>
      <c r="K285" s="57">
        <v>2.9999999999999997E-4</v>
      </c>
      <c r="L285" s="57">
        <v>6.3E-3</v>
      </c>
      <c r="M285" s="57">
        <v>4.8999999999999998E-3</v>
      </c>
      <c r="N285" s="57">
        <v>1.17E-2</v>
      </c>
      <c r="O285" s="57">
        <v>0.15160000000000001</v>
      </c>
      <c r="P285" s="57">
        <v>-4.7800000000000002E-2</v>
      </c>
      <c r="Q285" s="57">
        <v>-0.2964</v>
      </c>
      <c r="R285" s="57">
        <v>-0.31719999999999998</v>
      </c>
      <c r="S285">
        <v>61.86</v>
      </c>
      <c r="T285">
        <v>71.16</v>
      </c>
      <c r="U285">
        <v>40.840000000000003</v>
      </c>
      <c r="V285" s="20">
        <v>8598.7109942999996</v>
      </c>
    </row>
    <row r="286" spans="7:22" x14ac:dyDescent="0.15">
      <c r="G286" s="11">
        <v>285</v>
      </c>
      <c r="H286" s="10" t="s">
        <v>2120</v>
      </c>
      <c r="I286" t="s">
        <v>2121</v>
      </c>
      <c r="J286" t="s">
        <v>2058</v>
      </c>
      <c r="K286" s="57">
        <v>-8.0000000000000004E-4</v>
      </c>
      <c r="L286" s="57">
        <v>8.6E-3</v>
      </c>
      <c r="M286" s="57">
        <v>2.2800000000000001E-2</v>
      </c>
      <c r="N286" s="57">
        <v>-6.7000000000000002E-3</v>
      </c>
      <c r="O286" s="57">
        <v>-3.1199999999999999E-2</v>
      </c>
      <c r="P286" s="57">
        <v>-3.1199999999999999E-2</v>
      </c>
      <c r="Q286" s="57">
        <v>-3.1199999999999999E-2</v>
      </c>
      <c r="R286" s="57">
        <v>-3.1199999999999999E-2</v>
      </c>
      <c r="S286">
        <v>61.73</v>
      </c>
      <c r="T286">
        <v>48.11</v>
      </c>
      <c r="U286">
        <v>63.88</v>
      </c>
      <c r="V286" s="20">
        <v>18178.428</v>
      </c>
    </row>
    <row r="287" spans="7:22" x14ac:dyDescent="0.15">
      <c r="G287" s="11">
        <v>286</v>
      </c>
      <c r="H287" s="10" t="s">
        <v>449</v>
      </c>
      <c r="I287" t="s">
        <v>1156</v>
      </c>
      <c r="J287" t="s">
        <v>851</v>
      </c>
      <c r="K287" s="57">
        <v>-2.0000000000000001E-4</v>
      </c>
      <c r="L287" s="57">
        <v>2.2599999999999999E-2</v>
      </c>
      <c r="M287" s="57">
        <v>2.7199999999999998E-2</v>
      </c>
      <c r="N287" s="57">
        <v>2.8E-3</v>
      </c>
      <c r="O287" s="57">
        <v>0.19700000000000001</v>
      </c>
      <c r="P287" s="57">
        <v>0</v>
      </c>
      <c r="Q287" s="57">
        <v>-0.20680000000000001</v>
      </c>
      <c r="R287" s="57">
        <v>0.08</v>
      </c>
      <c r="S287">
        <v>61.59</v>
      </c>
      <c r="T287">
        <v>61.59</v>
      </c>
      <c r="U287">
        <v>50.27</v>
      </c>
      <c r="V287" s="20">
        <v>55258.312300800004</v>
      </c>
    </row>
    <row r="288" spans="7:22" x14ac:dyDescent="0.15">
      <c r="G288" s="11">
        <v>287</v>
      </c>
      <c r="H288" s="10" t="s">
        <v>472</v>
      </c>
      <c r="I288" t="s">
        <v>1127</v>
      </c>
      <c r="J288" t="s">
        <v>851</v>
      </c>
      <c r="K288" s="57">
        <v>-5.9999999999999995E-4</v>
      </c>
      <c r="L288" s="57">
        <v>1.95E-2</v>
      </c>
      <c r="M288" s="57">
        <v>3.1199999999999999E-2</v>
      </c>
      <c r="N288" s="57">
        <v>-2.3999999999999998E-3</v>
      </c>
      <c r="O288" s="57">
        <v>0.23430000000000001</v>
      </c>
      <c r="P288" s="57">
        <v>7.2300000000000003E-2</v>
      </c>
      <c r="Q288" s="57">
        <v>-2.0899999999999998E-2</v>
      </c>
      <c r="R288" s="57">
        <v>0.3044</v>
      </c>
      <c r="S288">
        <v>61.46</v>
      </c>
      <c r="T288">
        <v>52.29</v>
      </c>
      <c r="U288">
        <v>59.3</v>
      </c>
      <c r="V288" s="20">
        <v>23655.7353</v>
      </c>
    </row>
    <row r="289" spans="7:22" x14ac:dyDescent="0.15">
      <c r="G289" s="11">
        <v>288</v>
      </c>
      <c r="H289" s="10" t="s">
        <v>1449</v>
      </c>
      <c r="I289" t="s">
        <v>1450</v>
      </c>
      <c r="J289" t="s">
        <v>1665</v>
      </c>
      <c r="K289" s="57">
        <v>-1.1000000000000001E-3</v>
      </c>
      <c r="L289" s="57">
        <v>-8.0999999999999996E-3</v>
      </c>
      <c r="M289" s="57">
        <v>2.5000000000000001E-3</v>
      </c>
      <c r="N289" s="57">
        <v>-1.0999999999999999E-2</v>
      </c>
      <c r="O289" s="57">
        <v>7.2900000000000006E-2</v>
      </c>
      <c r="P289" s="57">
        <v>-4.4699999999999997E-2</v>
      </c>
      <c r="Q289" s="57">
        <v>-9.9199999999999997E-2</v>
      </c>
      <c r="R289" s="57">
        <v>0.12870000000000001</v>
      </c>
      <c r="S289">
        <v>61.32</v>
      </c>
      <c r="T289">
        <v>42.05</v>
      </c>
      <c r="U289">
        <v>69.41</v>
      </c>
      <c r="V289" s="20">
        <v>1587.1020000000001</v>
      </c>
    </row>
    <row r="290" spans="7:22" x14ac:dyDescent="0.15">
      <c r="G290" s="11">
        <v>289</v>
      </c>
      <c r="H290" s="10" t="s">
        <v>585</v>
      </c>
      <c r="I290" t="s">
        <v>1092</v>
      </c>
      <c r="J290" t="s">
        <v>851</v>
      </c>
      <c r="K290" s="57">
        <v>-1E-4</v>
      </c>
      <c r="L290" s="57">
        <v>-4.7999999999999996E-3</v>
      </c>
      <c r="M290" s="57">
        <v>2.64E-2</v>
      </c>
      <c r="N290" s="57">
        <v>3.3E-3</v>
      </c>
      <c r="O290" s="57">
        <v>-2.01E-2</v>
      </c>
      <c r="P290" s="57">
        <v>-9.3700000000000006E-2</v>
      </c>
      <c r="Q290" s="57">
        <v>-0.13420000000000001</v>
      </c>
      <c r="R290" s="57">
        <v>-0.1439</v>
      </c>
      <c r="S290">
        <v>61.19</v>
      </c>
      <c r="T290">
        <v>61.86</v>
      </c>
      <c r="U290">
        <v>48.79</v>
      </c>
      <c r="V290" s="20">
        <v>3559.1037299999998</v>
      </c>
    </row>
    <row r="291" spans="7:22" x14ac:dyDescent="0.15">
      <c r="G291" s="11">
        <v>290</v>
      </c>
      <c r="H291" s="10" t="s">
        <v>1440</v>
      </c>
      <c r="I291" t="s">
        <v>1441</v>
      </c>
      <c r="J291" t="s">
        <v>1665</v>
      </c>
      <c r="K291" s="57">
        <v>1.1000000000000001E-3</v>
      </c>
      <c r="L291" s="57">
        <v>1.3100000000000001E-2</v>
      </c>
      <c r="M291" s="57">
        <v>1.7899999999999999E-2</v>
      </c>
      <c r="N291" s="57">
        <v>2.46E-2</v>
      </c>
      <c r="O291" s="57">
        <v>0.1555</v>
      </c>
      <c r="P291" s="57">
        <v>-5.7599999999999998E-2</v>
      </c>
      <c r="Q291" s="57">
        <v>-0.1739</v>
      </c>
      <c r="R291" s="57">
        <v>-0.1739</v>
      </c>
      <c r="S291">
        <v>61.05</v>
      </c>
      <c r="T291">
        <v>83.02</v>
      </c>
      <c r="U291">
        <v>27.63</v>
      </c>
      <c r="V291" s="20">
        <v>203.38648000000001</v>
      </c>
    </row>
    <row r="292" spans="7:22" x14ac:dyDescent="0.15">
      <c r="G292" s="11">
        <v>291</v>
      </c>
      <c r="H292" s="10" t="s">
        <v>1561</v>
      </c>
      <c r="I292" t="s">
        <v>1562</v>
      </c>
      <c r="J292" t="s">
        <v>1665</v>
      </c>
      <c r="K292" s="57">
        <v>-8.3000000000000001E-3</v>
      </c>
      <c r="L292" s="57">
        <v>-9.7000000000000003E-3</v>
      </c>
      <c r="M292" s="57">
        <v>-1.2999999999999999E-2</v>
      </c>
      <c r="N292" s="57">
        <v>-4.3400000000000001E-2</v>
      </c>
      <c r="O292" s="57">
        <v>5.5999999999999999E-3</v>
      </c>
      <c r="P292" s="57">
        <v>-7.8399999999999997E-2</v>
      </c>
      <c r="Q292" s="57">
        <v>-7.8399999999999997E-2</v>
      </c>
      <c r="R292" s="57">
        <v>-7.8399999999999997E-2</v>
      </c>
      <c r="S292">
        <v>60.92</v>
      </c>
      <c r="T292">
        <v>16.170000000000002</v>
      </c>
      <c r="U292">
        <v>94.2</v>
      </c>
      <c r="V292" s="20">
        <v>200.57599999999999</v>
      </c>
    </row>
    <row r="293" spans="7:22" x14ac:dyDescent="0.15">
      <c r="G293" s="11">
        <v>292</v>
      </c>
      <c r="H293" s="10" t="s">
        <v>440</v>
      </c>
      <c r="I293" t="s">
        <v>243</v>
      </c>
      <c r="J293" t="s">
        <v>1221</v>
      </c>
      <c r="K293" s="57">
        <v>-3.2000000000000002E-3</v>
      </c>
      <c r="L293" s="57">
        <v>-1.4200000000000001E-2</v>
      </c>
      <c r="M293" s="57">
        <v>-1.5599999999999999E-2</v>
      </c>
      <c r="N293" s="57">
        <v>-2.5700000000000001E-2</v>
      </c>
      <c r="O293" s="57">
        <v>2.9700000000000001E-2</v>
      </c>
      <c r="P293" s="57">
        <v>-2.0799999999999999E-2</v>
      </c>
      <c r="Q293" s="57">
        <v>-7.6700000000000004E-2</v>
      </c>
      <c r="R293" s="57">
        <v>-2E-3</v>
      </c>
      <c r="S293">
        <v>60.78</v>
      </c>
      <c r="T293">
        <v>26.55</v>
      </c>
      <c r="U293">
        <v>83.56</v>
      </c>
      <c r="V293" s="20">
        <v>737.61831710000001</v>
      </c>
    </row>
    <row r="294" spans="7:22" x14ac:dyDescent="0.15">
      <c r="G294" s="11">
        <v>293</v>
      </c>
      <c r="H294" s="10" t="s">
        <v>1312</v>
      </c>
      <c r="I294" t="s">
        <v>1313</v>
      </c>
      <c r="J294" t="s">
        <v>1665</v>
      </c>
      <c r="K294" s="57">
        <v>-1.8E-3</v>
      </c>
      <c r="L294" s="57">
        <v>2.0000000000000001E-4</v>
      </c>
      <c r="M294" s="57">
        <v>1.29E-2</v>
      </c>
      <c r="N294" s="57">
        <v>-1.8800000000000001E-2</v>
      </c>
      <c r="O294" s="57">
        <v>6.9500000000000006E-2</v>
      </c>
      <c r="P294" s="57">
        <v>-7.2099999999999997E-2</v>
      </c>
      <c r="Q294" s="57">
        <v>-0.1588</v>
      </c>
      <c r="R294" s="57">
        <v>-0.1588</v>
      </c>
      <c r="S294">
        <v>60.65</v>
      </c>
      <c r="T294">
        <v>33.69</v>
      </c>
      <c r="U294">
        <v>76.28</v>
      </c>
      <c r="V294" s="20">
        <v>168.70509999999999</v>
      </c>
    </row>
    <row r="295" spans="7:22" x14ac:dyDescent="0.15">
      <c r="G295" s="11">
        <v>294</v>
      </c>
      <c r="H295" s="10" t="s">
        <v>295</v>
      </c>
      <c r="I295" t="s">
        <v>834</v>
      </c>
      <c r="J295" t="s">
        <v>814</v>
      </c>
      <c r="K295" s="57">
        <v>1.5E-3</v>
      </c>
      <c r="L295" s="57">
        <v>2.6100000000000002E-2</v>
      </c>
      <c r="M295" s="57">
        <v>2.8299999999999999E-2</v>
      </c>
      <c r="N295" s="57">
        <v>3.09E-2</v>
      </c>
      <c r="O295" s="57">
        <v>0.26229999999999998</v>
      </c>
      <c r="P295" s="57">
        <v>8.8700000000000001E-2</v>
      </c>
      <c r="Q295" s="57">
        <v>-0.1183</v>
      </c>
      <c r="R295" s="57">
        <v>0.14940000000000001</v>
      </c>
      <c r="S295">
        <v>60.51</v>
      </c>
      <c r="T295">
        <v>86.79</v>
      </c>
      <c r="U295">
        <v>23.05</v>
      </c>
      <c r="V295" s="20">
        <v>329.80410000000001</v>
      </c>
    </row>
    <row r="296" spans="7:22" x14ac:dyDescent="0.15">
      <c r="G296" s="11">
        <v>295</v>
      </c>
      <c r="H296" s="10" t="s">
        <v>284</v>
      </c>
      <c r="I296" t="s">
        <v>816</v>
      </c>
      <c r="J296" t="s">
        <v>814</v>
      </c>
      <c r="K296" s="57">
        <v>6.9999999999999999E-4</v>
      </c>
      <c r="L296" s="57">
        <v>3.1699999999999999E-2</v>
      </c>
      <c r="M296" s="57">
        <v>2.5999999999999999E-2</v>
      </c>
      <c r="N296" s="57">
        <v>1.3599999999999999E-2</v>
      </c>
      <c r="O296" s="57">
        <v>0.18160000000000001</v>
      </c>
      <c r="P296" s="57">
        <v>7.6100000000000001E-2</v>
      </c>
      <c r="Q296" s="57">
        <v>-3.8699999999999998E-2</v>
      </c>
      <c r="R296" s="57">
        <v>0.1424</v>
      </c>
      <c r="S296">
        <v>60.38</v>
      </c>
      <c r="T296">
        <v>74.12</v>
      </c>
      <c r="U296">
        <v>35.58</v>
      </c>
      <c r="V296" s="20">
        <v>199.3912</v>
      </c>
    </row>
    <row r="297" spans="7:22" x14ac:dyDescent="0.15">
      <c r="G297" s="11">
        <v>296</v>
      </c>
      <c r="H297" s="10" t="s">
        <v>707</v>
      </c>
      <c r="I297" t="s">
        <v>1285</v>
      </c>
      <c r="J297" t="s">
        <v>1267</v>
      </c>
      <c r="K297" s="57">
        <v>-2.2000000000000001E-3</v>
      </c>
      <c r="L297" s="57">
        <v>-7.6E-3</v>
      </c>
      <c r="M297" s="57">
        <v>-6.0000000000000001E-3</v>
      </c>
      <c r="N297" s="57">
        <v>-2.1999999999999999E-2</v>
      </c>
      <c r="O297" s="57">
        <v>1.03E-2</v>
      </c>
      <c r="P297" s="57">
        <v>-5.4699999999999999E-2</v>
      </c>
      <c r="Q297" s="57">
        <v>-0.1633</v>
      </c>
      <c r="R297" s="57">
        <v>-0.14849999999999999</v>
      </c>
      <c r="S297">
        <v>60.24</v>
      </c>
      <c r="T297">
        <v>30.59</v>
      </c>
      <c r="U297">
        <v>78.98</v>
      </c>
      <c r="V297" s="20">
        <v>5074.9364999999998</v>
      </c>
    </row>
    <row r="298" spans="7:22" x14ac:dyDescent="0.15">
      <c r="G298" s="11">
        <v>297</v>
      </c>
      <c r="H298" s="10" t="s">
        <v>463</v>
      </c>
      <c r="I298" t="s">
        <v>1022</v>
      </c>
      <c r="J298" t="s">
        <v>851</v>
      </c>
      <c r="K298" s="57">
        <v>-4.0000000000000002E-4</v>
      </c>
      <c r="L298" s="57">
        <v>1.6E-2</v>
      </c>
      <c r="M298" s="57">
        <v>1.8700000000000001E-2</v>
      </c>
      <c r="N298" s="57">
        <v>-1E-3</v>
      </c>
      <c r="O298" s="57">
        <v>0.18010000000000001</v>
      </c>
      <c r="P298" s="57">
        <v>-1.46E-2</v>
      </c>
      <c r="Q298" s="57">
        <v>-0.2059</v>
      </c>
      <c r="R298" s="57">
        <v>-4.4000000000000003E-3</v>
      </c>
      <c r="S298">
        <v>60.11</v>
      </c>
      <c r="T298">
        <v>54.85</v>
      </c>
      <c r="U298">
        <v>54.58</v>
      </c>
      <c r="V298" s="20">
        <v>863.56514000000004</v>
      </c>
    </row>
    <row r="299" spans="7:22" x14ac:dyDescent="0.15">
      <c r="G299" s="11">
        <v>298</v>
      </c>
      <c r="H299" s="10" t="s">
        <v>625</v>
      </c>
      <c r="I299" t="s">
        <v>1122</v>
      </c>
      <c r="J299" t="s">
        <v>851</v>
      </c>
      <c r="K299" s="57">
        <v>-3.2000000000000002E-3</v>
      </c>
      <c r="L299" s="57">
        <v>-9.7999999999999997E-3</v>
      </c>
      <c r="M299" s="57">
        <v>-8.5000000000000006E-3</v>
      </c>
      <c r="N299" s="57">
        <v>-2.7199999999999998E-2</v>
      </c>
      <c r="O299" s="57">
        <v>1.3299999999999999E-2</v>
      </c>
      <c r="P299" s="57">
        <v>-0.06</v>
      </c>
      <c r="Q299" s="57">
        <v>-0.16919999999999999</v>
      </c>
      <c r="R299" s="57">
        <v>-0.2225</v>
      </c>
      <c r="S299">
        <v>59.97</v>
      </c>
      <c r="T299">
        <v>25.74</v>
      </c>
      <c r="U299">
        <v>83.69</v>
      </c>
      <c r="V299" s="20">
        <v>8493.1142999999993</v>
      </c>
    </row>
    <row r="300" spans="7:22" x14ac:dyDescent="0.15">
      <c r="G300" s="11">
        <v>299</v>
      </c>
      <c r="H300" s="10" t="s">
        <v>369</v>
      </c>
      <c r="I300" t="s">
        <v>897</v>
      </c>
      <c r="J300" t="s">
        <v>851</v>
      </c>
      <c r="K300" s="57">
        <v>-8.9999999999999998E-4</v>
      </c>
      <c r="L300" s="57">
        <v>-3.27E-2</v>
      </c>
      <c r="M300" s="57">
        <v>-1.8499999999999999E-2</v>
      </c>
      <c r="N300" s="57">
        <v>-9.9000000000000008E-3</v>
      </c>
      <c r="O300" s="57">
        <v>8.0600000000000005E-2</v>
      </c>
      <c r="P300" s="57">
        <v>-8.2100000000000006E-2</v>
      </c>
      <c r="Q300" s="57">
        <v>-0.1045</v>
      </c>
      <c r="R300" s="57">
        <v>0.2712</v>
      </c>
      <c r="S300">
        <v>59.84</v>
      </c>
      <c r="T300">
        <v>43.13</v>
      </c>
      <c r="U300">
        <v>66.17</v>
      </c>
      <c r="V300" s="20">
        <v>310.93312000000003</v>
      </c>
    </row>
    <row r="301" spans="7:22" x14ac:dyDescent="0.15">
      <c r="G301" s="11">
        <v>300</v>
      </c>
      <c r="H301" s="10" t="s">
        <v>430</v>
      </c>
      <c r="I301" t="s">
        <v>893</v>
      </c>
      <c r="J301" t="s">
        <v>851</v>
      </c>
      <c r="K301" s="57">
        <v>-2.0000000000000001E-4</v>
      </c>
      <c r="L301" s="57">
        <v>1.6299999999999999E-2</v>
      </c>
      <c r="M301" s="57">
        <v>1.9300000000000001E-2</v>
      </c>
      <c r="N301" s="57">
        <v>1E-4</v>
      </c>
      <c r="O301" s="57">
        <v>0.18140000000000001</v>
      </c>
      <c r="P301" s="57">
        <v>-1.24E-2</v>
      </c>
      <c r="Q301" s="57">
        <v>-0.1978</v>
      </c>
      <c r="R301" s="57">
        <v>0.04</v>
      </c>
      <c r="S301">
        <v>59.7</v>
      </c>
      <c r="T301">
        <v>57.68</v>
      </c>
      <c r="U301">
        <v>51.62</v>
      </c>
      <c r="V301" s="20">
        <v>97.923676100000009</v>
      </c>
    </row>
    <row r="302" spans="7:22" x14ac:dyDescent="0.15">
      <c r="G302" s="11">
        <v>301</v>
      </c>
      <c r="H302" s="10" t="s">
        <v>720</v>
      </c>
      <c r="I302" t="s">
        <v>1035</v>
      </c>
      <c r="J302" t="s">
        <v>851</v>
      </c>
      <c r="K302" s="57">
        <v>-1.0200000000000001E-2</v>
      </c>
      <c r="L302" s="57">
        <v>-4.4000000000000003E-3</v>
      </c>
      <c r="M302" s="57">
        <v>-1.1599999999999999E-2</v>
      </c>
      <c r="N302" s="57">
        <v>-4.8399999999999999E-2</v>
      </c>
      <c r="O302" s="57">
        <v>5.3199999999999997E-2</v>
      </c>
      <c r="P302" s="57">
        <v>-8.3500000000000005E-2</v>
      </c>
      <c r="Q302" s="57">
        <v>-0.26190000000000002</v>
      </c>
      <c r="R302" s="57">
        <v>-0.33729999999999999</v>
      </c>
      <c r="S302">
        <v>59.57</v>
      </c>
      <c r="T302">
        <v>13.21</v>
      </c>
      <c r="U302">
        <v>95.96</v>
      </c>
      <c r="V302" s="20">
        <v>1348.5394199999998</v>
      </c>
    </row>
    <row r="303" spans="7:22" x14ac:dyDescent="0.15">
      <c r="G303" s="11">
        <v>302</v>
      </c>
      <c r="H303" s="10" t="s">
        <v>2073</v>
      </c>
      <c r="I303" t="s">
        <v>2074</v>
      </c>
      <c r="J303" t="s">
        <v>2058</v>
      </c>
      <c r="K303" s="57">
        <v>-4.0000000000000002E-4</v>
      </c>
      <c r="L303" s="57">
        <v>-6.3E-3</v>
      </c>
      <c r="M303" s="57">
        <v>1.5800000000000002E-2</v>
      </c>
      <c r="N303" s="57">
        <v>-1.5E-3</v>
      </c>
      <c r="O303" s="57">
        <v>-2.46E-2</v>
      </c>
      <c r="P303" s="57">
        <v>-2.46E-2</v>
      </c>
      <c r="Q303" s="57">
        <v>-2.46E-2</v>
      </c>
      <c r="R303" s="57">
        <v>-2.46E-2</v>
      </c>
      <c r="S303">
        <v>59.43</v>
      </c>
      <c r="T303">
        <v>53.37</v>
      </c>
      <c r="U303">
        <v>55.8</v>
      </c>
      <c r="V303" s="20">
        <v>391.19584229999998</v>
      </c>
    </row>
    <row r="304" spans="7:22" x14ac:dyDescent="0.15">
      <c r="G304" s="11">
        <v>303</v>
      </c>
      <c r="H304" s="10" t="s">
        <v>1507</v>
      </c>
      <c r="I304" t="s">
        <v>1508</v>
      </c>
      <c r="J304" t="s">
        <v>1665</v>
      </c>
      <c r="K304" s="57">
        <v>-5.0000000000000001E-4</v>
      </c>
      <c r="L304" s="57">
        <v>6.1999999999999998E-3</v>
      </c>
      <c r="M304" s="57">
        <v>3.0499999999999999E-2</v>
      </c>
      <c r="N304" s="57">
        <v>-2.0999999999999999E-3</v>
      </c>
      <c r="O304" s="57">
        <v>-2.3099999999999999E-2</v>
      </c>
      <c r="P304" s="57">
        <v>-2.1999999999999999E-2</v>
      </c>
      <c r="Q304" s="57">
        <v>2.9000000000000001E-2</v>
      </c>
      <c r="R304" s="57">
        <v>2.9000000000000001E-2</v>
      </c>
      <c r="S304">
        <v>59.3</v>
      </c>
      <c r="T304">
        <v>52.56</v>
      </c>
      <c r="U304">
        <v>56.6</v>
      </c>
      <c r="V304" s="20">
        <v>581.80290000000002</v>
      </c>
    </row>
    <row r="305" spans="7:22" x14ac:dyDescent="0.15">
      <c r="G305" s="11">
        <v>304</v>
      </c>
      <c r="H305" s="10" t="s">
        <v>1581</v>
      </c>
      <c r="I305" t="s">
        <v>1582</v>
      </c>
      <c r="J305" t="s">
        <v>1665</v>
      </c>
      <c r="K305" s="57">
        <v>-1.24E-2</v>
      </c>
      <c r="L305" s="57">
        <v>-4.5999999999999999E-3</v>
      </c>
      <c r="M305" s="57">
        <v>-1.2E-2</v>
      </c>
      <c r="N305" s="57">
        <v>-4.99E-2</v>
      </c>
      <c r="O305" s="57">
        <v>0.19789999999999999</v>
      </c>
      <c r="P305" s="57">
        <v>0.224</v>
      </c>
      <c r="Q305" s="57">
        <v>0.224</v>
      </c>
      <c r="R305" s="57">
        <v>0.224</v>
      </c>
      <c r="S305">
        <v>59.16</v>
      </c>
      <c r="T305">
        <v>11.99</v>
      </c>
      <c r="U305">
        <v>97.04</v>
      </c>
      <c r="V305" s="20">
        <v>2482.4594999999999</v>
      </c>
    </row>
    <row r="306" spans="7:22" x14ac:dyDescent="0.15">
      <c r="G306" s="11">
        <v>305</v>
      </c>
      <c r="H306" s="10" t="s">
        <v>477</v>
      </c>
      <c r="I306" t="s">
        <v>878</v>
      </c>
      <c r="J306" t="s">
        <v>851</v>
      </c>
      <c r="K306" s="57">
        <v>-1.2999999999999999E-3</v>
      </c>
      <c r="L306" s="57">
        <v>-1.9900000000000001E-2</v>
      </c>
      <c r="M306" s="57">
        <v>-4.7999999999999996E-3</v>
      </c>
      <c r="N306" s="57">
        <v>-1.6299999999999999E-2</v>
      </c>
      <c r="O306" s="57">
        <v>5.91E-2</v>
      </c>
      <c r="P306" s="57">
        <v>-9.3700000000000006E-2</v>
      </c>
      <c r="Q306" s="57">
        <v>-0.19059999999999999</v>
      </c>
      <c r="R306" s="57">
        <v>-0.1201</v>
      </c>
      <c r="S306">
        <v>59.03</v>
      </c>
      <c r="T306">
        <v>37.06</v>
      </c>
      <c r="U306">
        <v>71.7</v>
      </c>
      <c r="V306" s="20">
        <v>704.30859999999996</v>
      </c>
    </row>
    <row r="307" spans="7:22" x14ac:dyDescent="0.15">
      <c r="G307" s="11">
        <v>306</v>
      </c>
      <c r="H307" s="10" t="s">
        <v>2067</v>
      </c>
      <c r="I307" t="s">
        <v>2068</v>
      </c>
      <c r="J307" t="s">
        <v>2058</v>
      </c>
      <c r="K307" s="57">
        <v>-3.7000000000000002E-3</v>
      </c>
      <c r="L307" s="57">
        <v>2.8E-3</v>
      </c>
      <c r="M307" s="57">
        <v>2.12E-2</v>
      </c>
      <c r="N307" s="57">
        <v>-2.9899999999999999E-2</v>
      </c>
      <c r="O307" s="57">
        <v>-3.2399999999999998E-2</v>
      </c>
      <c r="P307" s="57">
        <v>-3.2399999999999998E-2</v>
      </c>
      <c r="Q307" s="57">
        <v>-3.2399999999999998E-2</v>
      </c>
      <c r="R307" s="57">
        <v>-3.2399999999999998E-2</v>
      </c>
      <c r="S307">
        <v>58.89</v>
      </c>
      <c r="T307">
        <v>23.45</v>
      </c>
      <c r="U307">
        <v>85.31</v>
      </c>
      <c r="V307" s="20">
        <v>302.37178399999999</v>
      </c>
    </row>
    <row r="308" spans="7:22" x14ac:dyDescent="0.15">
      <c r="G308" s="11">
        <v>307</v>
      </c>
      <c r="H308" s="10" t="s">
        <v>1388</v>
      </c>
      <c r="I308" t="s">
        <v>1389</v>
      </c>
      <c r="J308" t="s">
        <v>1665</v>
      </c>
      <c r="K308" s="57">
        <v>-1E-4</v>
      </c>
      <c r="L308" s="57">
        <v>-5.1999999999999998E-3</v>
      </c>
      <c r="M308" s="57">
        <v>2.5499999999999998E-2</v>
      </c>
      <c r="N308" s="57">
        <v>1.2999999999999999E-3</v>
      </c>
      <c r="O308" s="57">
        <v>-2.8500000000000001E-2</v>
      </c>
      <c r="P308" s="57">
        <v>-0.1041</v>
      </c>
      <c r="Q308" s="57">
        <v>-4.3900000000000002E-2</v>
      </c>
      <c r="R308" s="57">
        <v>-4.3900000000000002E-2</v>
      </c>
      <c r="S308">
        <v>58.76</v>
      </c>
      <c r="T308">
        <v>59.3</v>
      </c>
      <c r="U308">
        <v>49.46</v>
      </c>
      <c r="V308" s="20">
        <v>2443.8796000000002</v>
      </c>
    </row>
    <row r="309" spans="7:22" x14ac:dyDescent="0.15">
      <c r="G309" s="11">
        <v>308</v>
      </c>
      <c r="H309" s="10" t="s">
        <v>1563</v>
      </c>
      <c r="I309" t="s">
        <v>1564</v>
      </c>
      <c r="J309" t="s">
        <v>1665</v>
      </c>
      <c r="K309" s="57">
        <v>-6.7999999999999996E-3</v>
      </c>
      <c r="L309" s="57">
        <v>-1.4E-3</v>
      </c>
      <c r="M309" s="57">
        <v>-7.3000000000000001E-3</v>
      </c>
      <c r="N309" s="57">
        <v>-4.1799999999999997E-2</v>
      </c>
      <c r="O309" s="57">
        <v>6.2899999999999998E-2</v>
      </c>
      <c r="P309" s="57">
        <v>-6.3299999999999995E-2</v>
      </c>
      <c r="Q309" s="57">
        <v>-0.26100000000000001</v>
      </c>
      <c r="R309" s="57">
        <v>-0.26100000000000001</v>
      </c>
      <c r="S309">
        <v>58.63</v>
      </c>
      <c r="T309">
        <v>16.71</v>
      </c>
      <c r="U309">
        <v>92.05</v>
      </c>
      <c r="V309" s="20">
        <v>30.0029</v>
      </c>
    </row>
    <row r="310" spans="7:22" x14ac:dyDescent="0.15">
      <c r="G310" s="11">
        <v>309</v>
      </c>
      <c r="H310" s="10" t="s">
        <v>1461</v>
      </c>
      <c r="I310" t="s">
        <v>1462</v>
      </c>
      <c r="J310" t="s">
        <v>1665</v>
      </c>
      <c r="K310" s="57">
        <v>-8.9999999999999998E-4</v>
      </c>
      <c r="L310" s="57">
        <v>-4.1099999999999998E-2</v>
      </c>
      <c r="M310" s="57">
        <v>-5.0000000000000001E-4</v>
      </c>
      <c r="N310" s="57">
        <v>-1.01E-2</v>
      </c>
      <c r="O310" s="57">
        <v>5.5599999999999997E-2</v>
      </c>
      <c r="P310" s="57">
        <v>-0.1012</v>
      </c>
      <c r="Q310" s="57">
        <v>-0.1981</v>
      </c>
      <c r="R310" s="57">
        <v>-8.4199999999999997E-2</v>
      </c>
      <c r="S310">
        <v>58.49</v>
      </c>
      <c r="T310">
        <v>42.72</v>
      </c>
      <c r="U310">
        <v>65.900000000000006</v>
      </c>
      <c r="V310" s="20">
        <v>2167.3038999999999</v>
      </c>
    </row>
    <row r="311" spans="7:22" x14ac:dyDescent="0.15">
      <c r="G311" s="11">
        <v>310</v>
      </c>
      <c r="H311" s="10" t="s">
        <v>686</v>
      </c>
      <c r="I311" t="s">
        <v>1251</v>
      </c>
      <c r="J311" t="s">
        <v>1230</v>
      </c>
      <c r="K311" s="57">
        <v>-4.7999999999999996E-3</v>
      </c>
      <c r="L311" s="57">
        <v>8.2000000000000007E-3</v>
      </c>
      <c r="M311" s="57">
        <v>2.2700000000000001E-2</v>
      </c>
      <c r="N311" s="57">
        <v>-3.5200000000000002E-2</v>
      </c>
      <c r="O311" s="57">
        <v>-5.28E-2</v>
      </c>
      <c r="P311" s="57">
        <v>-7.4300000000000005E-2</v>
      </c>
      <c r="Q311" s="57">
        <v>3.5999999999999997E-2</v>
      </c>
      <c r="R311" s="57">
        <v>4.1700000000000001E-2</v>
      </c>
      <c r="S311">
        <v>58.36</v>
      </c>
      <c r="T311">
        <v>20.350000000000001</v>
      </c>
      <c r="U311">
        <v>88.01</v>
      </c>
      <c r="V311" s="20">
        <v>301.88788999999997</v>
      </c>
    </row>
    <row r="312" spans="7:22" x14ac:dyDescent="0.15">
      <c r="G312" s="11">
        <v>311</v>
      </c>
      <c r="H312" s="10" t="s">
        <v>1551</v>
      </c>
      <c r="I312" t="s">
        <v>1552</v>
      </c>
      <c r="J312" t="s">
        <v>1665</v>
      </c>
      <c r="K312" s="57">
        <v>-5.3E-3</v>
      </c>
      <c r="L312" s="57">
        <v>-2.2599999999999999E-2</v>
      </c>
      <c r="M312" s="57">
        <v>-2.8299999999999999E-2</v>
      </c>
      <c r="N312" s="57">
        <v>-3.7499999999999999E-2</v>
      </c>
      <c r="O312" s="57">
        <v>5.5300000000000002E-2</v>
      </c>
      <c r="P312" s="57">
        <v>-0.13250000000000001</v>
      </c>
      <c r="Q312" s="57">
        <v>-0.20979999999999999</v>
      </c>
      <c r="R312" s="57">
        <v>-0.20979999999999999</v>
      </c>
      <c r="S312">
        <v>58.22</v>
      </c>
      <c r="T312">
        <v>18.600000000000001</v>
      </c>
      <c r="U312">
        <v>89.62</v>
      </c>
      <c r="V312" s="20">
        <v>13.4278</v>
      </c>
    </row>
    <row r="313" spans="7:22" x14ac:dyDescent="0.15">
      <c r="G313" s="11">
        <v>312</v>
      </c>
      <c r="H313" s="10" t="s">
        <v>675</v>
      </c>
      <c r="I313" t="s">
        <v>1076</v>
      </c>
      <c r="J313" t="s">
        <v>851</v>
      </c>
      <c r="K313" s="57">
        <v>-1.1999999999999999E-3</v>
      </c>
      <c r="L313" s="57">
        <v>-8.9999999999999993E-3</v>
      </c>
      <c r="M313" s="57">
        <v>-1E-4</v>
      </c>
      <c r="N313" s="57">
        <v>-1.6199999999999999E-2</v>
      </c>
      <c r="O313" s="57">
        <v>5.7599999999999998E-2</v>
      </c>
      <c r="P313" s="57">
        <v>-6.6799999999999998E-2</v>
      </c>
      <c r="Q313" s="57">
        <v>-0.14130000000000001</v>
      </c>
      <c r="R313" s="57">
        <v>-3.2099999999999997E-2</v>
      </c>
      <c r="S313">
        <v>58.09</v>
      </c>
      <c r="T313">
        <v>37.200000000000003</v>
      </c>
      <c r="U313">
        <v>70.89</v>
      </c>
      <c r="V313" s="20">
        <v>3959.0542</v>
      </c>
    </row>
    <row r="314" spans="7:22" x14ac:dyDescent="0.15">
      <c r="G314" s="11">
        <v>313</v>
      </c>
      <c r="H314" s="10" t="s">
        <v>687</v>
      </c>
      <c r="I314" t="s">
        <v>964</v>
      </c>
      <c r="J314" t="s">
        <v>851</v>
      </c>
      <c r="K314" s="57">
        <v>-1.1000000000000001E-3</v>
      </c>
      <c r="L314" s="57">
        <v>-7.4999999999999997E-3</v>
      </c>
      <c r="M314" s="57">
        <v>2.9999999999999997E-4</v>
      </c>
      <c r="N314" s="57">
        <v>-1.3599999999999999E-2</v>
      </c>
      <c r="O314" s="57">
        <v>5.2499999999999998E-2</v>
      </c>
      <c r="P314" s="57">
        <v>-5.8500000000000003E-2</v>
      </c>
      <c r="Q314" s="57">
        <v>-0.13200000000000001</v>
      </c>
      <c r="R314" s="57">
        <v>-4.2299999999999997E-2</v>
      </c>
      <c r="S314">
        <v>57.95</v>
      </c>
      <c r="T314">
        <v>38.81</v>
      </c>
      <c r="U314">
        <v>69.27</v>
      </c>
      <c r="V314" s="20">
        <v>603.90459999999996</v>
      </c>
    </row>
    <row r="315" spans="7:22" x14ac:dyDescent="0.15">
      <c r="G315" s="11">
        <v>314</v>
      </c>
      <c r="H315" s="10" t="s">
        <v>563</v>
      </c>
      <c r="I315" t="s">
        <v>857</v>
      </c>
      <c r="J315" t="s">
        <v>851</v>
      </c>
      <c r="K315" s="57">
        <v>-1E-3</v>
      </c>
      <c r="L315" s="57">
        <v>-7.7000000000000002E-3</v>
      </c>
      <c r="M315" s="57">
        <v>3.7000000000000002E-3</v>
      </c>
      <c r="N315" s="57">
        <v>-1.18E-2</v>
      </c>
      <c r="O315" s="57">
        <v>-2E-3</v>
      </c>
      <c r="P315" s="57">
        <v>-0.1076</v>
      </c>
      <c r="Q315" s="57">
        <v>-9.9400000000000002E-2</v>
      </c>
      <c r="R315" s="57">
        <v>-0.15279999999999999</v>
      </c>
      <c r="S315">
        <v>57.82</v>
      </c>
      <c r="T315">
        <v>40.57</v>
      </c>
      <c r="U315">
        <v>67.25</v>
      </c>
      <c r="V315" s="20">
        <v>4577.1606000000002</v>
      </c>
    </row>
    <row r="316" spans="7:22" x14ac:dyDescent="0.15">
      <c r="G316" s="11">
        <v>315</v>
      </c>
      <c r="H316" s="10" t="s">
        <v>726</v>
      </c>
      <c r="I316" t="s">
        <v>895</v>
      </c>
      <c r="J316" t="s">
        <v>851</v>
      </c>
      <c r="K316" s="57">
        <v>-1.4E-3</v>
      </c>
      <c r="L316" s="57">
        <v>-1.0999999999999999E-2</v>
      </c>
      <c r="M316" s="57">
        <v>-4.7000000000000002E-3</v>
      </c>
      <c r="N316" s="57">
        <v>-1.8200000000000001E-2</v>
      </c>
      <c r="O316" s="57">
        <v>2.7199999999999998E-2</v>
      </c>
      <c r="P316" s="57">
        <v>-0.1002</v>
      </c>
      <c r="Q316" s="57">
        <v>-0.25900000000000001</v>
      </c>
      <c r="R316" s="57">
        <v>-0.26</v>
      </c>
      <c r="S316">
        <v>57.68</v>
      </c>
      <c r="T316">
        <v>34.770000000000003</v>
      </c>
      <c r="U316">
        <v>72.64</v>
      </c>
      <c r="V316" s="20">
        <v>2.7511000000000001</v>
      </c>
    </row>
    <row r="317" spans="7:22" x14ac:dyDescent="0.15">
      <c r="G317" s="11">
        <v>316</v>
      </c>
      <c r="H317" s="10" t="s">
        <v>319</v>
      </c>
      <c r="I317" t="s">
        <v>1105</v>
      </c>
      <c r="J317" t="s">
        <v>851</v>
      </c>
      <c r="K317" s="57">
        <v>6.9999999999999999E-4</v>
      </c>
      <c r="L317" s="57">
        <v>6.4000000000000003E-3</v>
      </c>
      <c r="M317" s="57">
        <v>5.1999999999999998E-3</v>
      </c>
      <c r="N317" s="57">
        <v>1.2699999999999999E-2</v>
      </c>
      <c r="O317" s="57">
        <v>0.153</v>
      </c>
      <c r="P317" s="57">
        <v>-4.6699999999999998E-2</v>
      </c>
      <c r="Q317" s="57">
        <v>-0.2964</v>
      </c>
      <c r="R317" s="57">
        <v>-0.30649999999999999</v>
      </c>
      <c r="S317">
        <v>57.55</v>
      </c>
      <c r="T317">
        <v>72.37</v>
      </c>
      <c r="U317">
        <v>34.909999999999997</v>
      </c>
      <c r="V317" s="20">
        <v>13077.3976</v>
      </c>
    </row>
    <row r="318" spans="7:22" x14ac:dyDescent="0.15">
      <c r="G318" s="11">
        <v>317</v>
      </c>
      <c r="H318" s="10" t="s">
        <v>354</v>
      </c>
      <c r="I318" t="s">
        <v>1003</v>
      </c>
      <c r="J318" t="s">
        <v>851</v>
      </c>
      <c r="K318" s="57">
        <v>-4.0000000000000002E-4</v>
      </c>
      <c r="L318" s="57">
        <v>2.1000000000000001E-2</v>
      </c>
      <c r="M318" s="57">
        <v>3.2000000000000001E-2</v>
      </c>
      <c r="N318" s="57">
        <v>-2.7000000000000001E-3</v>
      </c>
      <c r="O318" s="57">
        <v>0.2107</v>
      </c>
      <c r="P318" s="57">
        <v>8.5099999999999995E-2</v>
      </c>
      <c r="Q318" s="57">
        <v>1.2200000000000001E-2</v>
      </c>
      <c r="R318" s="57">
        <v>0.53959999999999997</v>
      </c>
      <c r="S318">
        <v>57.41</v>
      </c>
      <c r="T318">
        <v>51.89</v>
      </c>
      <c r="U318">
        <v>55.12</v>
      </c>
      <c r="V318" s="20">
        <v>2030.4377899999999</v>
      </c>
    </row>
    <row r="319" spans="7:22" x14ac:dyDescent="0.15">
      <c r="G319" s="11">
        <v>318</v>
      </c>
      <c r="H319" s="10" t="s">
        <v>2116</v>
      </c>
      <c r="I319" t="s">
        <v>2117</v>
      </c>
      <c r="J319" t="s">
        <v>2058</v>
      </c>
      <c r="K319" s="57">
        <v>-5.9999999999999995E-4</v>
      </c>
      <c r="L319" s="57">
        <v>8.5000000000000006E-3</v>
      </c>
      <c r="M319" s="57">
        <v>2.24E-2</v>
      </c>
      <c r="N319" s="57">
        <v>-7.1000000000000004E-3</v>
      </c>
      <c r="O319" s="57">
        <v>-3.3399999999999999E-2</v>
      </c>
      <c r="P319" s="57">
        <v>-3.3399999999999999E-2</v>
      </c>
      <c r="Q319" s="57">
        <v>-3.3399999999999999E-2</v>
      </c>
      <c r="R319" s="57">
        <v>-3.3399999999999999E-2</v>
      </c>
      <c r="S319">
        <v>57.28</v>
      </c>
      <c r="T319">
        <v>47.17</v>
      </c>
      <c r="U319">
        <v>59.57</v>
      </c>
      <c r="V319" s="20">
        <v>1910.2257</v>
      </c>
    </row>
    <row r="320" spans="7:22" x14ac:dyDescent="0.15">
      <c r="G320" s="11">
        <v>319</v>
      </c>
      <c r="H320" s="10" t="s">
        <v>1648</v>
      </c>
      <c r="I320" t="s">
        <v>1649</v>
      </c>
      <c r="J320" t="s">
        <v>1665</v>
      </c>
      <c r="K320" s="57">
        <v>2.8E-3</v>
      </c>
      <c r="L320" s="57">
        <v>-5.8999999999999999E-3</v>
      </c>
      <c r="M320" s="57">
        <v>1.6999999999999999E-3</v>
      </c>
      <c r="N320" s="57">
        <v>5.7799999999999997E-2</v>
      </c>
      <c r="O320" s="57">
        <v>0.11070000000000001</v>
      </c>
      <c r="P320" s="57">
        <v>-0.14050000000000001</v>
      </c>
      <c r="Q320" s="57">
        <v>-0.17349999999999999</v>
      </c>
      <c r="R320" s="57">
        <v>-0.17349999999999999</v>
      </c>
      <c r="S320">
        <v>57.14</v>
      </c>
      <c r="T320">
        <v>94.07</v>
      </c>
      <c r="U320">
        <v>12.4</v>
      </c>
      <c r="V320" s="20">
        <v>1070.8937000000001</v>
      </c>
    </row>
    <row r="321" spans="7:22" x14ac:dyDescent="0.15">
      <c r="G321" s="11">
        <v>320</v>
      </c>
      <c r="H321" s="10" t="s">
        <v>1608</v>
      </c>
      <c r="I321" t="s">
        <v>1609</v>
      </c>
      <c r="J321" t="s">
        <v>1665</v>
      </c>
      <c r="K321" s="57">
        <v>-1.1000000000000001E-3</v>
      </c>
      <c r="L321" s="57">
        <v>-7.0000000000000001E-3</v>
      </c>
      <c r="M321" s="57">
        <v>-5.0000000000000001E-4</v>
      </c>
      <c r="N321" s="57">
        <v>-1.67E-2</v>
      </c>
      <c r="O321" s="57">
        <v>4.9799999999999997E-2</v>
      </c>
      <c r="P321" s="57">
        <v>-7.3899999999999993E-2</v>
      </c>
      <c r="Q321" s="57">
        <v>-0.14549999999999999</v>
      </c>
      <c r="R321" s="57">
        <v>-0.1721</v>
      </c>
      <c r="S321">
        <v>57.01</v>
      </c>
      <c r="T321">
        <v>36.659999999999997</v>
      </c>
      <c r="U321">
        <v>69.81</v>
      </c>
      <c r="V321" s="20">
        <v>104.2538</v>
      </c>
    </row>
    <row r="322" spans="7:22" x14ac:dyDescent="0.15">
      <c r="G322" s="11">
        <v>321</v>
      </c>
      <c r="H322" s="10" t="s">
        <v>375</v>
      </c>
      <c r="I322" t="s">
        <v>913</v>
      </c>
      <c r="J322" t="s">
        <v>851</v>
      </c>
      <c r="K322" s="57">
        <v>-1.5E-3</v>
      </c>
      <c r="L322" s="57">
        <v>-5.5999999999999999E-3</v>
      </c>
      <c r="M322" s="57">
        <v>1.8E-3</v>
      </c>
      <c r="N322" s="57">
        <v>-1.9900000000000001E-2</v>
      </c>
      <c r="O322" s="57">
        <v>4.7399999999999998E-2</v>
      </c>
      <c r="P322" s="57">
        <v>-7.3499999999999996E-2</v>
      </c>
      <c r="Q322" s="57">
        <v>-0.12709999999999999</v>
      </c>
      <c r="R322" s="57">
        <v>6.3E-2</v>
      </c>
      <c r="S322">
        <v>56.87</v>
      </c>
      <c r="T322">
        <v>32.61</v>
      </c>
      <c r="U322">
        <v>73.849999999999994</v>
      </c>
      <c r="V322" s="20">
        <v>423.76400000000001</v>
      </c>
    </row>
    <row r="323" spans="7:22" x14ac:dyDescent="0.15">
      <c r="G323" s="11">
        <v>322</v>
      </c>
      <c r="H323" s="10" t="s">
        <v>510</v>
      </c>
      <c r="I323" t="s">
        <v>881</v>
      </c>
      <c r="J323" t="s">
        <v>851</v>
      </c>
      <c r="K323" s="57">
        <v>-8.0000000000000004E-4</v>
      </c>
      <c r="L323" s="57">
        <v>-1.72E-2</v>
      </c>
      <c r="M323" s="57">
        <v>2.5999999999999999E-3</v>
      </c>
      <c r="N323" s="57">
        <v>-9.7999999999999997E-3</v>
      </c>
      <c r="O323" s="57">
        <v>7.8299999999999995E-2</v>
      </c>
      <c r="P323" s="57">
        <v>-5.2200000000000003E-2</v>
      </c>
      <c r="Q323" s="57">
        <v>-0.16769999999999999</v>
      </c>
      <c r="R323" s="57">
        <v>-0.2414</v>
      </c>
      <c r="S323">
        <v>56.74</v>
      </c>
      <c r="T323">
        <v>43.67</v>
      </c>
      <c r="U323">
        <v>62.67</v>
      </c>
      <c r="V323" s="20">
        <v>145.91749999999999</v>
      </c>
    </row>
    <row r="324" spans="7:22" x14ac:dyDescent="0.15">
      <c r="G324" s="11">
        <v>323</v>
      </c>
      <c r="H324" s="10" t="s">
        <v>1529</v>
      </c>
      <c r="I324" t="s">
        <v>1530</v>
      </c>
      <c r="J324" t="s">
        <v>1665</v>
      </c>
      <c r="K324" s="57">
        <v>-2.5000000000000001E-3</v>
      </c>
      <c r="L324" s="57">
        <v>4.0000000000000001E-3</v>
      </c>
      <c r="M324" s="57">
        <v>2.1899999999999999E-2</v>
      </c>
      <c r="N324" s="57">
        <v>-2.76E-2</v>
      </c>
      <c r="O324" s="57">
        <v>-8.9999999999999998E-4</v>
      </c>
      <c r="P324" s="57">
        <v>-7.3400000000000007E-2</v>
      </c>
      <c r="Q324" s="57">
        <v>-0.1038</v>
      </c>
      <c r="R324" s="57">
        <v>-0.1038</v>
      </c>
      <c r="S324">
        <v>56.6</v>
      </c>
      <c r="T324">
        <v>25.34</v>
      </c>
      <c r="U324">
        <v>80.86</v>
      </c>
      <c r="V324" s="20">
        <v>2230.0535298</v>
      </c>
    </row>
    <row r="325" spans="7:22" x14ac:dyDescent="0.15">
      <c r="G325" s="11">
        <v>324</v>
      </c>
      <c r="H325" s="10" t="s">
        <v>629</v>
      </c>
      <c r="I325" t="s">
        <v>1144</v>
      </c>
      <c r="J325" t="s">
        <v>851</v>
      </c>
      <c r="K325" s="57">
        <v>-1.1999999999999999E-3</v>
      </c>
      <c r="L325" s="57">
        <v>-8.8999999999999999E-3</v>
      </c>
      <c r="M325" s="57">
        <v>-1E-3</v>
      </c>
      <c r="N325" s="57">
        <v>-1.7899999999999999E-2</v>
      </c>
      <c r="O325" s="57">
        <v>5.2400000000000002E-2</v>
      </c>
      <c r="P325" s="57">
        <v>-6.54E-2</v>
      </c>
      <c r="Q325" s="57">
        <v>-0.1454</v>
      </c>
      <c r="R325" s="57">
        <v>-8.2199999999999995E-2</v>
      </c>
      <c r="S325">
        <v>56.47</v>
      </c>
      <c r="T325">
        <v>35.18</v>
      </c>
      <c r="U325">
        <v>71.02</v>
      </c>
      <c r="V325" s="20">
        <v>35997.009189500001</v>
      </c>
    </row>
    <row r="326" spans="7:22" x14ac:dyDescent="0.15">
      <c r="G326" s="11">
        <v>325</v>
      </c>
      <c r="H326" s="10" t="s">
        <v>569</v>
      </c>
      <c r="I326" t="s">
        <v>1243</v>
      </c>
      <c r="J326" t="s">
        <v>1230</v>
      </c>
      <c r="K326" s="57">
        <v>-5.0000000000000001E-4</v>
      </c>
      <c r="L326" s="57">
        <v>-3.0000000000000001E-3</v>
      </c>
      <c r="M326" s="57">
        <v>-2.9999999999999997E-4</v>
      </c>
      <c r="N326" s="57">
        <v>-5.8999999999999999E-3</v>
      </c>
      <c r="O326" s="57">
        <v>1.66E-2</v>
      </c>
      <c r="P326" s="57">
        <v>-2.2599999999999999E-2</v>
      </c>
      <c r="Q326" s="57">
        <v>-5.2999999999999999E-2</v>
      </c>
      <c r="R326" s="57">
        <v>-2.7099999999999999E-2</v>
      </c>
      <c r="S326">
        <v>56.33</v>
      </c>
      <c r="T326">
        <v>49.33</v>
      </c>
      <c r="U326">
        <v>56.74</v>
      </c>
      <c r="V326" s="20">
        <v>109.93950700000001</v>
      </c>
    </row>
    <row r="327" spans="7:22" x14ac:dyDescent="0.15">
      <c r="G327" s="11">
        <v>326</v>
      </c>
      <c r="H327" s="10" t="s">
        <v>536</v>
      </c>
      <c r="I327" t="s">
        <v>966</v>
      </c>
      <c r="J327" t="s">
        <v>851</v>
      </c>
      <c r="K327" s="57">
        <v>-2.7000000000000001E-3</v>
      </c>
      <c r="L327" s="57">
        <v>-1.2E-2</v>
      </c>
      <c r="M327" s="57">
        <v>-2.8999999999999998E-3</v>
      </c>
      <c r="N327" s="57">
        <v>-2.93E-2</v>
      </c>
      <c r="O327" s="57">
        <v>3.4700000000000002E-2</v>
      </c>
      <c r="P327" s="57">
        <v>-0.1203</v>
      </c>
      <c r="Q327" s="57">
        <v>-0.17799999999999999</v>
      </c>
      <c r="R327" s="57">
        <v>-0.24779999999999999</v>
      </c>
      <c r="S327">
        <v>56.2</v>
      </c>
      <c r="T327">
        <v>23.85</v>
      </c>
      <c r="U327">
        <v>81.94</v>
      </c>
      <c r="V327" s="20">
        <v>935.51926999999989</v>
      </c>
    </row>
    <row r="328" spans="7:22" x14ac:dyDescent="0.15">
      <c r="G328" s="11">
        <v>327</v>
      </c>
      <c r="H328" s="10" t="s">
        <v>600</v>
      </c>
      <c r="I328" t="s">
        <v>857</v>
      </c>
      <c r="J328" t="s">
        <v>851</v>
      </c>
      <c r="K328" s="57">
        <v>-5.9999999999999995E-4</v>
      </c>
      <c r="L328" s="57">
        <v>-2.5999999999999999E-3</v>
      </c>
      <c r="M328" s="57">
        <v>1.4999999999999999E-2</v>
      </c>
      <c r="N328" s="57">
        <v>-8.6999999999999994E-3</v>
      </c>
      <c r="O328" s="57">
        <v>-6.6E-3</v>
      </c>
      <c r="P328" s="57">
        <v>-0.11840000000000001</v>
      </c>
      <c r="Q328" s="57">
        <v>-0.1172</v>
      </c>
      <c r="R328" s="57">
        <v>-0.19</v>
      </c>
      <c r="S328">
        <v>56.06</v>
      </c>
      <c r="T328">
        <v>45.55</v>
      </c>
      <c r="U328">
        <v>60.24</v>
      </c>
      <c r="V328" s="20">
        <v>21.478100000000001</v>
      </c>
    </row>
    <row r="329" spans="7:22" x14ac:dyDescent="0.15">
      <c r="G329" s="11">
        <v>328</v>
      </c>
      <c r="H329" s="10" t="s">
        <v>705</v>
      </c>
      <c r="I329" t="s">
        <v>1272</v>
      </c>
      <c r="J329" t="s">
        <v>1267</v>
      </c>
      <c r="K329" s="57">
        <v>-4.8999999999999998E-3</v>
      </c>
      <c r="L329" s="57">
        <v>-3.7000000000000002E-3</v>
      </c>
      <c r="M329" s="57">
        <v>-5.1999999999999998E-3</v>
      </c>
      <c r="N329" s="57">
        <v>-3.9699999999999999E-2</v>
      </c>
      <c r="O329" s="57">
        <v>-1.7299999999999999E-2</v>
      </c>
      <c r="P329" s="57">
        <v>-0.1193</v>
      </c>
      <c r="Q329" s="57">
        <v>-0.2954</v>
      </c>
      <c r="R329" s="57">
        <v>-0.2238</v>
      </c>
      <c r="S329">
        <v>55.93</v>
      </c>
      <c r="T329">
        <v>17.52</v>
      </c>
      <c r="U329">
        <v>88.27</v>
      </c>
      <c r="V329" s="20">
        <v>51.4238</v>
      </c>
    </row>
    <row r="330" spans="7:22" x14ac:dyDescent="0.15">
      <c r="G330" s="11">
        <v>329</v>
      </c>
      <c r="H330" s="10" t="s">
        <v>1493</v>
      </c>
      <c r="I330" t="s">
        <v>1494</v>
      </c>
      <c r="J330" t="s">
        <v>1665</v>
      </c>
      <c r="K330" s="57">
        <v>-4.8999999999999998E-3</v>
      </c>
      <c r="L330" s="57">
        <v>-1.17E-2</v>
      </c>
      <c r="M330" s="57">
        <v>-3.8E-3</v>
      </c>
      <c r="N330" s="57">
        <v>-4.0399999999999998E-2</v>
      </c>
      <c r="O330" s="57">
        <v>1.2800000000000001E-2</v>
      </c>
      <c r="P330" s="57">
        <v>-0.1341</v>
      </c>
      <c r="Q330" s="57">
        <v>-0.20610000000000001</v>
      </c>
      <c r="R330" s="57">
        <v>-0.20610000000000001</v>
      </c>
      <c r="S330">
        <v>55.8</v>
      </c>
      <c r="T330">
        <v>17.25</v>
      </c>
      <c r="U330">
        <v>88.41</v>
      </c>
      <c r="V330" s="20">
        <v>58.914000000000001</v>
      </c>
    </row>
    <row r="331" spans="7:22" x14ac:dyDescent="0.15">
      <c r="G331" s="11">
        <v>330</v>
      </c>
      <c r="H331" s="10" t="s">
        <v>1364</v>
      </c>
      <c r="I331" t="s">
        <v>1365</v>
      </c>
      <c r="J331" t="s">
        <v>1665</v>
      </c>
      <c r="K331" s="57">
        <v>1.9E-3</v>
      </c>
      <c r="L331" s="57">
        <v>6.0299999999999999E-2</v>
      </c>
      <c r="M331" s="57">
        <v>8.8099999999999998E-2</v>
      </c>
      <c r="N331" s="57">
        <v>3.5200000000000002E-2</v>
      </c>
      <c r="O331" s="57">
        <v>0.1008</v>
      </c>
      <c r="P331" s="57">
        <v>5.6099999999999997E-2</v>
      </c>
      <c r="Q331" s="57">
        <v>-4.6800000000000001E-2</v>
      </c>
      <c r="R331" s="57">
        <v>-4.6800000000000001E-2</v>
      </c>
      <c r="S331">
        <v>55.66</v>
      </c>
      <c r="T331">
        <v>87.6</v>
      </c>
      <c r="U331">
        <v>17.79</v>
      </c>
      <c r="V331" s="20">
        <v>18647.934969800001</v>
      </c>
    </row>
    <row r="332" spans="7:22" x14ac:dyDescent="0.15">
      <c r="G332" s="11">
        <v>331</v>
      </c>
      <c r="H332" s="10" t="s">
        <v>362</v>
      </c>
      <c r="I332" t="s">
        <v>1116</v>
      </c>
      <c r="J332" t="s">
        <v>851</v>
      </c>
      <c r="K332" s="57">
        <v>5.9999999999999995E-4</v>
      </c>
      <c r="L332" s="57">
        <v>5.4000000000000003E-3</v>
      </c>
      <c r="M332" s="57">
        <v>4.5999999999999999E-3</v>
      </c>
      <c r="N332" s="57">
        <v>9.2999999999999992E-3</v>
      </c>
      <c r="O332" s="57">
        <v>0.01</v>
      </c>
      <c r="P332" s="57">
        <v>1.95E-2</v>
      </c>
      <c r="Q332" s="57">
        <v>3.73E-2</v>
      </c>
      <c r="R332" s="57">
        <v>6.2600000000000003E-2</v>
      </c>
      <c r="S332">
        <v>55.53</v>
      </c>
      <c r="T332">
        <v>68.33</v>
      </c>
      <c r="U332">
        <v>36.79</v>
      </c>
      <c r="V332" s="20">
        <v>37057.525999999998</v>
      </c>
    </row>
    <row r="333" spans="7:22" x14ac:dyDescent="0.15">
      <c r="G333" s="11">
        <v>332</v>
      </c>
      <c r="H333" s="10" t="s">
        <v>1587</v>
      </c>
      <c r="I333" t="s">
        <v>1588</v>
      </c>
      <c r="J333" t="s">
        <v>1665</v>
      </c>
      <c r="K333" s="57">
        <v>-7.4000000000000003E-3</v>
      </c>
      <c r="L333" s="57">
        <v>-4.4000000000000003E-3</v>
      </c>
      <c r="M333" s="57">
        <v>-1.2E-2</v>
      </c>
      <c r="N333" s="57">
        <v>-4.9799999999999997E-2</v>
      </c>
      <c r="O333" s="57">
        <v>5.9200000000000003E-2</v>
      </c>
      <c r="P333" s="57">
        <v>-8.6300000000000002E-2</v>
      </c>
      <c r="Q333" s="57">
        <v>-0.1699</v>
      </c>
      <c r="R333" s="57">
        <v>-0.1699</v>
      </c>
      <c r="S333">
        <v>55.39</v>
      </c>
      <c r="T333">
        <v>12.13</v>
      </c>
      <c r="U333">
        <v>92.99</v>
      </c>
      <c r="V333" s="20">
        <v>73.854299999999995</v>
      </c>
    </row>
    <row r="334" spans="7:22" x14ac:dyDescent="0.15">
      <c r="G334" s="11">
        <v>333</v>
      </c>
      <c r="H334" s="10" t="s">
        <v>404</v>
      </c>
      <c r="I334" t="s">
        <v>1174</v>
      </c>
      <c r="J334" t="s">
        <v>1296</v>
      </c>
      <c r="K334" s="57">
        <v>0</v>
      </c>
      <c r="L334" s="57">
        <v>2.0000000000000001E-4</v>
      </c>
      <c r="M334" s="57">
        <v>4.0000000000000002E-4</v>
      </c>
      <c r="N334" s="57">
        <v>8.9999999999999998E-4</v>
      </c>
      <c r="O334" s="57">
        <v>3.0999999999999999E-3</v>
      </c>
      <c r="P334" s="57">
        <v>6.8999999999999999E-3</v>
      </c>
      <c r="Q334" s="57">
        <v>1.5900000000000001E-2</v>
      </c>
      <c r="R334" s="57">
        <v>3.3799999999999997E-2</v>
      </c>
      <c r="S334">
        <v>55.26</v>
      </c>
      <c r="T334">
        <v>59.03</v>
      </c>
      <c r="U334">
        <v>45.96</v>
      </c>
      <c r="V334" s="20">
        <v>1260958.0649999999</v>
      </c>
    </row>
    <row r="335" spans="7:22" x14ac:dyDescent="0.15">
      <c r="G335" s="11">
        <v>334</v>
      </c>
      <c r="H335" s="10" t="s">
        <v>723</v>
      </c>
      <c r="I335" t="s">
        <v>1289</v>
      </c>
      <c r="J335" t="s">
        <v>1267</v>
      </c>
      <c r="K335" s="57">
        <v>-2.7000000000000001E-3</v>
      </c>
      <c r="L335" s="57">
        <v>-1.01E-2</v>
      </c>
      <c r="M335" s="57">
        <v>-0.01</v>
      </c>
      <c r="N335" s="57">
        <v>-3.0300000000000001E-2</v>
      </c>
      <c r="O335" s="57">
        <v>1.2699999999999999E-2</v>
      </c>
      <c r="P335" s="57">
        <v>-6.1400000000000003E-2</v>
      </c>
      <c r="Q335" s="57">
        <v>-0.19539999999999999</v>
      </c>
      <c r="R335" s="57">
        <v>-0.19500000000000001</v>
      </c>
      <c r="S335">
        <v>55.12</v>
      </c>
      <c r="T335">
        <v>23.18</v>
      </c>
      <c r="U335">
        <v>81.81</v>
      </c>
      <c r="V335" s="20">
        <v>22558.646540000002</v>
      </c>
    </row>
    <row r="336" spans="7:22" x14ac:dyDescent="0.15">
      <c r="G336" s="11">
        <v>335</v>
      </c>
      <c r="H336" s="10" t="s">
        <v>731</v>
      </c>
      <c r="I336" t="s">
        <v>1286</v>
      </c>
      <c r="J336" t="s">
        <v>1267</v>
      </c>
      <c r="K336" s="57">
        <v>-2.2000000000000001E-3</v>
      </c>
      <c r="L336" s="57">
        <v>-7.1000000000000004E-3</v>
      </c>
      <c r="M336" s="57">
        <v>-6.1999999999999998E-3</v>
      </c>
      <c r="N336" s="57">
        <v>-2.5700000000000001E-2</v>
      </c>
      <c r="O336" s="57">
        <v>0.01</v>
      </c>
      <c r="P336" s="57">
        <v>-5.8999999999999997E-2</v>
      </c>
      <c r="Q336" s="57">
        <v>-0.17319999999999999</v>
      </c>
      <c r="R336" s="57">
        <v>-0.16350000000000001</v>
      </c>
      <c r="S336">
        <v>54.99</v>
      </c>
      <c r="T336">
        <v>26.28</v>
      </c>
      <c r="U336">
        <v>78.569999999999993</v>
      </c>
      <c r="V336" s="20">
        <v>4437.0556999999999</v>
      </c>
    </row>
    <row r="337" spans="7:22" x14ac:dyDescent="0.15">
      <c r="G337" s="11">
        <v>336</v>
      </c>
      <c r="H337" s="10" t="s">
        <v>1640</v>
      </c>
      <c r="I337" t="s">
        <v>1641</v>
      </c>
      <c r="J337" t="s">
        <v>1665</v>
      </c>
      <c r="K337" s="57">
        <v>2.9999999999999997E-4</v>
      </c>
      <c r="L337" s="57">
        <v>2.2200000000000001E-2</v>
      </c>
      <c r="M337" s="57">
        <v>1.9900000000000001E-2</v>
      </c>
      <c r="N337" s="57">
        <v>4.5999999999999999E-3</v>
      </c>
      <c r="O337" s="57">
        <v>9.5799999999999996E-2</v>
      </c>
      <c r="P337" s="57">
        <v>4.9299999999999997E-2</v>
      </c>
      <c r="Q337" s="57">
        <v>4.87E-2</v>
      </c>
      <c r="R337" s="57">
        <v>4.87E-2</v>
      </c>
      <c r="S337">
        <v>54.85</v>
      </c>
      <c r="T337">
        <v>64.02</v>
      </c>
      <c r="U337">
        <v>40.299999999999997</v>
      </c>
      <c r="V337" s="20">
        <v>2370.3350999999998</v>
      </c>
    </row>
    <row r="338" spans="7:22" x14ac:dyDescent="0.15">
      <c r="G338" s="11">
        <v>337</v>
      </c>
      <c r="H338" s="10" t="s">
        <v>525</v>
      </c>
      <c r="I338" t="s">
        <v>909</v>
      </c>
      <c r="J338" t="s">
        <v>851</v>
      </c>
      <c r="K338" s="57">
        <v>8.0000000000000004E-4</v>
      </c>
      <c r="L338" s="57">
        <v>3.2000000000000002E-3</v>
      </c>
      <c r="M338" s="57">
        <v>1.55E-2</v>
      </c>
      <c r="N338" s="57">
        <v>1.14E-2</v>
      </c>
      <c r="O338" s="57">
        <v>0.14630000000000001</v>
      </c>
      <c r="P338" s="57">
        <v>-3.8600000000000002E-2</v>
      </c>
      <c r="Q338" s="57">
        <v>-0.21640000000000001</v>
      </c>
      <c r="R338" s="57">
        <v>-0.22900000000000001</v>
      </c>
      <c r="S338">
        <v>54.72</v>
      </c>
      <c r="T338">
        <v>70.62</v>
      </c>
      <c r="U338">
        <v>33.42</v>
      </c>
      <c r="V338" s="20">
        <v>333.32226000000003</v>
      </c>
    </row>
    <row r="339" spans="7:22" x14ac:dyDescent="0.15">
      <c r="G339" s="11">
        <v>338</v>
      </c>
      <c r="H339" s="10" t="s">
        <v>681</v>
      </c>
      <c r="I339" t="s">
        <v>1160</v>
      </c>
      <c r="J339" t="s">
        <v>851</v>
      </c>
      <c r="K339" s="57">
        <v>-1E-3</v>
      </c>
      <c r="L339" s="57">
        <v>-8.3999999999999995E-3</v>
      </c>
      <c r="M339" s="57">
        <v>-1E-3</v>
      </c>
      <c r="N339" s="57">
        <v>-1.6899999999999998E-2</v>
      </c>
      <c r="O339" s="57">
        <v>4.8000000000000001E-2</v>
      </c>
      <c r="P339" s="57">
        <v>-6.2E-2</v>
      </c>
      <c r="Q339" s="57">
        <v>-0.13900000000000001</v>
      </c>
      <c r="R339" s="57">
        <v>-7.6499999999999999E-2</v>
      </c>
      <c r="S339">
        <v>54.58</v>
      </c>
      <c r="T339">
        <v>36.39</v>
      </c>
      <c r="U339">
        <v>67.650000000000006</v>
      </c>
      <c r="V339" s="20">
        <v>122334.3184</v>
      </c>
    </row>
    <row r="340" spans="7:22" x14ac:dyDescent="0.15">
      <c r="G340" s="11">
        <v>339</v>
      </c>
      <c r="H340" s="10" t="s">
        <v>692</v>
      </c>
      <c r="I340" t="s">
        <v>962</v>
      </c>
      <c r="J340" t="s">
        <v>851</v>
      </c>
      <c r="K340" s="57">
        <v>-1.1999999999999999E-3</v>
      </c>
      <c r="L340" s="57">
        <v>-9.4999999999999998E-3</v>
      </c>
      <c r="M340" s="57">
        <v>-1.1999999999999999E-3</v>
      </c>
      <c r="N340" s="57">
        <v>-1.89E-2</v>
      </c>
      <c r="O340" s="57">
        <v>5.3800000000000001E-2</v>
      </c>
      <c r="P340" s="57">
        <v>-7.0999999999999994E-2</v>
      </c>
      <c r="Q340" s="57">
        <v>-0.14330000000000001</v>
      </c>
      <c r="R340" s="57">
        <v>1.4E-3</v>
      </c>
      <c r="S340">
        <v>54.45</v>
      </c>
      <c r="T340">
        <v>33.56</v>
      </c>
      <c r="U340">
        <v>70.349999999999994</v>
      </c>
      <c r="V340" s="20">
        <v>1164.4645</v>
      </c>
    </row>
    <row r="341" spans="7:22" x14ac:dyDescent="0.15">
      <c r="G341" s="11">
        <v>340</v>
      </c>
      <c r="H341" s="10" t="s">
        <v>1549</v>
      </c>
      <c r="I341" t="s">
        <v>1550</v>
      </c>
      <c r="J341" t="s">
        <v>1665</v>
      </c>
      <c r="K341" s="57">
        <v>-5.3E-3</v>
      </c>
      <c r="L341" s="57">
        <v>-1.6899999999999998E-2</v>
      </c>
      <c r="M341" s="57">
        <v>-1.6500000000000001E-2</v>
      </c>
      <c r="N341" s="57">
        <v>-4.5999999999999999E-2</v>
      </c>
      <c r="O341" s="57">
        <v>0.08</v>
      </c>
      <c r="P341" s="57">
        <v>-7.1199999999999999E-2</v>
      </c>
      <c r="Q341" s="57">
        <v>-0.1525</v>
      </c>
      <c r="R341" s="57">
        <v>-0.1525</v>
      </c>
      <c r="S341">
        <v>54.31</v>
      </c>
      <c r="T341">
        <v>14.42</v>
      </c>
      <c r="U341">
        <v>89.35</v>
      </c>
      <c r="V341" s="20">
        <v>236.65860000000001</v>
      </c>
    </row>
    <row r="342" spans="7:22" x14ac:dyDescent="0.15">
      <c r="G342" s="11">
        <v>341</v>
      </c>
      <c r="H342" s="10" t="s">
        <v>524</v>
      </c>
      <c r="I342" t="s">
        <v>1139</v>
      </c>
      <c r="J342" t="s">
        <v>851</v>
      </c>
      <c r="K342" s="57">
        <v>1.6000000000000001E-3</v>
      </c>
      <c r="L342" s="57">
        <v>-3.27E-2</v>
      </c>
      <c r="M342" s="57">
        <v>-4.2200000000000001E-2</v>
      </c>
      <c r="N342" s="57">
        <v>2.23E-2</v>
      </c>
      <c r="O342" s="57">
        <v>0.10630000000000001</v>
      </c>
      <c r="P342" s="57">
        <v>-8.4199999999999997E-2</v>
      </c>
      <c r="Q342" s="57">
        <v>-0.29099999999999998</v>
      </c>
      <c r="R342" s="57">
        <v>-0.1983</v>
      </c>
      <c r="S342">
        <v>54.18</v>
      </c>
      <c r="T342">
        <v>82.08</v>
      </c>
      <c r="U342">
        <v>21.43</v>
      </c>
      <c r="V342" s="20">
        <v>55624.782599999999</v>
      </c>
    </row>
    <row r="343" spans="7:22" x14ac:dyDescent="0.15">
      <c r="G343" s="11">
        <v>342</v>
      </c>
      <c r="H343" s="10" t="s">
        <v>572</v>
      </c>
      <c r="I343" t="s">
        <v>973</v>
      </c>
      <c r="J343" t="s">
        <v>851</v>
      </c>
      <c r="K343" s="57">
        <v>-2.9999999999999997E-4</v>
      </c>
      <c r="L343" s="57">
        <v>-3.6400000000000002E-2</v>
      </c>
      <c r="M343" s="57">
        <v>8.0000000000000002E-3</v>
      </c>
      <c r="N343" s="57">
        <v>-3.3E-3</v>
      </c>
      <c r="O343" s="57">
        <v>4.19E-2</v>
      </c>
      <c r="P343" s="57">
        <v>-9.1600000000000001E-2</v>
      </c>
      <c r="Q343" s="57">
        <v>-0.1452</v>
      </c>
      <c r="R343" s="57">
        <v>-6.0699999999999997E-2</v>
      </c>
      <c r="S343">
        <v>54.04</v>
      </c>
      <c r="T343">
        <v>51.48</v>
      </c>
      <c r="U343">
        <v>52.02</v>
      </c>
      <c r="V343" s="20">
        <v>1462.3150000000001</v>
      </c>
    </row>
    <row r="344" spans="7:22" x14ac:dyDescent="0.15">
      <c r="G344" s="11">
        <v>343</v>
      </c>
      <c r="H344" s="10" t="s">
        <v>1571</v>
      </c>
      <c r="I344" t="s">
        <v>1572</v>
      </c>
      <c r="J344" t="s">
        <v>1665</v>
      </c>
      <c r="K344" s="57">
        <v>-6.1000000000000004E-3</v>
      </c>
      <c r="L344" s="57">
        <v>-1.9900000000000001E-2</v>
      </c>
      <c r="M344" s="57">
        <v>-2.86E-2</v>
      </c>
      <c r="N344" s="57">
        <v>-4.9700000000000001E-2</v>
      </c>
      <c r="O344" s="57">
        <v>4.4400000000000002E-2</v>
      </c>
      <c r="P344" s="57">
        <v>-0.1114</v>
      </c>
      <c r="Q344" s="57">
        <v>-0.2072</v>
      </c>
      <c r="R344" s="57">
        <v>-0.2072</v>
      </c>
      <c r="S344">
        <v>53.91</v>
      </c>
      <c r="T344">
        <v>12.26</v>
      </c>
      <c r="U344">
        <v>90.97</v>
      </c>
      <c r="V344" s="20">
        <v>2525.4092999999998</v>
      </c>
    </row>
    <row r="345" spans="7:22" x14ac:dyDescent="0.15">
      <c r="G345" s="11">
        <v>344</v>
      </c>
      <c r="H345" s="10" t="s">
        <v>1589</v>
      </c>
      <c r="I345" t="s">
        <v>1590</v>
      </c>
      <c r="J345" t="s">
        <v>1665</v>
      </c>
      <c r="K345" s="57">
        <v>-6.3E-3</v>
      </c>
      <c r="L345" s="57">
        <v>-4.5999999999999999E-3</v>
      </c>
      <c r="M345" s="57">
        <v>-1.2200000000000001E-2</v>
      </c>
      <c r="N345" s="57">
        <v>-5.0099999999999999E-2</v>
      </c>
      <c r="O345" s="57">
        <v>5.8700000000000002E-2</v>
      </c>
      <c r="P345" s="57">
        <v>3.6499999999999998E-2</v>
      </c>
      <c r="Q345" s="57">
        <v>3.6499999999999998E-2</v>
      </c>
      <c r="R345" s="57">
        <v>3.6499999999999998E-2</v>
      </c>
      <c r="S345">
        <v>53.77</v>
      </c>
      <c r="T345">
        <v>11.86</v>
      </c>
      <c r="U345">
        <v>91.37</v>
      </c>
      <c r="V345" s="20">
        <v>1113.9689000000001</v>
      </c>
    </row>
    <row r="346" spans="7:22" x14ac:dyDescent="0.15">
      <c r="G346" s="11">
        <v>345</v>
      </c>
      <c r="H346" s="10" t="s">
        <v>1360</v>
      </c>
      <c r="I346" t="s">
        <v>1361</v>
      </c>
      <c r="J346" t="s">
        <v>1665</v>
      </c>
      <c r="K346" s="57">
        <v>2.8999999999999998E-3</v>
      </c>
      <c r="L346" s="57">
        <v>5.33E-2</v>
      </c>
      <c r="M346" s="57">
        <v>8.5699999999999998E-2</v>
      </c>
      <c r="N346" s="57">
        <v>5.2299999999999999E-2</v>
      </c>
      <c r="O346" s="57">
        <v>0.32550000000000001</v>
      </c>
      <c r="P346" s="57">
        <v>0.20910000000000001</v>
      </c>
      <c r="Q346" s="57">
        <v>0.1158</v>
      </c>
      <c r="R346" s="57">
        <v>0.1158</v>
      </c>
      <c r="S346">
        <v>53.64</v>
      </c>
      <c r="T346">
        <v>91.64</v>
      </c>
      <c r="U346">
        <v>11.19</v>
      </c>
      <c r="V346" s="20">
        <v>3691.8314999999998</v>
      </c>
    </row>
    <row r="347" spans="7:22" x14ac:dyDescent="0.15">
      <c r="G347" s="11">
        <v>346</v>
      </c>
      <c r="H347" s="10" t="s">
        <v>548</v>
      </c>
      <c r="I347" t="s">
        <v>991</v>
      </c>
      <c r="J347" t="s">
        <v>851</v>
      </c>
      <c r="K347" s="57">
        <v>-5.0000000000000001E-4</v>
      </c>
      <c r="L347" s="57">
        <v>6.8999999999999999E-3</v>
      </c>
      <c r="M347" s="57">
        <v>6.1999999999999998E-3</v>
      </c>
      <c r="N347" s="57">
        <v>-9.5999999999999992E-3</v>
      </c>
      <c r="O347" s="57">
        <v>6.7599999999999993E-2</v>
      </c>
      <c r="P347" s="57">
        <v>-1.5699999999999999E-2</v>
      </c>
      <c r="Q347" s="57">
        <v>-6.2300000000000001E-2</v>
      </c>
      <c r="R347" s="57">
        <v>-0.1406</v>
      </c>
      <c r="S347">
        <v>53.5</v>
      </c>
      <c r="T347">
        <v>44.07</v>
      </c>
      <c r="U347">
        <v>58.63</v>
      </c>
      <c r="V347" s="20">
        <v>2342.4884000000002</v>
      </c>
    </row>
    <row r="348" spans="7:22" x14ac:dyDescent="0.15">
      <c r="G348" s="11">
        <v>347</v>
      </c>
      <c r="H348" s="10" t="s">
        <v>1475</v>
      </c>
      <c r="I348" t="s">
        <v>1476</v>
      </c>
      <c r="J348" t="s">
        <v>1665</v>
      </c>
      <c r="K348" s="57">
        <v>-4.4000000000000003E-3</v>
      </c>
      <c r="L348" s="57">
        <v>-1.54E-2</v>
      </c>
      <c r="M348" s="57">
        <v>-1.47E-2</v>
      </c>
      <c r="N348" s="57">
        <v>-4.3799999999999999E-2</v>
      </c>
      <c r="O348" s="57">
        <v>6.0999999999999999E-2</v>
      </c>
      <c r="P348" s="57">
        <v>1.34E-2</v>
      </c>
      <c r="Q348" s="57">
        <v>1.34E-2</v>
      </c>
      <c r="R348" s="57">
        <v>1.34E-2</v>
      </c>
      <c r="S348">
        <v>53.37</v>
      </c>
      <c r="T348">
        <v>15.77</v>
      </c>
      <c r="U348">
        <v>86.79</v>
      </c>
      <c r="V348" s="20">
        <v>253.26140000000001</v>
      </c>
    </row>
    <row r="349" spans="7:22" x14ac:dyDescent="0.15">
      <c r="G349" s="11">
        <v>348</v>
      </c>
      <c r="H349" s="10" t="s">
        <v>522</v>
      </c>
      <c r="I349" t="s">
        <v>17</v>
      </c>
      <c r="J349" t="s">
        <v>1665</v>
      </c>
      <c r="K349" s="57">
        <v>1.1000000000000001E-3</v>
      </c>
      <c r="L349" s="57">
        <v>-3.0000000000000001E-3</v>
      </c>
      <c r="M349" s="57">
        <v>8.0000000000000002E-3</v>
      </c>
      <c r="N349" s="57">
        <v>1.46E-2</v>
      </c>
      <c r="O349" s="57">
        <v>5.5599999999999997E-2</v>
      </c>
      <c r="P349" s="57">
        <v>8.6999999999999994E-3</v>
      </c>
      <c r="Q349" s="57">
        <v>6.0600000000000001E-2</v>
      </c>
      <c r="R349" s="57">
        <v>0.14510000000000001</v>
      </c>
      <c r="S349">
        <v>53.23</v>
      </c>
      <c r="T349">
        <v>75.069999999999993</v>
      </c>
      <c r="U349">
        <v>27.49</v>
      </c>
      <c r="V349" s="20">
        <v>40643.546999999999</v>
      </c>
    </row>
    <row r="350" spans="7:22" x14ac:dyDescent="0.15">
      <c r="G350" s="11">
        <v>349</v>
      </c>
      <c r="H350" s="10" t="s">
        <v>341</v>
      </c>
      <c r="I350" t="s">
        <v>1106</v>
      </c>
      <c r="J350" t="s">
        <v>851</v>
      </c>
      <c r="K350" s="57">
        <v>1E-3</v>
      </c>
      <c r="L350" s="57">
        <v>6.7000000000000002E-3</v>
      </c>
      <c r="M350" s="57">
        <v>5.7999999999999996E-3</v>
      </c>
      <c r="N350" s="57">
        <v>1.32E-2</v>
      </c>
      <c r="O350" s="57">
        <v>0.15210000000000001</v>
      </c>
      <c r="P350" s="57">
        <v>-4.6600000000000003E-2</v>
      </c>
      <c r="Q350" s="57">
        <v>-0.29470000000000002</v>
      </c>
      <c r="R350" s="57">
        <v>-0.31080000000000002</v>
      </c>
      <c r="S350">
        <v>53.1</v>
      </c>
      <c r="T350">
        <v>73.05</v>
      </c>
      <c r="U350">
        <v>29.38</v>
      </c>
      <c r="V350" s="20">
        <v>10881.717699999999</v>
      </c>
    </row>
    <row r="351" spans="7:22" x14ac:dyDescent="0.15">
      <c r="G351" s="11">
        <v>350</v>
      </c>
      <c r="H351" s="10" t="s">
        <v>606</v>
      </c>
      <c r="I351" t="s">
        <v>958</v>
      </c>
      <c r="J351" t="s">
        <v>851</v>
      </c>
      <c r="K351" s="57">
        <v>-5.0000000000000001E-4</v>
      </c>
      <c r="L351" s="57">
        <v>-6.7999999999999996E-3</v>
      </c>
      <c r="M351" s="57">
        <v>5.3E-3</v>
      </c>
      <c r="N351" s="57">
        <v>-9.5999999999999992E-3</v>
      </c>
      <c r="O351" s="57">
        <v>6.6699999999999995E-2</v>
      </c>
      <c r="P351" s="57">
        <v>-5.3600000000000002E-2</v>
      </c>
      <c r="Q351" s="57">
        <v>-0.11</v>
      </c>
      <c r="R351" s="57">
        <v>7.2300000000000003E-2</v>
      </c>
      <c r="S351">
        <v>52.96</v>
      </c>
      <c r="T351">
        <v>43.8</v>
      </c>
      <c r="U351">
        <v>58.49</v>
      </c>
      <c r="V351" s="20">
        <v>1689.9048</v>
      </c>
    </row>
    <row r="352" spans="7:22" x14ac:dyDescent="0.15">
      <c r="G352" s="11">
        <v>351</v>
      </c>
      <c r="H352" s="10" t="s">
        <v>1557</v>
      </c>
      <c r="I352" t="s">
        <v>1558</v>
      </c>
      <c r="J352" t="s">
        <v>1665</v>
      </c>
      <c r="K352" s="57">
        <v>-4.7000000000000002E-3</v>
      </c>
      <c r="L352" s="57">
        <v>-2.5499999999999998E-2</v>
      </c>
      <c r="M352" s="57">
        <v>-2.63E-2</v>
      </c>
      <c r="N352" s="57">
        <v>-4.6199999999999998E-2</v>
      </c>
      <c r="O352" s="57">
        <v>4.82E-2</v>
      </c>
      <c r="P352" s="57">
        <v>-0.11749999999999999</v>
      </c>
      <c r="Q352" s="57">
        <v>-0.32069999999999999</v>
      </c>
      <c r="R352" s="57">
        <v>-0.37809999999999999</v>
      </c>
      <c r="S352">
        <v>52.83</v>
      </c>
      <c r="T352">
        <v>14.29</v>
      </c>
      <c r="U352">
        <v>87.87</v>
      </c>
      <c r="V352" s="20">
        <v>125.65897279999999</v>
      </c>
    </row>
    <row r="353" spans="7:22" x14ac:dyDescent="0.15">
      <c r="G353" s="11">
        <v>352</v>
      </c>
      <c r="H353" s="10" t="s">
        <v>716</v>
      </c>
      <c r="I353" t="s">
        <v>1015</v>
      </c>
      <c r="J353" t="s">
        <v>851</v>
      </c>
      <c r="K353" s="57">
        <v>-2.0000000000000001E-4</v>
      </c>
      <c r="L353" s="57">
        <v>-9.4000000000000004E-3</v>
      </c>
      <c r="M353" s="57">
        <v>1.5599999999999999E-2</v>
      </c>
      <c r="N353" s="57">
        <v>-3.0999999999999999E-3</v>
      </c>
      <c r="O353" s="57">
        <v>8.0999999999999996E-3</v>
      </c>
      <c r="P353" s="57">
        <v>-0.1222</v>
      </c>
      <c r="Q353" s="57">
        <v>-7.7299999999999994E-2</v>
      </c>
      <c r="R353" s="57">
        <v>-0.30780000000000002</v>
      </c>
      <c r="S353">
        <v>52.7</v>
      </c>
      <c r="T353">
        <v>51.62</v>
      </c>
      <c r="U353">
        <v>50.54</v>
      </c>
      <c r="V353" s="20">
        <v>909.78124560000003</v>
      </c>
    </row>
    <row r="354" spans="7:22" x14ac:dyDescent="0.15">
      <c r="G354" s="11">
        <v>353</v>
      </c>
      <c r="H354" s="10" t="s">
        <v>1463</v>
      </c>
      <c r="I354" t="s">
        <v>1464</v>
      </c>
      <c r="J354" t="s">
        <v>1665</v>
      </c>
      <c r="K354" s="57">
        <v>-2.0999999999999999E-3</v>
      </c>
      <c r="L354" s="57">
        <v>4.1999999999999997E-3</v>
      </c>
      <c r="M354" s="57">
        <v>2.0000000000000001E-4</v>
      </c>
      <c r="N354" s="57">
        <v>-2.9000000000000001E-2</v>
      </c>
      <c r="O354" s="57">
        <v>0.21909999999999999</v>
      </c>
      <c r="P354" s="57">
        <v>5.1700000000000003E-2</v>
      </c>
      <c r="Q354" s="57">
        <v>-7.7499999999999999E-2</v>
      </c>
      <c r="R354" s="57">
        <v>-5.1999999999999998E-2</v>
      </c>
      <c r="S354">
        <v>52.56</v>
      </c>
      <c r="T354">
        <v>24.12</v>
      </c>
      <c r="U354">
        <v>78.03</v>
      </c>
      <c r="V354" s="20">
        <v>6126.7338099999997</v>
      </c>
    </row>
    <row r="355" spans="7:22" x14ac:dyDescent="0.15">
      <c r="G355" s="11">
        <v>354</v>
      </c>
      <c r="H355" s="10" t="s">
        <v>623</v>
      </c>
      <c r="I355" t="s">
        <v>988</v>
      </c>
      <c r="J355" t="s">
        <v>851</v>
      </c>
      <c r="K355" s="57">
        <v>-8.0000000000000004E-4</v>
      </c>
      <c r="L355" s="57">
        <v>-7.7999999999999996E-3</v>
      </c>
      <c r="M355" s="57">
        <v>3.5999999999999999E-3</v>
      </c>
      <c r="N355" s="57">
        <v>-1.2500000000000001E-2</v>
      </c>
      <c r="O355" s="57">
        <v>6.4899999999999999E-2</v>
      </c>
      <c r="P355" s="57">
        <v>-5.2999999999999999E-2</v>
      </c>
      <c r="Q355" s="57">
        <v>-0.1168</v>
      </c>
      <c r="R355" s="57">
        <v>1.7600000000000001E-2</v>
      </c>
      <c r="S355">
        <v>52.43</v>
      </c>
      <c r="T355">
        <v>39.76</v>
      </c>
      <c r="U355">
        <v>62.26</v>
      </c>
      <c r="V355" s="20">
        <v>1743.5925999999999</v>
      </c>
    </row>
    <row r="356" spans="7:22" x14ac:dyDescent="0.15">
      <c r="G356" s="11">
        <v>355</v>
      </c>
      <c r="H356" s="10" t="s">
        <v>1513</v>
      </c>
      <c r="I356" t="s">
        <v>1514</v>
      </c>
      <c r="J356" t="s">
        <v>1665</v>
      </c>
      <c r="K356" s="57">
        <v>-3.7000000000000002E-3</v>
      </c>
      <c r="L356" s="57">
        <v>-2.3E-2</v>
      </c>
      <c r="M356" s="57">
        <v>-2.92E-2</v>
      </c>
      <c r="N356" s="57">
        <v>-4.2200000000000001E-2</v>
      </c>
      <c r="O356" s="57">
        <v>6.5000000000000002E-2</v>
      </c>
      <c r="P356" s="57">
        <v>-0.1298</v>
      </c>
      <c r="Q356" s="57">
        <v>-0.27229999999999999</v>
      </c>
      <c r="R356" s="57">
        <v>-0.27229999999999999</v>
      </c>
      <c r="S356">
        <v>52.29</v>
      </c>
      <c r="T356">
        <v>16.579999999999998</v>
      </c>
      <c r="U356">
        <v>85.44</v>
      </c>
      <c r="V356" s="20">
        <v>77.676940000000002</v>
      </c>
    </row>
    <row r="357" spans="7:22" x14ac:dyDescent="0.15">
      <c r="G357" s="11">
        <v>356</v>
      </c>
      <c r="H357" s="10" t="s">
        <v>2124</v>
      </c>
      <c r="I357" t="s">
        <v>2125</v>
      </c>
      <c r="J357" t="s">
        <v>2058</v>
      </c>
      <c r="K357" s="57">
        <v>-2.9999999999999997E-4</v>
      </c>
      <c r="L357" s="57">
        <v>8.5000000000000006E-3</v>
      </c>
      <c r="M357" s="57">
        <v>2.2599999999999999E-2</v>
      </c>
      <c r="N357" s="57">
        <v>-7.1000000000000004E-3</v>
      </c>
      <c r="O357" s="57">
        <v>-3.2899999999999999E-2</v>
      </c>
      <c r="P357" s="57">
        <v>-3.2899999999999999E-2</v>
      </c>
      <c r="Q357" s="57">
        <v>-3.2899999999999999E-2</v>
      </c>
      <c r="R357" s="57">
        <v>-3.2899999999999999E-2</v>
      </c>
      <c r="S357">
        <v>52.16</v>
      </c>
      <c r="T357">
        <v>47.71</v>
      </c>
      <c r="U357">
        <v>54.04</v>
      </c>
      <c r="V357" s="20">
        <v>21058.978999999999</v>
      </c>
    </row>
    <row r="358" spans="7:22" x14ac:dyDescent="0.15">
      <c r="G358" s="11">
        <v>357</v>
      </c>
      <c r="H358" s="10" t="s">
        <v>517</v>
      </c>
      <c r="I358" t="s">
        <v>1282</v>
      </c>
      <c r="J358" t="s">
        <v>1267</v>
      </c>
      <c r="K358" s="57">
        <v>-2.8E-3</v>
      </c>
      <c r="L358" s="57">
        <v>-1.0500000000000001E-2</v>
      </c>
      <c r="M358" s="57">
        <v>-1.37E-2</v>
      </c>
      <c r="N358" s="57">
        <v>-3.6299999999999999E-2</v>
      </c>
      <c r="O358" s="57">
        <v>1.9199999999999998E-2</v>
      </c>
      <c r="P358" s="57">
        <v>-6.8500000000000005E-2</v>
      </c>
      <c r="Q358" s="57">
        <v>-0.20649999999999999</v>
      </c>
      <c r="R358" s="57">
        <v>-0.1666</v>
      </c>
      <c r="S358">
        <v>52.02</v>
      </c>
      <c r="T358">
        <v>19.54</v>
      </c>
      <c r="U358">
        <v>82.21</v>
      </c>
      <c r="V358" s="20">
        <v>4724.0783000000001</v>
      </c>
    </row>
    <row r="359" spans="7:22" x14ac:dyDescent="0.15">
      <c r="G359" s="11">
        <v>358</v>
      </c>
      <c r="H359" s="10" t="s">
        <v>403</v>
      </c>
      <c r="I359" t="s">
        <v>999</v>
      </c>
      <c r="J359" t="s">
        <v>851</v>
      </c>
      <c r="K359" s="57">
        <v>-1E-4</v>
      </c>
      <c r="L359" s="57">
        <v>-3.0999999999999999E-3</v>
      </c>
      <c r="M359" s="57">
        <v>1.78E-2</v>
      </c>
      <c r="N359" s="57">
        <v>-1.4E-3</v>
      </c>
      <c r="O359" s="57">
        <v>-8.0999999999999996E-3</v>
      </c>
      <c r="P359" s="57">
        <v>3.8999999999999998E-3</v>
      </c>
      <c r="Q359" s="57">
        <v>0.13919999999999999</v>
      </c>
      <c r="R359" s="57">
        <v>0.31809999999999999</v>
      </c>
      <c r="S359">
        <v>51.89</v>
      </c>
      <c r="T359">
        <v>53.77</v>
      </c>
      <c r="U359">
        <v>47.71</v>
      </c>
      <c r="V359" s="20">
        <v>1744.5268000000001</v>
      </c>
    </row>
    <row r="360" spans="7:22" x14ac:dyDescent="0.15">
      <c r="G360" s="11">
        <v>359</v>
      </c>
      <c r="H360" s="10" t="s">
        <v>387</v>
      </c>
      <c r="I360" t="s">
        <v>1081</v>
      </c>
      <c r="J360" t="s">
        <v>851</v>
      </c>
      <c r="K360" s="57">
        <v>4.5999999999999999E-3</v>
      </c>
      <c r="L360" s="57">
        <v>-2.3E-2</v>
      </c>
      <c r="M360" s="57">
        <v>1E-4</v>
      </c>
      <c r="N360" s="57">
        <v>6.2300000000000001E-2</v>
      </c>
      <c r="O360" s="57">
        <v>-1.55E-2</v>
      </c>
      <c r="P360" s="57">
        <v>3.49E-2</v>
      </c>
      <c r="Q360" s="57">
        <v>0.223</v>
      </c>
      <c r="R360" s="57">
        <v>0.55330000000000001</v>
      </c>
      <c r="S360">
        <v>51.75</v>
      </c>
      <c r="T360">
        <v>95.55</v>
      </c>
      <c r="U360">
        <v>5.93</v>
      </c>
      <c r="V360" s="20">
        <v>5590.9165400000002</v>
      </c>
    </row>
    <row r="361" spans="7:22" x14ac:dyDescent="0.15">
      <c r="G361" s="11">
        <v>360</v>
      </c>
      <c r="H361" s="10" t="s">
        <v>1525</v>
      </c>
      <c r="I361" t="s">
        <v>1526</v>
      </c>
      <c r="J361" t="s">
        <v>1665</v>
      </c>
      <c r="K361" s="57">
        <v>-8.0000000000000004E-4</v>
      </c>
      <c r="L361" s="57">
        <v>-0.02</v>
      </c>
      <c r="M361" s="57">
        <v>-1.6400000000000001E-2</v>
      </c>
      <c r="N361" s="57">
        <v>-1.5900000000000001E-2</v>
      </c>
      <c r="O361" s="57">
        <v>4.8000000000000001E-2</v>
      </c>
      <c r="P361" s="57">
        <v>-0.12640000000000001</v>
      </c>
      <c r="Q361" s="57">
        <v>-0.2014</v>
      </c>
      <c r="R361" s="57">
        <v>-0.2014</v>
      </c>
      <c r="S361">
        <v>51.62</v>
      </c>
      <c r="T361">
        <v>37.869999999999997</v>
      </c>
      <c r="U361">
        <v>63.61</v>
      </c>
      <c r="V361" s="20">
        <v>1079.9039</v>
      </c>
    </row>
    <row r="362" spans="7:22" x14ac:dyDescent="0.15">
      <c r="G362" s="11">
        <v>361</v>
      </c>
      <c r="H362" s="10" t="s">
        <v>1284</v>
      </c>
      <c r="I362" t="s">
        <v>1152</v>
      </c>
      <c r="J362" t="s">
        <v>1267</v>
      </c>
      <c r="K362" s="57">
        <v>-3.5999999999999999E-3</v>
      </c>
      <c r="L362" s="57">
        <v>-1.06E-2</v>
      </c>
      <c r="M362" s="57">
        <v>-1.49E-2</v>
      </c>
      <c r="N362" s="57">
        <v>-4.2900000000000001E-2</v>
      </c>
      <c r="O362" s="57">
        <v>5.7999999999999996E-3</v>
      </c>
      <c r="P362" s="57">
        <v>-9.35E-2</v>
      </c>
      <c r="Q362" s="57">
        <v>-0.21149999999999999</v>
      </c>
      <c r="R362" s="57">
        <v>-0.29139999999999999</v>
      </c>
      <c r="S362">
        <v>51.48</v>
      </c>
      <c r="T362">
        <v>16.309999999999999</v>
      </c>
      <c r="U362">
        <v>85.04</v>
      </c>
      <c r="V362" s="20">
        <v>2125.1308899999999</v>
      </c>
    </row>
    <row r="363" spans="7:22" x14ac:dyDescent="0.15">
      <c r="G363" s="11">
        <v>362</v>
      </c>
      <c r="H363" s="10" t="s">
        <v>1314</v>
      </c>
      <c r="I363" t="s">
        <v>1315</v>
      </c>
      <c r="J363" t="s">
        <v>1665</v>
      </c>
      <c r="K363" s="57">
        <v>1.6000000000000001E-3</v>
      </c>
      <c r="L363" s="57">
        <v>-3.2399999999999998E-2</v>
      </c>
      <c r="M363" s="57">
        <v>-4.1700000000000001E-2</v>
      </c>
      <c r="N363" s="57">
        <v>2.1299999999999999E-2</v>
      </c>
      <c r="O363" s="57">
        <v>9.9400000000000002E-2</v>
      </c>
      <c r="P363" s="57">
        <v>-8.7900000000000006E-2</v>
      </c>
      <c r="Q363" s="57">
        <v>-0.1883</v>
      </c>
      <c r="R363" s="57">
        <v>-0.1883</v>
      </c>
      <c r="S363">
        <v>51.35</v>
      </c>
      <c r="T363">
        <v>81</v>
      </c>
      <c r="U363">
        <v>20.350000000000001</v>
      </c>
      <c r="V363" s="20">
        <v>1159.9960000000001</v>
      </c>
    </row>
    <row r="364" spans="7:22" x14ac:dyDescent="0.15">
      <c r="G364" s="11">
        <v>363</v>
      </c>
      <c r="H364" s="10" t="s">
        <v>1366</v>
      </c>
      <c r="I364" t="s">
        <v>1367</v>
      </c>
      <c r="J364" t="s">
        <v>1665</v>
      </c>
      <c r="K364" s="57">
        <v>3.8999999999999998E-3</v>
      </c>
      <c r="L364" s="57">
        <v>-5.3E-3</v>
      </c>
      <c r="M364" s="57">
        <v>2.7000000000000001E-3</v>
      </c>
      <c r="N364" s="57">
        <v>5.6300000000000003E-2</v>
      </c>
      <c r="O364" s="57">
        <v>0.1069</v>
      </c>
      <c r="P364" s="57">
        <v>-0.13639999999999999</v>
      </c>
      <c r="Q364" s="57">
        <v>-0.13639999999999999</v>
      </c>
      <c r="R364" s="57">
        <v>-0.13639999999999999</v>
      </c>
      <c r="S364">
        <v>51.21</v>
      </c>
      <c r="T364">
        <v>93.4</v>
      </c>
      <c r="U364">
        <v>7.82</v>
      </c>
      <c r="V364" s="20">
        <v>563.17289000000005</v>
      </c>
    </row>
    <row r="365" spans="7:22" x14ac:dyDescent="0.15">
      <c r="G365" s="11">
        <v>364</v>
      </c>
      <c r="H365" s="10" t="s">
        <v>417</v>
      </c>
      <c r="I365" t="s">
        <v>864</v>
      </c>
      <c r="J365" t="s">
        <v>851</v>
      </c>
      <c r="K365" s="57">
        <v>-1E-4</v>
      </c>
      <c r="L365" s="57">
        <v>-4.7999999999999996E-3</v>
      </c>
      <c r="M365" s="57">
        <v>7.4000000000000003E-3</v>
      </c>
      <c r="N365" s="57">
        <v>-2E-3</v>
      </c>
      <c r="O365" s="57">
        <v>0.10970000000000001</v>
      </c>
      <c r="P365" s="57">
        <v>-5.9700000000000003E-2</v>
      </c>
      <c r="Q365" s="57">
        <v>-0.16039999999999999</v>
      </c>
      <c r="R365" s="57">
        <v>-4.4999999999999998E-2</v>
      </c>
      <c r="S365">
        <v>51.08</v>
      </c>
      <c r="T365">
        <v>52.7</v>
      </c>
      <c r="U365">
        <v>48.38</v>
      </c>
      <c r="V365" s="20">
        <v>33.877780000000001</v>
      </c>
    </row>
    <row r="366" spans="7:22" x14ac:dyDescent="0.15">
      <c r="G366" s="11">
        <v>365</v>
      </c>
      <c r="H366" s="10" t="s">
        <v>368</v>
      </c>
      <c r="I366" t="s">
        <v>1223</v>
      </c>
      <c r="J366" t="s">
        <v>1221</v>
      </c>
      <c r="K366" s="57">
        <v>-2.5000000000000001E-3</v>
      </c>
      <c r="L366" s="57">
        <v>-1.8599999999999998E-2</v>
      </c>
      <c r="M366" s="57">
        <v>-1.7100000000000001E-2</v>
      </c>
      <c r="N366" s="57">
        <v>-3.5200000000000002E-2</v>
      </c>
      <c r="O366" s="57">
        <v>-2.5999999999999999E-3</v>
      </c>
      <c r="P366" s="57">
        <v>-0.1239</v>
      </c>
      <c r="Q366" s="57">
        <v>-0.29010000000000002</v>
      </c>
      <c r="R366" s="57">
        <v>-0.435</v>
      </c>
      <c r="S366">
        <v>50.94</v>
      </c>
      <c r="T366">
        <v>20.22</v>
      </c>
      <c r="U366">
        <v>80.73</v>
      </c>
      <c r="V366" s="20">
        <v>25.8674</v>
      </c>
    </row>
    <row r="367" spans="7:22" x14ac:dyDescent="0.15">
      <c r="G367" s="11">
        <v>366</v>
      </c>
      <c r="H367" s="10" t="s">
        <v>2083</v>
      </c>
      <c r="I367" t="s">
        <v>2084</v>
      </c>
      <c r="J367" t="s">
        <v>2058</v>
      </c>
      <c r="K367" s="57">
        <v>-6.9999999999999999E-4</v>
      </c>
      <c r="L367" s="57">
        <v>-6.7000000000000002E-3</v>
      </c>
      <c r="M367" s="57">
        <v>3.0999999999999999E-3</v>
      </c>
      <c r="N367" s="57">
        <v>-1.2500000000000001E-2</v>
      </c>
      <c r="O367" s="57">
        <v>-1.5299999999999999E-2</v>
      </c>
      <c r="P367" s="57">
        <v>-1.5299999999999999E-2</v>
      </c>
      <c r="Q367" s="57">
        <v>-1.5299999999999999E-2</v>
      </c>
      <c r="R367" s="57">
        <v>-1.5299999999999999E-2</v>
      </c>
      <c r="S367">
        <v>50.81</v>
      </c>
      <c r="T367">
        <v>39.89</v>
      </c>
      <c r="U367">
        <v>60.92</v>
      </c>
      <c r="V367" s="20">
        <v>4541.8687</v>
      </c>
    </row>
    <row r="368" spans="7:22" x14ac:dyDescent="0.15">
      <c r="G368" s="11">
        <v>367</v>
      </c>
      <c r="H368" s="10" t="s">
        <v>302</v>
      </c>
      <c r="I368" t="s">
        <v>1416</v>
      </c>
      <c r="J368" t="s">
        <v>1665</v>
      </c>
      <c r="K368" s="57">
        <v>1E-3</v>
      </c>
      <c r="L368" s="57">
        <v>6.8999999999999999E-3</v>
      </c>
      <c r="M368" s="57">
        <v>6.8999999999999999E-3</v>
      </c>
      <c r="N368" s="57">
        <v>1.0999999999999999E-2</v>
      </c>
      <c r="O368" s="57">
        <v>1.11E-2</v>
      </c>
      <c r="P368" s="57">
        <v>2.1299999999999999E-2</v>
      </c>
      <c r="Q368" s="57">
        <v>3.8600000000000002E-2</v>
      </c>
      <c r="R368" s="57">
        <v>7.3300000000000004E-2</v>
      </c>
      <c r="S368">
        <v>50.67</v>
      </c>
      <c r="T368">
        <v>70.22</v>
      </c>
      <c r="U368">
        <v>30.46</v>
      </c>
      <c r="V368" s="20">
        <v>8.6159999999999997</v>
      </c>
    </row>
    <row r="369" spans="7:22" x14ac:dyDescent="0.15">
      <c r="G369" s="11">
        <v>368</v>
      </c>
      <c r="H369" s="10" t="s">
        <v>545</v>
      </c>
      <c r="I369" t="s">
        <v>903</v>
      </c>
      <c r="J369" t="s">
        <v>851</v>
      </c>
      <c r="K369" s="57">
        <v>1.1999999999999999E-3</v>
      </c>
      <c r="L369" s="57">
        <v>-1.3599999999999999E-2</v>
      </c>
      <c r="M369" s="57">
        <v>-1.26E-2</v>
      </c>
      <c r="N369" s="57">
        <v>1.34E-2</v>
      </c>
      <c r="O369" s="57">
        <v>9.1200000000000003E-2</v>
      </c>
      <c r="P369" s="57">
        <v>-0.1232</v>
      </c>
      <c r="Q369" s="57">
        <v>-0.24590000000000001</v>
      </c>
      <c r="R369" s="57">
        <v>-0.2389</v>
      </c>
      <c r="S369">
        <v>50.54</v>
      </c>
      <c r="T369">
        <v>73.849999999999994</v>
      </c>
      <c r="U369">
        <v>26.82</v>
      </c>
      <c r="V369" s="20">
        <v>719.89210000000003</v>
      </c>
    </row>
    <row r="370" spans="7:22" x14ac:dyDescent="0.15">
      <c r="G370" s="11">
        <v>369</v>
      </c>
      <c r="H370" s="10" t="s">
        <v>491</v>
      </c>
      <c r="I370" t="s">
        <v>1103</v>
      </c>
      <c r="J370" t="s">
        <v>851</v>
      </c>
      <c r="K370" s="57">
        <v>1.2999999999999999E-3</v>
      </c>
      <c r="L370" s="57">
        <v>-1.26E-2</v>
      </c>
      <c r="M370" s="57">
        <v>6.6E-3</v>
      </c>
      <c r="N370" s="57">
        <v>1.4200000000000001E-2</v>
      </c>
      <c r="O370" s="57">
        <v>0.14230000000000001</v>
      </c>
      <c r="P370" s="57">
        <v>-2.1100000000000001E-2</v>
      </c>
      <c r="Q370" s="57">
        <v>-6.9199999999999998E-2</v>
      </c>
      <c r="R370" s="57">
        <v>0.23960000000000001</v>
      </c>
      <c r="S370">
        <v>50.4</v>
      </c>
      <c r="T370">
        <v>74.930000000000007</v>
      </c>
      <c r="U370">
        <v>25.61</v>
      </c>
      <c r="V370" s="20">
        <v>6668.5820999999996</v>
      </c>
    </row>
    <row r="371" spans="7:22" x14ac:dyDescent="0.15">
      <c r="G371" s="11">
        <v>370</v>
      </c>
      <c r="H371" s="10" t="s">
        <v>695</v>
      </c>
      <c r="I371" t="s">
        <v>1149</v>
      </c>
      <c r="J371" t="s">
        <v>851</v>
      </c>
      <c r="K371" s="57">
        <v>-5.9999999999999995E-4</v>
      </c>
      <c r="L371" s="57">
        <v>-7.9000000000000008E-3</v>
      </c>
      <c r="M371" s="57">
        <v>-2.7000000000000001E-3</v>
      </c>
      <c r="N371" s="57">
        <v>-1.2200000000000001E-2</v>
      </c>
      <c r="O371" s="57">
        <v>4.1500000000000002E-2</v>
      </c>
      <c r="P371" s="57">
        <v>-0.08</v>
      </c>
      <c r="Q371" s="57">
        <v>-0.1825</v>
      </c>
      <c r="R371" s="57">
        <v>-0.1825</v>
      </c>
      <c r="S371">
        <v>50.27</v>
      </c>
      <c r="T371">
        <v>40.03</v>
      </c>
      <c r="U371">
        <v>60.38</v>
      </c>
      <c r="V371" s="20">
        <v>11327.4944</v>
      </c>
    </row>
    <row r="372" spans="7:22" x14ac:dyDescent="0.15">
      <c r="G372" s="11">
        <v>371</v>
      </c>
      <c r="H372" s="10" t="s">
        <v>2132</v>
      </c>
      <c r="I372" t="s">
        <v>2133</v>
      </c>
      <c r="J372" t="s">
        <v>2058</v>
      </c>
      <c r="K372" s="57">
        <v>1.1999999999999999E-3</v>
      </c>
      <c r="L372" s="57">
        <v>6.7000000000000002E-3</v>
      </c>
      <c r="M372" s="57">
        <v>5.7000000000000002E-3</v>
      </c>
      <c r="N372" s="57">
        <v>1.32E-2</v>
      </c>
      <c r="O372" s="57">
        <v>4.87E-2</v>
      </c>
      <c r="P372" s="57">
        <v>4.87E-2</v>
      </c>
      <c r="Q372" s="57">
        <v>4.87E-2</v>
      </c>
      <c r="R372" s="57">
        <v>4.87E-2</v>
      </c>
      <c r="S372">
        <v>50.13</v>
      </c>
      <c r="T372">
        <v>73.45</v>
      </c>
      <c r="U372">
        <v>26.95</v>
      </c>
      <c r="V372" s="20">
        <v>1123.64437</v>
      </c>
    </row>
    <row r="373" spans="7:22" x14ac:dyDescent="0.15">
      <c r="G373" s="11">
        <v>372</v>
      </c>
      <c r="H373" s="10" t="s">
        <v>576</v>
      </c>
      <c r="I373" t="s">
        <v>873</v>
      </c>
      <c r="J373" t="s">
        <v>851</v>
      </c>
      <c r="K373" s="57">
        <v>0</v>
      </c>
      <c r="L373" s="57">
        <v>-3.09E-2</v>
      </c>
      <c r="M373" s="57">
        <v>-4.0599999999999997E-2</v>
      </c>
      <c r="N373" s="57">
        <v>-1.4E-3</v>
      </c>
      <c r="O373" s="57">
        <v>9.5799999999999996E-2</v>
      </c>
      <c r="P373" s="57">
        <v>-0.21</v>
      </c>
      <c r="Q373" s="57">
        <v>-0.29870000000000002</v>
      </c>
      <c r="R373" s="57">
        <v>-0.22800000000000001</v>
      </c>
      <c r="S373">
        <v>50</v>
      </c>
      <c r="T373">
        <v>54.04</v>
      </c>
      <c r="U373">
        <v>46.23</v>
      </c>
      <c r="V373" s="20">
        <v>82.950999999999993</v>
      </c>
    </row>
    <row r="374" spans="7:22" x14ac:dyDescent="0.15">
      <c r="G374" s="11">
        <v>373</v>
      </c>
      <c r="H374" s="10" t="s">
        <v>698</v>
      </c>
      <c r="I374" t="s">
        <v>986</v>
      </c>
      <c r="J374" t="s">
        <v>851</v>
      </c>
      <c r="K374" s="57">
        <v>-8.0000000000000004E-4</v>
      </c>
      <c r="L374" s="57">
        <v>-8.8000000000000005E-3</v>
      </c>
      <c r="M374" s="57">
        <v>-2.9999999999999997E-4</v>
      </c>
      <c r="N374" s="57">
        <v>-1.6400000000000001E-2</v>
      </c>
      <c r="O374" s="57">
        <v>5.9499999999999997E-2</v>
      </c>
      <c r="P374" s="57">
        <v>-6.3399999999999998E-2</v>
      </c>
      <c r="Q374" s="57">
        <v>-0.14680000000000001</v>
      </c>
      <c r="R374" s="57">
        <v>-7.9799999999999996E-2</v>
      </c>
      <c r="S374">
        <v>49.87</v>
      </c>
      <c r="T374">
        <v>36.79</v>
      </c>
      <c r="U374">
        <v>63.34</v>
      </c>
      <c r="V374" s="20">
        <v>2850.8247999999999</v>
      </c>
    </row>
    <row r="375" spans="7:22" x14ac:dyDescent="0.15">
      <c r="G375" s="11">
        <v>374</v>
      </c>
      <c r="H375" s="10" t="s">
        <v>642</v>
      </c>
      <c r="I375" t="s">
        <v>1231</v>
      </c>
      <c r="J375" t="s">
        <v>1230</v>
      </c>
      <c r="K375" s="57">
        <v>-4.0000000000000001E-3</v>
      </c>
      <c r="L375" s="57">
        <v>-1.95E-2</v>
      </c>
      <c r="M375" s="57">
        <v>-2.4899999999999999E-2</v>
      </c>
      <c r="N375" s="57">
        <v>-4.6699999999999998E-2</v>
      </c>
      <c r="O375" s="57">
        <v>6.9800000000000001E-2</v>
      </c>
      <c r="P375" s="57">
        <v>-4.1000000000000002E-2</v>
      </c>
      <c r="Q375" s="57">
        <v>-0.1308</v>
      </c>
      <c r="R375" s="57">
        <v>-3.0300000000000001E-2</v>
      </c>
      <c r="S375">
        <v>49.73</v>
      </c>
      <c r="T375">
        <v>14.02</v>
      </c>
      <c r="U375">
        <v>85.98</v>
      </c>
      <c r="V375" s="20">
        <v>38.364199999999997</v>
      </c>
    </row>
    <row r="376" spans="7:22" x14ac:dyDescent="0.15">
      <c r="G376" s="11">
        <v>375</v>
      </c>
      <c r="H376" s="10" t="s">
        <v>1417</v>
      </c>
      <c r="I376" t="s">
        <v>1418</v>
      </c>
      <c r="J376" t="s">
        <v>1665</v>
      </c>
      <c r="K376" s="57">
        <v>-1.4E-3</v>
      </c>
      <c r="L376" s="57">
        <v>-1.2200000000000001E-2</v>
      </c>
      <c r="M376" s="57">
        <v>-5.3E-3</v>
      </c>
      <c r="N376" s="57">
        <v>-2.52E-2</v>
      </c>
      <c r="O376" s="57">
        <v>0.16009999999999999</v>
      </c>
      <c r="P376" s="57">
        <v>8.0000000000000004E-4</v>
      </c>
      <c r="Q376" s="57">
        <v>-0.1188</v>
      </c>
      <c r="R376" s="57">
        <v>-0.1188</v>
      </c>
      <c r="S376">
        <v>49.6</v>
      </c>
      <c r="T376">
        <v>26.82</v>
      </c>
      <c r="U376">
        <v>72.91</v>
      </c>
      <c r="V376" s="20">
        <v>1802.9523899999999</v>
      </c>
    </row>
    <row r="377" spans="7:22" x14ac:dyDescent="0.15">
      <c r="G377" s="11">
        <v>376</v>
      </c>
      <c r="H377" s="10" t="s">
        <v>365</v>
      </c>
      <c r="I377" t="s">
        <v>1013</v>
      </c>
      <c r="J377" t="s">
        <v>851</v>
      </c>
      <c r="K377" s="57">
        <v>8.9999999999999998E-4</v>
      </c>
      <c r="L377" s="57">
        <v>2.3900000000000001E-2</v>
      </c>
      <c r="M377" s="57">
        <v>3.1699999999999999E-2</v>
      </c>
      <c r="N377" s="57">
        <v>8.5000000000000006E-3</v>
      </c>
      <c r="O377" s="57">
        <v>0.33889999999999998</v>
      </c>
      <c r="P377" s="57">
        <v>0.06</v>
      </c>
      <c r="Q377" s="57">
        <v>-6.3299999999999995E-2</v>
      </c>
      <c r="R377" s="57">
        <v>2.8E-3</v>
      </c>
      <c r="S377">
        <v>49.46</v>
      </c>
      <c r="T377">
        <v>67.650000000000006</v>
      </c>
      <c r="U377">
        <v>31.94</v>
      </c>
      <c r="V377" s="20">
        <v>3235.2941999999998</v>
      </c>
    </row>
    <row r="378" spans="7:22" x14ac:dyDescent="0.15">
      <c r="G378" s="11">
        <v>377</v>
      </c>
      <c r="H378" s="10" t="s">
        <v>1539</v>
      </c>
      <c r="I378" t="s">
        <v>1540</v>
      </c>
      <c r="J378" t="s">
        <v>1665</v>
      </c>
      <c r="K378" s="57">
        <v>4.0000000000000002E-4</v>
      </c>
      <c r="L378" s="57">
        <v>1.72E-2</v>
      </c>
      <c r="M378" s="57">
        <v>3.5200000000000002E-2</v>
      </c>
      <c r="N378" s="57">
        <v>1.8E-3</v>
      </c>
      <c r="O378" s="57">
        <v>-2.1499999999999998E-2</v>
      </c>
      <c r="P378" s="57">
        <v>-1.2E-2</v>
      </c>
      <c r="Q378" s="57">
        <v>3.09E-2</v>
      </c>
      <c r="R378" s="57">
        <v>3.09E-2</v>
      </c>
      <c r="S378">
        <v>49.33</v>
      </c>
      <c r="T378">
        <v>60.11</v>
      </c>
      <c r="U378">
        <v>39.22</v>
      </c>
      <c r="V378" s="20">
        <v>459.87580000000003</v>
      </c>
    </row>
    <row r="379" spans="7:22" x14ac:dyDescent="0.15">
      <c r="G379" s="11">
        <v>378</v>
      </c>
      <c r="H379" s="10" t="s">
        <v>457</v>
      </c>
      <c r="I379" t="s">
        <v>918</v>
      </c>
      <c r="J379" t="s">
        <v>851</v>
      </c>
      <c r="K379" s="57">
        <v>-6.9999999999999999E-4</v>
      </c>
      <c r="L379" s="57">
        <v>-1.0999999999999999E-2</v>
      </c>
      <c r="M379" s="57">
        <v>1E-4</v>
      </c>
      <c r="N379" s="57">
        <v>-1.5699999999999999E-2</v>
      </c>
      <c r="O379" s="57">
        <v>4.2599999999999999E-2</v>
      </c>
      <c r="P379" s="57">
        <v>-5.7200000000000001E-2</v>
      </c>
      <c r="Q379" s="57">
        <v>-4.99E-2</v>
      </c>
      <c r="R379" s="57">
        <v>0.1148</v>
      </c>
      <c r="S379">
        <v>49.19</v>
      </c>
      <c r="T379">
        <v>38.01</v>
      </c>
      <c r="U379">
        <v>61.32</v>
      </c>
      <c r="V379" s="20">
        <v>6.7702</v>
      </c>
    </row>
    <row r="380" spans="7:22" x14ac:dyDescent="0.15">
      <c r="G380" s="11">
        <v>379</v>
      </c>
      <c r="H380" s="10" t="s">
        <v>486</v>
      </c>
      <c r="I380" t="s">
        <v>993</v>
      </c>
      <c r="J380" t="s">
        <v>851</v>
      </c>
      <c r="K380" s="57">
        <v>1.8E-3</v>
      </c>
      <c r="L380" s="57">
        <v>-3.5000000000000001E-3</v>
      </c>
      <c r="M380" s="57">
        <v>2.0500000000000001E-2</v>
      </c>
      <c r="N380" s="57">
        <v>2.0899999999999998E-2</v>
      </c>
      <c r="O380" s="57">
        <v>0.10299999999999999</v>
      </c>
      <c r="P380" s="57">
        <v>-2.9100000000000001E-2</v>
      </c>
      <c r="Q380" s="57">
        <v>-4.1700000000000001E-2</v>
      </c>
      <c r="R380" s="57">
        <v>9.2999999999999999E-2</v>
      </c>
      <c r="S380">
        <v>49.06</v>
      </c>
      <c r="T380">
        <v>80.86</v>
      </c>
      <c r="U380">
        <v>18.46</v>
      </c>
      <c r="V380" s="20">
        <v>858.05499999999995</v>
      </c>
    </row>
    <row r="381" spans="7:22" x14ac:dyDescent="0.15">
      <c r="G381" s="11">
        <v>380</v>
      </c>
      <c r="H381" s="10" t="s">
        <v>608</v>
      </c>
      <c r="I381" t="s">
        <v>1006</v>
      </c>
      <c r="J381" t="s">
        <v>851</v>
      </c>
      <c r="K381" s="57">
        <v>-1E-3</v>
      </c>
      <c r="L381" s="57">
        <v>-7.3000000000000001E-3</v>
      </c>
      <c r="M381" s="57">
        <v>-3.3E-3</v>
      </c>
      <c r="N381" s="57">
        <v>-2.0299999999999999E-2</v>
      </c>
      <c r="O381" s="57">
        <v>-2.92E-2</v>
      </c>
      <c r="P381" s="57">
        <v>-0.1018</v>
      </c>
      <c r="Q381" s="57">
        <v>-5.5399999999999998E-2</v>
      </c>
      <c r="R381" s="57">
        <v>0.1021</v>
      </c>
      <c r="S381">
        <v>48.92</v>
      </c>
      <c r="T381">
        <v>32.35</v>
      </c>
      <c r="U381">
        <v>66.849999999999994</v>
      </c>
      <c r="V381" s="20">
        <v>769.09690000000001</v>
      </c>
    </row>
    <row r="382" spans="7:22" x14ac:dyDescent="0.15">
      <c r="G382" s="11">
        <v>381</v>
      </c>
      <c r="H382" s="10" t="s">
        <v>570</v>
      </c>
      <c r="I382" t="s">
        <v>1094</v>
      </c>
      <c r="J382" t="s">
        <v>851</v>
      </c>
      <c r="K382" s="57">
        <v>-8.9999999999999998E-4</v>
      </c>
      <c r="L382" s="57">
        <v>-1.17E-2</v>
      </c>
      <c r="M382" s="57">
        <v>-2E-3</v>
      </c>
      <c r="N382" s="57">
        <v>-1.9099999999999999E-2</v>
      </c>
      <c r="O382" s="57">
        <v>2.75E-2</v>
      </c>
      <c r="P382" s="57">
        <v>-6.3500000000000001E-2</v>
      </c>
      <c r="Q382" s="57">
        <v>-0.104</v>
      </c>
      <c r="R382" s="57">
        <v>-5.4199999999999998E-2</v>
      </c>
      <c r="S382">
        <v>48.79</v>
      </c>
      <c r="T382">
        <v>33.42</v>
      </c>
      <c r="U382">
        <v>65.77</v>
      </c>
      <c r="V382" s="20">
        <v>7115.1135000000004</v>
      </c>
    </row>
    <row r="383" spans="7:22" x14ac:dyDescent="0.15">
      <c r="G383" s="11">
        <v>382</v>
      </c>
      <c r="H383" s="10" t="s">
        <v>316</v>
      </c>
      <c r="I383" t="s">
        <v>1125</v>
      </c>
      <c r="J383" t="s">
        <v>851</v>
      </c>
      <c r="K383" s="57">
        <v>1.1000000000000001E-3</v>
      </c>
      <c r="L383" s="57">
        <v>6.7000000000000002E-3</v>
      </c>
      <c r="M383" s="57">
        <v>6.7000000000000002E-3</v>
      </c>
      <c r="N383" s="57">
        <v>1.18E-2</v>
      </c>
      <c r="O383" s="57">
        <v>1.2699999999999999E-2</v>
      </c>
      <c r="P383" s="57">
        <v>2.5700000000000001E-2</v>
      </c>
      <c r="Q383" s="57">
        <v>4.4499999999999998E-2</v>
      </c>
      <c r="R383" s="57">
        <v>8.2199999999999995E-2</v>
      </c>
      <c r="S383">
        <v>48.65</v>
      </c>
      <c r="T383">
        <v>71.290000000000006</v>
      </c>
      <c r="U383">
        <v>27.76</v>
      </c>
      <c r="V383" s="20">
        <v>45061.232400000001</v>
      </c>
    </row>
    <row r="384" spans="7:22" x14ac:dyDescent="0.15">
      <c r="G384" s="11">
        <v>383</v>
      </c>
      <c r="H384" s="10" t="s">
        <v>1412</v>
      </c>
      <c r="I384" t="s">
        <v>1413</v>
      </c>
      <c r="J384" t="s">
        <v>1665</v>
      </c>
      <c r="K384" s="57">
        <v>4.0000000000000002E-4</v>
      </c>
      <c r="L384" s="57">
        <v>1.14E-2</v>
      </c>
      <c r="M384" s="57">
        <v>1.34E-2</v>
      </c>
      <c r="N384" s="57">
        <v>4.0000000000000002E-4</v>
      </c>
      <c r="O384" s="57">
        <v>7.0199999999999999E-2</v>
      </c>
      <c r="P384" s="57">
        <v>1.26E-2</v>
      </c>
      <c r="Q384" s="57">
        <v>-4.5400000000000003E-2</v>
      </c>
      <c r="R384" s="57">
        <v>-4.5400000000000003E-2</v>
      </c>
      <c r="S384">
        <v>48.52</v>
      </c>
      <c r="T384">
        <v>58.63</v>
      </c>
      <c r="U384">
        <v>40.03</v>
      </c>
      <c r="V384" s="20">
        <v>364.88420000000002</v>
      </c>
    </row>
    <row r="385" spans="7:22" x14ac:dyDescent="0.15">
      <c r="G385" s="11">
        <v>384</v>
      </c>
      <c r="H385" s="10" t="s">
        <v>682</v>
      </c>
      <c r="I385" t="s">
        <v>1276</v>
      </c>
      <c r="J385" t="s">
        <v>1267</v>
      </c>
      <c r="K385" s="57">
        <v>-3.2000000000000002E-3</v>
      </c>
      <c r="L385" s="57">
        <v>-1.01E-2</v>
      </c>
      <c r="M385" s="57">
        <v>-1.7399999999999999E-2</v>
      </c>
      <c r="N385" s="57">
        <v>-4.4600000000000001E-2</v>
      </c>
      <c r="O385" s="57">
        <v>1.8200000000000001E-2</v>
      </c>
      <c r="P385" s="57">
        <v>-8.5000000000000006E-2</v>
      </c>
      <c r="Q385" s="57">
        <v>-0.23069999999999999</v>
      </c>
      <c r="R385" s="57">
        <v>-0.31180000000000002</v>
      </c>
      <c r="S385">
        <v>48.38</v>
      </c>
      <c r="T385">
        <v>15.23</v>
      </c>
      <c r="U385">
        <v>83.42</v>
      </c>
      <c r="V385" s="20">
        <v>157.69984879999998</v>
      </c>
    </row>
    <row r="386" spans="7:22" x14ac:dyDescent="0.15">
      <c r="G386" s="11">
        <v>385</v>
      </c>
      <c r="H386" s="10" t="s">
        <v>397</v>
      </c>
      <c r="I386" t="s">
        <v>863</v>
      </c>
      <c r="J386" t="s">
        <v>851</v>
      </c>
      <c r="K386" s="57">
        <v>1E-4</v>
      </c>
      <c r="L386" s="57">
        <v>1.6199999999999999E-2</v>
      </c>
      <c r="M386" s="57">
        <v>1.8800000000000001E-2</v>
      </c>
      <c r="N386" s="57">
        <v>-1.5E-3</v>
      </c>
      <c r="O386" s="57">
        <v>0.17879999999999999</v>
      </c>
      <c r="P386" s="57">
        <v>-1.6500000000000001E-2</v>
      </c>
      <c r="Q386" s="57">
        <v>-0.2117</v>
      </c>
      <c r="R386" s="57">
        <v>-2.52E-2</v>
      </c>
      <c r="S386">
        <v>48.25</v>
      </c>
      <c r="T386">
        <v>53.64</v>
      </c>
      <c r="U386">
        <v>45.01</v>
      </c>
      <c r="V386" s="20">
        <v>25.956710000000001</v>
      </c>
    </row>
    <row r="387" spans="7:22" x14ac:dyDescent="0.15">
      <c r="G387" s="11">
        <v>386</v>
      </c>
      <c r="H387" s="10" t="s">
        <v>738</v>
      </c>
      <c r="I387" t="s">
        <v>1297</v>
      </c>
      <c r="J387" t="s">
        <v>1267</v>
      </c>
      <c r="K387" s="57">
        <v>-3.0999999999999999E-3</v>
      </c>
      <c r="L387" s="57">
        <v>-1.0699999999999999E-2</v>
      </c>
      <c r="M387" s="57">
        <v>-1.5599999999999999E-2</v>
      </c>
      <c r="N387" s="57">
        <v>-4.3799999999999999E-2</v>
      </c>
      <c r="O387" s="57">
        <v>2.01E-2</v>
      </c>
      <c r="P387" s="57">
        <v>-7.7399999999999997E-2</v>
      </c>
      <c r="Q387" s="57">
        <v>-0.22090000000000001</v>
      </c>
      <c r="R387" s="57">
        <v>-0.3286</v>
      </c>
      <c r="S387">
        <v>48.11</v>
      </c>
      <c r="T387">
        <v>15.9</v>
      </c>
      <c r="U387">
        <v>82.75</v>
      </c>
      <c r="V387" s="20">
        <v>11.781102800000001</v>
      </c>
    </row>
    <row r="388" spans="7:22" x14ac:dyDescent="0.15">
      <c r="G388" s="11">
        <v>387</v>
      </c>
      <c r="H388" s="10" t="s">
        <v>546</v>
      </c>
      <c r="I388" t="s">
        <v>1278</v>
      </c>
      <c r="J388" t="s">
        <v>1267</v>
      </c>
      <c r="K388" s="57">
        <v>-1.4E-3</v>
      </c>
      <c r="L388" s="57">
        <v>-5.1999999999999998E-3</v>
      </c>
      <c r="M388" s="57">
        <v>-4.4000000000000003E-3</v>
      </c>
      <c r="N388" s="57">
        <v>-2.6499999999999999E-2</v>
      </c>
      <c r="O388" s="57">
        <v>8.3000000000000001E-3</v>
      </c>
      <c r="P388" s="57">
        <v>-7.1499999999999994E-2</v>
      </c>
      <c r="Q388" s="57">
        <v>-0.19120000000000001</v>
      </c>
      <c r="R388" s="57">
        <v>-0.19989999999999999</v>
      </c>
      <c r="S388">
        <v>47.98</v>
      </c>
      <c r="T388">
        <v>26.15</v>
      </c>
      <c r="U388">
        <v>72.37</v>
      </c>
      <c r="V388" s="20">
        <v>725.62950000000001</v>
      </c>
    </row>
    <row r="389" spans="7:22" x14ac:dyDescent="0.15">
      <c r="G389" s="11">
        <v>388</v>
      </c>
      <c r="H389" s="10" t="s">
        <v>1310</v>
      </c>
      <c r="I389" t="s">
        <v>1311</v>
      </c>
      <c r="J389" t="s">
        <v>1665</v>
      </c>
      <c r="K389" s="57">
        <v>4.3E-3</v>
      </c>
      <c r="L389" s="57">
        <v>5.2600000000000001E-2</v>
      </c>
      <c r="M389" s="57">
        <v>8.4400000000000003E-2</v>
      </c>
      <c r="N389" s="57">
        <v>5.0700000000000002E-2</v>
      </c>
      <c r="O389" s="57">
        <v>0.30599999999999999</v>
      </c>
      <c r="P389" s="57">
        <v>0.45569999999999999</v>
      </c>
      <c r="Q389" s="57">
        <v>0.45569999999999999</v>
      </c>
      <c r="R389" s="57">
        <v>0.45569999999999999</v>
      </c>
      <c r="S389">
        <v>47.84</v>
      </c>
      <c r="T389">
        <v>91.37</v>
      </c>
      <c r="U389">
        <v>6.87</v>
      </c>
      <c r="V389" s="20">
        <v>3086.4838300000001</v>
      </c>
    </row>
    <row r="390" spans="7:22" x14ac:dyDescent="0.15">
      <c r="G390" s="11">
        <v>389</v>
      </c>
      <c r="H390" s="10" t="s">
        <v>1380</v>
      </c>
      <c r="I390" t="s">
        <v>1381</v>
      </c>
      <c r="J390" t="s">
        <v>1665</v>
      </c>
      <c r="K390" s="57">
        <v>8.9999999999999998E-4</v>
      </c>
      <c r="L390" s="57">
        <v>-3.1300000000000001E-2</v>
      </c>
      <c r="M390" s="57">
        <v>-3.9199999999999999E-2</v>
      </c>
      <c r="N390" s="57">
        <v>7.1000000000000004E-3</v>
      </c>
      <c r="O390" s="57">
        <v>8.7499999999999994E-2</v>
      </c>
      <c r="P390" s="57">
        <v>-0.1905</v>
      </c>
      <c r="Q390" s="57">
        <v>-0.26269999999999999</v>
      </c>
      <c r="R390" s="57">
        <v>-0.26269999999999999</v>
      </c>
      <c r="S390">
        <v>47.71</v>
      </c>
      <c r="T390">
        <v>66.040000000000006</v>
      </c>
      <c r="U390">
        <v>31.81</v>
      </c>
      <c r="V390" s="20">
        <v>171.16454999999999</v>
      </c>
    </row>
    <row r="391" spans="7:22" x14ac:dyDescent="0.15">
      <c r="G391" s="11">
        <v>390</v>
      </c>
      <c r="H391" s="10" t="s">
        <v>550</v>
      </c>
      <c r="I391" t="s">
        <v>977</v>
      </c>
      <c r="J391" t="s">
        <v>851</v>
      </c>
      <c r="K391" s="57">
        <v>1E-3</v>
      </c>
      <c r="L391" s="57">
        <v>3.6900000000000002E-2</v>
      </c>
      <c r="M391" s="57">
        <v>1.95E-2</v>
      </c>
      <c r="N391" s="57">
        <v>9.2999999999999992E-3</v>
      </c>
      <c r="O391" s="57">
        <v>0.13980000000000001</v>
      </c>
      <c r="P391" s="57">
        <v>1.38E-2</v>
      </c>
      <c r="Q391" s="57">
        <v>0.1108</v>
      </c>
      <c r="R391" s="57">
        <v>-9.69E-2</v>
      </c>
      <c r="S391">
        <v>47.57</v>
      </c>
      <c r="T391">
        <v>68.459999999999994</v>
      </c>
      <c r="U391">
        <v>28.98</v>
      </c>
      <c r="V391" s="20">
        <v>1903.7248999999999</v>
      </c>
    </row>
    <row r="392" spans="7:22" x14ac:dyDescent="0.15">
      <c r="G392" s="11">
        <v>391</v>
      </c>
      <c r="H392" s="10" t="s">
        <v>754</v>
      </c>
      <c r="I392" t="s">
        <v>16</v>
      </c>
      <c r="J392" t="s">
        <v>1192</v>
      </c>
      <c r="K392" s="57">
        <v>-2.0999999999999999E-3</v>
      </c>
      <c r="L392" s="57">
        <v>-1.61E-2</v>
      </c>
      <c r="M392" s="57">
        <v>1.72E-2</v>
      </c>
      <c r="N392" s="57">
        <v>-3.5400000000000001E-2</v>
      </c>
      <c r="O392" s="57">
        <v>-8.3599999999999994E-2</v>
      </c>
      <c r="P392" s="57">
        <v>0.17530000000000001</v>
      </c>
      <c r="Q392" s="57">
        <v>0.5635</v>
      </c>
      <c r="R392" s="57">
        <v>1.2652000000000001</v>
      </c>
      <c r="S392">
        <v>47.44</v>
      </c>
      <c r="T392">
        <v>19.95</v>
      </c>
      <c r="U392">
        <v>77.36</v>
      </c>
      <c r="V392" s="20">
        <v>359.3655996</v>
      </c>
    </row>
    <row r="393" spans="7:22" x14ac:dyDescent="0.15">
      <c r="G393" s="11">
        <v>392</v>
      </c>
      <c r="H393" s="10" t="s">
        <v>425</v>
      </c>
      <c r="I393" t="s">
        <v>1099</v>
      </c>
      <c r="J393" t="s">
        <v>851</v>
      </c>
      <c r="K393" s="57">
        <v>8.0000000000000004E-4</v>
      </c>
      <c r="L393" s="57">
        <v>-2.06E-2</v>
      </c>
      <c r="M393" s="57">
        <v>-1E-4</v>
      </c>
      <c r="N393" s="57">
        <v>4.4999999999999997E-3</v>
      </c>
      <c r="O393" s="57">
        <v>0.17849999999999999</v>
      </c>
      <c r="P393" s="57">
        <v>-1.3100000000000001E-2</v>
      </c>
      <c r="Q393" s="57">
        <v>-3.44E-2</v>
      </c>
      <c r="R393" s="57">
        <v>0.39090000000000003</v>
      </c>
      <c r="S393">
        <v>47.3</v>
      </c>
      <c r="T393">
        <v>63.88</v>
      </c>
      <c r="U393">
        <v>33.29</v>
      </c>
      <c r="V393" s="20">
        <v>11695.7747</v>
      </c>
    </row>
    <row r="394" spans="7:22" x14ac:dyDescent="0.15">
      <c r="G394" s="11">
        <v>393</v>
      </c>
      <c r="H394" s="10" t="s">
        <v>694</v>
      </c>
      <c r="I394" t="s">
        <v>1148</v>
      </c>
      <c r="J394" t="s">
        <v>851</v>
      </c>
      <c r="K394" s="57">
        <v>-5.9999999999999995E-4</v>
      </c>
      <c r="L394" s="57">
        <v>-8.2000000000000007E-3</v>
      </c>
      <c r="M394" s="57">
        <v>-8.9999999999999998E-4</v>
      </c>
      <c r="N394" s="57">
        <v>-1.6299999999999999E-2</v>
      </c>
      <c r="O394" s="57">
        <v>4.7800000000000002E-2</v>
      </c>
      <c r="P394" s="57">
        <v>-5.9799999999999999E-2</v>
      </c>
      <c r="Q394" s="57">
        <v>-0.13569999999999999</v>
      </c>
      <c r="R394" s="57">
        <v>-7.2499999999999995E-2</v>
      </c>
      <c r="S394">
        <v>47.17</v>
      </c>
      <c r="T394">
        <v>36.93</v>
      </c>
      <c r="U394">
        <v>60.11</v>
      </c>
      <c r="V394" s="20">
        <v>29918.1715</v>
      </c>
    </row>
    <row r="395" spans="7:22" x14ac:dyDescent="0.15">
      <c r="G395" s="11">
        <v>394</v>
      </c>
      <c r="H395" s="10" t="s">
        <v>357</v>
      </c>
      <c r="I395" t="s">
        <v>1242</v>
      </c>
      <c r="J395" t="s">
        <v>1230</v>
      </c>
      <c r="K395" s="57">
        <v>0</v>
      </c>
      <c r="L395" s="57">
        <v>-3.8999999999999998E-3</v>
      </c>
      <c r="M395" s="57">
        <v>-3.0000000000000001E-3</v>
      </c>
      <c r="N395" s="57">
        <v>-4.7000000000000002E-3</v>
      </c>
      <c r="O395" s="57">
        <v>1.14E-2</v>
      </c>
      <c r="P395" s="57">
        <v>-3.5000000000000001E-3</v>
      </c>
      <c r="Q395" s="57">
        <v>7.4000000000000003E-3</v>
      </c>
      <c r="R395" s="57">
        <v>0.1414</v>
      </c>
      <c r="S395">
        <v>47.04</v>
      </c>
      <c r="T395">
        <v>50.54</v>
      </c>
      <c r="U395">
        <v>46.5</v>
      </c>
      <c r="V395" s="20">
        <v>58.451393999999993</v>
      </c>
    </row>
    <row r="396" spans="7:22" x14ac:dyDescent="0.15">
      <c r="G396" s="11">
        <v>395</v>
      </c>
      <c r="H396" s="10" t="s">
        <v>739</v>
      </c>
      <c r="I396" t="s">
        <v>1152</v>
      </c>
      <c r="J396" t="s">
        <v>1267</v>
      </c>
      <c r="K396" s="57">
        <v>-2.7000000000000001E-3</v>
      </c>
      <c r="L396" s="57">
        <v>-1.0800000000000001E-2</v>
      </c>
      <c r="M396" s="57">
        <v>-1.5599999999999999E-2</v>
      </c>
      <c r="N396" s="57">
        <v>-4.41E-2</v>
      </c>
      <c r="O396" s="57">
        <v>1.55E-2</v>
      </c>
      <c r="P396" s="57">
        <v>-8.1500000000000003E-2</v>
      </c>
      <c r="Q396" s="57">
        <v>-0.22020000000000001</v>
      </c>
      <c r="R396" s="57">
        <v>-0.31890000000000002</v>
      </c>
      <c r="S396">
        <v>46.9</v>
      </c>
      <c r="T396">
        <v>15.36</v>
      </c>
      <c r="U396">
        <v>81.67</v>
      </c>
      <c r="V396" s="20">
        <v>24451.1368</v>
      </c>
    </row>
    <row r="397" spans="7:22" x14ac:dyDescent="0.15">
      <c r="G397" s="11">
        <v>396</v>
      </c>
      <c r="H397" s="10" t="s">
        <v>690</v>
      </c>
      <c r="I397" t="s">
        <v>246</v>
      </c>
      <c r="J397" t="s">
        <v>851</v>
      </c>
      <c r="K397" s="57">
        <v>-8.0000000000000004E-4</v>
      </c>
      <c r="L397" s="57">
        <v>-9.4000000000000004E-3</v>
      </c>
      <c r="M397" s="57">
        <v>-6.9999999999999999E-4</v>
      </c>
      <c r="N397" s="57">
        <v>-1.84E-2</v>
      </c>
      <c r="O397" s="57">
        <v>5.7099999999999998E-2</v>
      </c>
      <c r="P397" s="57">
        <v>-6.6199999999999995E-2</v>
      </c>
      <c r="Q397" s="57">
        <v>-0.1492</v>
      </c>
      <c r="R397" s="57">
        <v>-7.7700000000000005E-2</v>
      </c>
      <c r="S397">
        <v>46.77</v>
      </c>
      <c r="T397">
        <v>34.5</v>
      </c>
      <c r="U397">
        <v>62.4</v>
      </c>
      <c r="V397" s="20">
        <v>8590.8304000000007</v>
      </c>
    </row>
    <row r="398" spans="7:22" x14ac:dyDescent="0.15">
      <c r="G398" s="11">
        <v>397</v>
      </c>
      <c r="H398" s="10" t="s">
        <v>409</v>
      </c>
      <c r="I398" t="s">
        <v>921</v>
      </c>
      <c r="J398" t="s">
        <v>851</v>
      </c>
      <c r="K398" s="57">
        <v>-2.0000000000000001E-4</v>
      </c>
      <c r="L398" s="57">
        <v>-3.2300000000000002E-2</v>
      </c>
      <c r="M398" s="57">
        <v>-1.8100000000000002E-2</v>
      </c>
      <c r="N398" s="57">
        <v>-9.2999999999999992E-3</v>
      </c>
      <c r="O398" s="57">
        <v>8.0500000000000002E-2</v>
      </c>
      <c r="P398" s="57">
        <v>-7.9500000000000001E-2</v>
      </c>
      <c r="Q398" s="57">
        <v>-0.1033</v>
      </c>
      <c r="R398" s="57">
        <v>0.23430000000000001</v>
      </c>
      <c r="S398">
        <v>46.63</v>
      </c>
      <c r="T398">
        <v>45.01</v>
      </c>
      <c r="U398">
        <v>51.35</v>
      </c>
      <c r="V398" s="20">
        <v>1772.6175600000001</v>
      </c>
    </row>
    <row r="399" spans="7:22" x14ac:dyDescent="0.15">
      <c r="G399" s="11">
        <v>398</v>
      </c>
      <c r="H399" s="10" t="s">
        <v>350</v>
      </c>
      <c r="I399" t="s">
        <v>1050</v>
      </c>
      <c r="J399" t="s">
        <v>851</v>
      </c>
      <c r="K399" s="57">
        <v>6.9999999999999999E-4</v>
      </c>
      <c r="L399" s="57">
        <v>1.5599999999999999E-2</v>
      </c>
      <c r="M399" s="57">
        <v>3.56E-2</v>
      </c>
      <c r="N399" s="57">
        <v>2.7000000000000001E-3</v>
      </c>
      <c r="O399" s="57">
        <v>1.89E-2</v>
      </c>
      <c r="P399" s="57">
        <v>1.6799999999999999E-2</v>
      </c>
      <c r="Q399" s="57">
        <v>0.11219999999999999</v>
      </c>
      <c r="R399" s="57">
        <v>9.7199999999999995E-2</v>
      </c>
      <c r="S399">
        <v>46.5</v>
      </c>
      <c r="T399">
        <v>61.46</v>
      </c>
      <c r="U399">
        <v>34.770000000000003</v>
      </c>
      <c r="V399" s="20">
        <v>2734.2941999999998</v>
      </c>
    </row>
    <row r="400" spans="7:22" x14ac:dyDescent="0.15">
      <c r="G400" s="11">
        <v>399</v>
      </c>
      <c r="H400" s="10" t="s">
        <v>737</v>
      </c>
      <c r="I400" t="s">
        <v>910</v>
      </c>
      <c r="J400" t="s">
        <v>851</v>
      </c>
      <c r="K400" s="57">
        <v>-2.3999999999999998E-3</v>
      </c>
      <c r="L400" s="57">
        <v>-2.3199999999999998E-2</v>
      </c>
      <c r="M400" s="57">
        <v>-2.9700000000000001E-2</v>
      </c>
      <c r="N400" s="57">
        <v>-4.3400000000000001E-2</v>
      </c>
      <c r="O400" s="57">
        <v>6.2E-2</v>
      </c>
      <c r="P400" s="57">
        <v>-0.13500000000000001</v>
      </c>
      <c r="Q400" s="57">
        <v>-0.31909999999999999</v>
      </c>
      <c r="R400" s="57">
        <v>-0.3695</v>
      </c>
      <c r="S400">
        <v>46.36</v>
      </c>
      <c r="T400">
        <v>16.04</v>
      </c>
      <c r="U400">
        <v>80.19</v>
      </c>
      <c r="V400" s="20">
        <v>85.345699999999994</v>
      </c>
    </row>
    <row r="401" spans="7:22" x14ac:dyDescent="0.15">
      <c r="G401" s="11">
        <v>400</v>
      </c>
      <c r="H401" s="10" t="s">
        <v>1579</v>
      </c>
      <c r="I401" t="s">
        <v>1580</v>
      </c>
      <c r="J401" t="s">
        <v>1665</v>
      </c>
      <c r="K401" s="57">
        <v>-5.8999999999999999E-3</v>
      </c>
      <c r="L401" s="57">
        <v>-2.87E-2</v>
      </c>
      <c r="M401" s="57">
        <v>-4.3900000000000002E-2</v>
      </c>
      <c r="N401" s="57">
        <v>-7.6200000000000004E-2</v>
      </c>
      <c r="O401" s="57">
        <v>7.6999999999999999E-2</v>
      </c>
      <c r="P401" s="57">
        <v>-6.8400000000000002E-2</v>
      </c>
      <c r="Q401" s="57">
        <v>-0.23050000000000001</v>
      </c>
      <c r="R401" s="57">
        <v>-0.23050000000000001</v>
      </c>
      <c r="S401">
        <v>46.23</v>
      </c>
      <c r="T401">
        <v>5.53</v>
      </c>
      <c r="U401">
        <v>90.57</v>
      </c>
      <c r="V401" s="20">
        <v>595.16102920000003</v>
      </c>
    </row>
    <row r="402" spans="7:22" x14ac:dyDescent="0.15">
      <c r="G402" s="11">
        <v>401</v>
      </c>
      <c r="H402" s="10" t="s">
        <v>1626</v>
      </c>
      <c r="I402" t="s">
        <v>1627</v>
      </c>
      <c r="J402" t="s">
        <v>1665</v>
      </c>
      <c r="K402" s="57">
        <v>1.11E-2</v>
      </c>
      <c r="L402" s="57">
        <v>-5.7999999999999996E-3</v>
      </c>
      <c r="M402" s="57">
        <v>2E-3</v>
      </c>
      <c r="N402" s="57">
        <v>5.3699999999999998E-2</v>
      </c>
      <c r="O402" s="57">
        <v>0.10199999999999999</v>
      </c>
      <c r="P402" s="57">
        <v>-0.1363</v>
      </c>
      <c r="Q402" s="57">
        <v>-0.1832</v>
      </c>
      <c r="R402" s="57">
        <v>-0.1832</v>
      </c>
      <c r="S402">
        <v>46.09</v>
      </c>
      <c r="T402">
        <v>92.45</v>
      </c>
      <c r="U402">
        <v>3.64</v>
      </c>
      <c r="V402" s="20">
        <v>216.99619999999999</v>
      </c>
    </row>
    <row r="403" spans="7:22" x14ac:dyDescent="0.15">
      <c r="G403" s="11">
        <v>402</v>
      </c>
      <c r="H403" s="10" t="s">
        <v>758</v>
      </c>
      <c r="I403" t="s">
        <v>1180</v>
      </c>
      <c r="J403" t="s">
        <v>1177</v>
      </c>
      <c r="K403" s="57">
        <v>2.8299999999999999E-2</v>
      </c>
      <c r="L403" s="57">
        <v>-1.2699999999999999E-2</v>
      </c>
      <c r="M403" s="57">
        <v>3.3999999999999998E-3</v>
      </c>
      <c r="N403" s="57">
        <v>5.5500000000000001E-2</v>
      </c>
      <c r="O403" s="57">
        <v>0.30299999999999999</v>
      </c>
      <c r="P403" s="57">
        <v>0.10539999999999999</v>
      </c>
      <c r="Q403" s="57">
        <v>-0.26119999999999999</v>
      </c>
      <c r="R403" s="57">
        <v>-0.2321</v>
      </c>
      <c r="S403">
        <v>45.96</v>
      </c>
      <c r="T403">
        <v>93.13</v>
      </c>
      <c r="U403">
        <v>2.83</v>
      </c>
      <c r="V403" s="20">
        <v>829.82890520000001</v>
      </c>
    </row>
    <row r="404" spans="7:22" x14ac:dyDescent="0.15">
      <c r="G404" s="11">
        <v>403</v>
      </c>
      <c r="H404" s="10" t="s">
        <v>363</v>
      </c>
      <c r="I404" t="s">
        <v>854</v>
      </c>
      <c r="J404" t="s">
        <v>851</v>
      </c>
      <c r="K404" s="57">
        <v>-4.0000000000000001E-3</v>
      </c>
      <c r="L404" s="57">
        <v>-2.86E-2</v>
      </c>
      <c r="M404" s="57">
        <v>-3.0099999999999998E-2</v>
      </c>
      <c r="N404" s="57">
        <v>-6.2600000000000003E-2</v>
      </c>
      <c r="O404" s="57">
        <v>5.4800000000000001E-2</v>
      </c>
      <c r="P404" s="57">
        <v>-0.1023</v>
      </c>
      <c r="Q404" s="57">
        <v>-0.1673</v>
      </c>
      <c r="R404" s="57">
        <v>-0.10340000000000001</v>
      </c>
      <c r="S404">
        <v>45.82</v>
      </c>
      <c r="T404">
        <v>9.6999999999999993</v>
      </c>
      <c r="U404">
        <v>86.25</v>
      </c>
      <c r="V404" s="20">
        <v>0</v>
      </c>
    </row>
    <row r="405" spans="7:22" x14ac:dyDescent="0.15">
      <c r="G405" s="11">
        <v>404</v>
      </c>
      <c r="H405" s="10" t="s">
        <v>1620</v>
      </c>
      <c r="I405" t="s">
        <v>1621</v>
      </c>
      <c r="J405" t="s">
        <v>1665</v>
      </c>
      <c r="K405" s="57">
        <v>1.8E-3</v>
      </c>
      <c r="L405" s="57">
        <v>-5.9999999999999995E-4</v>
      </c>
      <c r="M405" s="57">
        <v>6.1999999999999998E-3</v>
      </c>
      <c r="N405" s="57">
        <v>1.7100000000000001E-2</v>
      </c>
      <c r="O405" s="57">
        <v>0.21560000000000001</v>
      </c>
      <c r="P405" s="57">
        <v>-2.3800000000000002E-2</v>
      </c>
      <c r="Q405" s="57">
        <v>-5.7700000000000001E-2</v>
      </c>
      <c r="R405" s="57">
        <v>-5.7700000000000001E-2</v>
      </c>
      <c r="S405">
        <v>45.69</v>
      </c>
      <c r="T405">
        <v>77.22</v>
      </c>
      <c r="U405">
        <v>18.600000000000001</v>
      </c>
      <c r="V405" s="20">
        <v>1017.2329</v>
      </c>
    </row>
    <row r="406" spans="7:22" x14ac:dyDescent="0.15">
      <c r="G406" s="11">
        <v>405</v>
      </c>
      <c r="H406" s="10" t="s">
        <v>453</v>
      </c>
      <c r="I406" t="s">
        <v>1448</v>
      </c>
      <c r="J406" t="s">
        <v>1665</v>
      </c>
      <c r="K406" s="57">
        <v>2.0000000000000001E-4</v>
      </c>
      <c r="L406" s="57">
        <v>1.1000000000000001E-3</v>
      </c>
      <c r="M406" s="57">
        <v>-1.5E-3</v>
      </c>
      <c r="N406" s="57">
        <v>-1.4E-3</v>
      </c>
      <c r="O406" s="57">
        <v>8.9999999999999998E-4</v>
      </c>
      <c r="P406" s="57">
        <v>4.4999999999999997E-3</v>
      </c>
      <c r="Q406" s="57">
        <v>1.77E-2</v>
      </c>
      <c r="R406" s="57">
        <v>5.7799999999999997E-2</v>
      </c>
      <c r="S406">
        <v>45.55</v>
      </c>
      <c r="T406">
        <v>53.91</v>
      </c>
      <c r="U406">
        <v>41.91</v>
      </c>
      <c r="V406" s="20">
        <v>1897.4576</v>
      </c>
    </row>
    <row r="407" spans="7:22" x14ac:dyDescent="0.15">
      <c r="G407" s="11">
        <v>406</v>
      </c>
      <c r="H407" s="10" t="s">
        <v>1404</v>
      </c>
      <c r="I407" t="s">
        <v>1405</v>
      </c>
      <c r="J407" t="s">
        <v>1665</v>
      </c>
      <c r="K407" s="57">
        <v>-4.0000000000000002E-4</v>
      </c>
      <c r="L407" s="57">
        <v>-2.8E-3</v>
      </c>
      <c r="M407" s="57">
        <v>4.0000000000000001E-3</v>
      </c>
      <c r="N407" s="57">
        <v>-1.15E-2</v>
      </c>
      <c r="O407" s="57">
        <v>9.8799999999999999E-2</v>
      </c>
      <c r="P407" s="57">
        <v>-5.62E-2</v>
      </c>
      <c r="Q407" s="57">
        <v>-0.17469999999999999</v>
      </c>
      <c r="R407" s="57">
        <v>-0.17469999999999999</v>
      </c>
      <c r="S407">
        <v>45.42</v>
      </c>
      <c r="T407">
        <v>40.97</v>
      </c>
      <c r="U407">
        <v>54.72</v>
      </c>
      <c r="V407" s="20">
        <v>903.4123800000001</v>
      </c>
    </row>
    <row r="408" spans="7:22" x14ac:dyDescent="0.15">
      <c r="G408" s="11">
        <v>407</v>
      </c>
      <c r="H408" s="10" t="s">
        <v>1262</v>
      </c>
      <c r="I408" t="s">
        <v>1263</v>
      </c>
      <c r="J408" t="s">
        <v>851</v>
      </c>
      <c r="K408" s="57">
        <v>-5.7000000000000002E-3</v>
      </c>
      <c r="L408" s="57">
        <v>-4.1099999999999998E-2</v>
      </c>
      <c r="M408" s="57">
        <v>-4.82E-2</v>
      </c>
      <c r="N408" s="57">
        <v>-7.7100000000000002E-2</v>
      </c>
      <c r="O408" s="57">
        <v>0.16209999999999999</v>
      </c>
      <c r="P408" s="57">
        <v>8.5199999999999998E-2</v>
      </c>
      <c r="Q408" s="57">
        <v>8.5199999999999998E-2</v>
      </c>
      <c r="R408" s="57">
        <v>8.5199999999999998E-2</v>
      </c>
      <c r="S408">
        <v>45.28</v>
      </c>
      <c r="T408">
        <v>5.12</v>
      </c>
      <c r="U408">
        <v>90.16</v>
      </c>
      <c r="V408" s="20">
        <v>3640.5667200000003</v>
      </c>
    </row>
    <row r="409" spans="7:22" x14ac:dyDescent="0.15">
      <c r="G409" s="11">
        <v>408</v>
      </c>
      <c r="H409" s="10" t="s">
        <v>498</v>
      </c>
      <c r="I409" t="s">
        <v>875</v>
      </c>
      <c r="J409" t="s">
        <v>851</v>
      </c>
      <c r="K409" s="57">
        <v>-5.0000000000000001E-4</v>
      </c>
      <c r="L409" s="57">
        <v>-1.09E-2</v>
      </c>
      <c r="M409" s="57">
        <v>-2.9999999999999997E-4</v>
      </c>
      <c r="N409" s="57">
        <v>-1.5900000000000001E-2</v>
      </c>
      <c r="O409" s="57">
        <v>4.0399999999999998E-2</v>
      </c>
      <c r="P409" s="57">
        <v>-5.8099999999999999E-2</v>
      </c>
      <c r="Q409" s="57">
        <v>-5.0299999999999997E-2</v>
      </c>
      <c r="R409" s="57">
        <v>0.1177</v>
      </c>
      <c r="S409">
        <v>45.15</v>
      </c>
      <c r="T409">
        <v>37.74</v>
      </c>
      <c r="U409">
        <v>57.41</v>
      </c>
      <c r="V409" s="20">
        <v>25.015499999999999</v>
      </c>
    </row>
    <row r="410" spans="7:22" x14ac:dyDescent="0.15">
      <c r="G410" s="11">
        <v>409</v>
      </c>
      <c r="H410" s="10" t="s">
        <v>583</v>
      </c>
      <c r="I410" t="s">
        <v>984</v>
      </c>
      <c r="J410" t="s">
        <v>851</v>
      </c>
      <c r="K410" s="57">
        <v>1E-4</v>
      </c>
      <c r="L410" s="57">
        <v>-4.07E-2</v>
      </c>
      <c r="M410" s="57">
        <v>-6.0900000000000003E-2</v>
      </c>
      <c r="N410" s="57">
        <v>-5.4000000000000003E-3</v>
      </c>
      <c r="O410" s="57">
        <v>6.9099999999999995E-2</v>
      </c>
      <c r="P410" s="57">
        <v>-0.221</v>
      </c>
      <c r="Q410" s="57">
        <v>-0.28289999999999998</v>
      </c>
      <c r="R410" s="57">
        <v>-0.3029</v>
      </c>
      <c r="S410">
        <v>45.01</v>
      </c>
      <c r="T410">
        <v>49.87</v>
      </c>
      <c r="U410">
        <v>45.15</v>
      </c>
      <c r="V410" s="20">
        <v>781.06740000000002</v>
      </c>
    </row>
    <row r="411" spans="7:22" x14ac:dyDescent="0.15">
      <c r="G411" s="11">
        <v>410</v>
      </c>
      <c r="H411" s="10" t="s">
        <v>2065</v>
      </c>
      <c r="I411" t="s">
        <v>2066</v>
      </c>
      <c r="J411" t="s">
        <v>2058</v>
      </c>
      <c r="K411" s="57">
        <v>-6.4000000000000003E-3</v>
      </c>
      <c r="L411" s="57">
        <v>-2.4400000000000002E-2</v>
      </c>
      <c r="M411" s="57">
        <v>-4.2000000000000003E-2</v>
      </c>
      <c r="N411" s="57">
        <v>-8.1000000000000003E-2</v>
      </c>
      <c r="O411" s="57">
        <v>-0.1043</v>
      </c>
      <c r="P411" s="57">
        <v>-0.1043</v>
      </c>
      <c r="Q411" s="57">
        <v>-0.1043</v>
      </c>
      <c r="R411" s="57">
        <v>-0.1043</v>
      </c>
      <c r="S411">
        <v>44.88</v>
      </c>
      <c r="T411">
        <v>3.5</v>
      </c>
      <c r="U411">
        <v>91.51</v>
      </c>
      <c r="V411" s="20">
        <v>4013.8396799999996</v>
      </c>
    </row>
    <row r="412" spans="7:22" x14ac:dyDescent="0.15">
      <c r="G412" s="11">
        <v>411</v>
      </c>
      <c r="H412" s="10" t="s">
        <v>2108</v>
      </c>
      <c r="I412" t="s">
        <v>2109</v>
      </c>
      <c r="J412" t="s">
        <v>2058</v>
      </c>
      <c r="K412" s="57">
        <v>8.2000000000000007E-3</v>
      </c>
      <c r="L412" s="57">
        <v>-8.9999999999999993E-3</v>
      </c>
      <c r="M412" s="57">
        <v>9.1999999999999998E-3</v>
      </c>
      <c r="N412" s="57">
        <v>4.7100000000000003E-2</v>
      </c>
      <c r="O412" s="57">
        <v>0.15759999999999999</v>
      </c>
      <c r="P412" s="57">
        <v>-7.7200000000000005E-2</v>
      </c>
      <c r="Q412" s="57">
        <v>-0.1295</v>
      </c>
      <c r="R412" s="57">
        <v>-2.7400000000000001E-2</v>
      </c>
      <c r="S412">
        <v>44.74</v>
      </c>
      <c r="T412">
        <v>90.3</v>
      </c>
      <c r="U412">
        <v>4.58</v>
      </c>
      <c r="V412" s="20">
        <v>163.24542</v>
      </c>
    </row>
    <row r="413" spans="7:22" x14ac:dyDescent="0.15">
      <c r="G413" s="11">
        <v>412</v>
      </c>
      <c r="H413" s="10" t="s">
        <v>1569</v>
      </c>
      <c r="I413" t="s">
        <v>1570</v>
      </c>
      <c r="J413" t="s">
        <v>1665</v>
      </c>
      <c r="K413" s="57">
        <v>-5.0000000000000001E-3</v>
      </c>
      <c r="L413" s="57">
        <v>-4.0899999999999999E-2</v>
      </c>
      <c r="M413" s="57">
        <v>-4.7899999999999998E-2</v>
      </c>
      <c r="N413" s="57">
        <v>-7.6200000000000004E-2</v>
      </c>
      <c r="O413" s="57">
        <v>0.15540000000000001</v>
      </c>
      <c r="P413" s="57">
        <v>-4.8000000000000001E-2</v>
      </c>
      <c r="Q413" s="57">
        <v>-0.21110000000000001</v>
      </c>
      <c r="R413" s="57">
        <v>-0.21110000000000001</v>
      </c>
      <c r="S413">
        <v>44.61</v>
      </c>
      <c r="T413">
        <v>5.66</v>
      </c>
      <c r="U413">
        <v>88.68</v>
      </c>
      <c r="V413" s="20">
        <v>242.99726000000001</v>
      </c>
    </row>
    <row r="414" spans="7:22" x14ac:dyDescent="0.15">
      <c r="G414" s="11">
        <v>413</v>
      </c>
      <c r="H414" s="10" t="s">
        <v>680</v>
      </c>
      <c r="I414" t="s">
        <v>1123</v>
      </c>
      <c r="J414" t="s">
        <v>851</v>
      </c>
      <c r="K414" s="57">
        <v>-8.0000000000000004E-4</v>
      </c>
      <c r="L414" s="57">
        <v>-8.3000000000000001E-3</v>
      </c>
      <c r="M414" s="57">
        <v>-5.1000000000000004E-3</v>
      </c>
      <c r="N414" s="57">
        <v>-2.23E-2</v>
      </c>
      <c r="O414" s="57">
        <v>-3.3799999999999997E-2</v>
      </c>
      <c r="P414" s="57">
        <v>-0.10249999999999999</v>
      </c>
      <c r="Q414" s="57">
        <v>-6.3E-2</v>
      </c>
      <c r="R414" s="57">
        <v>3.27E-2</v>
      </c>
      <c r="S414">
        <v>44.47</v>
      </c>
      <c r="T414">
        <v>29.78</v>
      </c>
      <c r="U414">
        <v>64.150000000000006</v>
      </c>
      <c r="V414" s="20">
        <v>15316.7541</v>
      </c>
    </row>
    <row r="415" spans="7:22" x14ac:dyDescent="0.15">
      <c r="G415" s="11">
        <v>414</v>
      </c>
      <c r="H415" s="10" t="s">
        <v>627</v>
      </c>
      <c r="I415" t="s">
        <v>981</v>
      </c>
      <c r="J415" t="s">
        <v>851</v>
      </c>
      <c r="K415" s="57">
        <v>1.09E-2</v>
      </c>
      <c r="L415" s="57">
        <v>-1.9E-3</v>
      </c>
      <c r="M415" s="57">
        <v>2.5000000000000001E-3</v>
      </c>
      <c r="N415" s="57">
        <v>4.3299999999999998E-2</v>
      </c>
      <c r="O415" s="57">
        <v>9.8000000000000004E-2</v>
      </c>
      <c r="P415" s="57">
        <v>-0.1368</v>
      </c>
      <c r="Q415" s="57">
        <v>-0.20380000000000001</v>
      </c>
      <c r="R415" s="57">
        <v>-0.21829999999999999</v>
      </c>
      <c r="S415">
        <v>44.34</v>
      </c>
      <c r="T415">
        <v>89.76</v>
      </c>
      <c r="U415">
        <v>3.91</v>
      </c>
      <c r="V415" s="20">
        <v>1094.5651800000001</v>
      </c>
    </row>
    <row r="416" spans="7:22" x14ac:dyDescent="0.15">
      <c r="G416" s="11">
        <v>415</v>
      </c>
      <c r="H416" s="10" t="s">
        <v>673</v>
      </c>
      <c r="I416" t="s">
        <v>1082</v>
      </c>
      <c r="J416" t="s">
        <v>851</v>
      </c>
      <c r="K416" s="57">
        <v>-8.9999999999999998E-4</v>
      </c>
      <c r="L416" s="57">
        <v>-8.8999999999999999E-3</v>
      </c>
      <c r="M416" s="57">
        <v>-5.3E-3</v>
      </c>
      <c r="N416" s="57">
        <v>-2.4E-2</v>
      </c>
      <c r="O416" s="57">
        <v>-3.73E-2</v>
      </c>
      <c r="P416" s="57">
        <v>-0.111</v>
      </c>
      <c r="Q416" s="57">
        <v>-7.3200000000000001E-2</v>
      </c>
      <c r="R416" s="57">
        <v>1.04E-2</v>
      </c>
      <c r="S416">
        <v>44.2</v>
      </c>
      <c r="T416">
        <v>28.71</v>
      </c>
      <c r="U416">
        <v>64.819999999999993</v>
      </c>
      <c r="V416" s="20">
        <v>24184.9179</v>
      </c>
    </row>
    <row r="417" spans="7:22" x14ac:dyDescent="0.15">
      <c r="G417" s="11">
        <v>416</v>
      </c>
      <c r="H417" s="10" t="s">
        <v>728</v>
      </c>
      <c r="I417" t="s">
        <v>1001</v>
      </c>
      <c r="J417" t="s">
        <v>851</v>
      </c>
      <c r="K417" s="57">
        <v>2.3999999999999998E-3</v>
      </c>
      <c r="L417" s="57">
        <v>-3.8999999999999998E-3</v>
      </c>
      <c r="M417" s="57">
        <v>4.1399999999999999E-2</v>
      </c>
      <c r="N417" s="57">
        <v>1.8100000000000002E-2</v>
      </c>
      <c r="O417" s="57">
        <v>6.2E-2</v>
      </c>
      <c r="P417" s="57">
        <v>-8.4000000000000005E-2</v>
      </c>
      <c r="Q417" s="57">
        <v>-0.1191</v>
      </c>
      <c r="R417" s="57">
        <v>-0.16159999999999999</v>
      </c>
      <c r="S417">
        <v>44.07</v>
      </c>
      <c r="T417">
        <v>78.44</v>
      </c>
      <c r="U417">
        <v>14.96</v>
      </c>
      <c r="V417" s="20">
        <v>1754.6169</v>
      </c>
    </row>
    <row r="418" spans="7:22" x14ac:dyDescent="0.15">
      <c r="G418" s="11">
        <v>417</v>
      </c>
      <c r="H418" s="10" t="s">
        <v>669</v>
      </c>
      <c r="I418" t="s">
        <v>938</v>
      </c>
      <c r="J418" t="s">
        <v>851</v>
      </c>
      <c r="K418" s="57">
        <v>-1E-4</v>
      </c>
      <c r="L418" s="57">
        <v>-6.6E-3</v>
      </c>
      <c r="M418" s="57">
        <v>5.4999999999999997E-3</v>
      </c>
      <c r="N418" s="57">
        <v>-9.4000000000000004E-3</v>
      </c>
      <c r="O418" s="57">
        <v>7.1900000000000006E-2</v>
      </c>
      <c r="P418" s="57">
        <v>-4.8800000000000003E-2</v>
      </c>
      <c r="Q418" s="57">
        <v>-0.109</v>
      </c>
      <c r="R418" s="57">
        <v>4.2200000000000001E-2</v>
      </c>
      <c r="S418">
        <v>43.94</v>
      </c>
      <c r="T418">
        <v>44.61</v>
      </c>
      <c r="U418">
        <v>48.52</v>
      </c>
      <c r="V418" s="20">
        <v>631.16459999999995</v>
      </c>
    </row>
    <row r="419" spans="7:22" x14ac:dyDescent="0.15">
      <c r="G419" s="11">
        <v>418</v>
      </c>
      <c r="H419" s="10" t="s">
        <v>1437</v>
      </c>
      <c r="I419" t="s">
        <v>1438</v>
      </c>
      <c r="J419" t="s">
        <v>1665</v>
      </c>
      <c r="K419" s="57">
        <v>1E-4</v>
      </c>
      <c r="L419" s="57">
        <v>-5.4999999999999997E-3</v>
      </c>
      <c r="M419" s="57">
        <v>8.0000000000000002E-3</v>
      </c>
      <c r="N419" s="57">
        <v>-7.1000000000000004E-3</v>
      </c>
      <c r="O419" s="57">
        <v>-1.52E-2</v>
      </c>
      <c r="P419" s="57">
        <v>-4.7E-2</v>
      </c>
      <c r="Q419" s="57">
        <v>5.0099999999999999E-2</v>
      </c>
      <c r="R419" s="57">
        <v>0.20150000000000001</v>
      </c>
      <c r="S419">
        <v>43.8</v>
      </c>
      <c r="T419">
        <v>47.3</v>
      </c>
      <c r="U419">
        <v>45.82</v>
      </c>
      <c r="V419" s="20">
        <v>2769.6617000000001</v>
      </c>
    </row>
    <row r="420" spans="7:22" x14ac:dyDescent="0.15">
      <c r="G420" s="11">
        <v>419</v>
      </c>
      <c r="H420" s="10" t="s">
        <v>526</v>
      </c>
      <c r="I420" t="s">
        <v>1600</v>
      </c>
      <c r="J420" t="s">
        <v>1665</v>
      </c>
      <c r="K420" s="57">
        <v>-6.7000000000000002E-3</v>
      </c>
      <c r="L420" s="57">
        <v>-2.7099999999999999E-2</v>
      </c>
      <c r="M420" s="57">
        <v>-4.8599999999999997E-2</v>
      </c>
      <c r="N420" s="57">
        <v>-9.01E-2</v>
      </c>
      <c r="O420" s="57">
        <v>8.72E-2</v>
      </c>
      <c r="P420" s="57">
        <v>-6.5299999999999997E-2</v>
      </c>
      <c r="Q420" s="57">
        <v>-0.15840000000000001</v>
      </c>
      <c r="R420" s="57">
        <v>-0.15840000000000001</v>
      </c>
      <c r="S420">
        <v>43.67</v>
      </c>
      <c r="T420">
        <v>1.21</v>
      </c>
      <c r="U420">
        <v>91.91</v>
      </c>
      <c r="V420" s="20">
        <v>5288.0124900000001</v>
      </c>
    </row>
    <row r="421" spans="7:22" x14ac:dyDescent="0.15">
      <c r="G421" s="11">
        <v>420</v>
      </c>
      <c r="H421" s="10" t="s">
        <v>1501</v>
      </c>
      <c r="I421" t="s">
        <v>1502</v>
      </c>
      <c r="J421" t="s">
        <v>1665</v>
      </c>
      <c r="K421" s="57">
        <v>-1.4E-3</v>
      </c>
      <c r="L421" s="57">
        <v>3.3999999999999998E-3</v>
      </c>
      <c r="M421" s="57">
        <v>-1.9E-3</v>
      </c>
      <c r="N421" s="57">
        <v>-3.4799999999999998E-2</v>
      </c>
      <c r="O421" s="57">
        <v>0.20319999999999999</v>
      </c>
      <c r="P421" s="57">
        <v>3.6200000000000003E-2</v>
      </c>
      <c r="Q421" s="57">
        <v>2E-3</v>
      </c>
      <c r="R421" s="57">
        <v>2E-3</v>
      </c>
      <c r="S421">
        <v>43.53</v>
      </c>
      <c r="T421">
        <v>20.49</v>
      </c>
      <c r="U421">
        <v>72.510000000000005</v>
      </c>
      <c r="V421" s="20">
        <v>430.77097000000003</v>
      </c>
    </row>
    <row r="422" spans="7:22" x14ac:dyDescent="0.15">
      <c r="G422" s="11">
        <v>421</v>
      </c>
      <c r="H422" s="10" t="s">
        <v>1575</v>
      </c>
      <c r="I422" t="s">
        <v>1576</v>
      </c>
      <c r="J422" t="s">
        <v>1665</v>
      </c>
      <c r="K422" s="57">
        <v>-6.0000000000000001E-3</v>
      </c>
      <c r="L422" s="57">
        <v>-3.1E-2</v>
      </c>
      <c r="M422" s="57">
        <v>-4.7500000000000001E-2</v>
      </c>
      <c r="N422" s="57">
        <v>-8.4699999999999998E-2</v>
      </c>
      <c r="O422" s="57">
        <v>7.3499999999999996E-2</v>
      </c>
      <c r="P422" s="57">
        <v>-7.6799999999999993E-2</v>
      </c>
      <c r="Q422" s="57">
        <v>-0.17910000000000001</v>
      </c>
      <c r="R422" s="57">
        <v>-0.17910000000000001</v>
      </c>
      <c r="S422">
        <v>43.4</v>
      </c>
      <c r="T422">
        <v>2.16</v>
      </c>
      <c r="U422">
        <v>90.7</v>
      </c>
      <c r="V422" s="20">
        <v>5793.7894999999999</v>
      </c>
    </row>
    <row r="423" spans="7:22" x14ac:dyDescent="0.15">
      <c r="G423" s="11">
        <v>422</v>
      </c>
      <c r="H423" s="10" t="s">
        <v>480</v>
      </c>
      <c r="I423" t="s">
        <v>1427</v>
      </c>
      <c r="J423" t="s">
        <v>1665</v>
      </c>
      <c r="K423" s="57">
        <v>1.1000000000000001E-3</v>
      </c>
      <c r="L423" s="57">
        <v>1.4E-3</v>
      </c>
      <c r="M423" s="57">
        <v>1.2999999999999999E-3</v>
      </c>
      <c r="N423" s="57">
        <v>4.7000000000000002E-3</v>
      </c>
      <c r="O423" s="57">
        <v>9.5999999999999992E-3</v>
      </c>
      <c r="P423" s="57">
        <v>1.84E-2</v>
      </c>
      <c r="Q423" s="57">
        <v>3.5999999999999997E-2</v>
      </c>
      <c r="R423" s="57">
        <v>7.4099999999999999E-2</v>
      </c>
      <c r="S423">
        <v>43.26</v>
      </c>
      <c r="T423">
        <v>64.150000000000006</v>
      </c>
      <c r="U423">
        <v>28.03</v>
      </c>
      <c r="V423" s="20">
        <v>13078.4658</v>
      </c>
    </row>
    <row r="424" spans="7:22" x14ac:dyDescent="0.15">
      <c r="G424" s="11">
        <v>423</v>
      </c>
      <c r="H424" s="10" t="s">
        <v>590</v>
      </c>
      <c r="I424" t="s">
        <v>944</v>
      </c>
      <c r="J424" t="s">
        <v>851</v>
      </c>
      <c r="K424" s="57">
        <v>5.9999999999999995E-4</v>
      </c>
      <c r="L424" s="57">
        <v>1.6E-2</v>
      </c>
      <c r="M424" s="57">
        <v>1.8800000000000001E-2</v>
      </c>
      <c r="N424" s="57">
        <v>-4.0000000000000002E-4</v>
      </c>
      <c r="O424" s="57">
        <v>0.1804</v>
      </c>
      <c r="P424" s="57">
        <v>-1.15E-2</v>
      </c>
      <c r="Q424" s="57">
        <v>-0.19750000000000001</v>
      </c>
      <c r="R424" s="57">
        <v>2.98E-2</v>
      </c>
      <c r="S424">
        <v>43.13</v>
      </c>
      <c r="T424">
        <v>55.66</v>
      </c>
      <c r="U424">
        <v>36.39</v>
      </c>
      <c r="V424" s="20">
        <v>859.53593999999998</v>
      </c>
    </row>
    <row r="425" spans="7:22" x14ac:dyDescent="0.15">
      <c r="G425" s="11">
        <v>424</v>
      </c>
      <c r="H425" s="10" t="s">
        <v>1636</v>
      </c>
      <c r="I425" t="s">
        <v>1637</v>
      </c>
      <c r="J425" t="s">
        <v>1665</v>
      </c>
      <c r="K425" s="57">
        <v>2.7000000000000001E-3</v>
      </c>
      <c r="L425" s="57">
        <v>-1E-4</v>
      </c>
      <c r="M425" s="57">
        <v>6.8999999999999999E-3</v>
      </c>
      <c r="N425" s="57">
        <v>1.8499999999999999E-2</v>
      </c>
      <c r="O425" s="57">
        <v>0.21990000000000001</v>
      </c>
      <c r="P425" s="57">
        <v>-2.2800000000000001E-2</v>
      </c>
      <c r="Q425" s="57">
        <v>-0.1525</v>
      </c>
      <c r="R425" s="57">
        <v>-0.1525</v>
      </c>
      <c r="S425">
        <v>42.99</v>
      </c>
      <c r="T425">
        <v>79.11</v>
      </c>
      <c r="U425">
        <v>12.67</v>
      </c>
      <c r="V425" s="20">
        <v>1297.2704000000001</v>
      </c>
    </row>
    <row r="426" spans="7:22" x14ac:dyDescent="0.15">
      <c r="G426" s="11">
        <v>425</v>
      </c>
      <c r="H426" s="10" t="s">
        <v>489</v>
      </c>
      <c r="I426" t="s">
        <v>1104</v>
      </c>
      <c r="J426" t="s">
        <v>851</v>
      </c>
      <c r="K426" s="57">
        <v>6.9999999999999999E-4</v>
      </c>
      <c r="L426" s="57">
        <v>1.5900000000000001E-2</v>
      </c>
      <c r="M426" s="57">
        <v>1.8499999999999999E-2</v>
      </c>
      <c r="N426" s="57">
        <v>-8.9999999999999998E-4</v>
      </c>
      <c r="O426" s="57">
        <v>0.17760000000000001</v>
      </c>
      <c r="P426" s="57">
        <v>-1.77E-2</v>
      </c>
      <c r="Q426" s="57">
        <v>-0.20549999999999999</v>
      </c>
      <c r="R426" s="57">
        <v>-7.3000000000000001E-3</v>
      </c>
      <c r="S426">
        <v>42.86</v>
      </c>
      <c r="T426">
        <v>54.99</v>
      </c>
      <c r="U426">
        <v>35.979999999999997</v>
      </c>
      <c r="V426" s="20">
        <v>2559.8709600000002</v>
      </c>
    </row>
    <row r="427" spans="7:22" x14ac:dyDescent="0.15">
      <c r="G427" s="11">
        <v>426</v>
      </c>
      <c r="H427" s="10" t="s">
        <v>497</v>
      </c>
      <c r="I427" t="s">
        <v>949</v>
      </c>
      <c r="J427" t="s">
        <v>851</v>
      </c>
      <c r="K427" s="57">
        <v>1.4E-3</v>
      </c>
      <c r="L427" s="57">
        <v>-3.1099999999999999E-2</v>
      </c>
      <c r="M427" s="57">
        <v>-3.9E-2</v>
      </c>
      <c r="N427" s="57">
        <v>7.9000000000000008E-3</v>
      </c>
      <c r="O427" s="57">
        <v>9.2799999999999994E-2</v>
      </c>
      <c r="P427" s="57">
        <v>-0.18790000000000001</v>
      </c>
      <c r="Q427" s="57">
        <v>-0.31890000000000002</v>
      </c>
      <c r="R427" s="57">
        <v>-0.22309999999999999</v>
      </c>
      <c r="S427">
        <v>42.72</v>
      </c>
      <c r="T427">
        <v>66.98</v>
      </c>
      <c r="U427">
        <v>23.99</v>
      </c>
      <c r="V427" s="20">
        <v>515.03503000000001</v>
      </c>
    </row>
    <row r="428" spans="7:22" x14ac:dyDescent="0.15">
      <c r="G428" s="11">
        <v>427</v>
      </c>
      <c r="H428" s="10" t="s">
        <v>2114</v>
      </c>
      <c r="I428" t="s">
        <v>2115</v>
      </c>
      <c r="J428" t="s">
        <v>2058</v>
      </c>
      <c r="K428" s="57">
        <v>2.0000000000000001E-4</v>
      </c>
      <c r="L428" s="57">
        <v>8.9999999999999993E-3</v>
      </c>
      <c r="M428" s="57">
        <v>2.2800000000000001E-2</v>
      </c>
      <c r="N428" s="57">
        <v>-7.1000000000000004E-3</v>
      </c>
      <c r="O428" s="57">
        <v>-2.2200000000000001E-2</v>
      </c>
      <c r="P428" s="57">
        <v>-2.2200000000000001E-2</v>
      </c>
      <c r="Q428" s="57">
        <v>-2.2200000000000001E-2</v>
      </c>
      <c r="R428" s="57">
        <v>-2.2200000000000001E-2</v>
      </c>
      <c r="S428">
        <v>42.59</v>
      </c>
      <c r="T428">
        <v>47.57</v>
      </c>
      <c r="U428">
        <v>43.4</v>
      </c>
      <c r="V428" s="20">
        <v>4175.1996288999999</v>
      </c>
    </row>
    <row r="429" spans="7:22" x14ac:dyDescent="0.15">
      <c r="G429" s="11">
        <v>428</v>
      </c>
      <c r="H429" s="10" t="s">
        <v>2126</v>
      </c>
      <c r="I429" t="s">
        <v>2127</v>
      </c>
      <c r="J429" t="s">
        <v>2058</v>
      </c>
      <c r="K429" s="57">
        <v>2.0000000000000001E-4</v>
      </c>
      <c r="L429" s="57">
        <v>8.3000000000000001E-3</v>
      </c>
      <c r="M429" s="57">
        <v>2.2599999999999999E-2</v>
      </c>
      <c r="N429" s="57">
        <v>-7.0000000000000001E-3</v>
      </c>
      <c r="O429" s="57">
        <v>-3.32E-2</v>
      </c>
      <c r="P429" s="57">
        <v>-3.32E-2</v>
      </c>
      <c r="Q429" s="57">
        <v>-3.32E-2</v>
      </c>
      <c r="R429" s="57">
        <v>-3.32E-2</v>
      </c>
      <c r="S429">
        <v>42.45</v>
      </c>
      <c r="T429">
        <v>47.84</v>
      </c>
      <c r="U429">
        <v>43.13</v>
      </c>
      <c r="V429" s="20">
        <v>9387.5590594000005</v>
      </c>
    </row>
    <row r="430" spans="7:22" x14ac:dyDescent="0.15">
      <c r="G430" s="11">
        <v>429</v>
      </c>
      <c r="H430" s="10" t="s">
        <v>555</v>
      </c>
      <c r="I430" t="s">
        <v>1129</v>
      </c>
      <c r="J430" t="s">
        <v>851</v>
      </c>
      <c r="K430" s="57">
        <v>3.5000000000000001E-3</v>
      </c>
      <c r="L430" s="57">
        <v>-3.2899999999999999E-2</v>
      </c>
      <c r="M430" s="57">
        <v>-4.1799999999999997E-2</v>
      </c>
      <c r="N430" s="57">
        <v>2.23E-2</v>
      </c>
      <c r="O430" s="57">
        <v>0.1061</v>
      </c>
      <c r="P430" s="57">
        <v>-8.3099999999999993E-2</v>
      </c>
      <c r="Q430" s="57">
        <v>-0.28860000000000002</v>
      </c>
      <c r="R430" s="57">
        <v>-0.20069999999999999</v>
      </c>
      <c r="S430">
        <v>42.32</v>
      </c>
      <c r="T430">
        <v>81.94</v>
      </c>
      <c r="U430">
        <v>9.0299999999999994</v>
      </c>
      <c r="V430" s="20">
        <v>36600.084000000003</v>
      </c>
    </row>
    <row r="431" spans="7:22" x14ac:dyDescent="0.15">
      <c r="G431" s="11">
        <v>430</v>
      </c>
      <c r="H431" s="10" t="s">
        <v>459</v>
      </c>
      <c r="I431" t="s">
        <v>1097</v>
      </c>
      <c r="J431" t="s">
        <v>851</v>
      </c>
      <c r="K431" s="57">
        <v>1.1999999999999999E-3</v>
      </c>
      <c r="L431" s="57">
        <v>-2.07E-2</v>
      </c>
      <c r="M431" s="57">
        <v>-2.0000000000000001E-4</v>
      </c>
      <c r="N431" s="57">
        <v>5.0000000000000001E-3</v>
      </c>
      <c r="O431" s="57">
        <v>0.17860000000000001</v>
      </c>
      <c r="P431" s="57">
        <v>-1.2E-2</v>
      </c>
      <c r="Q431" s="57">
        <v>-2.81E-2</v>
      </c>
      <c r="R431" s="57">
        <v>0.3044</v>
      </c>
      <c r="S431">
        <v>42.18</v>
      </c>
      <c r="T431">
        <v>64.56</v>
      </c>
      <c r="U431">
        <v>26.28</v>
      </c>
      <c r="V431" s="20">
        <v>10314.584800000001</v>
      </c>
    </row>
    <row r="432" spans="7:22" x14ac:dyDescent="0.15">
      <c r="G432" s="11">
        <v>431</v>
      </c>
      <c r="H432" s="10" t="s">
        <v>664</v>
      </c>
      <c r="I432" t="s">
        <v>795</v>
      </c>
      <c r="J432" t="s">
        <v>1267</v>
      </c>
      <c r="K432" s="57">
        <v>-3.5000000000000001E-3</v>
      </c>
      <c r="L432" s="57">
        <v>-2.46E-2</v>
      </c>
      <c r="M432" s="57">
        <v>-3.7900000000000003E-2</v>
      </c>
      <c r="N432" s="57">
        <v>-7.6100000000000001E-2</v>
      </c>
      <c r="O432" s="57">
        <v>6.4299999999999996E-2</v>
      </c>
      <c r="P432" s="57">
        <v>-0.1103</v>
      </c>
      <c r="Q432" s="57">
        <v>-0.34560000000000002</v>
      </c>
      <c r="R432" s="57">
        <v>-0.4521</v>
      </c>
      <c r="S432">
        <v>42.05</v>
      </c>
      <c r="T432">
        <v>5.93</v>
      </c>
      <c r="U432">
        <v>84.91</v>
      </c>
      <c r="V432" s="20">
        <v>35681.839699999997</v>
      </c>
    </row>
    <row r="433" spans="7:22" x14ac:dyDescent="0.15">
      <c r="G433" s="11">
        <v>432</v>
      </c>
      <c r="H433" s="10" t="s">
        <v>599</v>
      </c>
      <c r="I433" t="s">
        <v>868</v>
      </c>
      <c r="J433" t="s">
        <v>851</v>
      </c>
      <c r="K433" s="57">
        <v>-5.0000000000000001E-4</v>
      </c>
      <c r="L433" s="57">
        <v>-9.2999999999999992E-3</v>
      </c>
      <c r="M433" s="57">
        <v>-1.2999999999999999E-3</v>
      </c>
      <c r="N433" s="57">
        <v>-1.8800000000000001E-2</v>
      </c>
      <c r="O433" s="57">
        <v>5.28E-2</v>
      </c>
      <c r="P433" s="57">
        <v>-7.0699999999999999E-2</v>
      </c>
      <c r="Q433" s="57">
        <v>-0.13719999999999999</v>
      </c>
      <c r="R433" s="57">
        <v>-3.0499999999999999E-2</v>
      </c>
      <c r="S433">
        <v>41.91</v>
      </c>
      <c r="T433">
        <v>33.83</v>
      </c>
      <c r="U433">
        <v>56.87</v>
      </c>
      <c r="V433" s="20">
        <v>53.148099999999999</v>
      </c>
    </row>
    <row r="434" spans="7:22" x14ac:dyDescent="0.15">
      <c r="G434" s="11">
        <v>433</v>
      </c>
      <c r="H434" s="10" t="s">
        <v>691</v>
      </c>
      <c r="I434" t="s">
        <v>970</v>
      </c>
      <c r="J434" t="s">
        <v>851</v>
      </c>
      <c r="K434" s="57">
        <v>-5.9999999999999995E-4</v>
      </c>
      <c r="L434" s="57">
        <v>-3.1E-2</v>
      </c>
      <c r="M434" s="57">
        <v>-4.0500000000000001E-2</v>
      </c>
      <c r="N434" s="57">
        <v>-2.07E-2</v>
      </c>
      <c r="O434" s="57">
        <v>6.4000000000000001E-2</v>
      </c>
      <c r="P434" s="57">
        <v>-0.19800000000000001</v>
      </c>
      <c r="Q434" s="57">
        <v>-0.28160000000000002</v>
      </c>
      <c r="R434" s="57">
        <v>-0.28160000000000002</v>
      </c>
      <c r="S434">
        <v>41.78</v>
      </c>
      <c r="T434">
        <v>31.54</v>
      </c>
      <c r="U434">
        <v>59.16</v>
      </c>
      <c r="V434" s="20">
        <v>370.48070000000001</v>
      </c>
    </row>
    <row r="435" spans="7:22" x14ac:dyDescent="0.15">
      <c r="G435" s="11">
        <v>434</v>
      </c>
      <c r="H435" s="10" t="s">
        <v>699</v>
      </c>
      <c r="I435" t="s">
        <v>1287</v>
      </c>
      <c r="J435" t="s">
        <v>1267</v>
      </c>
      <c r="K435" s="57">
        <v>-4.0000000000000001E-3</v>
      </c>
      <c r="L435" s="57">
        <v>-2.8199999999999999E-2</v>
      </c>
      <c r="M435" s="57">
        <v>-4.1099999999999998E-2</v>
      </c>
      <c r="N435" s="57">
        <v>-7.9399999999999998E-2</v>
      </c>
      <c r="O435" s="57">
        <v>6.1199999999999997E-2</v>
      </c>
      <c r="P435" s="57">
        <v>-0.1134</v>
      </c>
      <c r="Q435" s="57">
        <v>-0.34320000000000001</v>
      </c>
      <c r="R435" s="57">
        <v>-0.45179999999999998</v>
      </c>
      <c r="S435">
        <v>41.64</v>
      </c>
      <c r="T435">
        <v>4.45</v>
      </c>
      <c r="U435">
        <v>86.12</v>
      </c>
      <c r="V435" s="20">
        <v>10357.683199999999</v>
      </c>
    </row>
    <row r="436" spans="7:22" x14ac:dyDescent="0.15">
      <c r="G436" s="11">
        <v>435</v>
      </c>
      <c r="H436" s="10" t="s">
        <v>1345</v>
      </c>
      <c r="I436" t="s">
        <v>1346</v>
      </c>
      <c r="J436" t="s">
        <v>1665</v>
      </c>
      <c r="K436" s="57">
        <v>4.3E-3</v>
      </c>
      <c r="L436" s="57">
        <v>-3.1800000000000002E-2</v>
      </c>
      <c r="M436" s="57">
        <v>-5.7000000000000002E-3</v>
      </c>
      <c r="N436" s="57">
        <v>2.5000000000000001E-2</v>
      </c>
      <c r="O436" s="57">
        <v>0.11</v>
      </c>
      <c r="P436" s="57">
        <v>-0.1409</v>
      </c>
      <c r="Q436" s="57">
        <v>-0.14729999999999999</v>
      </c>
      <c r="R436" s="57">
        <v>-0.19650000000000001</v>
      </c>
      <c r="S436">
        <v>41.51</v>
      </c>
      <c r="T436">
        <v>83.29</v>
      </c>
      <c r="U436">
        <v>7.14</v>
      </c>
      <c r="V436" s="20">
        <v>275.471</v>
      </c>
    </row>
    <row r="437" spans="7:22" x14ac:dyDescent="0.15">
      <c r="G437" s="11">
        <v>436</v>
      </c>
      <c r="H437" s="10" t="s">
        <v>1614</v>
      </c>
      <c r="I437" t="s">
        <v>1615</v>
      </c>
      <c r="J437" t="s">
        <v>1665</v>
      </c>
      <c r="K437" s="57">
        <v>2.9999999999999997E-4</v>
      </c>
      <c r="L437" s="57">
        <v>0.02</v>
      </c>
      <c r="M437" s="57">
        <v>3.0599999999999999E-2</v>
      </c>
      <c r="N437" s="57">
        <v>-6.1000000000000004E-3</v>
      </c>
      <c r="O437" s="57">
        <v>0.20419999999999999</v>
      </c>
      <c r="P437" s="57">
        <v>7.5800000000000006E-2</v>
      </c>
      <c r="Q437" s="57">
        <v>-1.8100000000000002E-2</v>
      </c>
      <c r="R437" s="57">
        <v>-1.8100000000000002E-2</v>
      </c>
      <c r="S437">
        <v>41.37</v>
      </c>
      <c r="T437">
        <v>49.06</v>
      </c>
      <c r="U437">
        <v>41.11</v>
      </c>
      <c r="V437" s="20">
        <v>1640.2330999999999</v>
      </c>
    </row>
    <row r="438" spans="7:22" x14ac:dyDescent="0.15">
      <c r="G438" s="11">
        <v>437</v>
      </c>
      <c r="H438" s="10" t="s">
        <v>607</v>
      </c>
      <c r="I438" t="s">
        <v>923</v>
      </c>
      <c r="J438" t="s">
        <v>851</v>
      </c>
      <c r="K438" s="57">
        <v>-1.6999999999999999E-3</v>
      </c>
      <c r="L438" s="57">
        <v>-2.58E-2</v>
      </c>
      <c r="M438" s="57">
        <v>-2.6700000000000002E-2</v>
      </c>
      <c r="N438" s="57">
        <v>-4.6600000000000003E-2</v>
      </c>
      <c r="O438" s="57">
        <v>5.33E-2</v>
      </c>
      <c r="P438" s="57">
        <v>-0.1167</v>
      </c>
      <c r="Q438" s="57">
        <v>-0.32329999999999998</v>
      </c>
      <c r="R438" s="57">
        <v>-0.46410000000000001</v>
      </c>
      <c r="S438">
        <v>41.24</v>
      </c>
      <c r="T438">
        <v>14.15</v>
      </c>
      <c r="U438">
        <v>76.010000000000005</v>
      </c>
      <c r="V438" s="20">
        <v>140.05789999999999</v>
      </c>
    </row>
    <row r="439" spans="7:22" x14ac:dyDescent="0.15">
      <c r="G439" s="11">
        <v>438</v>
      </c>
      <c r="H439" s="10" t="s">
        <v>1597</v>
      </c>
      <c r="I439" t="s">
        <v>1598</v>
      </c>
      <c r="J439" t="s">
        <v>1665</v>
      </c>
      <c r="K439" s="57">
        <v>-4.4999999999999997E-3</v>
      </c>
      <c r="L439" s="57">
        <v>-2.8299999999999999E-2</v>
      </c>
      <c r="M439" s="57">
        <v>-4.1700000000000001E-2</v>
      </c>
      <c r="N439" s="57">
        <v>-8.1500000000000003E-2</v>
      </c>
      <c r="O439" s="57">
        <v>4.5199999999999997E-2</v>
      </c>
      <c r="P439" s="57">
        <v>2.86E-2</v>
      </c>
      <c r="Q439" s="57">
        <v>2.86E-2</v>
      </c>
      <c r="R439" s="57">
        <v>2.86E-2</v>
      </c>
      <c r="S439">
        <v>41.11</v>
      </c>
      <c r="T439">
        <v>3.1</v>
      </c>
      <c r="U439">
        <v>87.06</v>
      </c>
      <c r="V439" s="20">
        <v>1110.5981999999999</v>
      </c>
    </row>
    <row r="440" spans="7:22" x14ac:dyDescent="0.15">
      <c r="G440" s="11">
        <v>439</v>
      </c>
      <c r="H440" s="10" t="s">
        <v>1573</v>
      </c>
      <c r="I440" t="s">
        <v>1574</v>
      </c>
      <c r="J440" t="s">
        <v>1665</v>
      </c>
      <c r="K440" s="57">
        <v>-4.5999999999999999E-3</v>
      </c>
      <c r="L440" s="57">
        <v>-1.9699999999999999E-2</v>
      </c>
      <c r="M440" s="57">
        <v>-3.1300000000000001E-2</v>
      </c>
      <c r="N440" s="57">
        <v>-8.2500000000000004E-2</v>
      </c>
      <c r="O440" s="57">
        <v>5.8299999999999998E-2</v>
      </c>
      <c r="P440" s="57">
        <v>-0.1099</v>
      </c>
      <c r="Q440" s="57">
        <v>-0.34699999999999998</v>
      </c>
      <c r="R440" s="57">
        <v>-0.34699999999999998</v>
      </c>
      <c r="S440">
        <v>40.97</v>
      </c>
      <c r="T440">
        <v>2.56</v>
      </c>
      <c r="U440">
        <v>87.47</v>
      </c>
      <c r="V440" s="20">
        <v>22409.745760900001</v>
      </c>
    </row>
    <row r="441" spans="7:22" x14ac:dyDescent="0.15">
      <c r="G441" s="11">
        <v>440</v>
      </c>
      <c r="H441" s="10" t="s">
        <v>1567</v>
      </c>
      <c r="I441" t="s">
        <v>1568</v>
      </c>
      <c r="J441" t="s">
        <v>1665</v>
      </c>
      <c r="K441" s="57">
        <v>-2.3E-3</v>
      </c>
      <c r="L441" s="57">
        <v>-1.17E-2</v>
      </c>
      <c r="M441" s="57">
        <v>-2.75E-2</v>
      </c>
      <c r="N441" s="57">
        <v>-5.9299999999999999E-2</v>
      </c>
      <c r="O441" s="57">
        <v>8.3500000000000005E-2</v>
      </c>
      <c r="P441" s="57">
        <v>6.0400000000000002E-2</v>
      </c>
      <c r="Q441" s="57">
        <v>6.0400000000000002E-2</v>
      </c>
      <c r="R441" s="57">
        <v>6.0400000000000002E-2</v>
      </c>
      <c r="S441">
        <v>40.840000000000003</v>
      </c>
      <c r="T441">
        <v>10.51</v>
      </c>
      <c r="U441">
        <v>79.25</v>
      </c>
      <c r="V441" s="20">
        <v>3605.6543000000001</v>
      </c>
    </row>
    <row r="442" spans="7:22" x14ac:dyDescent="0.15">
      <c r="G442" s="11">
        <v>441</v>
      </c>
      <c r="H442" s="10" t="s">
        <v>1642</v>
      </c>
      <c r="I442" t="s">
        <v>1643</v>
      </c>
      <c r="J442" t="s">
        <v>1665</v>
      </c>
      <c r="K442" s="57">
        <v>-5.0000000000000001E-4</v>
      </c>
      <c r="L442" s="57">
        <v>-9.2999999999999992E-3</v>
      </c>
      <c r="M442" s="57">
        <v>8.9999999999999998E-4</v>
      </c>
      <c r="N442" s="57">
        <v>-1.9400000000000001E-2</v>
      </c>
      <c r="O442" s="57">
        <v>8.5400000000000004E-2</v>
      </c>
      <c r="P442" s="57">
        <v>-4.4900000000000002E-2</v>
      </c>
      <c r="Q442" s="57">
        <v>-0.1346</v>
      </c>
      <c r="R442" s="57">
        <v>-0.1346</v>
      </c>
      <c r="S442">
        <v>40.700000000000003</v>
      </c>
      <c r="T442">
        <v>32.75</v>
      </c>
      <c r="U442">
        <v>57.01</v>
      </c>
      <c r="V442" s="20">
        <v>13206.840099999999</v>
      </c>
    </row>
    <row r="443" spans="7:22" x14ac:dyDescent="0.15">
      <c r="G443" s="11">
        <v>442</v>
      </c>
      <c r="H443" s="10" t="s">
        <v>541</v>
      </c>
      <c r="I443" t="s">
        <v>1146</v>
      </c>
      <c r="J443" t="s">
        <v>851</v>
      </c>
      <c r="K443" s="57">
        <v>-6.9999999999999999E-4</v>
      </c>
      <c r="L443" s="57">
        <v>-0.02</v>
      </c>
      <c r="M443" s="57">
        <v>-1.55E-2</v>
      </c>
      <c r="N443" s="57">
        <v>-2.4400000000000002E-2</v>
      </c>
      <c r="O443" s="57">
        <v>6.0600000000000001E-2</v>
      </c>
      <c r="P443" s="57">
        <v>-1.6199999999999999E-2</v>
      </c>
      <c r="Q443" s="57">
        <v>-6.8999999999999999E-3</v>
      </c>
      <c r="R443" s="57">
        <v>0.34789999999999999</v>
      </c>
      <c r="S443">
        <v>40.57</v>
      </c>
      <c r="T443">
        <v>27.9</v>
      </c>
      <c r="U443">
        <v>61.86</v>
      </c>
      <c r="V443" s="20">
        <v>44102.946300000003</v>
      </c>
    </row>
    <row r="444" spans="7:22" x14ac:dyDescent="0.15">
      <c r="G444" s="11">
        <v>443</v>
      </c>
      <c r="H444" s="10" t="s">
        <v>1457</v>
      </c>
      <c r="I444" t="s">
        <v>1458</v>
      </c>
      <c r="J444" t="s">
        <v>1665</v>
      </c>
      <c r="K444" s="57">
        <v>1.6000000000000001E-3</v>
      </c>
      <c r="L444" s="57">
        <v>-4.8999999999999998E-3</v>
      </c>
      <c r="M444" s="57">
        <v>6.4999999999999997E-3</v>
      </c>
      <c r="N444" s="57">
        <v>8.6E-3</v>
      </c>
      <c r="O444" s="57">
        <v>9.7299999999999998E-2</v>
      </c>
      <c r="P444" s="57">
        <v>-8.4099999999999994E-2</v>
      </c>
      <c r="Q444" s="57">
        <v>-0.1124</v>
      </c>
      <c r="R444" s="57">
        <v>-0.1124</v>
      </c>
      <c r="S444">
        <v>40.43</v>
      </c>
      <c r="T444">
        <v>67.790000000000006</v>
      </c>
      <c r="U444">
        <v>21.7</v>
      </c>
      <c r="V444" s="20">
        <v>212.73287000000002</v>
      </c>
    </row>
    <row r="445" spans="7:22" x14ac:dyDescent="0.15">
      <c r="G445" s="11">
        <v>444</v>
      </c>
      <c r="H445" s="10" t="s">
        <v>315</v>
      </c>
      <c r="I445" t="s">
        <v>1093</v>
      </c>
      <c r="J445" t="s">
        <v>851</v>
      </c>
      <c r="K445" s="57">
        <v>2E-3</v>
      </c>
      <c r="L445" s="57">
        <v>6.4999999999999997E-3</v>
      </c>
      <c r="M445" s="57">
        <v>5.7999999999999996E-3</v>
      </c>
      <c r="N445" s="57">
        <v>1.2699999999999999E-2</v>
      </c>
      <c r="O445" s="57">
        <v>0.15629999999999999</v>
      </c>
      <c r="P445" s="57">
        <v>-4.1099999999999998E-2</v>
      </c>
      <c r="Q445" s="57">
        <v>-0.28739999999999999</v>
      </c>
      <c r="R445" s="57">
        <v>-0.30549999999999999</v>
      </c>
      <c r="S445">
        <v>40.299999999999997</v>
      </c>
      <c r="T445">
        <v>72.239999999999995</v>
      </c>
      <c r="U445">
        <v>17.25</v>
      </c>
      <c r="V445" s="20">
        <v>7689.1448</v>
      </c>
    </row>
    <row r="446" spans="7:22" x14ac:dyDescent="0.15">
      <c r="G446" s="11">
        <v>445</v>
      </c>
      <c r="H446" s="10" t="s">
        <v>677</v>
      </c>
      <c r="I446" t="s">
        <v>967</v>
      </c>
      <c r="J446" t="s">
        <v>851</v>
      </c>
      <c r="K446" s="57">
        <v>2.3999999999999998E-3</v>
      </c>
      <c r="L446" s="57">
        <v>4.0000000000000002E-4</v>
      </c>
      <c r="M446" s="57">
        <v>3.0200000000000001E-2</v>
      </c>
      <c r="N446" s="57">
        <v>1.3599999999999999E-2</v>
      </c>
      <c r="O446" s="57">
        <v>1.9900000000000001E-2</v>
      </c>
      <c r="P446" s="57">
        <v>-7.7600000000000002E-2</v>
      </c>
      <c r="Q446" s="57">
        <v>-3.5499999999999997E-2</v>
      </c>
      <c r="R446" s="57">
        <v>-0.17899999999999999</v>
      </c>
      <c r="S446">
        <v>40.159999999999997</v>
      </c>
      <c r="T446">
        <v>74.39</v>
      </c>
      <c r="U446">
        <v>14.82</v>
      </c>
      <c r="V446" s="20">
        <v>859.40526</v>
      </c>
    </row>
    <row r="447" spans="7:22" x14ac:dyDescent="0.15">
      <c r="G447" s="11">
        <v>446</v>
      </c>
      <c r="H447" s="10" t="s">
        <v>1362</v>
      </c>
      <c r="I447" t="s">
        <v>1363</v>
      </c>
      <c r="J447" t="s">
        <v>1665</v>
      </c>
      <c r="K447" s="57">
        <v>2.3E-3</v>
      </c>
      <c r="L447" s="57">
        <v>-4.7000000000000002E-3</v>
      </c>
      <c r="M447" s="57">
        <v>3.7999999999999999E-2</v>
      </c>
      <c r="N447" s="57">
        <v>1.3299999999999999E-2</v>
      </c>
      <c r="O447" s="57">
        <v>5.8099999999999999E-2</v>
      </c>
      <c r="P447" s="57">
        <v>-9.0700000000000003E-2</v>
      </c>
      <c r="Q447" s="57">
        <v>-0.1699</v>
      </c>
      <c r="R447" s="57">
        <v>-0.1699</v>
      </c>
      <c r="S447">
        <v>40.03</v>
      </c>
      <c r="T447">
        <v>73.58</v>
      </c>
      <c r="U447">
        <v>15.63</v>
      </c>
      <c r="V447" s="20">
        <v>2702.9924000000001</v>
      </c>
    </row>
    <row r="448" spans="7:22" x14ac:dyDescent="0.15">
      <c r="G448" s="11">
        <v>447</v>
      </c>
      <c r="H448" s="10" t="s">
        <v>710</v>
      </c>
      <c r="I448" t="s">
        <v>1228</v>
      </c>
      <c r="J448" t="s">
        <v>1221</v>
      </c>
      <c r="K448" s="57">
        <v>8.9999999999999998E-4</v>
      </c>
      <c r="L448" s="57">
        <v>-6.3E-3</v>
      </c>
      <c r="M448" s="57">
        <v>1E-4</v>
      </c>
      <c r="N448" s="57">
        <v>4.0000000000000002E-4</v>
      </c>
      <c r="O448" s="57">
        <v>3.4799999999999998E-2</v>
      </c>
      <c r="P448" s="57">
        <v>-2.64E-2</v>
      </c>
      <c r="Q448" s="57">
        <v>-9.3200000000000005E-2</v>
      </c>
      <c r="R448" s="57">
        <v>-4.3299999999999998E-2</v>
      </c>
      <c r="S448">
        <v>39.89</v>
      </c>
      <c r="T448">
        <v>58.49</v>
      </c>
      <c r="U448">
        <v>30.59</v>
      </c>
      <c r="V448" s="20">
        <v>1971.8564752</v>
      </c>
    </row>
    <row r="449" spans="7:22" x14ac:dyDescent="0.15">
      <c r="G449" s="11">
        <v>448</v>
      </c>
      <c r="H449" s="10" t="s">
        <v>484</v>
      </c>
      <c r="I449" t="s">
        <v>890</v>
      </c>
      <c r="J449" t="s">
        <v>851</v>
      </c>
      <c r="K449" s="57">
        <v>1.5E-3</v>
      </c>
      <c r="L449" s="57">
        <v>-3.1399999999999997E-2</v>
      </c>
      <c r="M449" s="57">
        <v>-3.9399999999999998E-2</v>
      </c>
      <c r="N449" s="57">
        <v>7.4999999999999997E-3</v>
      </c>
      <c r="O449" s="57">
        <v>9.0399999999999994E-2</v>
      </c>
      <c r="P449" s="57">
        <v>-0.18779999999999999</v>
      </c>
      <c r="Q449" s="57">
        <v>-0.24610000000000001</v>
      </c>
      <c r="R449" s="57">
        <v>-0.24610000000000001</v>
      </c>
      <c r="S449">
        <v>39.76</v>
      </c>
      <c r="T449">
        <v>66.58</v>
      </c>
      <c r="U449">
        <v>22.37</v>
      </c>
      <c r="V449" s="20">
        <v>823.54840000000002</v>
      </c>
    </row>
    <row r="450" spans="7:22" x14ac:dyDescent="0.15">
      <c r="G450" s="11">
        <v>449</v>
      </c>
      <c r="H450" s="10" t="s">
        <v>1430</v>
      </c>
      <c r="I450" t="s">
        <v>1431</v>
      </c>
      <c r="J450" t="s">
        <v>1665</v>
      </c>
      <c r="K450" s="57">
        <v>3.0999999999999999E-3</v>
      </c>
      <c r="L450" s="57">
        <v>-2.9999999999999997E-4</v>
      </c>
      <c r="M450" s="57">
        <v>6.8999999999999999E-3</v>
      </c>
      <c r="N450" s="57">
        <v>1.8200000000000001E-2</v>
      </c>
      <c r="O450" s="57">
        <v>0.21829999999999999</v>
      </c>
      <c r="P450" s="57">
        <v>-2.4E-2</v>
      </c>
      <c r="Q450" s="57">
        <v>-0.13370000000000001</v>
      </c>
      <c r="R450" s="57">
        <v>-0.13370000000000001</v>
      </c>
      <c r="S450">
        <v>39.619999999999997</v>
      </c>
      <c r="T450">
        <v>78.84</v>
      </c>
      <c r="U450">
        <v>10.11</v>
      </c>
      <c r="V450" s="20">
        <v>2214.4268699999998</v>
      </c>
    </row>
    <row r="451" spans="7:22" x14ac:dyDescent="0.15">
      <c r="G451" s="11">
        <v>450</v>
      </c>
      <c r="H451" s="10" t="s">
        <v>1302</v>
      </c>
      <c r="I451" t="s">
        <v>1303</v>
      </c>
      <c r="J451" t="s">
        <v>1665</v>
      </c>
      <c r="K451" s="57">
        <v>4.3E-3</v>
      </c>
      <c r="L451" s="57">
        <v>-3.2800000000000003E-2</v>
      </c>
      <c r="M451" s="57">
        <v>-4.2000000000000003E-2</v>
      </c>
      <c r="N451" s="57">
        <v>2.1600000000000001E-2</v>
      </c>
      <c r="O451" s="57">
        <v>0.1014</v>
      </c>
      <c r="P451" s="57">
        <v>-0.09</v>
      </c>
      <c r="Q451" s="57">
        <v>-0.29949999999999999</v>
      </c>
      <c r="R451" s="57">
        <v>-0.28610000000000002</v>
      </c>
      <c r="S451">
        <v>39.49</v>
      </c>
      <c r="T451">
        <v>81.540000000000006</v>
      </c>
      <c r="U451">
        <v>7.28</v>
      </c>
      <c r="V451" s="20">
        <v>1964.7933</v>
      </c>
    </row>
    <row r="452" spans="7:22" x14ac:dyDescent="0.15">
      <c r="G452" s="11">
        <v>451</v>
      </c>
      <c r="H452" s="10" t="s">
        <v>1650</v>
      </c>
      <c r="I452" t="s">
        <v>1651</v>
      </c>
      <c r="J452" t="s">
        <v>1665</v>
      </c>
      <c r="K452" s="57">
        <v>4.0000000000000002E-4</v>
      </c>
      <c r="L452" s="57">
        <v>2.01E-2</v>
      </c>
      <c r="M452" s="57">
        <v>3.0099999999999998E-2</v>
      </c>
      <c r="N452" s="57">
        <v>-6.0000000000000001E-3</v>
      </c>
      <c r="O452" s="57">
        <v>0.20250000000000001</v>
      </c>
      <c r="P452" s="57">
        <v>7.6799999999999993E-2</v>
      </c>
      <c r="Q452" s="57">
        <v>-1.14E-2</v>
      </c>
      <c r="R452" s="57">
        <v>-1.14E-2</v>
      </c>
      <c r="S452">
        <v>39.35</v>
      </c>
      <c r="T452">
        <v>49.19</v>
      </c>
      <c r="U452">
        <v>39.619999999999997</v>
      </c>
      <c r="V452" s="20">
        <v>827.33669999999995</v>
      </c>
    </row>
    <row r="453" spans="7:22" x14ac:dyDescent="0.15">
      <c r="G453" s="11">
        <v>452</v>
      </c>
      <c r="H453" s="10" t="s">
        <v>593</v>
      </c>
      <c r="I453" t="s">
        <v>1086</v>
      </c>
      <c r="J453" t="s">
        <v>851</v>
      </c>
      <c r="K453" s="57">
        <v>1.1000000000000001E-3</v>
      </c>
      <c r="L453" s="57">
        <v>-3.9300000000000002E-2</v>
      </c>
      <c r="M453" s="57">
        <v>-4.1599999999999998E-2</v>
      </c>
      <c r="N453" s="57">
        <v>2.0999999999999999E-3</v>
      </c>
      <c r="O453" s="57">
        <v>5.4800000000000001E-2</v>
      </c>
      <c r="P453" s="57">
        <v>-0.18090000000000001</v>
      </c>
      <c r="Q453" s="57">
        <v>-0.3196</v>
      </c>
      <c r="R453" s="57">
        <v>-0.31259999999999999</v>
      </c>
      <c r="S453">
        <v>39.22</v>
      </c>
      <c r="T453">
        <v>60.78</v>
      </c>
      <c r="U453">
        <v>27.9</v>
      </c>
      <c r="V453" s="20">
        <v>9367.0712999999996</v>
      </c>
    </row>
    <row r="454" spans="7:22" x14ac:dyDescent="0.15">
      <c r="G454" s="11">
        <v>453</v>
      </c>
      <c r="H454" s="10" t="s">
        <v>654</v>
      </c>
      <c r="I454" t="s">
        <v>1030</v>
      </c>
      <c r="J454" t="s">
        <v>851</v>
      </c>
      <c r="K454" s="57">
        <v>-2.0000000000000001E-4</v>
      </c>
      <c r="L454" s="57">
        <v>-8.6E-3</v>
      </c>
      <c r="M454" s="57">
        <v>4.0000000000000002E-4</v>
      </c>
      <c r="N454" s="57">
        <v>-1.61E-2</v>
      </c>
      <c r="O454" s="57">
        <v>5.91E-2</v>
      </c>
      <c r="P454" s="57">
        <v>-6.4000000000000001E-2</v>
      </c>
      <c r="Q454" s="57">
        <v>-0.12759999999999999</v>
      </c>
      <c r="R454" s="57">
        <v>4.1200000000000001E-2</v>
      </c>
      <c r="S454">
        <v>39.08</v>
      </c>
      <c r="T454">
        <v>37.47</v>
      </c>
      <c r="U454">
        <v>51.21</v>
      </c>
      <c r="V454" s="20">
        <v>1205.8695</v>
      </c>
    </row>
    <row r="455" spans="7:22" x14ac:dyDescent="0.15">
      <c r="G455" s="11">
        <v>454</v>
      </c>
      <c r="H455" s="10" t="s">
        <v>601</v>
      </c>
      <c r="I455" t="s">
        <v>1283</v>
      </c>
      <c r="J455" t="s">
        <v>1267</v>
      </c>
      <c r="K455" s="57">
        <v>-3.3E-3</v>
      </c>
      <c r="L455" s="57">
        <v>-2.75E-2</v>
      </c>
      <c r="M455" s="57">
        <v>-4.0599999999999997E-2</v>
      </c>
      <c r="N455" s="57">
        <v>-7.9200000000000007E-2</v>
      </c>
      <c r="O455" s="57">
        <v>6.0600000000000001E-2</v>
      </c>
      <c r="P455" s="57">
        <v>-0.1142</v>
      </c>
      <c r="Q455" s="57">
        <v>-0.34689999999999999</v>
      </c>
      <c r="R455" s="57">
        <v>-0.4592</v>
      </c>
      <c r="S455">
        <v>38.950000000000003</v>
      </c>
      <c r="T455">
        <v>4.72</v>
      </c>
      <c r="U455">
        <v>83.96</v>
      </c>
      <c r="V455" s="20">
        <v>1744.9458399999999</v>
      </c>
    </row>
    <row r="456" spans="7:22" x14ac:dyDescent="0.15">
      <c r="G456" s="11">
        <v>455</v>
      </c>
      <c r="H456" s="10" t="s">
        <v>470</v>
      </c>
      <c r="I456" t="s">
        <v>853</v>
      </c>
      <c r="J456" t="s">
        <v>851</v>
      </c>
      <c r="K456" s="57">
        <v>2.0000000000000001E-4</v>
      </c>
      <c r="L456" s="57">
        <v>-6.3E-3</v>
      </c>
      <c r="M456" s="57">
        <v>2.9999999999999997E-4</v>
      </c>
      <c r="N456" s="57">
        <v>-8.2000000000000007E-3</v>
      </c>
      <c r="O456" s="57">
        <v>6.7199999999999996E-2</v>
      </c>
      <c r="P456" s="57">
        <v>-5.7200000000000001E-2</v>
      </c>
      <c r="Q456" s="57">
        <v>-0.1091</v>
      </c>
      <c r="R456" s="57">
        <v>5.2400000000000002E-2</v>
      </c>
      <c r="S456">
        <v>38.81</v>
      </c>
      <c r="T456">
        <v>46.5</v>
      </c>
      <c r="U456">
        <v>42.05</v>
      </c>
      <c r="V456" s="20">
        <v>197.29140000000001</v>
      </c>
    </row>
    <row r="457" spans="7:22" x14ac:dyDescent="0.15">
      <c r="G457" s="11">
        <v>456</v>
      </c>
      <c r="H457" s="10" t="s">
        <v>1268</v>
      </c>
      <c r="I457" t="s">
        <v>1269</v>
      </c>
      <c r="J457" t="s">
        <v>1267</v>
      </c>
      <c r="K457" s="57">
        <v>-2.0999999999999999E-3</v>
      </c>
      <c r="L457" s="57">
        <v>-1.1299999999999999E-2</v>
      </c>
      <c r="M457" s="57">
        <v>-2.7199999999999998E-2</v>
      </c>
      <c r="N457" s="57">
        <v>-5.8299999999999998E-2</v>
      </c>
      <c r="O457" s="57">
        <v>7.7899999999999997E-2</v>
      </c>
      <c r="P457" s="57">
        <v>-5.3499999999999999E-2</v>
      </c>
      <c r="Q457" s="57">
        <v>-0.33100000000000002</v>
      </c>
      <c r="R457" s="57">
        <v>-0.26069999999999999</v>
      </c>
      <c r="S457">
        <v>38.68</v>
      </c>
      <c r="T457">
        <v>10.65</v>
      </c>
      <c r="U457">
        <v>77.760000000000005</v>
      </c>
      <c r="V457" s="20">
        <v>18.636199999999999</v>
      </c>
    </row>
    <row r="458" spans="7:22" x14ac:dyDescent="0.15">
      <c r="G458" s="11">
        <v>457</v>
      </c>
      <c r="H458" s="10" t="s">
        <v>1497</v>
      </c>
      <c r="I458" t="s">
        <v>1498</v>
      </c>
      <c r="J458" t="s">
        <v>1665</v>
      </c>
      <c r="K458" s="57">
        <v>-6.9999999999999999E-4</v>
      </c>
      <c r="L458" s="57">
        <v>-8.8999999999999999E-3</v>
      </c>
      <c r="M458" s="57">
        <v>-6.7000000000000002E-3</v>
      </c>
      <c r="N458" s="57">
        <v>-2.47E-2</v>
      </c>
      <c r="O458" s="57">
        <v>-3.6900000000000002E-2</v>
      </c>
      <c r="P458" s="57">
        <v>-0.10920000000000001</v>
      </c>
      <c r="Q458" s="57">
        <v>-0.1014</v>
      </c>
      <c r="R458" s="57">
        <v>-0.1014</v>
      </c>
      <c r="S458">
        <v>38.54</v>
      </c>
      <c r="T458">
        <v>27.63</v>
      </c>
      <c r="U458">
        <v>60.65</v>
      </c>
      <c r="V458" s="20">
        <v>908.37469999999996</v>
      </c>
    </row>
    <row r="459" spans="7:22" x14ac:dyDescent="0.15">
      <c r="G459" s="11">
        <v>458</v>
      </c>
      <c r="H459" s="10" t="s">
        <v>1545</v>
      </c>
      <c r="I459" t="s">
        <v>1546</v>
      </c>
      <c r="J459" t="s">
        <v>1665</v>
      </c>
      <c r="K459" s="57">
        <v>3.7000000000000002E-3</v>
      </c>
      <c r="L459" s="57">
        <v>1.37E-2</v>
      </c>
      <c r="M459" s="57">
        <v>4.2299999999999997E-2</v>
      </c>
      <c r="N459" s="57">
        <v>1.8700000000000001E-2</v>
      </c>
      <c r="O459" s="57">
        <v>-4.8000000000000001E-2</v>
      </c>
      <c r="P459" s="57">
        <v>-1.4999999999999999E-2</v>
      </c>
      <c r="Q459" s="57">
        <v>-1.4999999999999999E-2</v>
      </c>
      <c r="R459" s="57">
        <v>-1.4999999999999999E-2</v>
      </c>
      <c r="S459">
        <v>38.409999999999997</v>
      </c>
      <c r="T459">
        <v>79.510000000000005</v>
      </c>
      <c r="U459">
        <v>8.76</v>
      </c>
      <c r="V459" s="20">
        <v>2952.6028000000001</v>
      </c>
    </row>
    <row r="460" spans="7:22" x14ac:dyDescent="0.15">
      <c r="G460" s="11">
        <v>459</v>
      </c>
      <c r="H460" s="10" t="s">
        <v>2122</v>
      </c>
      <c r="I460" t="s">
        <v>2123</v>
      </c>
      <c r="J460" t="s">
        <v>2058</v>
      </c>
      <c r="K460" s="57">
        <v>2.9999999999999997E-4</v>
      </c>
      <c r="L460" s="57">
        <v>8.5000000000000006E-3</v>
      </c>
      <c r="M460" s="57">
        <v>2.1499999999999998E-2</v>
      </c>
      <c r="N460" s="57">
        <v>-7.7000000000000002E-3</v>
      </c>
      <c r="O460" s="57">
        <v>-2.53E-2</v>
      </c>
      <c r="P460" s="57">
        <v>-2.53E-2</v>
      </c>
      <c r="Q460" s="57">
        <v>-2.53E-2</v>
      </c>
      <c r="R460" s="57">
        <v>-2.53E-2</v>
      </c>
      <c r="S460">
        <v>38.270000000000003</v>
      </c>
      <c r="T460">
        <v>46.63</v>
      </c>
      <c r="U460">
        <v>41.37</v>
      </c>
      <c r="V460" s="20">
        <v>2662.1029290000001</v>
      </c>
    </row>
    <row r="461" spans="7:22" x14ac:dyDescent="0.15">
      <c r="G461" s="11">
        <v>460</v>
      </c>
      <c r="H461" s="10" t="s">
        <v>464</v>
      </c>
      <c r="I461" t="s">
        <v>905</v>
      </c>
      <c r="J461" t="s">
        <v>851</v>
      </c>
      <c r="K461" s="57">
        <v>-1E-4</v>
      </c>
      <c r="L461" s="57">
        <v>-7.1999999999999998E-3</v>
      </c>
      <c r="M461" s="57">
        <v>-6.9999999999999999E-4</v>
      </c>
      <c r="N461" s="57">
        <v>-1.52E-2</v>
      </c>
      <c r="O461" s="57">
        <v>5.3400000000000003E-2</v>
      </c>
      <c r="P461" s="57">
        <v>-7.2900000000000006E-2</v>
      </c>
      <c r="Q461" s="57">
        <v>-0.14499999999999999</v>
      </c>
      <c r="R461" s="57">
        <v>-0.18229999999999999</v>
      </c>
      <c r="S461">
        <v>38.14</v>
      </c>
      <c r="T461">
        <v>38.270000000000003</v>
      </c>
      <c r="U461">
        <v>49.73</v>
      </c>
      <c r="V461" s="20">
        <v>512.44029999999998</v>
      </c>
    </row>
    <row r="462" spans="7:22" x14ac:dyDescent="0.15">
      <c r="G462" s="11">
        <v>461</v>
      </c>
      <c r="H462" t="s">
        <v>476</v>
      </c>
      <c r="I462" t="s">
        <v>1115</v>
      </c>
      <c r="J462" t="s">
        <v>851</v>
      </c>
      <c r="K462" s="57">
        <v>-5.0000000000000001E-4</v>
      </c>
      <c r="L462" s="57">
        <v>-8.9999999999999993E-3</v>
      </c>
      <c r="M462" s="57">
        <v>9.7000000000000003E-3</v>
      </c>
      <c r="N462" s="57">
        <v>-2.2200000000000001E-2</v>
      </c>
      <c r="O462" s="57">
        <v>9.1000000000000004E-3</v>
      </c>
      <c r="P462" s="57">
        <v>-9.6500000000000002E-2</v>
      </c>
      <c r="Q462" s="57">
        <v>-0.14130000000000001</v>
      </c>
      <c r="R462" s="57">
        <v>0.34760000000000002</v>
      </c>
      <c r="S462">
        <v>38.01</v>
      </c>
      <c r="T462">
        <v>30.05</v>
      </c>
      <c r="U462">
        <v>57.68</v>
      </c>
      <c r="V462" s="20">
        <v>5571.8726999999999</v>
      </c>
    </row>
    <row r="463" spans="7:22" x14ac:dyDescent="0.15">
      <c r="G463" s="11">
        <v>462</v>
      </c>
      <c r="H463" t="s">
        <v>1656</v>
      </c>
      <c r="I463" t="s">
        <v>1657</v>
      </c>
      <c r="J463" t="s">
        <v>1665</v>
      </c>
      <c r="K463" s="57">
        <v>1.6999999999999999E-3</v>
      </c>
      <c r="L463" s="57">
        <v>8.9999999999999993E-3</v>
      </c>
      <c r="M463" s="57">
        <v>3.1699999999999999E-2</v>
      </c>
      <c r="N463" s="57">
        <v>8.8000000000000005E-3</v>
      </c>
      <c r="O463" s="57">
        <v>0.124</v>
      </c>
      <c r="P463" s="57">
        <v>0.1401</v>
      </c>
      <c r="Q463" s="57">
        <v>0.1401</v>
      </c>
      <c r="R463" s="57">
        <v>0.1401</v>
      </c>
      <c r="S463">
        <v>37.869999999999997</v>
      </c>
      <c r="T463">
        <v>67.92</v>
      </c>
      <c r="U463">
        <v>19.41</v>
      </c>
      <c r="V463" s="20">
        <v>718.85879999999997</v>
      </c>
    </row>
    <row r="464" spans="7:22" x14ac:dyDescent="0.15">
      <c r="G464" s="11">
        <v>463</v>
      </c>
      <c r="H464" t="s">
        <v>556</v>
      </c>
      <c r="I464" t="s">
        <v>1290</v>
      </c>
      <c r="J464" t="s">
        <v>1267</v>
      </c>
      <c r="K464" s="57">
        <v>-3.8999999999999998E-3</v>
      </c>
      <c r="L464" s="57">
        <v>-3.6999999999999998E-2</v>
      </c>
      <c r="M464" s="57">
        <v>-5.1799999999999999E-2</v>
      </c>
      <c r="N464" s="57">
        <v>-8.8099999999999998E-2</v>
      </c>
      <c r="O464" s="57">
        <v>0.1467</v>
      </c>
      <c r="P464" s="57">
        <v>-6.1800000000000001E-2</v>
      </c>
      <c r="Q464" s="57">
        <v>-0.46539999999999998</v>
      </c>
      <c r="R464" s="57">
        <v>-0.46389999999999998</v>
      </c>
      <c r="S464">
        <v>37.74</v>
      </c>
      <c r="T464">
        <v>1.62</v>
      </c>
      <c r="U464">
        <v>85.71</v>
      </c>
      <c r="V464" s="20">
        <v>44250.592199999999</v>
      </c>
    </row>
    <row r="465" spans="7:22" x14ac:dyDescent="0.15">
      <c r="G465" s="11">
        <v>464</v>
      </c>
      <c r="H465" t="s">
        <v>2042</v>
      </c>
      <c r="I465" t="s">
        <v>2095</v>
      </c>
      <c r="J465" t="s">
        <v>2058</v>
      </c>
      <c r="K465" s="57">
        <v>-3.5000000000000001E-3</v>
      </c>
      <c r="L465" s="57">
        <v>-3.6400000000000002E-2</v>
      </c>
      <c r="M465" s="57">
        <v>-5.0700000000000002E-2</v>
      </c>
      <c r="N465" s="57">
        <v>-8.3099999999999993E-2</v>
      </c>
      <c r="O465" s="57">
        <v>-0.1079</v>
      </c>
      <c r="P465" s="57">
        <v>-0.1079</v>
      </c>
      <c r="Q465" s="57">
        <v>-0.1079</v>
      </c>
      <c r="R465" s="57">
        <v>-0.1079</v>
      </c>
      <c r="S465">
        <v>37.6</v>
      </c>
      <c r="T465">
        <v>2.4300000000000002</v>
      </c>
      <c r="U465">
        <v>84.64</v>
      </c>
      <c r="V465" s="20">
        <v>697.94410000000005</v>
      </c>
    </row>
    <row r="466" spans="7:22" x14ac:dyDescent="0.15">
      <c r="G466" s="11">
        <v>465</v>
      </c>
      <c r="H466" t="s">
        <v>508</v>
      </c>
      <c r="I466" t="s">
        <v>1038</v>
      </c>
      <c r="J466" t="s">
        <v>851</v>
      </c>
      <c r="K466" s="57">
        <v>7.6E-3</v>
      </c>
      <c r="L466" s="57">
        <v>-3.2000000000000001E-2</v>
      </c>
      <c r="M466" s="57">
        <v>-4.07E-2</v>
      </c>
      <c r="N466" s="57">
        <v>2.2499999999999999E-2</v>
      </c>
      <c r="O466" s="57">
        <v>0.10489999999999999</v>
      </c>
      <c r="P466" s="57">
        <v>-8.4000000000000005E-2</v>
      </c>
      <c r="Q466" s="57">
        <v>-0.29299999999999998</v>
      </c>
      <c r="R466" s="57">
        <v>-0.28349999999999997</v>
      </c>
      <c r="S466">
        <v>37.47</v>
      </c>
      <c r="T466">
        <v>82.35</v>
      </c>
      <c r="U466">
        <v>4.72</v>
      </c>
      <c r="V466" s="20">
        <v>4051.8015</v>
      </c>
    </row>
    <row r="467" spans="7:22" x14ac:dyDescent="0.15">
      <c r="G467" s="11">
        <v>466</v>
      </c>
      <c r="H467" t="s">
        <v>1442</v>
      </c>
      <c r="I467" t="s">
        <v>1443</v>
      </c>
      <c r="J467" t="s">
        <v>1665</v>
      </c>
      <c r="K467" s="57">
        <v>1.8E-3</v>
      </c>
      <c r="L467" s="57">
        <v>-5.0000000000000001E-3</v>
      </c>
      <c r="M467" s="57">
        <v>1.9699999999999999E-2</v>
      </c>
      <c r="N467" s="57">
        <v>9.4999999999999998E-3</v>
      </c>
      <c r="O467" s="57">
        <v>6.9400000000000003E-2</v>
      </c>
      <c r="P467" s="57">
        <v>-3.3700000000000001E-2</v>
      </c>
      <c r="Q467" s="57">
        <v>-6.7699999999999996E-2</v>
      </c>
      <c r="R467" s="57">
        <v>-6.7699999999999996E-2</v>
      </c>
      <c r="S467">
        <v>37.33</v>
      </c>
      <c r="T467">
        <v>68.599999999999994</v>
      </c>
      <c r="U467">
        <v>18.329999999999998</v>
      </c>
      <c r="V467" s="20">
        <v>2150.8719272999997</v>
      </c>
    </row>
    <row r="468" spans="7:22" x14ac:dyDescent="0.15">
      <c r="G468" s="11">
        <v>467</v>
      </c>
      <c r="H468" t="s">
        <v>478</v>
      </c>
      <c r="I468" t="s">
        <v>1140</v>
      </c>
      <c r="J468" t="s">
        <v>851</v>
      </c>
      <c r="K468" s="57">
        <v>2.3999999999999998E-3</v>
      </c>
      <c r="L468" s="57">
        <v>6.4999999999999997E-3</v>
      </c>
      <c r="M468" s="57">
        <v>5.0000000000000001E-3</v>
      </c>
      <c r="N468" s="57">
        <v>1.18E-2</v>
      </c>
      <c r="O468" s="57">
        <v>0.15179999999999999</v>
      </c>
      <c r="P468" s="57">
        <v>-4.65E-2</v>
      </c>
      <c r="Q468" s="57">
        <v>-0.29289999999999999</v>
      </c>
      <c r="R468" s="57">
        <v>-0.3216</v>
      </c>
      <c r="S468">
        <v>37.200000000000003</v>
      </c>
      <c r="T468">
        <v>71.56</v>
      </c>
      <c r="U468">
        <v>15.23</v>
      </c>
      <c r="V468" s="20">
        <v>29545.0652902</v>
      </c>
    </row>
    <row r="469" spans="7:22" x14ac:dyDescent="0.15">
      <c r="G469" s="11">
        <v>468</v>
      </c>
      <c r="H469" t="s">
        <v>581</v>
      </c>
      <c r="I469" t="s">
        <v>1049</v>
      </c>
      <c r="J469" t="s">
        <v>851</v>
      </c>
      <c r="K469" s="57">
        <v>5.9999999999999995E-4</v>
      </c>
      <c r="L469" s="57">
        <v>-1.52E-2</v>
      </c>
      <c r="M469" s="57">
        <v>-1.0800000000000001E-2</v>
      </c>
      <c r="N469" s="57">
        <v>-4.7999999999999996E-3</v>
      </c>
      <c r="O469" s="57">
        <v>9.2799999999999994E-2</v>
      </c>
      <c r="P469" s="57">
        <v>-0.1181</v>
      </c>
      <c r="Q469" s="57">
        <v>-0.2651</v>
      </c>
      <c r="R469" s="57">
        <v>-0.16830000000000001</v>
      </c>
      <c r="S469">
        <v>37.06</v>
      </c>
      <c r="T469">
        <v>50.4</v>
      </c>
      <c r="U469">
        <v>36.25</v>
      </c>
      <c r="V469" s="20">
        <v>2493.4355968</v>
      </c>
    </row>
    <row r="470" spans="7:22" x14ac:dyDescent="0.15">
      <c r="G470" s="11">
        <v>469</v>
      </c>
      <c r="H470" t="s">
        <v>591</v>
      </c>
      <c r="I470" t="s">
        <v>876</v>
      </c>
      <c r="J470" t="s">
        <v>851</v>
      </c>
      <c r="K470" s="57">
        <v>0</v>
      </c>
      <c r="L470" s="57">
        <v>-1.4E-3</v>
      </c>
      <c r="M470" s="57">
        <v>1.3100000000000001E-2</v>
      </c>
      <c r="N470" s="57">
        <v>-1.1900000000000001E-2</v>
      </c>
      <c r="O470" s="57">
        <v>-1.7000000000000001E-2</v>
      </c>
      <c r="P470" s="57">
        <v>-8.9599999999999999E-2</v>
      </c>
      <c r="Q470" s="57">
        <v>-3.2000000000000001E-2</v>
      </c>
      <c r="R470" s="57">
        <v>5.8400000000000001E-2</v>
      </c>
      <c r="S470">
        <v>36.93</v>
      </c>
      <c r="T470">
        <v>40.299999999999997</v>
      </c>
      <c r="U470">
        <v>46.09</v>
      </c>
      <c r="V470" s="20">
        <v>156.23820000000001</v>
      </c>
    </row>
    <row r="471" spans="7:22" x14ac:dyDescent="0.15">
      <c r="G471" s="11">
        <v>470</v>
      </c>
      <c r="H471" t="s">
        <v>616</v>
      </c>
      <c r="I471" t="s">
        <v>1288</v>
      </c>
      <c r="J471" t="s">
        <v>1267</v>
      </c>
      <c r="K471" s="57">
        <v>-2.7000000000000001E-3</v>
      </c>
      <c r="L471" s="57">
        <v>-2.8000000000000001E-2</v>
      </c>
      <c r="M471" s="57">
        <v>-4.1000000000000002E-2</v>
      </c>
      <c r="N471" s="57">
        <v>-7.9799999999999996E-2</v>
      </c>
      <c r="O471" s="57">
        <v>6.1400000000000003E-2</v>
      </c>
      <c r="P471" s="57">
        <v>-0.1129</v>
      </c>
      <c r="Q471" s="57">
        <v>-0.34589999999999999</v>
      </c>
      <c r="R471" s="57">
        <v>-0.44850000000000001</v>
      </c>
      <c r="S471">
        <v>36.79</v>
      </c>
      <c r="T471">
        <v>4.18</v>
      </c>
      <c r="U471">
        <v>82.08</v>
      </c>
      <c r="V471" s="20">
        <v>8262.9761144999993</v>
      </c>
    </row>
    <row r="472" spans="7:22" x14ac:dyDescent="0.15">
      <c r="G472" s="11">
        <v>471</v>
      </c>
      <c r="H472" t="s">
        <v>621</v>
      </c>
      <c r="I472" t="s">
        <v>1025</v>
      </c>
      <c r="J472" t="s">
        <v>851</v>
      </c>
      <c r="K472" s="57">
        <v>-2.8E-3</v>
      </c>
      <c r="L472" s="57">
        <v>-3.0700000000000002E-2</v>
      </c>
      <c r="M472" s="57">
        <v>-4.6899999999999997E-2</v>
      </c>
      <c r="N472" s="57">
        <v>-8.09E-2</v>
      </c>
      <c r="O472" s="57">
        <v>8.2000000000000003E-2</v>
      </c>
      <c r="P472" s="57">
        <v>-6.9500000000000006E-2</v>
      </c>
      <c r="Q472" s="57">
        <v>-0.38640000000000002</v>
      </c>
      <c r="R472" s="57">
        <v>-0.46949999999999997</v>
      </c>
      <c r="S472">
        <v>36.659999999999997</v>
      </c>
      <c r="T472">
        <v>3.64</v>
      </c>
      <c r="U472">
        <v>82.35</v>
      </c>
      <c r="V472" s="20">
        <v>1413.4290000000001</v>
      </c>
    </row>
    <row r="473" spans="7:22" x14ac:dyDescent="0.15">
      <c r="G473" s="11">
        <v>472</v>
      </c>
      <c r="H473" t="s">
        <v>592</v>
      </c>
      <c r="I473" t="s">
        <v>1599</v>
      </c>
      <c r="J473" t="s">
        <v>1665</v>
      </c>
      <c r="K473" s="57">
        <v>-2.3E-3</v>
      </c>
      <c r="L473" s="57">
        <v>-2.63E-2</v>
      </c>
      <c r="M473" s="57">
        <v>-3.95E-2</v>
      </c>
      <c r="N473" s="57">
        <v>-7.5200000000000003E-2</v>
      </c>
      <c r="O473" s="57">
        <v>5.9299999999999999E-2</v>
      </c>
      <c r="P473" s="57">
        <v>-0.10440000000000001</v>
      </c>
      <c r="Q473" s="57">
        <v>-0.2074</v>
      </c>
      <c r="R473" s="57">
        <v>-0.2074</v>
      </c>
      <c r="S473">
        <v>36.520000000000003</v>
      </c>
      <c r="T473">
        <v>6.33</v>
      </c>
      <c r="U473">
        <v>79.650000000000006</v>
      </c>
      <c r="V473" s="20">
        <v>5201.5922</v>
      </c>
    </row>
    <row r="474" spans="7:22" x14ac:dyDescent="0.15">
      <c r="G474" s="11">
        <v>473</v>
      </c>
      <c r="H474" t="s">
        <v>547</v>
      </c>
      <c r="I474" t="s">
        <v>1095</v>
      </c>
      <c r="J474" t="s">
        <v>851</v>
      </c>
      <c r="K474" s="57">
        <v>-3.2000000000000002E-3</v>
      </c>
      <c r="L474" s="57">
        <v>-3.1699999999999999E-2</v>
      </c>
      <c r="M474" s="57">
        <v>-4.7600000000000003E-2</v>
      </c>
      <c r="N474" s="57">
        <v>-8.1900000000000001E-2</v>
      </c>
      <c r="O474" s="57">
        <v>8.8099999999999998E-2</v>
      </c>
      <c r="P474" s="57">
        <v>-6.3899999999999998E-2</v>
      </c>
      <c r="Q474" s="57">
        <v>-0.38319999999999999</v>
      </c>
      <c r="R474" s="57">
        <v>-0.46529999999999999</v>
      </c>
      <c r="S474">
        <v>36.39</v>
      </c>
      <c r="T474">
        <v>2.83</v>
      </c>
      <c r="U474">
        <v>83.15</v>
      </c>
      <c r="V474" s="20">
        <v>11892.5759</v>
      </c>
    </row>
    <row r="475" spans="7:22" x14ac:dyDescent="0.15">
      <c r="G475" s="11">
        <v>474</v>
      </c>
      <c r="H475" t="s">
        <v>724</v>
      </c>
      <c r="I475" t="s">
        <v>953</v>
      </c>
      <c r="J475" t="s">
        <v>851</v>
      </c>
      <c r="K475" s="57">
        <v>-1E-4</v>
      </c>
      <c r="L475" s="57">
        <v>-1.6999999999999999E-3</v>
      </c>
      <c r="M475" s="57">
        <v>9.9000000000000008E-3</v>
      </c>
      <c r="N475" s="57">
        <v>-1.47E-2</v>
      </c>
      <c r="O475" s="57">
        <v>-2.6700000000000002E-2</v>
      </c>
      <c r="P475" s="57">
        <v>-7.1300000000000002E-2</v>
      </c>
      <c r="Q475" s="57">
        <v>-1.17E-2</v>
      </c>
      <c r="R475" s="57">
        <v>-1.9800000000000002E-2</v>
      </c>
      <c r="S475">
        <v>36.25</v>
      </c>
      <c r="T475">
        <v>38.54</v>
      </c>
      <c r="U475">
        <v>47.44</v>
      </c>
      <c r="V475" s="20">
        <v>798.34770000000003</v>
      </c>
    </row>
    <row r="476" spans="7:22" x14ac:dyDescent="0.15">
      <c r="G476" s="11">
        <v>475</v>
      </c>
      <c r="H476" t="s">
        <v>1543</v>
      </c>
      <c r="I476" t="s">
        <v>1544</v>
      </c>
      <c r="J476" t="s">
        <v>1665</v>
      </c>
      <c r="K476" s="57">
        <v>-1E-3</v>
      </c>
      <c r="L476" s="57">
        <v>-8.0000000000000002E-3</v>
      </c>
      <c r="M476" s="57">
        <v>-4.4999999999999997E-3</v>
      </c>
      <c r="N476" s="57">
        <v>-4.0099999999999997E-2</v>
      </c>
      <c r="O476" s="57">
        <v>3.2199999999999999E-2</v>
      </c>
      <c r="P476" s="57">
        <v>-0.1004</v>
      </c>
      <c r="Q476" s="57">
        <v>-0.1832</v>
      </c>
      <c r="R476" s="57">
        <v>-0.1832</v>
      </c>
      <c r="S476">
        <v>36.119999999999997</v>
      </c>
      <c r="T476">
        <v>17.39</v>
      </c>
      <c r="U476">
        <v>68.19</v>
      </c>
      <c r="V476" s="20">
        <v>97.795699999999997</v>
      </c>
    </row>
    <row r="477" spans="7:22" x14ac:dyDescent="0.15">
      <c r="G477" s="11">
        <v>476</v>
      </c>
      <c r="H477" t="s">
        <v>499</v>
      </c>
      <c r="I477" t="s">
        <v>948</v>
      </c>
      <c r="J477" t="s">
        <v>851</v>
      </c>
      <c r="K477" s="57">
        <v>1E-4</v>
      </c>
      <c r="L477" s="57">
        <v>-1.2500000000000001E-2</v>
      </c>
      <c r="M477" s="57">
        <v>-1.7000000000000001E-2</v>
      </c>
      <c r="N477" s="57">
        <v>-1.26E-2</v>
      </c>
      <c r="O477" s="57">
        <v>9.8699999999999996E-2</v>
      </c>
      <c r="P477" s="57">
        <v>-7.4200000000000002E-2</v>
      </c>
      <c r="Q477" s="57">
        <v>-0.20430000000000001</v>
      </c>
      <c r="R477" s="57">
        <v>5.0000000000000001E-4</v>
      </c>
      <c r="S477">
        <v>35.979999999999997</v>
      </c>
      <c r="T477">
        <v>39.619999999999997</v>
      </c>
      <c r="U477">
        <v>45.69</v>
      </c>
      <c r="V477" s="20">
        <v>98.03088000000001</v>
      </c>
    </row>
    <row r="478" spans="7:22" x14ac:dyDescent="0.15">
      <c r="G478" s="11">
        <v>477</v>
      </c>
      <c r="H478" t="s">
        <v>532</v>
      </c>
      <c r="I478" t="s">
        <v>959</v>
      </c>
      <c r="J478" t="s">
        <v>851</v>
      </c>
      <c r="K478" s="57">
        <v>2.9999999999999997E-4</v>
      </c>
      <c r="L478" s="57">
        <v>-2.2000000000000001E-3</v>
      </c>
      <c r="M478" s="57">
        <v>5.5999999999999999E-3</v>
      </c>
      <c r="N478" s="57">
        <v>-9.4000000000000004E-3</v>
      </c>
      <c r="O478" s="57">
        <v>0.1074</v>
      </c>
      <c r="P478" s="57">
        <v>-4.9799999999999997E-2</v>
      </c>
      <c r="Q478" s="57">
        <v>-0.15809999999999999</v>
      </c>
      <c r="R478" s="57">
        <v>4.5900000000000003E-2</v>
      </c>
      <c r="S478">
        <v>35.85</v>
      </c>
      <c r="T478">
        <v>44.34</v>
      </c>
      <c r="U478">
        <v>40.97</v>
      </c>
      <c r="V478" s="20">
        <v>1571.6446699999999</v>
      </c>
    </row>
    <row r="479" spans="7:22" x14ac:dyDescent="0.15">
      <c r="G479" s="11">
        <v>478</v>
      </c>
      <c r="H479" t="s">
        <v>1327</v>
      </c>
      <c r="I479" t="s">
        <v>1328</v>
      </c>
      <c r="J479" t="s">
        <v>1665</v>
      </c>
      <c r="K479" s="57">
        <v>1.41E-2</v>
      </c>
      <c r="L479" s="57">
        <v>-3.2599999999999997E-2</v>
      </c>
      <c r="M479" s="57">
        <v>-4.1599999999999998E-2</v>
      </c>
      <c r="N479" s="57">
        <v>2.2100000000000002E-2</v>
      </c>
      <c r="O479" s="57">
        <v>0.1061</v>
      </c>
      <c r="P479" s="57">
        <v>-8.5199999999999998E-2</v>
      </c>
      <c r="Q479" s="57">
        <v>-0.21920000000000001</v>
      </c>
      <c r="R479" s="57">
        <v>-0.21920000000000001</v>
      </c>
      <c r="S479">
        <v>35.71</v>
      </c>
      <c r="T479">
        <v>81.81</v>
      </c>
      <c r="U479">
        <v>3.37</v>
      </c>
      <c r="V479" s="20">
        <v>1018.7316</v>
      </c>
    </row>
    <row r="480" spans="7:22" x14ac:dyDescent="0.15">
      <c r="G480" s="11">
        <v>479</v>
      </c>
      <c r="H480" t="s">
        <v>282</v>
      </c>
      <c r="I480" t="s">
        <v>829</v>
      </c>
      <c r="J480" t="s">
        <v>814</v>
      </c>
      <c r="K480" s="57">
        <v>1.6000000000000001E-3</v>
      </c>
      <c r="L480" s="57">
        <v>-9.7000000000000003E-3</v>
      </c>
      <c r="M480" s="57">
        <v>-1.9699999999999999E-2</v>
      </c>
      <c r="N480" s="57">
        <v>5.3E-3</v>
      </c>
      <c r="O480" s="57">
        <v>0.17430000000000001</v>
      </c>
      <c r="P480" s="57">
        <v>5.5800000000000002E-2</v>
      </c>
      <c r="Q480" s="57">
        <v>-3.95E-2</v>
      </c>
      <c r="R480" s="57">
        <v>0.38929999999999998</v>
      </c>
      <c r="S480">
        <v>35.58</v>
      </c>
      <c r="T480">
        <v>64.69</v>
      </c>
      <c r="U480">
        <v>20.49</v>
      </c>
      <c r="V480" s="20">
        <v>180.41820000000001</v>
      </c>
    </row>
    <row r="481" spans="7:22" x14ac:dyDescent="0.15">
      <c r="G481" s="11">
        <v>480</v>
      </c>
      <c r="H481" t="s">
        <v>1394</v>
      </c>
      <c r="I481" t="s">
        <v>1395</v>
      </c>
      <c r="J481" t="s">
        <v>1665</v>
      </c>
      <c r="K481" s="57">
        <v>-5.0000000000000001E-4</v>
      </c>
      <c r="L481" s="57">
        <v>-1.5100000000000001E-2</v>
      </c>
      <c r="M481" s="57">
        <v>-2E-3</v>
      </c>
      <c r="N481" s="57">
        <v>-2.4400000000000002E-2</v>
      </c>
      <c r="O481" s="57">
        <v>1.41E-2</v>
      </c>
      <c r="P481" s="57">
        <v>-7.9600000000000004E-2</v>
      </c>
      <c r="Q481" s="57">
        <v>-0.1396</v>
      </c>
      <c r="R481" s="57">
        <v>-0.1396</v>
      </c>
      <c r="S481">
        <v>35.44</v>
      </c>
      <c r="T481">
        <v>28.03</v>
      </c>
      <c r="U481">
        <v>57.14</v>
      </c>
      <c r="V481" s="20">
        <v>1337.8112000000001</v>
      </c>
    </row>
    <row r="482" spans="7:22" x14ac:dyDescent="0.15">
      <c r="G482" s="11">
        <v>481</v>
      </c>
      <c r="H482" t="s">
        <v>317</v>
      </c>
      <c r="I482" t="s">
        <v>1237</v>
      </c>
      <c r="J482" t="s">
        <v>1230</v>
      </c>
      <c r="K482" s="57">
        <v>1.5E-3</v>
      </c>
      <c r="L482" s="57">
        <v>-3.8E-3</v>
      </c>
      <c r="M482" s="57">
        <v>3.0000000000000001E-3</v>
      </c>
      <c r="N482" s="57">
        <v>3.8E-3</v>
      </c>
      <c r="O482" s="57">
        <v>4.3299999999999998E-2</v>
      </c>
      <c r="P482" s="57">
        <v>2.3E-3</v>
      </c>
      <c r="Q482" s="57">
        <v>-4.2599999999999999E-2</v>
      </c>
      <c r="R482" s="57">
        <v>5.74E-2</v>
      </c>
      <c r="S482">
        <v>35.31</v>
      </c>
      <c r="T482">
        <v>62.8</v>
      </c>
      <c r="U482">
        <v>22.24</v>
      </c>
      <c r="V482" s="20">
        <v>61.337988199999998</v>
      </c>
    </row>
    <row r="483" spans="7:22" x14ac:dyDescent="0.15">
      <c r="G483" s="11">
        <v>482</v>
      </c>
      <c r="H483" t="s">
        <v>551</v>
      </c>
      <c r="I483" t="s">
        <v>1090</v>
      </c>
      <c r="J483" t="s">
        <v>851</v>
      </c>
      <c r="K483" s="57">
        <v>2.3E-3</v>
      </c>
      <c r="L483" s="57">
        <v>3.6900000000000002E-2</v>
      </c>
      <c r="M483" s="57">
        <v>0.02</v>
      </c>
      <c r="N483" s="57">
        <v>1.03E-2</v>
      </c>
      <c r="O483" s="57">
        <v>0.14399999999999999</v>
      </c>
      <c r="P483" s="57">
        <v>1.9800000000000002E-2</v>
      </c>
      <c r="Q483" s="57">
        <v>0.1163</v>
      </c>
      <c r="R483" s="57">
        <v>-0.14299999999999999</v>
      </c>
      <c r="S483">
        <v>35.18</v>
      </c>
      <c r="T483">
        <v>69.27</v>
      </c>
      <c r="U483">
        <v>15.77</v>
      </c>
      <c r="V483" s="20">
        <v>7003.4985500000003</v>
      </c>
    </row>
    <row r="484" spans="7:22" x14ac:dyDescent="0.15">
      <c r="G484" s="11">
        <v>483</v>
      </c>
      <c r="H484" t="s">
        <v>494</v>
      </c>
      <c r="I484" t="s">
        <v>1042</v>
      </c>
      <c r="J484" t="s">
        <v>851</v>
      </c>
      <c r="K484" s="57">
        <v>-6.9999999999999999E-4</v>
      </c>
      <c r="L484" s="57">
        <v>-1.4E-2</v>
      </c>
      <c r="M484" s="57">
        <v>-2.0199999999999999E-2</v>
      </c>
      <c r="N484" s="57">
        <v>-2.8500000000000001E-2</v>
      </c>
      <c r="O484" s="57">
        <v>7.9500000000000001E-2</v>
      </c>
      <c r="P484" s="57">
        <v>-3.1699999999999999E-2</v>
      </c>
      <c r="Q484" s="57">
        <v>-3.2399999999999998E-2</v>
      </c>
      <c r="R484" s="57">
        <v>-4.5100000000000001E-2</v>
      </c>
      <c r="S484">
        <v>35.04</v>
      </c>
      <c r="T484">
        <v>24.53</v>
      </c>
      <c r="U484">
        <v>60.51</v>
      </c>
      <c r="V484" s="20">
        <v>12699.1564208</v>
      </c>
    </row>
    <row r="485" spans="7:22" x14ac:dyDescent="0.15">
      <c r="G485" s="11">
        <v>484</v>
      </c>
      <c r="H485" t="s">
        <v>1547</v>
      </c>
      <c r="I485" t="s">
        <v>1548</v>
      </c>
      <c r="J485" t="s">
        <v>1665</v>
      </c>
      <c r="K485" s="57">
        <v>-1.4E-3</v>
      </c>
      <c r="L485" s="57">
        <v>-1.2E-2</v>
      </c>
      <c r="M485" s="57">
        <v>-7.7999999999999996E-3</v>
      </c>
      <c r="N485" s="57">
        <v>-5.0299999999999997E-2</v>
      </c>
      <c r="O485" s="57">
        <v>3.7900000000000003E-2</v>
      </c>
      <c r="P485" s="57">
        <v>-0.1038</v>
      </c>
      <c r="Q485" s="57">
        <v>-0.2109</v>
      </c>
      <c r="R485" s="57">
        <v>-0.2109</v>
      </c>
      <c r="S485">
        <v>34.909999999999997</v>
      </c>
      <c r="T485">
        <v>11.73</v>
      </c>
      <c r="U485">
        <v>73.180000000000007</v>
      </c>
      <c r="V485" s="20">
        <v>2111.3996999999999</v>
      </c>
    </row>
    <row r="486" spans="7:22" x14ac:dyDescent="0.15">
      <c r="G486" s="11">
        <v>485</v>
      </c>
      <c r="H486" t="s">
        <v>1646</v>
      </c>
      <c r="I486" t="s">
        <v>1647</v>
      </c>
      <c r="J486" t="s">
        <v>1665</v>
      </c>
      <c r="K486" s="57">
        <v>2.5000000000000001E-3</v>
      </c>
      <c r="L486" s="57">
        <v>-2.8799999999999999E-2</v>
      </c>
      <c r="M486" s="57">
        <v>-4.02E-2</v>
      </c>
      <c r="N486" s="57">
        <v>1.0999999999999999E-2</v>
      </c>
      <c r="O486" s="57">
        <v>5.8400000000000001E-2</v>
      </c>
      <c r="P486" s="57">
        <v>-0.15709999999999999</v>
      </c>
      <c r="Q486" s="57">
        <v>-0.27379999999999999</v>
      </c>
      <c r="R486" s="57">
        <v>-0.27379999999999999</v>
      </c>
      <c r="S486">
        <v>34.770000000000003</v>
      </c>
      <c r="T486">
        <v>70.349999999999994</v>
      </c>
      <c r="U486">
        <v>14.56</v>
      </c>
      <c r="V486" s="20">
        <v>1786.4078</v>
      </c>
    </row>
    <row r="487" spans="7:22" x14ac:dyDescent="0.15">
      <c r="G487" s="11">
        <v>486</v>
      </c>
      <c r="H487" t="s">
        <v>406</v>
      </c>
      <c r="I487" t="s">
        <v>879</v>
      </c>
      <c r="J487" t="s">
        <v>851</v>
      </c>
      <c r="K487" s="57">
        <v>5.0000000000000001E-4</v>
      </c>
      <c r="L487" s="57">
        <v>-1.5900000000000001E-2</v>
      </c>
      <c r="M487" s="57">
        <v>2.3999999999999998E-3</v>
      </c>
      <c r="N487" s="57">
        <v>-7.4000000000000003E-3</v>
      </c>
      <c r="O487" s="57">
        <v>3.3799999999999997E-2</v>
      </c>
      <c r="P487" s="57">
        <v>-5.1299999999999998E-2</v>
      </c>
      <c r="Q487" s="57">
        <v>-5.5899999999999998E-2</v>
      </c>
      <c r="R487" s="57">
        <v>0.16250000000000001</v>
      </c>
      <c r="S487">
        <v>34.64</v>
      </c>
      <c r="T487">
        <v>47.04</v>
      </c>
      <c r="U487">
        <v>37.74</v>
      </c>
      <c r="V487" s="20">
        <v>330.77010000000001</v>
      </c>
    </row>
    <row r="488" spans="7:22" x14ac:dyDescent="0.15">
      <c r="G488" s="11">
        <v>487</v>
      </c>
      <c r="H488" t="s">
        <v>646</v>
      </c>
      <c r="I488" t="s">
        <v>1130</v>
      </c>
      <c r="J488" t="s">
        <v>851</v>
      </c>
      <c r="K488" s="57">
        <v>-1.9E-3</v>
      </c>
      <c r="L488" s="57">
        <v>-2.3599999999999999E-2</v>
      </c>
      <c r="M488" s="57">
        <v>-1.54E-2</v>
      </c>
      <c r="N488" s="57">
        <v>-6.7400000000000002E-2</v>
      </c>
      <c r="O488" s="57">
        <v>5.4899999999999997E-2</v>
      </c>
      <c r="P488" s="57">
        <v>-6.9000000000000006E-2</v>
      </c>
      <c r="Q488" s="57">
        <v>8.6099999999999996E-2</v>
      </c>
      <c r="R488" s="57">
        <v>-5.1200000000000002E-2</v>
      </c>
      <c r="S488">
        <v>34.5</v>
      </c>
      <c r="T488">
        <v>8.09</v>
      </c>
      <c r="U488">
        <v>76.55</v>
      </c>
      <c r="V488" s="20">
        <v>7874.2079900000008</v>
      </c>
    </row>
    <row r="489" spans="7:22" x14ac:dyDescent="0.15">
      <c r="G489" s="11">
        <v>488</v>
      </c>
      <c r="H489" t="s">
        <v>718</v>
      </c>
      <c r="I489" t="s">
        <v>1083</v>
      </c>
      <c r="J489" t="s">
        <v>851</v>
      </c>
      <c r="K489" s="57">
        <v>3.5000000000000001E-3</v>
      </c>
      <c r="L489" s="57">
        <v>-4.0000000000000001E-3</v>
      </c>
      <c r="M489" s="57">
        <v>3.2800000000000003E-2</v>
      </c>
      <c r="N489" s="57">
        <v>1.4999999999999999E-2</v>
      </c>
      <c r="O489" s="57">
        <v>5.6599999999999998E-2</v>
      </c>
      <c r="P489" s="57">
        <v>-6.9500000000000006E-2</v>
      </c>
      <c r="Q489" s="57">
        <v>-1.9300000000000001E-2</v>
      </c>
      <c r="R489" s="57">
        <v>-0.18390000000000001</v>
      </c>
      <c r="S489">
        <v>34.369999999999997</v>
      </c>
      <c r="T489">
        <v>75.34</v>
      </c>
      <c r="U489">
        <v>9.16</v>
      </c>
      <c r="V489" s="20">
        <v>6165.788536</v>
      </c>
    </row>
    <row r="490" spans="7:22" x14ac:dyDescent="0.15">
      <c r="G490" s="11">
        <v>489</v>
      </c>
      <c r="H490" t="s">
        <v>426</v>
      </c>
      <c r="I490" t="s">
        <v>870</v>
      </c>
      <c r="J490" t="s">
        <v>851</v>
      </c>
      <c r="K490" s="57">
        <v>1.2999999999999999E-3</v>
      </c>
      <c r="L490" s="57">
        <v>-3.09E-2</v>
      </c>
      <c r="M490" s="57">
        <v>-3.9699999999999999E-2</v>
      </c>
      <c r="N490" s="57">
        <v>8.0000000000000004E-4</v>
      </c>
      <c r="O490" s="57">
        <v>0.1042</v>
      </c>
      <c r="P490" s="57">
        <v>-0.20569999999999999</v>
      </c>
      <c r="Q490" s="57">
        <v>-0.28050000000000003</v>
      </c>
      <c r="R490" s="57">
        <v>-0.23400000000000001</v>
      </c>
      <c r="S490">
        <v>34.229999999999997</v>
      </c>
      <c r="T490">
        <v>58.89</v>
      </c>
      <c r="U490">
        <v>25.34</v>
      </c>
      <c r="V490" s="20">
        <v>101.3314</v>
      </c>
    </row>
    <row r="491" spans="7:22" x14ac:dyDescent="0.15">
      <c r="G491" s="11">
        <v>490</v>
      </c>
      <c r="H491" t="s">
        <v>2050</v>
      </c>
      <c r="I491" t="s">
        <v>2138</v>
      </c>
      <c r="J491" t="s">
        <v>2058</v>
      </c>
      <c r="K491" s="57">
        <v>-3.2000000000000002E-3</v>
      </c>
      <c r="L491" s="57">
        <v>-1.6299999999999999E-2</v>
      </c>
      <c r="M491" s="57">
        <v>-4.3200000000000002E-2</v>
      </c>
      <c r="N491" s="57">
        <v>-9.1700000000000004E-2</v>
      </c>
      <c r="O491" s="57">
        <v>-0.10920000000000001</v>
      </c>
      <c r="P491" s="57">
        <v>-0.10920000000000001</v>
      </c>
      <c r="Q491" s="57">
        <v>-0.10920000000000001</v>
      </c>
      <c r="R491" s="57">
        <v>-0.10920000000000001</v>
      </c>
      <c r="S491">
        <v>34.1</v>
      </c>
      <c r="T491">
        <v>1.08</v>
      </c>
      <c r="U491">
        <v>83.02</v>
      </c>
      <c r="V491" s="20">
        <v>545.04780000000005</v>
      </c>
    </row>
    <row r="492" spans="7:22" x14ac:dyDescent="0.15">
      <c r="G492" s="11">
        <v>491</v>
      </c>
      <c r="H492" t="s">
        <v>527</v>
      </c>
      <c r="I492" t="s">
        <v>924</v>
      </c>
      <c r="J492" t="s">
        <v>851</v>
      </c>
      <c r="K492" s="57">
        <v>-2.9999999999999997E-4</v>
      </c>
      <c r="L492" s="57">
        <v>-8.6E-3</v>
      </c>
      <c r="M492" s="57">
        <v>-4.7000000000000002E-3</v>
      </c>
      <c r="N492" s="57">
        <v>-2.2200000000000001E-2</v>
      </c>
      <c r="O492" s="57">
        <v>-3.1699999999999999E-2</v>
      </c>
      <c r="P492" s="57">
        <v>-0.10589999999999999</v>
      </c>
      <c r="Q492" s="57">
        <v>-5.6899999999999999E-2</v>
      </c>
      <c r="R492" s="57">
        <v>9.5399999999999999E-2</v>
      </c>
      <c r="S492">
        <v>33.96</v>
      </c>
      <c r="T492">
        <v>29.92</v>
      </c>
      <c r="U492">
        <v>54.18</v>
      </c>
      <c r="V492" s="20">
        <v>430.66829999999999</v>
      </c>
    </row>
    <row r="493" spans="7:22" x14ac:dyDescent="0.15">
      <c r="G493" s="11">
        <v>492</v>
      </c>
      <c r="H493" t="s">
        <v>693</v>
      </c>
      <c r="I493" t="s">
        <v>976</v>
      </c>
      <c r="J493" t="s">
        <v>851</v>
      </c>
      <c r="K493" s="57">
        <v>1E-4</v>
      </c>
      <c r="L493" s="57">
        <v>-5.7000000000000002E-3</v>
      </c>
      <c r="M493" s="57">
        <v>3.7000000000000002E-3</v>
      </c>
      <c r="N493" s="57">
        <v>-1.47E-2</v>
      </c>
      <c r="O493" s="57">
        <v>-6.8999999999999999E-3</v>
      </c>
      <c r="P493" s="57">
        <v>-0.12379999999999999</v>
      </c>
      <c r="Q493" s="57">
        <v>-8.0100000000000005E-2</v>
      </c>
      <c r="R493" s="57">
        <v>-4.3299999999999998E-2</v>
      </c>
      <c r="S493">
        <v>33.83</v>
      </c>
      <c r="T493">
        <v>38.68</v>
      </c>
      <c r="U493">
        <v>45.42</v>
      </c>
      <c r="V493" s="20">
        <v>603.13760000000002</v>
      </c>
    </row>
    <row r="494" spans="7:22" x14ac:dyDescent="0.15">
      <c r="G494" s="11">
        <v>493</v>
      </c>
      <c r="H494" t="s">
        <v>596</v>
      </c>
      <c r="I494" t="s">
        <v>1121</v>
      </c>
      <c r="J494" t="s">
        <v>851</v>
      </c>
      <c r="K494" s="57">
        <v>-5.0000000000000001E-4</v>
      </c>
      <c r="L494" s="57">
        <v>-8.6E-3</v>
      </c>
      <c r="M494" s="57">
        <v>8.0000000000000004E-4</v>
      </c>
      <c r="N494" s="57">
        <v>-2.5700000000000001E-2</v>
      </c>
      <c r="O494" s="57">
        <v>6.1100000000000002E-2</v>
      </c>
      <c r="P494" s="57">
        <v>-5.5500000000000001E-2</v>
      </c>
      <c r="Q494" s="57">
        <v>-0.1356</v>
      </c>
      <c r="R494" s="57">
        <v>-0.1356</v>
      </c>
      <c r="S494">
        <v>33.69</v>
      </c>
      <c r="T494">
        <v>26.42</v>
      </c>
      <c r="U494">
        <v>57.28</v>
      </c>
      <c r="V494" s="20">
        <v>9820.3444474999997</v>
      </c>
    </row>
    <row r="495" spans="7:22" x14ac:dyDescent="0.15">
      <c r="G495" s="11">
        <v>494</v>
      </c>
      <c r="H495" t="s">
        <v>514</v>
      </c>
      <c r="I495" t="s">
        <v>936</v>
      </c>
      <c r="J495" t="s">
        <v>851</v>
      </c>
      <c r="K495" s="57">
        <v>0</v>
      </c>
      <c r="L495" s="57">
        <v>-1.03E-2</v>
      </c>
      <c r="M495" s="57">
        <v>-8.3000000000000001E-3</v>
      </c>
      <c r="N495" s="57">
        <v>-1.67E-2</v>
      </c>
      <c r="O495" s="57">
        <v>0.1013</v>
      </c>
      <c r="P495" s="57">
        <v>-7.7600000000000002E-2</v>
      </c>
      <c r="Q495" s="57">
        <v>-0.2722</v>
      </c>
      <c r="R495" s="57">
        <v>-0.20200000000000001</v>
      </c>
      <c r="S495">
        <v>33.56</v>
      </c>
      <c r="T495">
        <v>36.520000000000003</v>
      </c>
      <c r="U495">
        <v>47.04</v>
      </c>
      <c r="V495" s="20">
        <v>839.32687200000009</v>
      </c>
    </row>
    <row r="496" spans="7:22" x14ac:dyDescent="0.15">
      <c r="G496" s="11">
        <v>495</v>
      </c>
      <c r="H496" t="s">
        <v>744</v>
      </c>
      <c r="I496" t="s">
        <v>1291</v>
      </c>
      <c r="J496" t="s">
        <v>1267</v>
      </c>
      <c r="K496" s="57">
        <v>-2.8999999999999998E-3</v>
      </c>
      <c r="L496" s="57">
        <v>-2.41E-2</v>
      </c>
      <c r="M496" s="57">
        <v>-4.5699999999999998E-2</v>
      </c>
      <c r="N496" s="57">
        <v>-9.2999999999999999E-2</v>
      </c>
      <c r="O496" s="57">
        <v>4.5999999999999999E-2</v>
      </c>
      <c r="P496" s="57">
        <v>-0.1174</v>
      </c>
      <c r="Q496" s="57">
        <v>-0.33439999999999998</v>
      </c>
      <c r="R496" s="57">
        <v>-0.54269999999999996</v>
      </c>
      <c r="S496">
        <v>33.42</v>
      </c>
      <c r="T496">
        <v>0.81</v>
      </c>
      <c r="U496">
        <v>82.48</v>
      </c>
      <c r="V496" s="20">
        <v>165704.17559999999</v>
      </c>
    </row>
    <row r="497" spans="7:22" x14ac:dyDescent="0.15">
      <c r="G497" s="11">
        <v>496</v>
      </c>
      <c r="H497" t="s">
        <v>657</v>
      </c>
      <c r="I497" t="s">
        <v>1028</v>
      </c>
      <c r="J497" t="s">
        <v>851</v>
      </c>
      <c r="K497" s="57">
        <v>2.9999999999999997E-4</v>
      </c>
      <c r="L497" s="57">
        <v>-7.4999999999999997E-3</v>
      </c>
      <c r="M497" s="57">
        <v>3.8999999999999998E-3</v>
      </c>
      <c r="N497" s="57">
        <v>-1.14E-2</v>
      </c>
      <c r="O497" s="57">
        <v>7.0499999999999993E-2</v>
      </c>
      <c r="P497" s="57">
        <v>-5.1799999999999999E-2</v>
      </c>
      <c r="Q497" s="57">
        <v>-0.1182</v>
      </c>
      <c r="R497" s="57">
        <v>2.29E-2</v>
      </c>
      <c r="S497">
        <v>33.29</v>
      </c>
      <c r="T497">
        <v>41.11</v>
      </c>
      <c r="U497">
        <v>41.78</v>
      </c>
      <c r="V497" s="20">
        <v>1133.0108</v>
      </c>
    </row>
    <row r="498" spans="7:22" x14ac:dyDescent="0.15">
      <c r="G498" s="11">
        <v>497</v>
      </c>
      <c r="H498" t="s">
        <v>448</v>
      </c>
      <c r="I498" t="s">
        <v>969</v>
      </c>
      <c r="J498" t="s">
        <v>851</v>
      </c>
      <c r="K498" s="57">
        <v>-8.0000000000000004E-4</v>
      </c>
      <c r="L498" s="57">
        <v>-3.04E-2</v>
      </c>
      <c r="M498" s="57">
        <v>-2.98E-2</v>
      </c>
      <c r="N498" s="57">
        <v>-3.61E-2</v>
      </c>
      <c r="O498" s="57">
        <v>6.4399999999999999E-2</v>
      </c>
      <c r="P498" s="57">
        <v>-6.08E-2</v>
      </c>
      <c r="Q498" s="57">
        <v>-0.10580000000000001</v>
      </c>
      <c r="R498" s="57">
        <v>-1.9E-3</v>
      </c>
      <c r="S498">
        <v>33.15</v>
      </c>
      <c r="T498">
        <v>19.809999999999999</v>
      </c>
      <c r="U498">
        <v>63.07</v>
      </c>
      <c r="V498" s="20">
        <v>1402.7168999999999</v>
      </c>
    </row>
    <row r="499" spans="7:22" x14ac:dyDescent="0.15">
      <c r="G499" s="11">
        <v>498</v>
      </c>
      <c r="H499" t="s">
        <v>1206</v>
      </c>
      <c r="I499" t="s">
        <v>1207</v>
      </c>
      <c r="J499" t="s">
        <v>1199</v>
      </c>
      <c r="K499" s="57">
        <v>0.2651</v>
      </c>
      <c r="L499" s="57">
        <v>1.95E-2</v>
      </c>
      <c r="M499" s="57">
        <v>1.95E-2</v>
      </c>
      <c r="N499" s="57">
        <v>1.95E-2</v>
      </c>
      <c r="O499" s="57">
        <v>1.95E-2</v>
      </c>
      <c r="P499" s="57">
        <v>1.95E-2</v>
      </c>
      <c r="Q499" s="57">
        <v>1.95E-2</v>
      </c>
      <c r="R499" s="57">
        <v>1.95E-2</v>
      </c>
      <c r="S499">
        <v>33.020000000000003</v>
      </c>
      <c r="T499">
        <v>80.319999999999993</v>
      </c>
      <c r="U499">
        <v>2.16</v>
      </c>
      <c r="V499" s="20">
        <v>4859.2340000000004</v>
      </c>
    </row>
    <row r="500" spans="7:22" x14ac:dyDescent="0.15">
      <c r="G500" s="11">
        <v>499</v>
      </c>
      <c r="H500" t="s">
        <v>1368</v>
      </c>
      <c r="I500" t="s">
        <v>1369</v>
      </c>
      <c r="J500" t="s">
        <v>1665</v>
      </c>
      <c r="K500" s="57">
        <v>-1E-4</v>
      </c>
      <c r="L500" s="57">
        <v>-1E-4</v>
      </c>
      <c r="M500" s="57">
        <v>1.2699999999999999E-2</v>
      </c>
      <c r="N500" s="57">
        <v>-1.9099999999999999E-2</v>
      </c>
      <c r="O500" s="57">
        <v>6.7500000000000004E-2</v>
      </c>
      <c r="P500" s="57">
        <v>-7.4399999999999994E-2</v>
      </c>
      <c r="Q500" s="57">
        <v>-0.16189999999999999</v>
      </c>
      <c r="R500" s="57">
        <v>-0.16189999999999999</v>
      </c>
      <c r="S500">
        <v>32.880000000000003</v>
      </c>
      <c r="T500">
        <v>33.15</v>
      </c>
      <c r="U500">
        <v>49.19</v>
      </c>
      <c r="V500" s="20">
        <v>53.299700000000001</v>
      </c>
    </row>
    <row r="501" spans="7:22" x14ac:dyDescent="0.15">
      <c r="G501" s="11">
        <v>500</v>
      </c>
      <c r="H501" t="s">
        <v>706</v>
      </c>
      <c r="I501" t="s">
        <v>1083</v>
      </c>
      <c r="J501" t="s">
        <v>851</v>
      </c>
      <c r="K501" s="57">
        <v>2.8999999999999998E-3</v>
      </c>
      <c r="L501" s="57">
        <v>-5.4000000000000003E-3</v>
      </c>
      <c r="M501" s="57">
        <v>2.9499999999999998E-2</v>
      </c>
      <c r="N501" s="57">
        <v>1.1599999999999999E-2</v>
      </c>
      <c r="O501" s="57">
        <v>5.4600000000000003E-2</v>
      </c>
      <c r="P501" s="57">
        <v>-6.6000000000000003E-2</v>
      </c>
      <c r="Q501" s="57">
        <v>-3.1699999999999999E-2</v>
      </c>
      <c r="R501" s="57">
        <v>-0.18340000000000001</v>
      </c>
      <c r="S501">
        <v>32.75</v>
      </c>
      <c r="T501">
        <v>71.02</v>
      </c>
      <c r="U501">
        <v>10.92</v>
      </c>
      <c r="V501" s="20">
        <v>4935.3503000000001</v>
      </c>
    </row>
    <row r="502" spans="7:22" x14ac:dyDescent="0.15">
      <c r="G502" s="11">
        <v>501</v>
      </c>
      <c r="H502" t="s">
        <v>1606</v>
      </c>
      <c r="I502" t="s">
        <v>1607</v>
      </c>
      <c r="J502" t="s">
        <v>1665</v>
      </c>
      <c r="K502" s="57">
        <v>1.9E-3</v>
      </c>
      <c r="L502" s="57">
        <v>-3.4599999999999999E-2</v>
      </c>
      <c r="M502" s="57">
        <v>-4.1599999999999998E-2</v>
      </c>
      <c r="N502" s="57">
        <v>4.8999999999999998E-3</v>
      </c>
      <c r="O502" s="57">
        <v>8.4500000000000006E-2</v>
      </c>
      <c r="P502" s="57">
        <v>-0.19409999999999999</v>
      </c>
      <c r="Q502" s="57">
        <v>-0.30030000000000001</v>
      </c>
      <c r="R502" s="57">
        <v>-0.30030000000000001</v>
      </c>
      <c r="S502">
        <v>32.61</v>
      </c>
      <c r="T502">
        <v>64.42</v>
      </c>
      <c r="U502">
        <v>17.39</v>
      </c>
      <c r="V502" s="20">
        <v>49.468899999999998</v>
      </c>
    </row>
    <row r="503" spans="7:22" x14ac:dyDescent="0.15">
      <c r="G503" s="11">
        <v>502</v>
      </c>
      <c r="H503" t="s">
        <v>1294</v>
      </c>
      <c r="I503" t="s">
        <v>1295</v>
      </c>
      <c r="J503" t="s">
        <v>851</v>
      </c>
      <c r="K503" s="57">
        <v>4.0000000000000002E-4</v>
      </c>
      <c r="L503" s="57">
        <v>-8.5000000000000006E-3</v>
      </c>
      <c r="M503" s="57">
        <v>3.8E-3</v>
      </c>
      <c r="N503" s="57">
        <v>-1.04E-2</v>
      </c>
      <c r="O503" s="57">
        <v>-1.2E-2</v>
      </c>
      <c r="P503" s="57">
        <v>-4.1200000000000001E-2</v>
      </c>
      <c r="Q503" s="57">
        <v>4.4999999999999998E-2</v>
      </c>
      <c r="R503" s="57">
        <v>8.5300000000000001E-2</v>
      </c>
      <c r="S503">
        <v>32.479999999999997</v>
      </c>
      <c r="T503">
        <v>42.59</v>
      </c>
      <c r="U503">
        <v>38.950000000000003</v>
      </c>
      <c r="V503" s="20">
        <v>24.756799999999998</v>
      </c>
    </row>
    <row r="504" spans="7:22" x14ac:dyDescent="0.15">
      <c r="G504" s="11">
        <v>503</v>
      </c>
      <c r="H504" t="s">
        <v>347</v>
      </c>
      <c r="I504" t="s">
        <v>1045</v>
      </c>
      <c r="J504" t="s">
        <v>851</v>
      </c>
      <c r="K504" s="57">
        <v>5.9999999999999995E-4</v>
      </c>
      <c r="L504" s="57">
        <v>-3.1899999999999998E-2</v>
      </c>
      <c r="M504" s="57">
        <v>-1.7600000000000001E-2</v>
      </c>
      <c r="N504" s="57">
        <v>-9.5999999999999992E-3</v>
      </c>
      <c r="O504" s="57">
        <v>7.9500000000000001E-2</v>
      </c>
      <c r="P504" s="57">
        <v>-7.5300000000000006E-2</v>
      </c>
      <c r="Q504" s="57">
        <v>-9.4200000000000006E-2</v>
      </c>
      <c r="R504" s="57">
        <v>0.15229999999999999</v>
      </c>
      <c r="S504">
        <v>32.35</v>
      </c>
      <c r="T504">
        <v>43.94</v>
      </c>
      <c r="U504">
        <v>37.6</v>
      </c>
      <c r="V504" s="20">
        <v>3373.3865600000004</v>
      </c>
    </row>
    <row r="505" spans="7:22" x14ac:dyDescent="0.15">
      <c r="G505" s="11">
        <v>504</v>
      </c>
      <c r="H505" t="s">
        <v>292</v>
      </c>
      <c r="I505" t="s">
        <v>940</v>
      </c>
      <c r="J505" t="s">
        <v>851</v>
      </c>
      <c r="K505" s="57">
        <v>-1.2999999999999999E-3</v>
      </c>
      <c r="L505" s="57">
        <v>-4.41E-2</v>
      </c>
      <c r="M505" s="57">
        <v>-4.36E-2</v>
      </c>
      <c r="N505" s="57">
        <v>-6.5299999999999997E-2</v>
      </c>
      <c r="O505" s="57">
        <v>6.4100000000000004E-2</v>
      </c>
      <c r="P505" s="57">
        <v>-6.4199999999999993E-2</v>
      </c>
      <c r="Q505" s="57">
        <v>-0.31819999999999998</v>
      </c>
      <c r="R505" s="57">
        <v>-0.30609999999999998</v>
      </c>
      <c r="S505">
        <v>32.21</v>
      </c>
      <c r="T505">
        <v>9.43</v>
      </c>
      <c r="U505">
        <v>72.099999999999994</v>
      </c>
      <c r="V505" s="20">
        <v>857.38879999999995</v>
      </c>
    </row>
    <row r="506" spans="7:22" x14ac:dyDescent="0.15">
      <c r="G506" s="11">
        <v>505</v>
      </c>
      <c r="H506" t="s">
        <v>1509</v>
      </c>
      <c r="I506" t="s">
        <v>1510</v>
      </c>
      <c r="J506" t="s">
        <v>1665</v>
      </c>
      <c r="K506" s="57">
        <v>1E-3</v>
      </c>
      <c r="L506" s="57">
        <v>-3.73E-2</v>
      </c>
      <c r="M506" s="57">
        <v>8.6E-3</v>
      </c>
      <c r="N506" s="57">
        <v>-3.0000000000000001E-3</v>
      </c>
      <c r="O506" s="57">
        <v>4.7100000000000003E-2</v>
      </c>
      <c r="P506" s="57">
        <v>-9.2200000000000004E-2</v>
      </c>
      <c r="Q506" s="57">
        <v>-0.1249</v>
      </c>
      <c r="R506" s="57">
        <v>-0.1249</v>
      </c>
      <c r="S506">
        <v>32.08</v>
      </c>
      <c r="T506">
        <v>51.75</v>
      </c>
      <c r="U506">
        <v>29.65</v>
      </c>
      <c r="V506" s="20">
        <v>25.5268646</v>
      </c>
    </row>
    <row r="507" spans="7:22" x14ac:dyDescent="0.15">
      <c r="G507" s="11">
        <v>506</v>
      </c>
      <c r="H507" t="s">
        <v>1459</v>
      </c>
      <c r="I507" t="s">
        <v>1460</v>
      </c>
      <c r="J507" t="s">
        <v>1665</v>
      </c>
      <c r="K507" s="57">
        <v>5.5999999999999999E-3</v>
      </c>
      <c r="L507" s="57">
        <v>-5.0000000000000001E-4</v>
      </c>
      <c r="M507" s="57">
        <v>1.9900000000000001E-2</v>
      </c>
      <c r="N507" s="57">
        <v>1.5599999999999999E-2</v>
      </c>
      <c r="O507" s="57">
        <v>9.1499999999999998E-2</v>
      </c>
      <c r="P507" s="57">
        <v>-8.8000000000000005E-3</v>
      </c>
      <c r="Q507" s="57">
        <v>-2.1000000000000001E-2</v>
      </c>
      <c r="R507" s="57">
        <v>9.4200000000000006E-2</v>
      </c>
      <c r="S507">
        <v>31.94</v>
      </c>
      <c r="T507">
        <v>75.61</v>
      </c>
      <c r="U507">
        <v>5.66</v>
      </c>
      <c r="V507" s="20">
        <v>8.6400000000000005E-2</v>
      </c>
    </row>
    <row r="508" spans="7:22" x14ac:dyDescent="0.15">
      <c r="G508" s="11">
        <v>507</v>
      </c>
      <c r="H508" t="s">
        <v>1595</v>
      </c>
      <c r="I508" t="s">
        <v>1596</v>
      </c>
      <c r="J508" t="s">
        <v>1665</v>
      </c>
      <c r="K508" s="57">
        <v>-2E-3</v>
      </c>
      <c r="L508" s="57">
        <v>-3.1E-2</v>
      </c>
      <c r="M508" s="57">
        <v>-4.6300000000000001E-2</v>
      </c>
      <c r="N508" s="57">
        <v>-8.0299999999999996E-2</v>
      </c>
      <c r="O508" s="57">
        <v>8.2100000000000006E-2</v>
      </c>
      <c r="P508" s="57">
        <v>-6.7900000000000002E-2</v>
      </c>
      <c r="Q508" s="57">
        <v>-0.14729999999999999</v>
      </c>
      <c r="R508" s="57">
        <v>-0.14729999999999999</v>
      </c>
      <c r="S508">
        <v>31.81</v>
      </c>
      <c r="T508">
        <v>3.91</v>
      </c>
      <c r="U508">
        <v>77.09</v>
      </c>
      <c r="V508" s="20">
        <v>3257.0144</v>
      </c>
    </row>
    <row r="509" spans="7:22" x14ac:dyDescent="0.15">
      <c r="G509" s="11">
        <v>508</v>
      </c>
      <c r="H509" t="s">
        <v>351</v>
      </c>
      <c r="I509" t="s">
        <v>898</v>
      </c>
      <c r="J509" t="s">
        <v>851</v>
      </c>
      <c r="K509" s="57">
        <v>-1E-4</v>
      </c>
      <c r="L509" s="57">
        <v>-7.1000000000000004E-3</v>
      </c>
      <c r="M509" s="57">
        <v>1.9E-3</v>
      </c>
      <c r="N509" s="57">
        <v>-2.0500000000000001E-2</v>
      </c>
      <c r="O509" s="57">
        <v>0.15870000000000001</v>
      </c>
      <c r="P509" s="57">
        <v>4.4000000000000003E-3</v>
      </c>
      <c r="Q509" s="57">
        <v>-0.14419999999999999</v>
      </c>
      <c r="R509" s="57">
        <v>0.1061</v>
      </c>
      <c r="S509">
        <v>31.67</v>
      </c>
      <c r="T509">
        <v>32.08</v>
      </c>
      <c r="U509">
        <v>48.65</v>
      </c>
      <c r="V509" s="20">
        <v>648.62085000000002</v>
      </c>
    </row>
    <row r="510" spans="7:22" x14ac:dyDescent="0.15">
      <c r="G510" s="11">
        <v>509</v>
      </c>
      <c r="H510" t="s">
        <v>1374</v>
      </c>
      <c r="I510" t="s">
        <v>1375</v>
      </c>
      <c r="J510" t="s">
        <v>1665</v>
      </c>
      <c r="K510" s="57">
        <v>1.6000000000000001E-3</v>
      </c>
      <c r="L510" s="57">
        <v>2.0400000000000001E-2</v>
      </c>
      <c r="M510" s="57">
        <v>3.2599999999999997E-2</v>
      </c>
      <c r="N510" s="57">
        <v>1.1999999999999999E-3</v>
      </c>
      <c r="O510" s="57">
        <v>0.23949999999999999</v>
      </c>
      <c r="P510" s="57">
        <v>7.9899999999999999E-2</v>
      </c>
      <c r="Q510" s="57">
        <v>-1.6000000000000001E-3</v>
      </c>
      <c r="R510" s="57">
        <v>-1.6000000000000001E-3</v>
      </c>
      <c r="S510">
        <v>31.54</v>
      </c>
      <c r="T510">
        <v>59.16</v>
      </c>
      <c r="U510">
        <v>21.56</v>
      </c>
      <c r="V510" s="20">
        <v>5494.5438005999995</v>
      </c>
    </row>
    <row r="511" spans="7:22" x14ac:dyDescent="0.15">
      <c r="G511" s="11">
        <v>510</v>
      </c>
      <c r="H511" t="s">
        <v>582</v>
      </c>
      <c r="I511" t="s">
        <v>941</v>
      </c>
      <c r="J511" t="s">
        <v>851</v>
      </c>
      <c r="K511" s="57">
        <v>8.0000000000000004E-4</v>
      </c>
      <c r="L511" s="57">
        <v>-3.7699999999999997E-2</v>
      </c>
      <c r="M511" s="57">
        <v>-4.8500000000000001E-2</v>
      </c>
      <c r="N511" s="57">
        <v>-7.4999999999999997E-3</v>
      </c>
      <c r="O511" s="57">
        <v>0.1074</v>
      </c>
      <c r="P511" s="57">
        <v>-0.17899999999999999</v>
      </c>
      <c r="Q511" s="57">
        <v>-0.27250000000000002</v>
      </c>
      <c r="R511" s="57">
        <v>-0.28370000000000001</v>
      </c>
      <c r="S511">
        <v>31.4</v>
      </c>
      <c r="T511">
        <v>46.9</v>
      </c>
      <c r="U511">
        <v>33.56</v>
      </c>
      <c r="V511" s="20">
        <v>144.36476000000002</v>
      </c>
    </row>
    <row r="512" spans="7:22" x14ac:dyDescent="0.15">
      <c r="G512" s="11">
        <v>511</v>
      </c>
      <c r="H512" t="s">
        <v>382</v>
      </c>
      <c r="I512" t="s">
        <v>1042</v>
      </c>
      <c r="J512" t="s">
        <v>851</v>
      </c>
      <c r="K512" s="57">
        <v>-1.1000000000000001E-3</v>
      </c>
      <c r="L512" s="57">
        <v>-2.5600000000000001E-2</v>
      </c>
      <c r="M512" s="57">
        <v>-2.81E-2</v>
      </c>
      <c r="N512" s="57">
        <v>-5.2999999999999999E-2</v>
      </c>
      <c r="O512" s="57">
        <v>6.3E-2</v>
      </c>
      <c r="P512" s="57">
        <v>-4.8800000000000003E-2</v>
      </c>
      <c r="Q512" s="57">
        <v>-0.183</v>
      </c>
      <c r="R512" s="57">
        <v>-8.1100000000000005E-2</v>
      </c>
      <c r="S512">
        <v>31.27</v>
      </c>
      <c r="T512">
        <v>11.32</v>
      </c>
      <c r="U512">
        <v>69.14</v>
      </c>
      <c r="V512" s="20">
        <v>1919.6987999999999</v>
      </c>
    </row>
    <row r="513" spans="7:22" x14ac:dyDescent="0.15">
      <c r="G513" s="11">
        <v>512</v>
      </c>
      <c r="H513" t="s">
        <v>1559</v>
      </c>
      <c r="I513" t="s">
        <v>1560</v>
      </c>
      <c r="J513" t="s">
        <v>1665</v>
      </c>
      <c r="K513" s="57">
        <v>-2E-3</v>
      </c>
      <c r="L513" s="57">
        <v>-4.4900000000000002E-2</v>
      </c>
      <c r="M513" s="57">
        <v>-5.1499999999999997E-2</v>
      </c>
      <c r="N513" s="57">
        <v>-8.1299999999999997E-2</v>
      </c>
      <c r="O513" s="57">
        <v>7.6100000000000001E-2</v>
      </c>
      <c r="P513" s="57">
        <v>3.61E-2</v>
      </c>
      <c r="Q513" s="57">
        <v>3.61E-2</v>
      </c>
      <c r="R513" s="57">
        <v>3.61E-2</v>
      </c>
      <c r="S513">
        <v>31.13</v>
      </c>
      <c r="T513">
        <v>3.23</v>
      </c>
      <c r="U513">
        <v>77.22</v>
      </c>
      <c r="V513" s="20">
        <v>152.38630000000001</v>
      </c>
    </row>
    <row r="514" spans="7:22" x14ac:dyDescent="0.15">
      <c r="G514" s="11">
        <v>513</v>
      </c>
      <c r="H514" t="s">
        <v>504</v>
      </c>
      <c r="I514" t="s">
        <v>1033</v>
      </c>
      <c r="J514" t="s">
        <v>851</v>
      </c>
      <c r="K514" s="57">
        <v>2.5000000000000001E-3</v>
      </c>
      <c r="L514" s="57">
        <v>-3.1399999999999997E-2</v>
      </c>
      <c r="M514" s="57">
        <v>-3.95E-2</v>
      </c>
      <c r="N514" s="57">
        <v>7.1000000000000004E-3</v>
      </c>
      <c r="O514" s="57">
        <v>0.09</v>
      </c>
      <c r="P514" s="57">
        <v>-0.1888</v>
      </c>
      <c r="Q514" s="57">
        <v>-0.3196</v>
      </c>
      <c r="R514" s="57">
        <v>-0.2369</v>
      </c>
      <c r="S514">
        <v>31</v>
      </c>
      <c r="T514">
        <v>65.77</v>
      </c>
      <c r="U514">
        <v>14.29</v>
      </c>
      <c r="V514" s="20">
        <v>3779.5486999999998</v>
      </c>
    </row>
    <row r="515" spans="7:22" x14ac:dyDescent="0.15">
      <c r="G515" s="11">
        <v>514</v>
      </c>
      <c r="H515" t="s">
        <v>595</v>
      </c>
      <c r="I515" t="s">
        <v>989</v>
      </c>
      <c r="J515" t="s">
        <v>851</v>
      </c>
      <c r="K515" s="57">
        <v>1.6999999999999999E-3</v>
      </c>
      <c r="L515" s="57">
        <v>-3.9300000000000002E-2</v>
      </c>
      <c r="M515" s="57">
        <v>-4.19E-2</v>
      </c>
      <c r="N515" s="57">
        <v>1.9E-3</v>
      </c>
      <c r="O515" s="57">
        <v>5.5199999999999999E-2</v>
      </c>
      <c r="P515" s="57">
        <v>-0.1817</v>
      </c>
      <c r="Q515" s="57">
        <v>-0.32190000000000002</v>
      </c>
      <c r="R515" s="57">
        <v>-0.35210000000000002</v>
      </c>
      <c r="S515">
        <v>30.86</v>
      </c>
      <c r="T515">
        <v>60.24</v>
      </c>
      <c r="U515">
        <v>19.809999999999999</v>
      </c>
      <c r="V515" s="20">
        <v>2236.0713999999998</v>
      </c>
    </row>
    <row r="516" spans="7:22" x14ac:dyDescent="0.15">
      <c r="G516" s="11">
        <v>515</v>
      </c>
      <c r="H516" t="s">
        <v>2081</v>
      </c>
      <c r="I516" t="s">
        <v>2082</v>
      </c>
      <c r="J516" t="s">
        <v>2058</v>
      </c>
      <c r="K516" s="57">
        <v>6.9999999999999999E-4</v>
      </c>
      <c r="L516" s="57">
        <v>-6.6E-3</v>
      </c>
      <c r="M516" s="57">
        <v>5.7999999999999996E-3</v>
      </c>
      <c r="N516" s="57">
        <v>-9.2999999999999992E-3</v>
      </c>
      <c r="O516" s="57">
        <v>7.5200000000000003E-2</v>
      </c>
      <c r="P516" s="57">
        <v>-4.3999999999999997E-2</v>
      </c>
      <c r="Q516" s="57">
        <v>-0.10780000000000001</v>
      </c>
      <c r="R516" s="57">
        <v>1.15E-2</v>
      </c>
      <c r="S516">
        <v>30.73</v>
      </c>
      <c r="T516">
        <v>44.74</v>
      </c>
      <c r="U516">
        <v>35.18</v>
      </c>
      <c r="V516" s="20">
        <v>192.8305</v>
      </c>
    </row>
    <row r="517" spans="7:22" x14ac:dyDescent="0.15">
      <c r="G517" s="11">
        <v>516</v>
      </c>
      <c r="H517" t="s">
        <v>2118</v>
      </c>
      <c r="I517" t="s">
        <v>2119</v>
      </c>
      <c r="J517" t="s">
        <v>2058</v>
      </c>
      <c r="K517" s="57">
        <v>8.9999999999999998E-4</v>
      </c>
      <c r="L517" s="57">
        <v>8.5000000000000006E-3</v>
      </c>
      <c r="M517" s="57">
        <v>2.2499999999999999E-2</v>
      </c>
      <c r="N517" s="57">
        <v>-7.1000000000000004E-3</v>
      </c>
      <c r="O517" s="57">
        <v>-3.6900000000000002E-2</v>
      </c>
      <c r="P517" s="57">
        <v>-3.6900000000000002E-2</v>
      </c>
      <c r="Q517" s="57">
        <v>-3.6900000000000002E-2</v>
      </c>
      <c r="R517" s="57">
        <v>-3.6900000000000002E-2</v>
      </c>
      <c r="S517">
        <v>30.59</v>
      </c>
      <c r="T517">
        <v>47.44</v>
      </c>
      <c r="U517">
        <v>32.21</v>
      </c>
      <c r="V517" s="20">
        <v>5490.0038000000004</v>
      </c>
    </row>
    <row r="518" spans="7:22" x14ac:dyDescent="0.15">
      <c r="G518" s="11">
        <v>517</v>
      </c>
      <c r="H518" t="s">
        <v>552</v>
      </c>
      <c r="I518" t="s">
        <v>935</v>
      </c>
      <c r="J518" t="s">
        <v>851</v>
      </c>
      <c r="K518" s="57">
        <v>0</v>
      </c>
      <c r="L518" s="57">
        <v>-7.1000000000000004E-3</v>
      </c>
      <c r="M518" s="57">
        <v>-1.6999999999999999E-3</v>
      </c>
      <c r="N518" s="57">
        <v>-2.0299999999999999E-2</v>
      </c>
      <c r="O518" s="57">
        <v>3.8600000000000002E-2</v>
      </c>
      <c r="P518" s="57">
        <v>-6.6500000000000004E-2</v>
      </c>
      <c r="Q518" s="57">
        <v>-0.15229999999999999</v>
      </c>
      <c r="R518" s="57">
        <v>-0.23599999999999999</v>
      </c>
      <c r="S518">
        <v>30.46</v>
      </c>
      <c r="T518">
        <v>32.479999999999997</v>
      </c>
      <c r="U518">
        <v>47.17</v>
      </c>
      <c r="V518" s="20">
        <v>726.14859999999999</v>
      </c>
    </row>
    <row r="519" spans="7:22" x14ac:dyDescent="0.15">
      <c r="G519" s="11">
        <v>518</v>
      </c>
      <c r="H519" t="s">
        <v>2071</v>
      </c>
      <c r="I519" t="s">
        <v>2072</v>
      </c>
      <c r="J519" t="s">
        <v>2058</v>
      </c>
      <c r="K519" s="57">
        <v>2.0000000000000001E-4</v>
      </c>
      <c r="L519" s="57">
        <v>-1.09E-2</v>
      </c>
      <c r="M519" s="57">
        <v>-8.0000000000000004E-4</v>
      </c>
      <c r="N519" s="57">
        <v>-1.6199999999999999E-2</v>
      </c>
      <c r="O519" s="57">
        <v>4.0800000000000003E-2</v>
      </c>
      <c r="P519" s="57">
        <v>-5.6500000000000002E-2</v>
      </c>
      <c r="Q519" s="57">
        <v>-3.9399999999999998E-2</v>
      </c>
      <c r="R519" s="57">
        <v>0.1391</v>
      </c>
      <c r="S519">
        <v>30.32</v>
      </c>
      <c r="T519">
        <v>37.33</v>
      </c>
      <c r="U519">
        <v>42.18</v>
      </c>
      <c r="V519" s="20">
        <v>91.418800000000005</v>
      </c>
    </row>
    <row r="520" spans="7:22" x14ac:dyDescent="0.15">
      <c r="G520" s="11">
        <v>519</v>
      </c>
      <c r="H520" t="s">
        <v>580</v>
      </c>
      <c r="I520" t="s">
        <v>795</v>
      </c>
      <c r="J520" t="s">
        <v>1267</v>
      </c>
      <c r="K520" s="57">
        <v>-1.6000000000000001E-3</v>
      </c>
      <c r="L520" s="57">
        <v>-2.7699999999999999E-2</v>
      </c>
      <c r="M520" s="57">
        <v>-4.07E-2</v>
      </c>
      <c r="N520" s="57">
        <v>-7.9299999999999995E-2</v>
      </c>
      <c r="O520" s="57">
        <v>5.8700000000000002E-2</v>
      </c>
      <c r="P520" s="57">
        <v>-0.11550000000000001</v>
      </c>
      <c r="Q520" s="57">
        <v>-0.34639999999999999</v>
      </c>
      <c r="R520" s="57">
        <v>-0.4531</v>
      </c>
      <c r="S520">
        <v>30.19</v>
      </c>
      <c r="T520">
        <v>4.58</v>
      </c>
      <c r="U520">
        <v>74.8</v>
      </c>
      <c r="V520" s="20">
        <v>4812.8472793999999</v>
      </c>
    </row>
    <row r="521" spans="7:22" x14ac:dyDescent="0.15">
      <c r="G521" s="11">
        <v>520</v>
      </c>
      <c r="H521" t="s">
        <v>1260</v>
      </c>
      <c r="I521" t="s">
        <v>1261</v>
      </c>
      <c r="J521" t="s">
        <v>851</v>
      </c>
      <c r="K521" s="57">
        <v>-1.5E-3</v>
      </c>
      <c r="L521" s="57">
        <v>-4.1700000000000001E-2</v>
      </c>
      <c r="M521" s="57">
        <v>-4.8899999999999999E-2</v>
      </c>
      <c r="N521" s="57">
        <v>-7.6999999999999999E-2</v>
      </c>
      <c r="O521" s="57">
        <v>0.16120000000000001</v>
      </c>
      <c r="P521" s="57">
        <v>-4.1599999999999998E-2</v>
      </c>
      <c r="Q521" s="57">
        <v>-0.4214</v>
      </c>
      <c r="R521" s="57">
        <v>-0.45119999999999999</v>
      </c>
      <c r="S521">
        <v>30.05</v>
      </c>
      <c r="T521">
        <v>5.26</v>
      </c>
      <c r="U521">
        <v>73.989999999999995</v>
      </c>
      <c r="V521" s="20">
        <v>1030.0581999999999</v>
      </c>
    </row>
    <row r="522" spans="7:22" x14ac:dyDescent="0.15">
      <c r="G522" s="11">
        <v>521</v>
      </c>
      <c r="H522" t="s">
        <v>538</v>
      </c>
      <c r="I522" t="s">
        <v>1007</v>
      </c>
      <c r="J522" t="s">
        <v>851</v>
      </c>
      <c r="K522" s="57">
        <v>-2.0000000000000001E-4</v>
      </c>
      <c r="L522" s="57">
        <v>-8.8999999999999999E-3</v>
      </c>
      <c r="M522" s="57">
        <v>-5.4999999999999997E-3</v>
      </c>
      <c r="N522" s="57">
        <v>-2.3900000000000001E-2</v>
      </c>
      <c r="O522" s="57">
        <v>-3.6900000000000002E-2</v>
      </c>
      <c r="P522" s="57">
        <v>-0.11119999999999999</v>
      </c>
      <c r="Q522" s="57">
        <v>-7.5700000000000003E-2</v>
      </c>
      <c r="R522" s="57">
        <v>2.6800000000000001E-2</v>
      </c>
      <c r="S522">
        <v>29.92</v>
      </c>
      <c r="T522">
        <v>28.84</v>
      </c>
      <c r="U522">
        <v>50.4</v>
      </c>
      <c r="V522" s="20">
        <v>1762.874</v>
      </c>
    </row>
    <row r="523" spans="7:22" x14ac:dyDescent="0.15">
      <c r="G523" s="11">
        <v>522</v>
      </c>
      <c r="H523" t="s">
        <v>622</v>
      </c>
      <c r="I523" t="s">
        <v>1085</v>
      </c>
      <c r="J523" t="s">
        <v>851</v>
      </c>
      <c r="K523" s="57">
        <v>1.6000000000000001E-3</v>
      </c>
      <c r="L523" s="57">
        <v>-1.23E-2</v>
      </c>
      <c r="M523" s="57">
        <v>-2.8000000000000001E-2</v>
      </c>
      <c r="N523" s="57">
        <v>2.0000000000000001E-4</v>
      </c>
      <c r="O523" s="57">
        <v>0.20250000000000001</v>
      </c>
      <c r="P523" s="57">
        <v>-7.85E-2</v>
      </c>
      <c r="Q523" s="57">
        <v>-0.1036</v>
      </c>
      <c r="R523" s="57">
        <v>-1.5599999999999999E-2</v>
      </c>
      <c r="S523">
        <v>29.78</v>
      </c>
      <c r="T523">
        <v>57.82</v>
      </c>
      <c r="U523">
        <v>21.02</v>
      </c>
      <c r="V523" s="20">
        <v>12356.406199999999</v>
      </c>
    </row>
    <row r="524" spans="7:22" x14ac:dyDescent="0.15">
      <c r="G524" s="11">
        <v>523</v>
      </c>
      <c r="H524" t="s">
        <v>344</v>
      </c>
      <c r="I524" t="s">
        <v>1017</v>
      </c>
      <c r="J524" t="s">
        <v>851</v>
      </c>
      <c r="K524" s="57">
        <v>3.8E-3</v>
      </c>
      <c r="L524" s="57">
        <v>6.4000000000000003E-3</v>
      </c>
      <c r="M524" s="57">
        <v>4.8999999999999998E-3</v>
      </c>
      <c r="N524" s="57">
        <v>1.1299999999999999E-2</v>
      </c>
      <c r="O524" s="57">
        <v>0.14610000000000001</v>
      </c>
      <c r="P524" s="57">
        <v>-4.82E-2</v>
      </c>
      <c r="Q524" s="57">
        <v>-0.29020000000000001</v>
      </c>
      <c r="R524" s="57">
        <v>-0.3206</v>
      </c>
      <c r="S524">
        <v>29.65</v>
      </c>
      <c r="T524">
        <v>70.489999999999995</v>
      </c>
      <c r="U524">
        <v>8.09</v>
      </c>
      <c r="V524" s="20">
        <v>1661.4159346000001</v>
      </c>
    </row>
    <row r="525" spans="7:22" x14ac:dyDescent="0.15">
      <c r="G525" s="11">
        <v>524</v>
      </c>
      <c r="H525" t="s">
        <v>565</v>
      </c>
      <c r="I525" t="s">
        <v>1153</v>
      </c>
      <c r="J525" t="s">
        <v>851</v>
      </c>
      <c r="K525" s="57">
        <v>-2.0000000000000001E-4</v>
      </c>
      <c r="L525" s="57">
        <v>-8.3000000000000001E-3</v>
      </c>
      <c r="M525" s="57">
        <v>1.6000000000000001E-3</v>
      </c>
      <c r="N525" s="57">
        <v>-2.4500000000000001E-2</v>
      </c>
      <c r="O525" s="57">
        <v>6.2100000000000002E-2</v>
      </c>
      <c r="P525" s="57">
        <v>-5.4699999999999999E-2</v>
      </c>
      <c r="Q525" s="57">
        <v>-0.1348</v>
      </c>
      <c r="R525" s="57">
        <v>-0.1348</v>
      </c>
      <c r="S525">
        <v>29.51</v>
      </c>
      <c r="T525">
        <v>27.76</v>
      </c>
      <c r="U525">
        <v>50.67</v>
      </c>
      <c r="V525" s="20">
        <v>41846.103959699998</v>
      </c>
    </row>
    <row r="526" spans="7:22" x14ac:dyDescent="0.15">
      <c r="G526" s="11">
        <v>525</v>
      </c>
      <c r="H526" t="s">
        <v>460</v>
      </c>
      <c r="I526" t="s">
        <v>1088</v>
      </c>
      <c r="J526" t="s">
        <v>851</v>
      </c>
      <c r="K526" s="57">
        <v>-1.1999999999999999E-3</v>
      </c>
      <c r="L526" s="57">
        <v>-4.7500000000000001E-2</v>
      </c>
      <c r="M526" s="57">
        <v>-4.3999999999999997E-2</v>
      </c>
      <c r="N526" s="57">
        <v>-6.6699999999999995E-2</v>
      </c>
      <c r="O526" s="57">
        <v>2.9399999999999999E-2</v>
      </c>
      <c r="P526" s="57">
        <v>-0.1114</v>
      </c>
      <c r="Q526" s="57">
        <v>-0.38109999999999999</v>
      </c>
      <c r="R526" s="57">
        <v>-0.49230000000000002</v>
      </c>
      <c r="S526">
        <v>29.38</v>
      </c>
      <c r="T526">
        <v>8.36</v>
      </c>
      <c r="U526">
        <v>69.95</v>
      </c>
      <c r="V526" s="20">
        <v>16660.187300000001</v>
      </c>
    </row>
    <row r="527" spans="7:22" x14ac:dyDescent="0.15">
      <c r="G527" s="11">
        <v>526</v>
      </c>
      <c r="H527" t="s">
        <v>574</v>
      </c>
      <c r="I527" t="s">
        <v>858</v>
      </c>
      <c r="J527" t="s">
        <v>851</v>
      </c>
      <c r="K527" s="57">
        <v>-5.0000000000000001E-4</v>
      </c>
      <c r="L527" s="57">
        <v>-1.6199999999999999E-2</v>
      </c>
      <c r="M527" s="57">
        <v>-8.6999999999999994E-3</v>
      </c>
      <c r="N527" s="57">
        <v>-3.3099999999999997E-2</v>
      </c>
      <c r="O527" s="57">
        <v>2.2499999999999999E-2</v>
      </c>
      <c r="P527" s="57">
        <v>-8.0699999999999994E-2</v>
      </c>
      <c r="Q527" s="57">
        <v>-0.1229</v>
      </c>
      <c r="R527" s="57">
        <v>-6.5199999999999994E-2</v>
      </c>
      <c r="S527">
        <v>29.25</v>
      </c>
      <c r="T527">
        <v>21.7</v>
      </c>
      <c r="U527">
        <v>56.33</v>
      </c>
      <c r="V527" s="20">
        <v>53.499699999999997</v>
      </c>
    </row>
    <row r="528" spans="7:22" x14ac:dyDescent="0.15">
      <c r="G528" s="11">
        <v>527</v>
      </c>
      <c r="H528" t="s">
        <v>1444</v>
      </c>
      <c r="I528" t="s">
        <v>1445</v>
      </c>
      <c r="J528" t="s">
        <v>1665</v>
      </c>
      <c r="K528" s="57">
        <v>1E-4</v>
      </c>
      <c r="L528" s="57">
        <v>-8.2000000000000007E-3</v>
      </c>
      <c r="M528" s="57">
        <v>-1.9E-3</v>
      </c>
      <c r="N528" s="57">
        <v>-1.9199999999999998E-2</v>
      </c>
      <c r="O528" s="57">
        <v>4.2999999999999997E-2</v>
      </c>
      <c r="P528" s="57">
        <v>-5.21E-2</v>
      </c>
      <c r="Q528" s="57">
        <v>-5.21E-2</v>
      </c>
      <c r="R528" s="57">
        <v>-5.21E-2</v>
      </c>
      <c r="S528">
        <v>29.11</v>
      </c>
      <c r="T528">
        <v>33.020000000000003</v>
      </c>
      <c r="U528">
        <v>44.74</v>
      </c>
      <c r="V528" s="20">
        <v>7.0644499999999999</v>
      </c>
    </row>
    <row r="529" spans="7:22" x14ac:dyDescent="0.15">
      <c r="G529" s="11">
        <v>528</v>
      </c>
      <c r="H529" t="s">
        <v>534</v>
      </c>
      <c r="I529" t="s">
        <v>951</v>
      </c>
      <c r="J529" t="s">
        <v>851</v>
      </c>
      <c r="K529" s="57">
        <v>6.9999999999999999E-4</v>
      </c>
      <c r="L529" s="57">
        <v>-4.1399999999999999E-2</v>
      </c>
      <c r="M529" s="57">
        <v>-1.1999999999999999E-3</v>
      </c>
      <c r="N529" s="57">
        <v>-1.0500000000000001E-2</v>
      </c>
      <c r="O529" s="57">
        <v>5.33E-2</v>
      </c>
      <c r="P529" s="57">
        <v>-0.1026</v>
      </c>
      <c r="Q529" s="57">
        <v>-0.19889999999999999</v>
      </c>
      <c r="R529" s="57">
        <v>-8.9599999999999999E-2</v>
      </c>
      <c r="S529">
        <v>28.98</v>
      </c>
      <c r="T529">
        <v>42.32</v>
      </c>
      <c r="U529">
        <v>35.44</v>
      </c>
      <c r="V529" s="20">
        <v>1801.0410999999999</v>
      </c>
    </row>
    <row r="530" spans="7:22" x14ac:dyDescent="0.15">
      <c r="G530" s="11">
        <v>529</v>
      </c>
      <c r="H530" t="s">
        <v>554</v>
      </c>
      <c r="I530" t="s">
        <v>912</v>
      </c>
      <c r="J530" t="s">
        <v>851</v>
      </c>
      <c r="K530" s="57">
        <v>5.9999999999999995E-4</v>
      </c>
      <c r="L530" s="57">
        <v>-3.0999999999999999E-3</v>
      </c>
      <c r="M530" s="57">
        <v>3.3999999999999998E-3</v>
      </c>
      <c r="N530" s="57">
        <v>-1.2E-2</v>
      </c>
      <c r="O530" s="57">
        <v>9.5699999999999993E-2</v>
      </c>
      <c r="P530" s="57">
        <v>-6.0499999999999998E-2</v>
      </c>
      <c r="Q530" s="57">
        <v>-0.1837</v>
      </c>
      <c r="R530" s="57">
        <v>-6.9199999999999998E-2</v>
      </c>
      <c r="S530">
        <v>28.84</v>
      </c>
      <c r="T530">
        <v>40.159999999999997</v>
      </c>
      <c r="U530">
        <v>37.06</v>
      </c>
      <c r="V530" s="20">
        <v>257.19598999999999</v>
      </c>
    </row>
    <row r="531" spans="7:22" x14ac:dyDescent="0.15">
      <c r="G531" s="11">
        <v>530</v>
      </c>
      <c r="H531" t="s">
        <v>1604</v>
      </c>
      <c r="I531" t="s">
        <v>1605</v>
      </c>
      <c r="J531" t="s">
        <v>1665</v>
      </c>
      <c r="K531" s="57">
        <v>3.0000000000000001E-3</v>
      </c>
      <c r="L531" s="57">
        <v>2.35E-2</v>
      </c>
      <c r="M531" s="57">
        <v>3.1199999999999999E-2</v>
      </c>
      <c r="N531" s="57">
        <v>7.4000000000000003E-3</v>
      </c>
      <c r="O531" s="57">
        <v>0.33839999999999998</v>
      </c>
      <c r="P531" s="57">
        <v>5.9900000000000002E-2</v>
      </c>
      <c r="Q531" s="57">
        <v>-5.5300000000000002E-2</v>
      </c>
      <c r="R531" s="57">
        <v>-5.4800000000000001E-2</v>
      </c>
      <c r="S531">
        <v>28.71</v>
      </c>
      <c r="T531">
        <v>66.31</v>
      </c>
      <c r="U531">
        <v>10.65</v>
      </c>
      <c r="V531" s="20">
        <v>4350.9255999999996</v>
      </c>
    </row>
    <row r="532" spans="7:22" x14ac:dyDescent="0.15">
      <c r="G532" s="11">
        <v>531</v>
      </c>
      <c r="H532" t="s">
        <v>399</v>
      </c>
      <c r="I532" t="s">
        <v>1100</v>
      </c>
      <c r="J532" t="s">
        <v>851</v>
      </c>
      <c r="K532" s="57">
        <v>-5.9999999999999995E-4</v>
      </c>
      <c r="L532" s="57">
        <v>-7.1999999999999998E-3</v>
      </c>
      <c r="M532" s="57">
        <v>-1.4800000000000001E-2</v>
      </c>
      <c r="N532" s="57">
        <v>-3.8100000000000002E-2</v>
      </c>
      <c r="O532" s="57">
        <v>0.18679999999999999</v>
      </c>
      <c r="P532" s="57">
        <v>1.8499999999999999E-2</v>
      </c>
      <c r="Q532" s="57">
        <v>-0.1086</v>
      </c>
      <c r="R532" s="57">
        <v>0.36080000000000001</v>
      </c>
      <c r="S532">
        <v>28.57</v>
      </c>
      <c r="T532">
        <v>18.059999999999999</v>
      </c>
      <c r="U532">
        <v>58.76</v>
      </c>
      <c r="V532" s="20">
        <v>7277.2519000000002</v>
      </c>
    </row>
    <row r="533" spans="7:22" x14ac:dyDescent="0.15">
      <c r="G533" s="11">
        <v>532</v>
      </c>
      <c r="H533" t="s">
        <v>1386</v>
      </c>
      <c r="I533" t="s">
        <v>1387</v>
      </c>
      <c r="J533" t="s">
        <v>1665</v>
      </c>
      <c r="K533" s="57">
        <v>2.8999999999999998E-3</v>
      </c>
      <c r="L533" s="57">
        <v>-1.9099999999999999E-2</v>
      </c>
      <c r="M533" s="57">
        <v>1.1999999999999999E-3</v>
      </c>
      <c r="N533" s="57">
        <v>5.8999999999999999E-3</v>
      </c>
      <c r="O533" s="57">
        <v>0.184</v>
      </c>
      <c r="P533" s="57">
        <v>-5.0000000000000001E-3</v>
      </c>
      <c r="Q533" s="57">
        <v>-0.15049999999999999</v>
      </c>
      <c r="R533" s="57">
        <v>-0.15049999999999999</v>
      </c>
      <c r="S533">
        <v>28.44</v>
      </c>
      <c r="T533">
        <v>65.23</v>
      </c>
      <c r="U533">
        <v>11.46</v>
      </c>
      <c r="V533" s="20">
        <v>3837.9696700000004</v>
      </c>
    </row>
    <row r="534" spans="7:22" x14ac:dyDescent="0.15">
      <c r="G534" s="11">
        <v>533</v>
      </c>
      <c r="H534" t="s">
        <v>617</v>
      </c>
      <c r="I534" t="s">
        <v>1041</v>
      </c>
      <c r="J534" t="s">
        <v>851</v>
      </c>
      <c r="K534" s="57">
        <v>-8.9999999999999998E-4</v>
      </c>
      <c r="L534" s="57">
        <v>-1.29E-2</v>
      </c>
      <c r="M534" s="57">
        <v>-3.7999999999999999E-2</v>
      </c>
      <c r="N534" s="57">
        <v>-5.0700000000000002E-2</v>
      </c>
      <c r="O534" s="57">
        <v>0.11600000000000001</v>
      </c>
      <c r="P534" s="57">
        <v>8.43E-2</v>
      </c>
      <c r="Q534" s="57">
        <v>-7.4499999999999997E-2</v>
      </c>
      <c r="R534" s="57">
        <v>0.17699999999999999</v>
      </c>
      <c r="S534">
        <v>28.3</v>
      </c>
      <c r="T534">
        <v>11.59</v>
      </c>
      <c r="U534">
        <v>65.09</v>
      </c>
      <c r="V534" s="20">
        <v>13434.170700000001</v>
      </c>
    </row>
    <row r="535" spans="7:22" x14ac:dyDescent="0.15">
      <c r="G535" s="11">
        <v>534</v>
      </c>
      <c r="H535" t="s">
        <v>685</v>
      </c>
      <c r="I535" t="s">
        <v>1133</v>
      </c>
      <c r="J535" t="s">
        <v>851</v>
      </c>
      <c r="K535" s="57">
        <v>8.0000000000000004E-4</v>
      </c>
      <c r="L535" s="57">
        <v>-8.3000000000000001E-3</v>
      </c>
      <c r="M535" s="57">
        <v>2.0799999999999999E-2</v>
      </c>
      <c r="N535" s="57">
        <v>-9.7999999999999997E-3</v>
      </c>
      <c r="O535" s="57">
        <v>3.2500000000000001E-2</v>
      </c>
      <c r="P535" s="57">
        <v>-0.1148</v>
      </c>
      <c r="Q535" s="57">
        <v>-0.16200000000000001</v>
      </c>
      <c r="R535" s="57">
        <v>-0.2828</v>
      </c>
      <c r="S535">
        <v>28.17</v>
      </c>
      <c r="T535">
        <v>43.53</v>
      </c>
      <c r="U535">
        <v>33.020000000000003</v>
      </c>
      <c r="V535" s="20">
        <v>14206.111699999999</v>
      </c>
    </row>
    <row r="536" spans="7:22" x14ac:dyDescent="0.15">
      <c r="G536" s="11">
        <v>535</v>
      </c>
      <c r="H536" t="s">
        <v>1555</v>
      </c>
      <c r="I536" t="s">
        <v>1556</v>
      </c>
      <c r="J536" t="s">
        <v>1665</v>
      </c>
      <c r="K536" s="57">
        <v>-1.2999999999999999E-3</v>
      </c>
      <c r="L536" s="57">
        <v>-4.7600000000000003E-2</v>
      </c>
      <c r="M536" s="57">
        <v>-5.2400000000000002E-2</v>
      </c>
      <c r="N536" s="57">
        <v>-7.6300000000000007E-2</v>
      </c>
      <c r="O536" s="57">
        <v>0.1099</v>
      </c>
      <c r="P536" s="57">
        <v>-4.5900000000000003E-2</v>
      </c>
      <c r="Q536" s="57">
        <v>-0.30509999999999998</v>
      </c>
      <c r="R536" s="57">
        <v>-0.30509999999999998</v>
      </c>
      <c r="S536">
        <v>28.03</v>
      </c>
      <c r="T536">
        <v>5.39</v>
      </c>
      <c r="U536">
        <v>71.16</v>
      </c>
      <c r="V536" s="20">
        <v>1373.8159000000001</v>
      </c>
    </row>
    <row r="537" spans="7:22" x14ac:dyDescent="0.15">
      <c r="G537" s="11">
        <v>536</v>
      </c>
      <c r="H537" t="s">
        <v>330</v>
      </c>
      <c r="I537" t="s">
        <v>1075</v>
      </c>
      <c r="J537" t="s">
        <v>851</v>
      </c>
      <c r="K537" s="57">
        <v>-8.9999999999999998E-4</v>
      </c>
      <c r="L537" s="57">
        <v>-3.5900000000000001E-2</v>
      </c>
      <c r="M537" s="57">
        <v>-3.1199999999999999E-2</v>
      </c>
      <c r="N537" s="57">
        <v>-5.45E-2</v>
      </c>
      <c r="O537" s="57">
        <v>3.5099999999999999E-2</v>
      </c>
      <c r="P537" s="57">
        <v>-7.9299999999999995E-2</v>
      </c>
      <c r="Q537" s="57">
        <v>-0.26950000000000002</v>
      </c>
      <c r="R537" s="57">
        <v>-0.30459999999999998</v>
      </c>
      <c r="S537">
        <v>27.9</v>
      </c>
      <c r="T537">
        <v>11.05</v>
      </c>
      <c r="U537">
        <v>65.36</v>
      </c>
      <c r="V537" s="20">
        <v>3572.1216100000001</v>
      </c>
    </row>
    <row r="538" spans="7:22" x14ac:dyDescent="0.15">
      <c r="G538" s="11">
        <v>537</v>
      </c>
      <c r="H538" t="s">
        <v>2136</v>
      </c>
      <c r="I538" t="s">
        <v>2137</v>
      </c>
      <c r="J538" t="s">
        <v>2058</v>
      </c>
      <c r="K538" s="57">
        <v>3.3E-3</v>
      </c>
      <c r="L538" s="57">
        <v>2.3099999999999999E-2</v>
      </c>
      <c r="M538" s="57">
        <v>3.0599999999999999E-2</v>
      </c>
      <c r="N538" s="57">
        <v>7.7000000000000002E-3</v>
      </c>
      <c r="O538" s="57">
        <v>-3.1399999999999997E-2</v>
      </c>
      <c r="P538" s="57">
        <v>-3.1399999999999997E-2</v>
      </c>
      <c r="Q538" s="57">
        <v>-3.1399999999999997E-2</v>
      </c>
      <c r="R538" s="57">
        <v>-3.1399999999999997E-2</v>
      </c>
      <c r="S538">
        <v>27.76</v>
      </c>
      <c r="T538">
        <v>66.709999999999994</v>
      </c>
      <c r="U538">
        <v>9.57</v>
      </c>
      <c r="V538" s="20">
        <v>4472.4373999999998</v>
      </c>
    </row>
    <row r="539" spans="7:22" x14ac:dyDescent="0.15">
      <c r="G539" s="11">
        <v>538</v>
      </c>
      <c r="H539" t="s">
        <v>469</v>
      </c>
      <c r="I539" t="s">
        <v>955</v>
      </c>
      <c r="J539" t="s">
        <v>851</v>
      </c>
      <c r="K539" s="57">
        <v>8.0000000000000004E-4</v>
      </c>
      <c r="L539" s="57">
        <v>-4.7000000000000002E-3</v>
      </c>
      <c r="M539" s="57">
        <v>1.0999999999999999E-2</v>
      </c>
      <c r="N539" s="57">
        <v>-9.9000000000000008E-3</v>
      </c>
      <c r="O539" s="57">
        <v>2.4299999999999999E-2</v>
      </c>
      <c r="P539" s="57">
        <v>-5.28E-2</v>
      </c>
      <c r="Q539" s="57">
        <v>1.2500000000000001E-2</v>
      </c>
      <c r="R539" s="57">
        <v>0.29520000000000002</v>
      </c>
      <c r="S539">
        <v>27.63</v>
      </c>
      <c r="T539">
        <v>43.26</v>
      </c>
      <c r="U539">
        <v>32.880000000000003</v>
      </c>
      <c r="V539" s="20">
        <v>103.04793000000001</v>
      </c>
    </row>
    <row r="540" spans="7:22" x14ac:dyDescent="0.15">
      <c r="G540" s="11">
        <v>539</v>
      </c>
      <c r="H540" t="s">
        <v>1337</v>
      </c>
      <c r="I540" t="s">
        <v>1338</v>
      </c>
      <c r="J540" t="s">
        <v>1665</v>
      </c>
      <c r="K540" s="57">
        <v>3.7000000000000002E-3</v>
      </c>
      <c r="L540" s="57">
        <v>-1.32E-2</v>
      </c>
      <c r="M540" s="57">
        <v>1.38E-2</v>
      </c>
      <c r="N540" s="57">
        <v>8.0000000000000002E-3</v>
      </c>
      <c r="O540" s="57">
        <v>3.2899999999999999E-2</v>
      </c>
      <c r="P540" s="57">
        <v>-0.11799999999999999</v>
      </c>
      <c r="Q540" s="57">
        <v>-0.24579999999999999</v>
      </c>
      <c r="R540" s="57">
        <v>-0.24579999999999999</v>
      </c>
      <c r="S540">
        <v>27.49</v>
      </c>
      <c r="T540">
        <v>67.39</v>
      </c>
      <c r="U540">
        <v>8.6300000000000008</v>
      </c>
      <c r="V540" s="20">
        <v>322.06912999999997</v>
      </c>
    </row>
    <row r="541" spans="7:22" x14ac:dyDescent="0.15">
      <c r="G541" s="11">
        <v>540</v>
      </c>
      <c r="H541" t="s">
        <v>389</v>
      </c>
      <c r="I541" t="s">
        <v>251</v>
      </c>
      <c r="J541" t="s">
        <v>1221</v>
      </c>
      <c r="K541" s="57">
        <v>2.3E-3</v>
      </c>
      <c r="L541" s="57">
        <v>5.0000000000000001E-4</v>
      </c>
      <c r="M541" s="57">
        <v>4.8999999999999998E-3</v>
      </c>
      <c r="N541" s="57">
        <v>1.6999999999999999E-3</v>
      </c>
      <c r="O541" s="57">
        <v>1.5100000000000001E-2</v>
      </c>
      <c r="P541" s="57">
        <v>-9.7999999999999997E-3</v>
      </c>
      <c r="Q541" s="57">
        <v>-5.4199999999999998E-2</v>
      </c>
      <c r="R541" s="57">
        <v>-2.7000000000000001E-3</v>
      </c>
      <c r="S541">
        <v>27.36</v>
      </c>
      <c r="T541">
        <v>59.7</v>
      </c>
      <c r="U541">
        <v>16.04</v>
      </c>
      <c r="V541" s="20">
        <v>182.13661999999999</v>
      </c>
    </row>
    <row r="542" spans="7:22" x14ac:dyDescent="0.15">
      <c r="G542" s="11">
        <v>541</v>
      </c>
      <c r="H542" t="s">
        <v>1482</v>
      </c>
      <c r="I542" t="s">
        <v>1483</v>
      </c>
      <c r="J542" t="s">
        <v>1665</v>
      </c>
      <c r="K542" s="57">
        <v>6.9999999999999999E-4</v>
      </c>
      <c r="L542" s="57">
        <v>-4.0599999999999997E-2</v>
      </c>
      <c r="M542" s="57">
        <v>-8.9999999999999998E-4</v>
      </c>
      <c r="N542" s="57">
        <v>-1.18E-2</v>
      </c>
      <c r="O542" s="57">
        <v>5.5E-2</v>
      </c>
      <c r="P542" s="57">
        <v>-0.1016</v>
      </c>
      <c r="Q542" s="57">
        <v>-0.20710000000000001</v>
      </c>
      <c r="R542" s="57">
        <v>-5.0700000000000002E-2</v>
      </c>
      <c r="S542">
        <v>27.22</v>
      </c>
      <c r="T542">
        <v>40.43</v>
      </c>
      <c r="U542">
        <v>35.04</v>
      </c>
      <c r="V542" s="20">
        <v>3298.3128999999999</v>
      </c>
    </row>
    <row r="543" spans="7:22" x14ac:dyDescent="0.15">
      <c r="G543" s="11">
        <v>542</v>
      </c>
      <c r="H543" t="s">
        <v>1320</v>
      </c>
      <c r="I543" t="s">
        <v>1321</v>
      </c>
      <c r="J543" t="s">
        <v>1665</v>
      </c>
      <c r="K543" s="57">
        <v>3.0000000000000001E-3</v>
      </c>
      <c r="L543" s="57">
        <v>-2.06E-2</v>
      </c>
      <c r="M543" s="57">
        <v>-2.0000000000000001E-4</v>
      </c>
      <c r="N543" s="57">
        <v>5.7000000000000002E-3</v>
      </c>
      <c r="O543" s="57">
        <v>0.17879999999999999</v>
      </c>
      <c r="P543" s="57">
        <v>-1.2200000000000001E-2</v>
      </c>
      <c r="Q543" s="57">
        <v>-3.9899999999999998E-2</v>
      </c>
      <c r="R543" s="57">
        <v>-3.6999999999999998E-2</v>
      </c>
      <c r="S543">
        <v>27.09</v>
      </c>
      <c r="T543">
        <v>65.09</v>
      </c>
      <c r="U543">
        <v>10.38</v>
      </c>
      <c r="V543" s="20">
        <v>3639.0252700000001</v>
      </c>
    </row>
    <row r="544" spans="7:22" x14ac:dyDescent="0.15">
      <c r="G544" s="11">
        <v>543</v>
      </c>
      <c r="H544" t="s">
        <v>1469</v>
      </c>
      <c r="I544" t="s">
        <v>1470</v>
      </c>
      <c r="J544" t="s">
        <v>1665</v>
      </c>
      <c r="K544" s="57">
        <v>3.0999999999999999E-3</v>
      </c>
      <c r="L544" s="57">
        <v>2.3099999999999999E-2</v>
      </c>
      <c r="M544" s="57">
        <v>3.0300000000000001E-2</v>
      </c>
      <c r="N544" s="57">
        <v>6.3E-3</v>
      </c>
      <c r="O544" s="57">
        <v>0.33289999999999997</v>
      </c>
      <c r="P544" s="57">
        <v>0.15840000000000001</v>
      </c>
      <c r="Q544" s="57">
        <v>0.15840000000000001</v>
      </c>
      <c r="R544" s="57">
        <v>0.15840000000000001</v>
      </c>
      <c r="S544">
        <v>26.95</v>
      </c>
      <c r="T544">
        <v>65.36</v>
      </c>
      <c r="U544">
        <v>9.9700000000000006</v>
      </c>
      <c r="V544" s="20">
        <v>993.73943759999997</v>
      </c>
    </row>
    <row r="545" spans="7:22" x14ac:dyDescent="0.15">
      <c r="G545" s="11">
        <v>544</v>
      </c>
      <c r="H545" t="s">
        <v>539</v>
      </c>
      <c r="I545" t="s">
        <v>1036</v>
      </c>
      <c r="J545" t="s">
        <v>851</v>
      </c>
      <c r="K545" s="57">
        <v>8.9999999999999998E-4</v>
      </c>
      <c r="L545" s="57">
        <v>-8.2000000000000007E-3</v>
      </c>
      <c r="M545" s="57">
        <v>4.5999999999999999E-3</v>
      </c>
      <c r="N545" s="57">
        <v>-9.4000000000000004E-3</v>
      </c>
      <c r="O545" s="57">
        <v>6.6500000000000004E-2</v>
      </c>
      <c r="P545" s="57">
        <v>-5.8799999999999998E-2</v>
      </c>
      <c r="Q545" s="57">
        <v>-0.12540000000000001</v>
      </c>
      <c r="R545" s="57">
        <v>-4.19E-2</v>
      </c>
      <c r="S545">
        <v>26.82</v>
      </c>
      <c r="T545">
        <v>44.47</v>
      </c>
      <c r="U545">
        <v>30.86</v>
      </c>
      <c r="V545" s="20">
        <v>3811.6765999999998</v>
      </c>
    </row>
    <row r="546" spans="7:22" x14ac:dyDescent="0.15">
      <c r="G546" s="11">
        <v>545</v>
      </c>
      <c r="H546" t="s">
        <v>502</v>
      </c>
      <c r="I546" t="s">
        <v>911</v>
      </c>
      <c r="J546" t="s">
        <v>851</v>
      </c>
      <c r="K546" s="57">
        <v>-2.0000000000000001E-4</v>
      </c>
      <c r="L546" s="57">
        <v>-2.7000000000000001E-3</v>
      </c>
      <c r="M546" s="57">
        <v>-1.7000000000000001E-2</v>
      </c>
      <c r="N546" s="57">
        <v>-2.9000000000000001E-2</v>
      </c>
      <c r="O546" s="57">
        <v>0.1673</v>
      </c>
      <c r="P546" s="57">
        <v>-2.81E-2</v>
      </c>
      <c r="Q546" s="57">
        <v>-0.1231</v>
      </c>
      <c r="R546" s="57">
        <v>5.3999999999999999E-2</v>
      </c>
      <c r="S546">
        <v>26.68</v>
      </c>
      <c r="T546">
        <v>23.99</v>
      </c>
      <c r="U546">
        <v>50.94</v>
      </c>
      <c r="V546" s="20">
        <v>337.37380000000002</v>
      </c>
    </row>
    <row r="547" spans="7:22" x14ac:dyDescent="0.15">
      <c r="G547" s="11">
        <v>546</v>
      </c>
      <c r="H547" t="s">
        <v>1390</v>
      </c>
      <c r="I547" t="s">
        <v>1391</v>
      </c>
      <c r="J547" t="s">
        <v>1665</v>
      </c>
      <c r="K547" s="57">
        <v>4.0000000000000002E-4</v>
      </c>
      <c r="L547" s="57">
        <v>1.18E-2</v>
      </c>
      <c r="M547" s="57">
        <v>1.9300000000000001E-2</v>
      </c>
      <c r="N547" s="57">
        <v>-1.77E-2</v>
      </c>
      <c r="O547" s="57">
        <v>0.186</v>
      </c>
      <c r="P547" s="57">
        <v>3.1600000000000003E-2</v>
      </c>
      <c r="Q547" s="57">
        <v>-5.0799999999999998E-2</v>
      </c>
      <c r="R547" s="57">
        <v>6.6E-3</v>
      </c>
      <c r="S547">
        <v>26.55</v>
      </c>
      <c r="T547">
        <v>35.58</v>
      </c>
      <c r="U547">
        <v>39.08</v>
      </c>
      <c r="V547" s="20">
        <v>1546.3286800000001</v>
      </c>
    </row>
    <row r="548" spans="7:22" x14ac:dyDescent="0.15">
      <c r="G548" s="11">
        <v>547</v>
      </c>
      <c r="H548" t="s">
        <v>1537</v>
      </c>
      <c r="I548" t="s">
        <v>1538</v>
      </c>
      <c r="J548" t="s">
        <v>1665</v>
      </c>
      <c r="K548" s="57">
        <v>-6.9999999999999999E-4</v>
      </c>
      <c r="L548" s="57">
        <v>-1.1599999999999999E-2</v>
      </c>
      <c r="M548" s="57">
        <v>-7.7999999999999996E-3</v>
      </c>
      <c r="N548" s="57">
        <v>-4.9000000000000002E-2</v>
      </c>
      <c r="O548" s="57">
        <v>3.7499999999999999E-2</v>
      </c>
      <c r="P548" s="57">
        <v>-0.1045</v>
      </c>
      <c r="Q548" s="57">
        <v>-0.2475</v>
      </c>
      <c r="R548" s="57">
        <v>-0.2475</v>
      </c>
      <c r="S548">
        <v>26.42</v>
      </c>
      <c r="T548">
        <v>12.8</v>
      </c>
      <c r="U548">
        <v>61.73</v>
      </c>
      <c r="V548" s="20">
        <v>69.310009999999991</v>
      </c>
    </row>
    <row r="549" spans="7:22" x14ac:dyDescent="0.15">
      <c r="G549" s="11">
        <v>548</v>
      </c>
      <c r="H549" t="s">
        <v>444</v>
      </c>
      <c r="I549" t="s">
        <v>904</v>
      </c>
      <c r="J549" t="s">
        <v>851</v>
      </c>
      <c r="K549" s="57">
        <v>1.6000000000000001E-3</v>
      </c>
      <c r="L549" s="57">
        <v>0.02</v>
      </c>
      <c r="M549" s="57">
        <v>3.1899999999999998E-2</v>
      </c>
      <c r="N549" s="57">
        <v>-1.6000000000000001E-3</v>
      </c>
      <c r="O549" s="57">
        <v>0.23319999999999999</v>
      </c>
      <c r="P549" s="57">
        <v>7.1999999999999995E-2</v>
      </c>
      <c r="Q549" s="57">
        <v>-1.1299999999999999E-2</v>
      </c>
      <c r="R549" s="57">
        <v>0.55349999999999999</v>
      </c>
      <c r="S549">
        <v>26.28</v>
      </c>
      <c r="T549">
        <v>53.23</v>
      </c>
      <c r="U549">
        <v>21.16</v>
      </c>
      <c r="V549" s="20">
        <v>612.1336</v>
      </c>
    </row>
    <row r="550" spans="7:22" x14ac:dyDescent="0.15">
      <c r="G550" s="11">
        <v>549</v>
      </c>
      <c r="H550" t="s">
        <v>1473</v>
      </c>
      <c r="I550" t="s">
        <v>1474</v>
      </c>
      <c r="J550" t="s">
        <v>1665</v>
      </c>
      <c r="K550" s="57">
        <v>-4.0000000000000002E-4</v>
      </c>
      <c r="L550" s="57">
        <v>-2.8400000000000002E-2</v>
      </c>
      <c r="M550" s="57">
        <v>-2.2100000000000002E-2</v>
      </c>
      <c r="N550" s="57">
        <v>-3.6600000000000001E-2</v>
      </c>
      <c r="O550" s="57">
        <v>7.9299999999999995E-2</v>
      </c>
      <c r="P550" s="57">
        <v>-3.0800000000000001E-2</v>
      </c>
      <c r="Q550" s="57">
        <v>-0.16669999999999999</v>
      </c>
      <c r="R550" s="57">
        <v>-0.16669999999999999</v>
      </c>
      <c r="S550">
        <v>26.15</v>
      </c>
      <c r="T550">
        <v>19</v>
      </c>
      <c r="U550">
        <v>54.99</v>
      </c>
      <c r="V550" s="20">
        <v>119.71751</v>
      </c>
    </row>
    <row r="551" spans="7:22" x14ac:dyDescent="0.15">
      <c r="G551" s="11">
        <v>550</v>
      </c>
      <c r="H551" t="s">
        <v>558</v>
      </c>
      <c r="I551" t="s">
        <v>945</v>
      </c>
      <c r="J551" t="s">
        <v>851</v>
      </c>
      <c r="K551" s="57">
        <v>2.8999999999999998E-3</v>
      </c>
      <c r="L551" s="57">
        <v>-1.04E-2</v>
      </c>
      <c r="M551" s="57">
        <v>-2.4500000000000001E-2</v>
      </c>
      <c r="N551" s="57">
        <v>3.8E-3</v>
      </c>
      <c r="O551" s="57">
        <v>0.20799999999999999</v>
      </c>
      <c r="P551" s="57">
        <v>-6.5799999999999997E-2</v>
      </c>
      <c r="Q551" s="57">
        <v>-7.4899999999999994E-2</v>
      </c>
      <c r="R551" s="57">
        <v>3.7999999999999999E-2</v>
      </c>
      <c r="S551">
        <v>26.01</v>
      </c>
      <c r="T551">
        <v>62.94</v>
      </c>
      <c r="U551">
        <v>10.78</v>
      </c>
      <c r="V551" s="20">
        <v>2743.8771999999999</v>
      </c>
    </row>
    <row r="552" spans="7:22" x14ac:dyDescent="0.15">
      <c r="G552" s="11">
        <v>551</v>
      </c>
      <c r="H552" t="s">
        <v>633</v>
      </c>
      <c r="I552" t="s">
        <v>861</v>
      </c>
      <c r="J552" t="s">
        <v>851</v>
      </c>
      <c r="K552" s="57">
        <v>1.2999999999999999E-3</v>
      </c>
      <c r="L552" s="57">
        <v>-4.8999999999999998E-3</v>
      </c>
      <c r="M552" s="57">
        <v>4.7999999999999996E-3</v>
      </c>
      <c r="N552" s="57">
        <v>-6.1999999999999998E-3</v>
      </c>
      <c r="O552" s="57">
        <v>5.9799999999999999E-2</v>
      </c>
      <c r="P552" s="57">
        <v>-4.7399999999999998E-2</v>
      </c>
      <c r="Q552" s="57">
        <v>-0.10630000000000001</v>
      </c>
      <c r="R552" s="57">
        <v>4.6699999999999998E-2</v>
      </c>
      <c r="S552">
        <v>25.88</v>
      </c>
      <c r="T552">
        <v>48.79</v>
      </c>
      <c r="U552">
        <v>24.93</v>
      </c>
      <c r="V552" s="20">
        <v>55.1038</v>
      </c>
    </row>
    <row r="553" spans="7:22" x14ac:dyDescent="0.15">
      <c r="G553" s="11">
        <v>552</v>
      </c>
      <c r="H553" t="s">
        <v>384</v>
      </c>
      <c r="I553" t="s">
        <v>930</v>
      </c>
      <c r="J553" t="s">
        <v>851</v>
      </c>
      <c r="K553" s="57">
        <v>-5.0000000000000001E-4</v>
      </c>
      <c r="L553" s="57">
        <v>-3.7199999999999997E-2</v>
      </c>
      <c r="M553" s="57">
        <v>-2.63E-2</v>
      </c>
      <c r="N553" s="57">
        <v>-4.5699999999999998E-2</v>
      </c>
      <c r="O553" s="57">
        <v>5.6899999999999999E-2</v>
      </c>
      <c r="P553" s="57">
        <v>-8.1199999999999994E-2</v>
      </c>
      <c r="Q553" s="57">
        <v>-0.29570000000000002</v>
      </c>
      <c r="R553" s="57">
        <v>-0.3327</v>
      </c>
      <c r="S553">
        <v>25.74</v>
      </c>
      <c r="T553">
        <v>14.96</v>
      </c>
      <c r="U553">
        <v>58.22</v>
      </c>
      <c r="V553" s="20">
        <v>266.44200000000001</v>
      </c>
    </row>
    <row r="554" spans="7:22" x14ac:dyDescent="0.15">
      <c r="G554" s="11">
        <v>553</v>
      </c>
      <c r="H554" t="s">
        <v>442</v>
      </c>
      <c r="I554" t="s">
        <v>1150</v>
      </c>
      <c r="J554" t="s">
        <v>851</v>
      </c>
      <c r="K554" s="57">
        <v>-4.0000000000000002E-4</v>
      </c>
      <c r="L554" s="57">
        <v>-7.0000000000000001E-3</v>
      </c>
      <c r="M554" s="57">
        <v>-1.44E-2</v>
      </c>
      <c r="N554" s="57">
        <v>-3.7699999999999997E-2</v>
      </c>
      <c r="O554" s="57">
        <v>0.1908</v>
      </c>
      <c r="P554" s="57">
        <v>1.5900000000000001E-2</v>
      </c>
      <c r="Q554" s="57">
        <v>-0.1193</v>
      </c>
      <c r="R554" s="57">
        <v>1.0062</v>
      </c>
      <c r="S554">
        <v>25.61</v>
      </c>
      <c r="T554">
        <v>18.329999999999998</v>
      </c>
      <c r="U554">
        <v>54.85</v>
      </c>
      <c r="V554" s="20">
        <v>45655.578200000004</v>
      </c>
    </row>
    <row r="555" spans="7:22" x14ac:dyDescent="0.15">
      <c r="G555" s="11">
        <v>554</v>
      </c>
      <c r="H555" t="s">
        <v>676</v>
      </c>
      <c r="I555" t="s">
        <v>1096</v>
      </c>
      <c r="J555" t="s">
        <v>851</v>
      </c>
      <c r="K555" s="57">
        <v>-1E-4</v>
      </c>
      <c r="L555" s="57">
        <v>-1.1900000000000001E-2</v>
      </c>
      <c r="M555" s="57">
        <v>-3.0000000000000001E-3</v>
      </c>
      <c r="N555" s="57">
        <v>-2.9000000000000001E-2</v>
      </c>
      <c r="O555" s="57">
        <v>3.5200000000000002E-2</v>
      </c>
      <c r="P555" s="57">
        <v>-0.12239999999999999</v>
      </c>
      <c r="Q555" s="57">
        <v>-0.2051</v>
      </c>
      <c r="R555" s="57">
        <v>-0.16900000000000001</v>
      </c>
      <c r="S555">
        <v>25.47</v>
      </c>
      <c r="T555">
        <v>24.26</v>
      </c>
      <c r="U555">
        <v>48.92</v>
      </c>
      <c r="V555" s="20">
        <v>8938.3010799999993</v>
      </c>
    </row>
    <row r="556" spans="7:22" x14ac:dyDescent="0.15">
      <c r="G556" s="11">
        <v>555</v>
      </c>
      <c r="H556" t="s">
        <v>1213</v>
      </c>
      <c r="I556" t="s">
        <v>1214</v>
      </c>
      <c r="J556" t="s">
        <v>1199</v>
      </c>
      <c r="K556" s="57">
        <v>0.32440000000000002</v>
      </c>
      <c r="L556" s="57">
        <v>1.1900000000000001E-2</v>
      </c>
      <c r="M556" s="57">
        <v>1.1900000000000001E-2</v>
      </c>
      <c r="N556" s="57">
        <v>1.1900000000000001E-2</v>
      </c>
      <c r="O556" s="57">
        <v>1.1900000000000001E-2</v>
      </c>
      <c r="P556" s="57">
        <v>1.1900000000000001E-2</v>
      </c>
      <c r="Q556" s="57">
        <v>1.1900000000000001E-2</v>
      </c>
      <c r="R556" s="57">
        <v>1.1900000000000001E-2</v>
      </c>
      <c r="S556">
        <v>25.34</v>
      </c>
      <c r="T556">
        <v>71.7</v>
      </c>
      <c r="U556">
        <v>1.48</v>
      </c>
      <c r="V556" s="20">
        <v>1293.0048744000001</v>
      </c>
    </row>
    <row r="557" spans="7:22" x14ac:dyDescent="0.15">
      <c r="G557" s="11">
        <v>556</v>
      </c>
      <c r="H557" t="s">
        <v>712</v>
      </c>
      <c r="I557" t="s">
        <v>1012</v>
      </c>
      <c r="J557" t="s">
        <v>851</v>
      </c>
      <c r="K557" s="57">
        <v>1E-4</v>
      </c>
      <c r="L557" s="57">
        <v>-9.1000000000000004E-3</v>
      </c>
      <c r="M557" s="57">
        <v>-5.4999999999999997E-3</v>
      </c>
      <c r="N557" s="57">
        <v>-2.4299999999999999E-2</v>
      </c>
      <c r="O557" s="57">
        <v>-3.73E-2</v>
      </c>
      <c r="P557" s="57">
        <v>-0.1109</v>
      </c>
      <c r="Q557" s="57">
        <v>-7.3599999999999999E-2</v>
      </c>
      <c r="R557" s="57">
        <v>8.0999999999999996E-3</v>
      </c>
      <c r="S557">
        <v>25.2</v>
      </c>
      <c r="T557">
        <v>28.3</v>
      </c>
      <c r="U557">
        <v>44.47</v>
      </c>
      <c r="V557" s="20">
        <v>1582.3172</v>
      </c>
    </row>
    <row r="558" spans="7:22" x14ac:dyDescent="0.15">
      <c r="G558" s="11">
        <v>557</v>
      </c>
      <c r="H558" t="s">
        <v>523</v>
      </c>
      <c r="I558" t="s">
        <v>1053</v>
      </c>
      <c r="J558" t="s">
        <v>851</v>
      </c>
      <c r="K558" s="57">
        <v>1.9E-3</v>
      </c>
      <c r="L558" s="57">
        <v>1.61E-2</v>
      </c>
      <c r="M558" s="57">
        <v>1.8800000000000001E-2</v>
      </c>
      <c r="N558" s="57">
        <v>-1.1000000000000001E-3</v>
      </c>
      <c r="O558" s="57">
        <v>0.18010000000000001</v>
      </c>
      <c r="P558" s="57">
        <v>-1.46E-2</v>
      </c>
      <c r="Q558" s="57">
        <v>-0.20660000000000001</v>
      </c>
      <c r="R558" s="57">
        <v>-1.04E-2</v>
      </c>
      <c r="S558">
        <v>25.07</v>
      </c>
      <c r="T558">
        <v>54.72</v>
      </c>
      <c r="U558">
        <v>17.52</v>
      </c>
      <c r="V558" s="20">
        <v>1612.9914199999998</v>
      </c>
    </row>
    <row r="559" spans="7:22" x14ac:dyDescent="0.15">
      <c r="G559" s="11">
        <v>558</v>
      </c>
      <c r="H559" t="s">
        <v>613</v>
      </c>
      <c r="I559" t="s">
        <v>892</v>
      </c>
      <c r="J559" t="s">
        <v>851</v>
      </c>
      <c r="K559" s="57">
        <v>1.5E-3</v>
      </c>
      <c r="L559" s="57">
        <v>-9.5999999999999992E-3</v>
      </c>
      <c r="M559" s="57">
        <v>6.3E-3</v>
      </c>
      <c r="N559" s="57">
        <v>-5.4999999999999997E-3</v>
      </c>
      <c r="O559" s="57">
        <v>-6.0000000000000001E-3</v>
      </c>
      <c r="P559" s="57">
        <v>-8.0100000000000005E-2</v>
      </c>
      <c r="Q559" s="57">
        <v>-4.3299999999999998E-2</v>
      </c>
      <c r="R559" s="57">
        <v>-0.1323</v>
      </c>
      <c r="S559">
        <v>24.93</v>
      </c>
      <c r="T559">
        <v>49.46</v>
      </c>
      <c r="U559">
        <v>22.51</v>
      </c>
      <c r="V559" s="20">
        <v>476.89210000000003</v>
      </c>
    </row>
    <row r="560" spans="7:22" x14ac:dyDescent="0.15">
      <c r="G560" s="11">
        <v>559</v>
      </c>
      <c r="H560" t="s">
        <v>653</v>
      </c>
      <c r="I560" t="s">
        <v>1015</v>
      </c>
      <c r="J560" t="s">
        <v>851</v>
      </c>
      <c r="K560" s="57">
        <v>1.5E-3</v>
      </c>
      <c r="L560" s="57">
        <v>-1.03E-2</v>
      </c>
      <c r="M560" s="57">
        <v>1.43E-2</v>
      </c>
      <c r="N560" s="57">
        <v>-6.1999999999999998E-3</v>
      </c>
      <c r="O560" s="57">
        <v>3.0999999999999999E-3</v>
      </c>
      <c r="P560" s="57">
        <v>-0.13150000000000001</v>
      </c>
      <c r="Q560" s="57">
        <v>-0.10340000000000001</v>
      </c>
      <c r="R560" s="57">
        <v>-0.39200000000000002</v>
      </c>
      <c r="S560">
        <v>24.8</v>
      </c>
      <c r="T560">
        <v>48.65</v>
      </c>
      <c r="U560">
        <v>23.18</v>
      </c>
      <c r="V560" s="20">
        <v>7417.6666999999998</v>
      </c>
    </row>
    <row r="561" spans="7:22" x14ac:dyDescent="0.15">
      <c r="G561" s="11">
        <v>560</v>
      </c>
      <c r="H561" t="s">
        <v>543</v>
      </c>
      <c r="I561" t="s">
        <v>1147</v>
      </c>
      <c r="J561" t="s">
        <v>851</v>
      </c>
      <c r="K561" s="57">
        <v>-2.0000000000000001E-4</v>
      </c>
      <c r="L561" s="57">
        <v>9.1999999999999998E-3</v>
      </c>
      <c r="M561" s="57">
        <v>2.4899999999999999E-2</v>
      </c>
      <c r="N561" s="57">
        <v>-3.61E-2</v>
      </c>
      <c r="O561" s="57">
        <v>-5.3400000000000003E-2</v>
      </c>
      <c r="P561" s="57">
        <v>-7.2700000000000001E-2</v>
      </c>
      <c r="Q561" s="57">
        <v>5.5800000000000002E-2</v>
      </c>
      <c r="R561" s="57">
        <v>0.1192</v>
      </c>
      <c r="S561">
        <v>24.66</v>
      </c>
      <c r="T561">
        <v>19.68</v>
      </c>
      <c r="U561">
        <v>51.89</v>
      </c>
      <c r="V561" s="20">
        <v>8592.9200999999994</v>
      </c>
    </row>
    <row r="562" spans="7:22" x14ac:dyDescent="0.15">
      <c r="G562" s="11">
        <v>561</v>
      </c>
      <c r="H562" t="s">
        <v>422</v>
      </c>
      <c r="I562" t="s">
        <v>1047</v>
      </c>
      <c r="J562" t="s">
        <v>851</v>
      </c>
      <c r="K562" s="57">
        <v>-1E-3</v>
      </c>
      <c r="L562" s="57">
        <v>-4.7899999999999998E-2</v>
      </c>
      <c r="M562" s="57">
        <v>-5.0299999999999997E-2</v>
      </c>
      <c r="N562" s="57">
        <v>-8.0100000000000005E-2</v>
      </c>
      <c r="O562" s="57">
        <v>5.1299999999999998E-2</v>
      </c>
      <c r="P562" s="57">
        <v>-8.5099999999999995E-2</v>
      </c>
      <c r="Q562" s="57">
        <v>-0.35649999999999998</v>
      </c>
      <c r="R562" s="57">
        <v>-0.35870000000000002</v>
      </c>
      <c r="S562">
        <v>24.53</v>
      </c>
      <c r="T562">
        <v>4.04</v>
      </c>
      <c r="U562">
        <v>67.52</v>
      </c>
      <c r="V562" s="20">
        <v>57216.303200000002</v>
      </c>
    </row>
    <row r="563" spans="7:22" x14ac:dyDescent="0.15">
      <c r="G563" s="11">
        <v>562</v>
      </c>
      <c r="H563" t="s">
        <v>1335</v>
      </c>
      <c r="I563" t="s">
        <v>1336</v>
      </c>
      <c r="J563" t="s">
        <v>1665</v>
      </c>
      <c r="K563" s="57">
        <v>2.3E-3</v>
      </c>
      <c r="L563" s="57">
        <v>-5.5999999999999999E-3</v>
      </c>
      <c r="M563" s="57">
        <v>2.3900000000000001E-2</v>
      </c>
      <c r="N563" s="57">
        <v>-5.9999999999999995E-4</v>
      </c>
      <c r="O563" s="57">
        <v>-3.1600000000000003E-2</v>
      </c>
      <c r="P563" s="57">
        <v>-4.82E-2</v>
      </c>
      <c r="Q563" s="57">
        <v>-4.82E-2</v>
      </c>
      <c r="R563" s="57">
        <v>-4.82E-2</v>
      </c>
      <c r="S563">
        <v>24.39</v>
      </c>
      <c r="T563">
        <v>55.39</v>
      </c>
      <c r="U563">
        <v>15.9</v>
      </c>
      <c r="V563" s="20">
        <v>315.95742999999999</v>
      </c>
    </row>
    <row r="564" spans="7:22" x14ac:dyDescent="0.15">
      <c r="G564" s="11">
        <v>563</v>
      </c>
      <c r="H564" t="s">
        <v>594</v>
      </c>
      <c r="I564" t="s">
        <v>1000</v>
      </c>
      <c r="J564" t="s">
        <v>851</v>
      </c>
      <c r="K564" s="57">
        <v>6.9999999999999999E-4</v>
      </c>
      <c r="L564" s="57">
        <v>-6.8999999999999999E-3</v>
      </c>
      <c r="M564" s="57">
        <v>2.7000000000000001E-3</v>
      </c>
      <c r="N564" s="57">
        <v>-1.72E-2</v>
      </c>
      <c r="O564" s="57">
        <v>5.67E-2</v>
      </c>
      <c r="P564" s="57">
        <v>-6.2899999999999998E-2</v>
      </c>
      <c r="Q564" s="57">
        <v>-0.1255</v>
      </c>
      <c r="R564" s="57">
        <v>-4.3299999999999998E-2</v>
      </c>
      <c r="S564">
        <v>24.26</v>
      </c>
      <c r="T564">
        <v>35.85</v>
      </c>
      <c r="U564">
        <v>35.31</v>
      </c>
      <c r="V564" s="20">
        <v>1791.1456000000001</v>
      </c>
    </row>
    <row r="565" spans="7:22" x14ac:dyDescent="0.15">
      <c r="G565" s="11">
        <v>564</v>
      </c>
      <c r="H565" t="s">
        <v>667</v>
      </c>
      <c r="I565" t="s">
        <v>1098</v>
      </c>
      <c r="J565" t="s">
        <v>851</v>
      </c>
      <c r="K565" s="57">
        <v>-1.1000000000000001E-3</v>
      </c>
      <c r="L565" s="57">
        <v>-8.4900000000000003E-2</v>
      </c>
      <c r="M565" s="57">
        <v>-7.5200000000000003E-2</v>
      </c>
      <c r="N565" s="57">
        <v>-8.6999999999999994E-2</v>
      </c>
      <c r="O565" s="57">
        <v>-0.20280000000000001</v>
      </c>
      <c r="P565" s="57">
        <v>-0.2031</v>
      </c>
      <c r="Q565" s="57">
        <v>-0.23680000000000001</v>
      </c>
      <c r="R565" s="57">
        <v>-0.28820000000000001</v>
      </c>
      <c r="S565">
        <v>24.12</v>
      </c>
      <c r="T565">
        <v>2.02</v>
      </c>
      <c r="U565">
        <v>68.73</v>
      </c>
      <c r="V565" s="20">
        <v>3164.0214000000001</v>
      </c>
    </row>
    <row r="566" spans="7:22" x14ac:dyDescent="0.15">
      <c r="G566" s="11">
        <v>565</v>
      </c>
      <c r="H566" t="s">
        <v>496</v>
      </c>
      <c r="I566" t="s">
        <v>1135</v>
      </c>
      <c r="J566" t="s">
        <v>851</v>
      </c>
      <c r="K566" s="57">
        <v>-1E-4</v>
      </c>
      <c r="L566" s="57">
        <v>-4.3E-3</v>
      </c>
      <c r="M566" s="57">
        <v>-1.0999999999999999E-2</v>
      </c>
      <c r="N566" s="57">
        <v>-3.3599999999999998E-2</v>
      </c>
      <c r="O566" s="57">
        <v>0.1948</v>
      </c>
      <c r="P566" s="57">
        <v>2.0799999999999999E-2</v>
      </c>
      <c r="Q566" s="57">
        <v>-0.1075</v>
      </c>
      <c r="R566" s="57">
        <v>1.1196999999999999</v>
      </c>
      <c r="S566">
        <v>23.99</v>
      </c>
      <c r="T566">
        <v>21.29</v>
      </c>
      <c r="U566">
        <v>49.33</v>
      </c>
      <c r="V566" s="20">
        <v>28052.2268</v>
      </c>
    </row>
    <row r="567" spans="7:22" x14ac:dyDescent="0.15">
      <c r="G567" s="11">
        <v>566</v>
      </c>
      <c r="H567" t="s">
        <v>674</v>
      </c>
      <c r="I567" t="s">
        <v>1026</v>
      </c>
      <c r="J567" t="s">
        <v>851</v>
      </c>
      <c r="K567" s="57">
        <v>2.8E-3</v>
      </c>
      <c r="L567" s="57">
        <v>-3.1800000000000002E-2</v>
      </c>
      <c r="M567" s="57">
        <v>-4.19E-2</v>
      </c>
      <c r="N567" s="57">
        <v>2.9999999999999997E-4</v>
      </c>
      <c r="O567" s="57">
        <v>0.1019</v>
      </c>
      <c r="P567" s="57">
        <v>-0.2109</v>
      </c>
      <c r="Q567" s="57">
        <v>-0.29349999999999998</v>
      </c>
      <c r="R567" s="57">
        <v>-0.27900000000000003</v>
      </c>
      <c r="S567">
        <v>23.85</v>
      </c>
      <c r="T567">
        <v>58.22</v>
      </c>
      <c r="U567">
        <v>11.99</v>
      </c>
      <c r="V567" s="20">
        <v>1966.7773999999999</v>
      </c>
    </row>
    <row r="568" spans="7:22" x14ac:dyDescent="0.15">
      <c r="G568" s="11">
        <v>567</v>
      </c>
      <c r="H568" t="s">
        <v>730</v>
      </c>
      <c r="I568" t="s">
        <v>954</v>
      </c>
      <c r="J568" t="s">
        <v>851</v>
      </c>
      <c r="K568" s="57">
        <v>5.1999999999999998E-3</v>
      </c>
      <c r="L568" s="57">
        <v>-5.5999999999999999E-3</v>
      </c>
      <c r="M568" s="57">
        <v>3.0800000000000001E-2</v>
      </c>
      <c r="N568" s="57">
        <v>4.7999999999999996E-3</v>
      </c>
      <c r="O568" s="57">
        <v>4.5900000000000003E-2</v>
      </c>
      <c r="P568" s="57">
        <v>-0.1019</v>
      </c>
      <c r="Q568" s="57">
        <v>-0.1343</v>
      </c>
      <c r="R568" s="57">
        <v>-0.20069999999999999</v>
      </c>
      <c r="S568">
        <v>23.72</v>
      </c>
      <c r="T568">
        <v>64.290000000000006</v>
      </c>
      <c r="U568">
        <v>5.8</v>
      </c>
      <c r="V568" s="20">
        <v>1357.8915</v>
      </c>
    </row>
    <row r="569" spans="7:22" x14ac:dyDescent="0.15">
      <c r="G569" s="11">
        <v>568</v>
      </c>
      <c r="H569" t="s">
        <v>652</v>
      </c>
      <c r="I569" t="s">
        <v>1601</v>
      </c>
      <c r="J569" t="s">
        <v>1665</v>
      </c>
      <c r="K569" s="57">
        <v>-1.1000000000000001E-3</v>
      </c>
      <c r="L569" s="57">
        <v>-2.7900000000000001E-2</v>
      </c>
      <c r="M569" s="57">
        <v>-4.8899999999999999E-2</v>
      </c>
      <c r="N569" s="57">
        <v>-9.2399999999999996E-2</v>
      </c>
      <c r="O569" s="57">
        <v>8.8400000000000006E-2</v>
      </c>
      <c r="P569" s="57">
        <v>-7.4499999999999997E-2</v>
      </c>
      <c r="Q569" s="57">
        <v>-0.37969999999999998</v>
      </c>
      <c r="R569" s="57">
        <v>-0.43840000000000001</v>
      </c>
      <c r="S569">
        <v>23.58</v>
      </c>
      <c r="T569">
        <v>0.94</v>
      </c>
      <c r="U569">
        <v>68.599999999999994</v>
      </c>
      <c r="V569" s="20">
        <v>3123.2725055000001</v>
      </c>
    </row>
    <row r="570" spans="7:22" x14ac:dyDescent="0.15">
      <c r="G570" s="11">
        <v>569</v>
      </c>
      <c r="H570" t="s">
        <v>636</v>
      </c>
      <c r="I570" t="s">
        <v>1120</v>
      </c>
      <c r="J570" t="s">
        <v>851</v>
      </c>
      <c r="K570" s="57">
        <v>2.9999999999999997E-4</v>
      </c>
      <c r="L570" s="57">
        <v>-9.1000000000000004E-3</v>
      </c>
      <c r="M570" s="57">
        <v>-5.4000000000000003E-3</v>
      </c>
      <c r="N570" s="57">
        <v>-2.41E-2</v>
      </c>
      <c r="O570" s="57">
        <v>-3.6200000000000003E-2</v>
      </c>
      <c r="P570" s="57">
        <v>-0.11</v>
      </c>
      <c r="Q570" s="57">
        <v>-7.0699999999999999E-2</v>
      </c>
      <c r="R570" s="57">
        <v>-7.1300000000000002E-2</v>
      </c>
      <c r="S570">
        <v>23.45</v>
      </c>
      <c r="T570">
        <v>28.57</v>
      </c>
      <c r="U570">
        <v>40.700000000000003</v>
      </c>
      <c r="V570" s="20">
        <v>5939.1252000000004</v>
      </c>
    </row>
    <row r="571" spans="7:22" x14ac:dyDescent="0.15">
      <c r="G571" s="11">
        <v>570</v>
      </c>
      <c r="H571" t="s">
        <v>666</v>
      </c>
      <c r="I571" t="s">
        <v>1051</v>
      </c>
      <c r="J571" t="s">
        <v>851</v>
      </c>
      <c r="K571" s="57">
        <v>0</v>
      </c>
      <c r="L571" s="57">
        <v>-1.5599999999999999E-2</v>
      </c>
      <c r="M571" s="57">
        <v>-7.4999999999999997E-3</v>
      </c>
      <c r="N571" s="57">
        <v>-3.15E-2</v>
      </c>
      <c r="O571" s="57">
        <v>2.8199999999999999E-2</v>
      </c>
      <c r="P571" s="57">
        <v>-7.6799999999999993E-2</v>
      </c>
      <c r="Q571" s="57">
        <v>-0.1217</v>
      </c>
      <c r="R571" s="57">
        <v>-8.1299999999999997E-2</v>
      </c>
      <c r="S571">
        <v>23.32</v>
      </c>
      <c r="T571">
        <v>22.78</v>
      </c>
      <c r="U571">
        <v>46.36</v>
      </c>
      <c r="V571" s="20">
        <v>896.49059999999997</v>
      </c>
    </row>
    <row r="572" spans="7:22" x14ac:dyDescent="0.15">
      <c r="G572" s="11">
        <v>571</v>
      </c>
      <c r="H572" t="s">
        <v>663</v>
      </c>
      <c r="I572" t="s">
        <v>951</v>
      </c>
      <c r="J572" t="s">
        <v>851</v>
      </c>
      <c r="K572" s="57">
        <v>1.1999999999999999E-3</v>
      </c>
      <c r="L572" s="57">
        <v>-4.0500000000000001E-2</v>
      </c>
      <c r="M572" s="57">
        <v>1E-4</v>
      </c>
      <c r="N572" s="57">
        <v>-0.01</v>
      </c>
      <c r="O572" s="57">
        <v>5.3999999999999999E-2</v>
      </c>
      <c r="P572" s="57">
        <v>-0.10050000000000001</v>
      </c>
      <c r="Q572" s="57">
        <v>-0.19869999999999999</v>
      </c>
      <c r="R572" s="57">
        <v>-0.1211</v>
      </c>
      <c r="S572">
        <v>23.18</v>
      </c>
      <c r="T572">
        <v>42.99</v>
      </c>
      <c r="U572">
        <v>26.01</v>
      </c>
      <c r="V572" s="20">
        <v>3354.0951669000001</v>
      </c>
    </row>
    <row r="573" spans="7:22" x14ac:dyDescent="0.15">
      <c r="G573" s="11">
        <v>572</v>
      </c>
      <c r="H573" t="s">
        <v>1523</v>
      </c>
      <c r="I573" t="s">
        <v>1524</v>
      </c>
      <c r="J573" t="s">
        <v>1665</v>
      </c>
      <c r="K573" s="57">
        <v>2.0000000000000001E-4</v>
      </c>
      <c r="L573" s="57">
        <v>-6.4999999999999997E-3</v>
      </c>
      <c r="M573" s="57">
        <v>-4.0000000000000002E-4</v>
      </c>
      <c r="N573" s="57">
        <v>-2.7799999999999998E-2</v>
      </c>
      <c r="O573" s="57">
        <v>5.67E-2</v>
      </c>
      <c r="P573" s="57">
        <v>-4.9799999999999997E-2</v>
      </c>
      <c r="Q573" s="57">
        <v>-0.1096</v>
      </c>
      <c r="R573" s="57">
        <v>-4.2299999999999997E-2</v>
      </c>
      <c r="S573">
        <v>23.05</v>
      </c>
      <c r="T573">
        <v>25.2</v>
      </c>
      <c r="U573">
        <v>42.45</v>
      </c>
      <c r="V573" s="20">
        <v>846.59100000000001</v>
      </c>
    </row>
    <row r="574" spans="7:22" x14ac:dyDescent="0.15">
      <c r="G574" s="11">
        <v>573</v>
      </c>
      <c r="H574" t="s">
        <v>2040</v>
      </c>
      <c r="I574" t="s">
        <v>2097</v>
      </c>
      <c r="J574" t="s">
        <v>2058</v>
      </c>
      <c r="K574" s="57">
        <v>-8.9999999999999998E-4</v>
      </c>
      <c r="L574" s="57">
        <v>-4.7500000000000001E-2</v>
      </c>
      <c r="M574" s="57">
        <v>-5.3400000000000003E-2</v>
      </c>
      <c r="N574" s="57">
        <v>-8.1900000000000001E-2</v>
      </c>
      <c r="O574" s="57">
        <v>-0.1153</v>
      </c>
      <c r="P574" s="57">
        <v>-0.1153</v>
      </c>
      <c r="Q574" s="57">
        <v>-0.1153</v>
      </c>
      <c r="R574" s="57">
        <v>-0.1153</v>
      </c>
      <c r="S574">
        <v>22.91</v>
      </c>
      <c r="T574">
        <v>2.96</v>
      </c>
      <c r="U574">
        <v>64.69</v>
      </c>
      <c r="V574" s="20">
        <v>885.20299999999997</v>
      </c>
    </row>
    <row r="575" spans="7:22" x14ac:dyDescent="0.15">
      <c r="G575" s="11">
        <v>574</v>
      </c>
      <c r="H575" t="s">
        <v>1376</v>
      </c>
      <c r="I575" t="s">
        <v>1377</v>
      </c>
      <c r="J575" t="s">
        <v>1665</v>
      </c>
      <c r="K575" s="57">
        <v>2.2000000000000001E-3</v>
      </c>
      <c r="L575" s="57">
        <v>1.9300000000000001E-2</v>
      </c>
      <c r="M575" s="57">
        <v>3.0700000000000002E-2</v>
      </c>
      <c r="N575" s="57">
        <v>-3.5000000000000001E-3</v>
      </c>
      <c r="O575" s="57">
        <v>0.22720000000000001</v>
      </c>
      <c r="P575" s="57">
        <v>6.3600000000000004E-2</v>
      </c>
      <c r="Q575" s="57">
        <v>-2.7199999999999998E-2</v>
      </c>
      <c r="R575" s="57">
        <v>1.18E-2</v>
      </c>
      <c r="S575">
        <v>22.78</v>
      </c>
      <c r="T575">
        <v>51.21</v>
      </c>
      <c r="U575">
        <v>16.309999999999999</v>
      </c>
      <c r="V575" s="20">
        <v>1429.4535000000001</v>
      </c>
    </row>
    <row r="576" spans="7:22" x14ac:dyDescent="0.15">
      <c r="G576" s="11">
        <v>575</v>
      </c>
      <c r="H576" t="s">
        <v>1351</v>
      </c>
      <c r="I576" t="s">
        <v>1352</v>
      </c>
      <c r="J576" t="s">
        <v>1665</v>
      </c>
      <c r="K576" s="57">
        <v>2.5000000000000001E-3</v>
      </c>
      <c r="L576" s="57">
        <v>-4.0300000000000002E-2</v>
      </c>
      <c r="M576" s="57">
        <v>-6.1899999999999997E-2</v>
      </c>
      <c r="N576" s="57">
        <v>-1.6999999999999999E-3</v>
      </c>
      <c r="O576" s="57">
        <v>7.9899999999999999E-2</v>
      </c>
      <c r="P576" s="57">
        <v>-0.21879999999999999</v>
      </c>
      <c r="Q576" s="57">
        <v>-0.316</v>
      </c>
      <c r="R576" s="57">
        <v>-0.3236</v>
      </c>
      <c r="S576">
        <v>22.64</v>
      </c>
      <c r="T576">
        <v>53.1</v>
      </c>
      <c r="U576">
        <v>14.42</v>
      </c>
      <c r="V576" s="20">
        <v>948.06320000000005</v>
      </c>
    </row>
    <row r="577" spans="7:22" x14ac:dyDescent="0.15">
      <c r="G577" s="11">
        <v>576</v>
      </c>
      <c r="H577" t="s">
        <v>445</v>
      </c>
      <c r="I577" t="s">
        <v>889</v>
      </c>
      <c r="J577" t="s">
        <v>851</v>
      </c>
      <c r="K577" s="57">
        <v>-5.0000000000000001E-4</v>
      </c>
      <c r="L577" s="57">
        <v>-3.5099999999999999E-2</v>
      </c>
      <c r="M577" s="57">
        <v>-4.02E-2</v>
      </c>
      <c r="N577" s="57">
        <v>-6.5500000000000003E-2</v>
      </c>
      <c r="O577" s="57">
        <v>3.78E-2</v>
      </c>
      <c r="P577" s="57">
        <v>-7.9899999999999999E-2</v>
      </c>
      <c r="Q577" s="57">
        <v>-0.27229999999999999</v>
      </c>
      <c r="R577" s="57">
        <v>-0.16600000000000001</v>
      </c>
      <c r="S577">
        <v>22.51</v>
      </c>
      <c r="T577">
        <v>8.89</v>
      </c>
      <c r="U577">
        <v>58.36</v>
      </c>
      <c r="V577" s="20">
        <v>117.646</v>
      </c>
    </row>
    <row r="578" spans="7:22" x14ac:dyDescent="0.15">
      <c r="G578" s="11">
        <v>577</v>
      </c>
      <c r="H578" t="s">
        <v>465</v>
      </c>
      <c r="I578" t="s">
        <v>882</v>
      </c>
      <c r="J578" t="s">
        <v>851</v>
      </c>
      <c r="K578" s="57">
        <v>1.4E-3</v>
      </c>
      <c r="L578" s="57">
        <v>-8.0000000000000004E-4</v>
      </c>
      <c r="M578" s="57">
        <v>-2.4E-2</v>
      </c>
      <c r="N578" s="57">
        <v>-1.0500000000000001E-2</v>
      </c>
      <c r="O578" s="57">
        <v>0.17080000000000001</v>
      </c>
      <c r="P578" s="57">
        <v>-3.9399999999999998E-2</v>
      </c>
      <c r="Q578" s="57">
        <v>-6.2199999999999998E-2</v>
      </c>
      <c r="R578" s="57">
        <v>-4.6300000000000001E-2</v>
      </c>
      <c r="S578">
        <v>22.37</v>
      </c>
      <c r="T578">
        <v>42.45</v>
      </c>
      <c r="U578">
        <v>24.26</v>
      </c>
      <c r="V578" s="20">
        <v>139.22806359999998</v>
      </c>
    </row>
    <row r="579" spans="7:22" x14ac:dyDescent="0.15">
      <c r="G579" s="11">
        <v>578</v>
      </c>
      <c r="H579" t="s">
        <v>474</v>
      </c>
      <c r="I579" t="s">
        <v>914</v>
      </c>
      <c r="J579" t="s">
        <v>851</v>
      </c>
      <c r="K579" s="57">
        <v>1.4E-3</v>
      </c>
      <c r="L579" s="57">
        <v>-7.1999999999999998E-3</v>
      </c>
      <c r="M579" s="57">
        <v>4.3E-3</v>
      </c>
      <c r="N579" s="57">
        <v>-1.11E-2</v>
      </c>
      <c r="O579" s="57">
        <v>6.9599999999999995E-2</v>
      </c>
      <c r="P579" s="57">
        <v>-4.6100000000000002E-2</v>
      </c>
      <c r="Q579" s="57">
        <v>-9.1300000000000006E-2</v>
      </c>
      <c r="R579" s="57">
        <v>0.14580000000000001</v>
      </c>
      <c r="S579">
        <v>22.24</v>
      </c>
      <c r="T579">
        <v>41.78</v>
      </c>
      <c r="U579">
        <v>24.8</v>
      </c>
      <c r="V579" s="20">
        <v>357.25659999999999</v>
      </c>
    </row>
    <row r="580" spans="7:22" x14ac:dyDescent="0.15">
      <c r="G580" s="11">
        <v>579</v>
      </c>
      <c r="H580" t="s">
        <v>568</v>
      </c>
      <c r="I580" t="s">
        <v>1039</v>
      </c>
      <c r="J580" t="s">
        <v>851</v>
      </c>
      <c r="K580" s="57">
        <v>5.0000000000000001E-4</v>
      </c>
      <c r="L580" s="57">
        <v>-1.2800000000000001E-2</v>
      </c>
      <c r="M580" s="57">
        <v>-1.7999999999999999E-2</v>
      </c>
      <c r="N580" s="57">
        <v>-2.4899999999999999E-2</v>
      </c>
      <c r="O580" s="57">
        <v>8.6999999999999994E-2</v>
      </c>
      <c r="P580" s="57">
        <v>-2.3800000000000002E-2</v>
      </c>
      <c r="Q580" s="57">
        <v>-1.4200000000000001E-2</v>
      </c>
      <c r="R580" s="57">
        <v>2.7E-2</v>
      </c>
      <c r="S580">
        <v>22.1</v>
      </c>
      <c r="T580">
        <v>27.49</v>
      </c>
      <c r="U580">
        <v>38.68</v>
      </c>
      <c r="V580" s="20">
        <v>1383.1222</v>
      </c>
    </row>
    <row r="581" spans="7:22" x14ac:dyDescent="0.15">
      <c r="G581" s="11">
        <v>580</v>
      </c>
      <c r="H581" t="s">
        <v>1425</v>
      </c>
      <c r="I581" t="s">
        <v>1426</v>
      </c>
      <c r="J581" t="s">
        <v>1665</v>
      </c>
      <c r="K581" s="57">
        <v>-2.0000000000000001E-4</v>
      </c>
      <c r="L581" s="57">
        <v>-1.7500000000000002E-2</v>
      </c>
      <c r="M581" s="57">
        <v>-1.95E-2</v>
      </c>
      <c r="N581" s="57">
        <v>-4.48E-2</v>
      </c>
      <c r="O581" s="57">
        <v>4.8399999999999999E-2</v>
      </c>
      <c r="P581" s="57">
        <v>3.5200000000000002E-2</v>
      </c>
      <c r="Q581" s="57">
        <v>3.5200000000000002E-2</v>
      </c>
      <c r="R581" s="57">
        <v>3.5200000000000002E-2</v>
      </c>
      <c r="S581">
        <v>21.97</v>
      </c>
      <c r="T581">
        <v>15.09</v>
      </c>
      <c r="U581">
        <v>51.08</v>
      </c>
      <c r="V581" s="20">
        <v>892.51463999999999</v>
      </c>
    </row>
    <row r="582" spans="7:22" x14ac:dyDescent="0.15">
      <c r="G582" s="11">
        <v>581</v>
      </c>
      <c r="H582" t="s">
        <v>645</v>
      </c>
      <c r="I582" t="s">
        <v>957</v>
      </c>
      <c r="J582" t="s">
        <v>851</v>
      </c>
      <c r="K582" s="57">
        <v>1.1999999999999999E-3</v>
      </c>
      <c r="L582" s="57">
        <v>-5.0000000000000001E-3</v>
      </c>
      <c r="M582" s="57">
        <v>1.06E-2</v>
      </c>
      <c r="N582" s="57">
        <v>-1.26E-2</v>
      </c>
      <c r="O582" s="57">
        <v>2.0400000000000001E-2</v>
      </c>
      <c r="P582" s="57">
        <v>-5.6500000000000002E-2</v>
      </c>
      <c r="Q582" s="57">
        <v>3.3E-3</v>
      </c>
      <c r="R582" s="57">
        <v>0.2228</v>
      </c>
      <c r="S582">
        <v>21.83</v>
      </c>
      <c r="T582">
        <v>39.49</v>
      </c>
      <c r="U582">
        <v>26.55</v>
      </c>
      <c r="V582" s="20">
        <v>1608.423</v>
      </c>
    </row>
    <row r="583" spans="7:22" x14ac:dyDescent="0.15">
      <c r="G583" s="11">
        <v>582</v>
      </c>
      <c r="H583" t="s">
        <v>683</v>
      </c>
      <c r="I583" t="s">
        <v>994</v>
      </c>
      <c r="J583" t="s">
        <v>851</v>
      </c>
      <c r="K583" s="57">
        <v>1.8E-3</v>
      </c>
      <c r="L583" s="57">
        <v>-4.2900000000000001E-2</v>
      </c>
      <c r="M583" s="57">
        <v>-4.8599999999999997E-2</v>
      </c>
      <c r="N583" s="57">
        <v>-7.6E-3</v>
      </c>
      <c r="O583" s="57">
        <v>8.6699999999999999E-2</v>
      </c>
      <c r="P583" s="57">
        <v>-0.20050000000000001</v>
      </c>
      <c r="Q583" s="57">
        <v>-0.30969999999999998</v>
      </c>
      <c r="R583" s="57">
        <v>-0.3533</v>
      </c>
      <c r="S583">
        <v>21.7</v>
      </c>
      <c r="T583">
        <v>46.77</v>
      </c>
      <c r="U583">
        <v>19.14</v>
      </c>
      <c r="V583" s="20">
        <v>422.53245999999996</v>
      </c>
    </row>
    <row r="584" spans="7:22" x14ac:dyDescent="0.15">
      <c r="G584" s="11">
        <v>583</v>
      </c>
      <c r="H584" t="s">
        <v>1341</v>
      </c>
      <c r="I584" t="s">
        <v>1342</v>
      </c>
      <c r="J584" t="s">
        <v>1665</v>
      </c>
      <c r="K584" s="57">
        <v>2.9999999999999997E-4</v>
      </c>
      <c r="L584" s="57">
        <v>-2.6800000000000001E-2</v>
      </c>
      <c r="M584" s="57">
        <v>-1.84E-2</v>
      </c>
      <c r="N584" s="57">
        <v>-2.8799999999999999E-2</v>
      </c>
      <c r="O584" s="57">
        <v>3.2500000000000001E-2</v>
      </c>
      <c r="P584" s="57">
        <v>-6.3E-3</v>
      </c>
      <c r="Q584" s="57">
        <v>-6.3E-3</v>
      </c>
      <c r="R584" s="57">
        <v>-6.3E-3</v>
      </c>
      <c r="S584">
        <v>21.56</v>
      </c>
      <c r="T584">
        <v>24.39</v>
      </c>
      <c r="U584">
        <v>41.24</v>
      </c>
      <c r="V584" s="20">
        <v>154.62450000000001</v>
      </c>
    </row>
    <row r="585" spans="7:22" x14ac:dyDescent="0.15">
      <c r="G585" s="11">
        <v>584</v>
      </c>
      <c r="H585" t="s">
        <v>715</v>
      </c>
      <c r="I585" t="s">
        <v>1283</v>
      </c>
      <c r="J585" t="s">
        <v>1267</v>
      </c>
      <c r="K585" s="57">
        <v>-6.9999999999999999E-4</v>
      </c>
      <c r="L585" s="57">
        <v>-2.7799999999999998E-2</v>
      </c>
      <c r="M585" s="57">
        <v>-4.0899999999999999E-2</v>
      </c>
      <c r="N585" s="57">
        <v>-7.9699999999999993E-2</v>
      </c>
      <c r="O585" s="57">
        <v>6.0699999999999997E-2</v>
      </c>
      <c r="P585" s="57">
        <v>-0.11409999999999999</v>
      </c>
      <c r="Q585" s="57">
        <v>-0.34320000000000001</v>
      </c>
      <c r="R585" s="57">
        <v>-0.4516</v>
      </c>
      <c r="S585">
        <v>21.43</v>
      </c>
      <c r="T585">
        <v>4.3099999999999996</v>
      </c>
      <c r="U585">
        <v>61.19</v>
      </c>
      <c r="V585" s="20">
        <v>15759.8433</v>
      </c>
    </row>
    <row r="586" spans="7:22" x14ac:dyDescent="0.15">
      <c r="G586" s="11">
        <v>585</v>
      </c>
      <c r="H586" t="s">
        <v>461</v>
      </c>
      <c r="I586" t="s">
        <v>1080</v>
      </c>
      <c r="J586" t="s">
        <v>851</v>
      </c>
      <c r="K586" s="57">
        <v>-5.9999999999999995E-4</v>
      </c>
      <c r="L586" s="57">
        <v>-4.4900000000000002E-2</v>
      </c>
      <c r="M586" s="57">
        <v>-4.7899999999999998E-2</v>
      </c>
      <c r="N586" s="57">
        <v>-7.5700000000000003E-2</v>
      </c>
      <c r="O586" s="57">
        <v>3.6600000000000001E-2</v>
      </c>
      <c r="P586" s="57">
        <v>-6.9800000000000001E-2</v>
      </c>
      <c r="Q586" s="57">
        <v>-0.37640000000000001</v>
      </c>
      <c r="R586" s="57">
        <v>-0.31619999999999998</v>
      </c>
      <c r="S586">
        <v>21.29</v>
      </c>
      <c r="T586">
        <v>6.2</v>
      </c>
      <c r="U586">
        <v>59.03</v>
      </c>
      <c r="V586" s="20">
        <v>50197.005599999997</v>
      </c>
    </row>
    <row r="587" spans="7:22" x14ac:dyDescent="0.15">
      <c r="G587" s="11">
        <v>586</v>
      </c>
      <c r="H587" t="s">
        <v>291</v>
      </c>
      <c r="I587" t="s">
        <v>1245</v>
      </c>
      <c r="J587" t="s">
        <v>1230</v>
      </c>
      <c r="K587" s="57">
        <v>-1E-4</v>
      </c>
      <c r="L587" s="57">
        <v>-2.3400000000000001E-2</v>
      </c>
      <c r="M587" s="57">
        <v>-1.66E-2</v>
      </c>
      <c r="N587" s="57">
        <v>-4.1000000000000002E-2</v>
      </c>
      <c r="O587" s="57">
        <v>4.0000000000000001E-3</v>
      </c>
      <c r="P587" s="57">
        <v>-7.4499999999999997E-2</v>
      </c>
      <c r="Q587" s="57">
        <v>-1.5800000000000002E-2</v>
      </c>
      <c r="R587" s="57">
        <v>5.28E-2</v>
      </c>
      <c r="S587">
        <v>21.16</v>
      </c>
      <c r="T587">
        <v>16.98</v>
      </c>
      <c r="U587">
        <v>48.25</v>
      </c>
      <c r="V587" s="20">
        <v>21.625499999999999</v>
      </c>
    </row>
    <row r="588" spans="7:22" x14ac:dyDescent="0.15">
      <c r="G588" s="11">
        <v>587</v>
      </c>
      <c r="H588" t="s">
        <v>1622</v>
      </c>
      <c r="I588" t="s">
        <v>1623</v>
      </c>
      <c r="J588" t="s">
        <v>1665</v>
      </c>
      <c r="K588" s="57">
        <v>5.0000000000000001E-4</v>
      </c>
      <c r="L588" s="57">
        <v>-1.67E-2</v>
      </c>
      <c r="M588" s="57">
        <v>-1.4800000000000001E-2</v>
      </c>
      <c r="N588" s="57">
        <v>-2.6700000000000002E-2</v>
      </c>
      <c r="O588" s="57">
        <v>8.8099999999999998E-2</v>
      </c>
      <c r="P588" s="57">
        <v>-5.7299999999999997E-2</v>
      </c>
      <c r="Q588" s="57">
        <v>-0.1676</v>
      </c>
      <c r="R588" s="57">
        <v>-0.1676</v>
      </c>
      <c r="S588">
        <v>21.02</v>
      </c>
      <c r="T588">
        <v>26.01</v>
      </c>
      <c r="U588">
        <v>38.81</v>
      </c>
      <c r="V588" s="20">
        <v>2281.6212999999998</v>
      </c>
    </row>
    <row r="589" spans="7:22" x14ac:dyDescent="0.15">
      <c r="G589" s="11">
        <v>588</v>
      </c>
      <c r="H589" t="s">
        <v>688</v>
      </c>
      <c r="I589" t="s">
        <v>906</v>
      </c>
      <c r="J589" t="s">
        <v>851</v>
      </c>
      <c r="K589" s="57">
        <v>4.4999999999999997E-3</v>
      </c>
      <c r="L589" s="57">
        <v>-1.1900000000000001E-2</v>
      </c>
      <c r="M589" s="57">
        <v>-2.7199999999999998E-2</v>
      </c>
      <c r="N589" s="57">
        <v>5.0000000000000001E-4</v>
      </c>
      <c r="O589" s="57">
        <v>0.2</v>
      </c>
      <c r="P589" s="57">
        <v>-7.8100000000000003E-2</v>
      </c>
      <c r="Q589" s="57">
        <v>-9.0499999999999997E-2</v>
      </c>
      <c r="R589" s="57">
        <v>9.4E-2</v>
      </c>
      <c r="S589">
        <v>20.89</v>
      </c>
      <c r="T589">
        <v>58.76</v>
      </c>
      <c r="U589">
        <v>6.06</v>
      </c>
      <c r="V589" s="20">
        <v>2167.2716962999998</v>
      </c>
    </row>
    <row r="590" spans="7:22" x14ac:dyDescent="0.15">
      <c r="G590" s="11">
        <v>589</v>
      </c>
      <c r="H590" t="s">
        <v>660</v>
      </c>
      <c r="I590" t="s">
        <v>968</v>
      </c>
      <c r="J590" t="s">
        <v>851</v>
      </c>
      <c r="K590" s="57">
        <v>1E-3</v>
      </c>
      <c r="L590" s="57">
        <v>-9.4000000000000004E-3</v>
      </c>
      <c r="M590" s="57">
        <v>-1.1999999999999999E-3</v>
      </c>
      <c r="N590" s="57">
        <v>-1.8200000000000001E-2</v>
      </c>
      <c r="O590" s="57">
        <v>5.4899999999999997E-2</v>
      </c>
      <c r="P590" s="57">
        <v>-6.8199999999999997E-2</v>
      </c>
      <c r="Q590" s="57">
        <v>-0.1464</v>
      </c>
      <c r="R590" s="57">
        <v>-6.4600000000000005E-2</v>
      </c>
      <c r="S590">
        <v>20.75</v>
      </c>
      <c r="T590">
        <v>34.909999999999997</v>
      </c>
      <c r="U590">
        <v>29.78</v>
      </c>
      <c r="V590" s="20">
        <v>1278.5952</v>
      </c>
    </row>
    <row r="591" spans="7:22" x14ac:dyDescent="0.15">
      <c r="G591" s="11">
        <v>590</v>
      </c>
      <c r="H591" t="s">
        <v>661</v>
      </c>
      <c r="I591" t="s">
        <v>1159</v>
      </c>
      <c r="J591" t="s">
        <v>851</v>
      </c>
      <c r="K591" s="57">
        <v>4.0000000000000002E-4</v>
      </c>
      <c r="L591" s="57">
        <v>-1.3599999999999999E-2</v>
      </c>
      <c r="M591" s="57">
        <v>-7.0000000000000001E-3</v>
      </c>
      <c r="N591" s="57">
        <v>-2.8000000000000001E-2</v>
      </c>
      <c r="O591" s="57">
        <v>1.89E-2</v>
      </c>
      <c r="P591" s="57">
        <v>-6.9400000000000003E-2</v>
      </c>
      <c r="Q591" s="57">
        <v>-0.11509999999999999</v>
      </c>
      <c r="R591" s="57">
        <v>-0.1094</v>
      </c>
      <c r="S591">
        <v>20.62</v>
      </c>
      <c r="T591">
        <v>25.07</v>
      </c>
      <c r="U591">
        <v>39.49</v>
      </c>
      <c r="V591" s="20">
        <v>110273.3867</v>
      </c>
    </row>
    <row r="592" spans="7:22" x14ac:dyDescent="0.15">
      <c r="G592" s="11">
        <v>591</v>
      </c>
      <c r="H592" t="s">
        <v>542</v>
      </c>
      <c r="I592" t="s">
        <v>937</v>
      </c>
      <c r="J592" t="s">
        <v>851</v>
      </c>
      <c r="K592" s="57">
        <v>1.8E-3</v>
      </c>
      <c r="L592" s="57">
        <v>-1.4999999999999999E-2</v>
      </c>
      <c r="M592" s="57">
        <v>3.5999999999999999E-3</v>
      </c>
      <c r="N592" s="57">
        <v>-8.3999999999999995E-3</v>
      </c>
      <c r="O592" s="57">
        <v>4.1099999999999998E-2</v>
      </c>
      <c r="P592" s="57">
        <v>-4.3700000000000003E-2</v>
      </c>
      <c r="Q592" s="57">
        <v>-3.8800000000000001E-2</v>
      </c>
      <c r="R592" s="57">
        <v>0.20219999999999999</v>
      </c>
      <c r="S592">
        <v>20.49</v>
      </c>
      <c r="T592">
        <v>46.09</v>
      </c>
      <c r="U592">
        <v>18.059999999999999</v>
      </c>
      <c r="V592" s="20">
        <v>1249.6368</v>
      </c>
    </row>
    <row r="593" spans="7:22" x14ac:dyDescent="0.15">
      <c r="G593" s="11">
        <v>592</v>
      </c>
      <c r="H593" t="s">
        <v>485</v>
      </c>
      <c r="I593" t="s">
        <v>877</v>
      </c>
      <c r="J593" t="s">
        <v>851</v>
      </c>
      <c r="K593" s="57">
        <v>1.9E-3</v>
      </c>
      <c r="L593" s="57">
        <v>-1.44E-2</v>
      </c>
      <c r="M593" s="57">
        <v>-2.5999999999999999E-3</v>
      </c>
      <c r="N593" s="57">
        <v>-8.2000000000000007E-3</v>
      </c>
      <c r="O593" s="57">
        <v>-8.9999999999999993E-3</v>
      </c>
      <c r="P593" s="57">
        <v>-0.1086</v>
      </c>
      <c r="Q593" s="57">
        <v>-0.12989999999999999</v>
      </c>
      <c r="R593" s="57">
        <v>-4.1799999999999997E-2</v>
      </c>
      <c r="S593">
        <v>20.350000000000001</v>
      </c>
      <c r="T593">
        <v>46.23</v>
      </c>
      <c r="U593">
        <v>17.920000000000002</v>
      </c>
      <c r="V593" s="20">
        <v>396.06150000000002</v>
      </c>
    </row>
    <row r="594" spans="7:22" x14ac:dyDescent="0.15">
      <c r="G594" s="11">
        <v>593</v>
      </c>
      <c r="H594" t="s">
        <v>1495</v>
      </c>
      <c r="I594" t="s">
        <v>1496</v>
      </c>
      <c r="J594" t="s">
        <v>1665</v>
      </c>
      <c r="K594" s="57">
        <v>5.9999999999999995E-4</v>
      </c>
      <c r="L594" s="57">
        <v>-1.6299999999999999E-2</v>
      </c>
      <c r="M594" s="57">
        <v>-4.5999999999999999E-3</v>
      </c>
      <c r="N594" s="57">
        <v>-2.52E-2</v>
      </c>
      <c r="O594" s="57">
        <v>2.1299999999999999E-2</v>
      </c>
      <c r="P594" s="57">
        <v>-7.5700000000000003E-2</v>
      </c>
      <c r="Q594" s="57">
        <v>-0.1203</v>
      </c>
      <c r="R594" s="57">
        <v>-0.14369999999999999</v>
      </c>
      <c r="S594">
        <v>20.22</v>
      </c>
      <c r="T594">
        <v>27.09</v>
      </c>
      <c r="U594">
        <v>36.659999999999997</v>
      </c>
      <c r="V594" s="20">
        <v>53.883099999999999</v>
      </c>
    </row>
    <row r="595" spans="7:22" x14ac:dyDescent="0.15">
      <c r="G595" s="11">
        <v>594</v>
      </c>
      <c r="H595" t="s">
        <v>1400</v>
      </c>
      <c r="I595" t="s">
        <v>1401</v>
      </c>
      <c r="J595" t="s">
        <v>1665</v>
      </c>
      <c r="K595" s="57">
        <v>2.5999999999999999E-3</v>
      </c>
      <c r="L595" s="57">
        <v>2.0400000000000001E-2</v>
      </c>
      <c r="M595" s="57">
        <v>3.1300000000000001E-2</v>
      </c>
      <c r="N595" s="57">
        <v>-5.3E-3</v>
      </c>
      <c r="O595" s="57">
        <v>0.20799999999999999</v>
      </c>
      <c r="P595" s="57">
        <v>7.9699999999999993E-2</v>
      </c>
      <c r="Q595" s="57">
        <v>-3.0999999999999999E-3</v>
      </c>
      <c r="R595" s="57">
        <v>5.4000000000000003E-3</v>
      </c>
      <c r="S595">
        <v>20.079999999999998</v>
      </c>
      <c r="T595">
        <v>50.13</v>
      </c>
      <c r="U595">
        <v>13.34</v>
      </c>
      <c r="V595" s="20">
        <v>16358.574599700001</v>
      </c>
    </row>
    <row r="596" spans="7:22" x14ac:dyDescent="0.15">
      <c r="G596" s="11">
        <v>595</v>
      </c>
      <c r="H596" t="s">
        <v>515</v>
      </c>
      <c r="I596" t="s">
        <v>1072</v>
      </c>
      <c r="J596" t="s">
        <v>851</v>
      </c>
      <c r="K596" s="57">
        <v>2.3999999999999998E-3</v>
      </c>
      <c r="L596" s="57">
        <v>-4.0899999999999999E-2</v>
      </c>
      <c r="M596" s="57">
        <v>-6.13E-2</v>
      </c>
      <c r="N596" s="57">
        <v>-6.4999999999999997E-3</v>
      </c>
      <c r="O596" s="57">
        <v>6.8000000000000005E-2</v>
      </c>
      <c r="P596" s="57">
        <v>-0.22090000000000001</v>
      </c>
      <c r="Q596" s="57">
        <v>-0.28410000000000002</v>
      </c>
      <c r="R596" s="57">
        <v>-0.26179999999999998</v>
      </c>
      <c r="S596">
        <v>19.95</v>
      </c>
      <c r="T596">
        <v>48.38</v>
      </c>
      <c r="U596">
        <v>15.09</v>
      </c>
      <c r="V596" s="20">
        <v>5939.8935099999999</v>
      </c>
    </row>
    <row r="597" spans="7:22" x14ac:dyDescent="0.15">
      <c r="G597" s="11">
        <v>596</v>
      </c>
      <c r="H597" t="s">
        <v>2089</v>
      </c>
      <c r="I597" t="s">
        <v>2090</v>
      </c>
      <c r="J597" t="s">
        <v>2058</v>
      </c>
      <c r="K597" s="57">
        <v>1.1000000000000001E-3</v>
      </c>
      <c r="L597" s="57">
        <v>-6.6E-3</v>
      </c>
      <c r="M597" s="57">
        <v>3.3E-3</v>
      </c>
      <c r="N597" s="57">
        <v>-1.7899999999999999E-2</v>
      </c>
      <c r="O597" s="57">
        <v>5.79E-2</v>
      </c>
      <c r="P597" s="57">
        <v>-6.2799999999999995E-2</v>
      </c>
      <c r="Q597" s="57">
        <v>-0.13100000000000001</v>
      </c>
      <c r="R597" s="57">
        <v>-9.4899999999999998E-2</v>
      </c>
      <c r="S597">
        <v>19.809999999999999</v>
      </c>
      <c r="T597">
        <v>35.04</v>
      </c>
      <c r="U597">
        <v>28.3</v>
      </c>
      <c r="V597" s="20">
        <v>723.68780000000004</v>
      </c>
    </row>
    <row r="598" spans="7:22" x14ac:dyDescent="0.15">
      <c r="G598" s="11">
        <v>597</v>
      </c>
      <c r="H598" t="s">
        <v>560</v>
      </c>
      <c r="I598" t="s">
        <v>1009</v>
      </c>
      <c r="J598" t="s">
        <v>851</v>
      </c>
      <c r="K598" s="57">
        <v>0</v>
      </c>
      <c r="L598" s="57">
        <v>-2.3599999999999999E-2</v>
      </c>
      <c r="M598" s="57">
        <v>-2.3199999999999998E-2</v>
      </c>
      <c r="N598" s="57">
        <v>-4.2599999999999999E-2</v>
      </c>
      <c r="O598" s="57">
        <v>5.79E-2</v>
      </c>
      <c r="P598" s="57">
        <v>-0.1096</v>
      </c>
      <c r="Q598" s="57">
        <v>-0.30559999999999998</v>
      </c>
      <c r="R598" s="57">
        <v>-0.432</v>
      </c>
      <c r="S598">
        <v>19.68</v>
      </c>
      <c r="T598">
        <v>16.440000000000001</v>
      </c>
      <c r="U598">
        <v>46.63</v>
      </c>
      <c r="V598" s="20">
        <v>1074.5636999999999</v>
      </c>
    </row>
    <row r="599" spans="7:22" x14ac:dyDescent="0.15">
      <c r="G599" s="11">
        <v>598</v>
      </c>
      <c r="H599" t="s">
        <v>597</v>
      </c>
      <c r="I599" t="s">
        <v>927</v>
      </c>
      <c r="J599" t="s">
        <v>851</v>
      </c>
      <c r="K599" s="57">
        <v>1.9E-3</v>
      </c>
      <c r="L599" s="57">
        <v>-8.2000000000000007E-3</v>
      </c>
      <c r="M599" s="57">
        <v>4.3E-3</v>
      </c>
      <c r="N599" s="57">
        <v>-9.1999999999999998E-3</v>
      </c>
      <c r="O599" s="57">
        <v>6.6500000000000004E-2</v>
      </c>
      <c r="P599" s="57">
        <v>-5.9700000000000003E-2</v>
      </c>
      <c r="Q599" s="57">
        <v>-0.12759999999999999</v>
      </c>
      <c r="R599" s="57">
        <v>-1.6299999999999999E-2</v>
      </c>
      <c r="S599">
        <v>19.54</v>
      </c>
      <c r="T599">
        <v>45.15</v>
      </c>
      <c r="U599">
        <v>17.649999999999999</v>
      </c>
      <c r="V599" s="20">
        <v>1874.3308999999999</v>
      </c>
    </row>
    <row r="600" spans="7:22" x14ac:dyDescent="0.15">
      <c r="G600" s="11">
        <v>599</v>
      </c>
      <c r="H600" t="s">
        <v>390</v>
      </c>
      <c r="I600" t="s">
        <v>1112</v>
      </c>
      <c r="J600" t="s">
        <v>851</v>
      </c>
      <c r="K600" s="57">
        <v>2.9999999999999997E-4</v>
      </c>
      <c r="L600" s="57">
        <v>3.0000000000000001E-3</v>
      </c>
      <c r="M600" s="57">
        <v>-2.3999999999999998E-3</v>
      </c>
      <c r="N600" s="57">
        <v>-3.4000000000000002E-2</v>
      </c>
      <c r="O600" s="57">
        <v>0.21029999999999999</v>
      </c>
      <c r="P600" s="57">
        <v>3.8300000000000001E-2</v>
      </c>
      <c r="Q600" s="57">
        <v>-0.1003</v>
      </c>
      <c r="R600" s="57">
        <v>0.18260000000000001</v>
      </c>
      <c r="S600">
        <v>19.41</v>
      </c>
      <c r="T600">
        <v>20.89</v>
      </c>
      <c r="U600">
        <v>41.51</v>
      </c>
      <c r="V600" s="20">
        <v>15557.574598199999</v>
      </c>
    </row>
    <row r="601" spans="7:22" x14ac:dyDescent="0.15">
      <c r="G601" s="11">
        <v>600</v>
      </c>
      <c r="H601" t="s">
        <v>612</v>
      </c>
      <c r="I601" t="s">
        <v>1008</v>
      </c>
      <c r="J601" t="s">
        <v>851</v>
      </c>
      <c r="K601" s="57">
        <v>8.0000000000000004E-4</v>
      </c>
      <c r="L601" s="57">
        <v>-8.0999999999999996E-3</v>
      </c>
      <c r="M601" s="57">
        <v>-4.4999999999999997E-3</v>
      </c>
      <c r="N601" s="57">
        <v>-2.2700000000000001E-2</v>
      </c>
      <c r="O601" s="57">
        <v>-3.2000000000000001E-2</v>
      </c>
      <c r="P601" s="57">
        <v>-0.1052</v>
      </c>
      <c r="Q601" s="57">
        <v>-5.4699999999999999E-2</v>
      </c>
      <c r="R601" s="57">
        <v>-0.16470000000000001</v>
      </c>
      <c r="S601">
        <v>19.27</v>
      </c>
      <c r="T601">
        <v>29.51</v>
      </c>
      <c r="U601">
        <v>32.61</v>
      </c>
      <c r="V601" s="20">
        <v>1592.7319</v>
      </c>
    </row>
    <row r="602" spans="7:22" x14ac:dyDescent="0.15">
      <c r="G602" s="11">
        <v>601</v>
      </c>
      <c r="H602" t="s">
        <v>285</v>
      </c>
      <c r="I602" t="s">
        <v>1252</v>
      </c>
      <c r="J602" t="s">
        <v>1230</v>
      </c>
      <c r="K602" s="57">
        <v>1E-4</v>
      </c>
      <c r="L602" s="57">
        <v>-2.3300000000000001E-2</v>
      </c>
      <c r="M602" s="57">
        <v>-1.6400000000000001E-2</v>
      </c>
      <c r="N602" s="57">
        <v>-4.0800000000000003E-2</v>
      </c>
      <c r="O602" s="57">
        <v>5.1000000000000004E-3</v>
      </c>
      <c r="P602" s="57">
        <v>-7.2599999999999998E-2</v>
      </c>
      <c r="Q602" s="57">
        <v>-1.17E-2</v>
      </c>
      <c r="R602" s="57">
        <v>6.1499999999999999E-2</v>
      </c>
      <c r="S602">
        <v>19.14</v>
      </c>
      <c r="T602">
        <v>17.12</v>
      </c>
      <c r="U602">
        <v>44.88</v>
      </c>
      <c r="V602" s="20">
        <v>232.67910000000001</v>
      </c>
    </row>
    <row r="603" spans="7:22" x14ac:dyDescent="0.15">
      <c r="G603" s="11">
        <v>602</v>
      </c>
      <c r="H603" t="s">
        <v>1499</v>
      </c>
      <c r="I603" t="s">
        <v>1500</v>
      </c>
      <c r="J603" t="s">
        <v>1665</v>
      </c>
      <c r="K603" s="57">
        <v>5.0000000000000001E-4</v>
      </c>
      <c r="L603" s="57">
        <v>2.7000000000000001E-3</v>
      </c>
      <c r="M603" s="57">
        <v>-1.8E-3</v>
      </c>
      <c r="N603" s="57">
        <v>-3.0200000000000001E-2</v>
      </c>
      <c r="O603" s="57">
        <v>0.21990000000000001</v>
      </c>
      <c r="P603" s="57">
        <v>5.0200000000000002E-2</v>
      </c>
      <c r="Q603" s="57">
        <v>-6.3500000000000001E-2</v>
      </c>
      <c r="R603" s="57">
        <v>-6.3500000000000001E-2</v>
      </c>
      <c r="S603">
        <v>19</v>
      </c>
      <c r="T603">
        <v>23.32</v>
      </c>
      <c r="U603">
        <v>38.14</v>
      </c>
      <c r="V603" s="20">
        <v>9256.3313195999999</v>
      </c>
    </row>
    <row r="604" spans="7:22" x14ac:dyDescent="0.15">
      <c r="G604" s="11">
        <v>603</v>
      </c>
      <c r="H604" t="s">
        <v>371</v>
      </c>
      <c r="I604" t="s">
        <v>872</v>
      </c>
      <c r="J604" t="s">
        <v>851</v>
      </c>
      <c r="K604" s="57">
        <v>6.3E-3</v>
      </c>
      <c r="L604" s="57">
        <v>-4.1000000000000003E-3</v>
      </c>
      <c r="M604" s="57">
        <v>7.1999999999999998E-3</v>
      </c>
      <c r="N604" s="57">
        <v>0</v>
      </c>
      <c r="O604" s="57">
        <v>0.1081</v>
      </c>
      <c r="P604" s="57">
        <v>-5.62E-2</v>
      </c>
      <c r="Q604" s="57">
        <v>-0.15160000000000001</v>
      </c>
      <c r="R604" s="57">
        <v>-6.1000000000000004E-3</v>
      </c>
      <c r="S604">
        <v>18.87</v>
      </c>
      <c r="T604">
        <v>56.06</v>
      </c>
      <c r="U604">
        <v>5.39</v>
      </c>
      <c r="V604" s="20">
        <v>148.84611000000001</v>
      </c>
    </row>
    <row r="605" spans="7:22" x14ac:dyDescent="0.15">
      <c r="G605" s="11">
        <v>604</v>
      </c>
      <c r="H605" t="s">
        <v>1565</v>
      </c>
      <c r="I605" t="s">
        <v>1566</v>
      </c>
      <c r="J605" t="s">
        <v>1665</v>
      </c>
      <c r="K605" s="57">
        <v>-4.0000000000000002E-4</v>
      </c>
      <c r="L605" s="57">
        <v>-4.7300000000000002E-2</v>
      </c>
      <c r="M605" s="57">
        <v>-5.2299999999999999E-2</v>
      </c>
      <c r="N605" s="57">
        <v>-7.5700000000000003E-2</v>
      </c>
      <c r="O605" s="57">
        <v>0.1173</v>
      </c>
      <c r="P605" s="57">
        <v>-5.21E-2</v>
      </c>
      <c r="Q605" s="57">
        <v>-0.28370000000000001</v>
      </c>
      <c r="R605" s="57">
        <v>-0.28370000000000001</v>
      </c>
      <c r="S605">
        <v>18.73</v>
      </c>
      <c r="T605">
        <v>6.06</v>
      </c>
      <c r="U605">
        <v>55.39</v>
      </c>
      <c r="V605" s="20">
        <v>1358.0779141</v>
      </c>
    </row>
    <row r="606" spans="7:22" x14ac:dyDescent="0.15">
      <c r="G606" s="11">
        <v>605</v>
      </c>
      <c r="H606" t="s">
        <v>392</v>
      </c>
      <c r="I606" t="s">
        <v>933</v>
      </c>
      <c r="J606" t="s">
        <v>851</v>
      </c>
      <c r="K606" s="57">
        <v>4.1999999999999997E-3</v>
      </c>
      <c r="L606" s="57">
        <v>1.6E-2</v>
      </c>
      <c r="M606" s="57">
        <v>1.8800000000000001E-2</v>
      </c>
      <c r="N606" s="57">
        <v>-1.5E-3</v>
      </c>
      <c r="O606" s="57">
        <v>0.1772</v>
      </c>
      <c r="P606" s="57">
        <v>-1.5599999999999999E-2</v>
      </c>
      <c r="Q606" s="57">
        <v>-0.20949999999999999</v>
      </c>
      <c r="R606" s="57">
        <v>2.5700000000000001E-2</v>
      </c>
      <c r="S606">
        <v>18.600000000000001</v>
      </c>
      <c r="T606">
        <v>53.5</v>
      </c>
      <c r="U606">
        <v>7.41</v>
      </c>
      <c r="V606" s="20">
        <v>98.862440000000007</v>
      </c>
    </row>
    <row r="607" spans="7:22" x14ac:dyDescent="0.15">
      <c r="G607" s="11">
        <v>606</v>
      </c>
      <c r="H607" t="s">
        <v>1384</v>
      </c>
      <c r="I607" t="s">
        <v>1385</v>
      </c>
      <c r="J607" t="s">
        <v>1665</v>
      </c>
      <c r="K607" s="57">
        <v>1E-3</v>
      </c>
      <c r="L607" s="57">
        <v>-7.9000000000000008E-3</v>
      </c>
      <c r="M607" s="57">
        <v>8.9999999999999998E-4</v>
      </c>
      <c r="N607" s="57">
        <v>-2.1999999999999999E-2</v>
      </c>
      <c r="O607" s="57">
        <v>0.14960000000000001</v>
      </c>
      <c r="P607" s="57">
        <v>-8.0000000000000004E-4</v>
      </c>
      <c r="Q607" s="57">
        <v>-0.12089999999999999</v>
      </c>
      <c r="R607" s="57">
        <v>-0.12089999999999999</v>
      </c>
      <c r="S607">
        <v>18.46</v>
      </c>
      <c r="T607">
        <v>30.32</v>
      </c>
      <c r="U607">
        <v>30.32</v>
      </c>
      <c r="V607" s="20">
        <v>30.0526652</v>
      </c>
    </row>
    <row r="608" spans="7:22" x14ac:dyDescent="0.15">
      <c r="G608" s="11">
        <v>607</v>
      </c>
      <c r="H608" t="s">
        <v>609</v>
      </c>
      <c r="I608" t="s">
        <v>971</v>
      </c>
      <c r="J608" t="s">
        <v>851</v>
      </c>
      <c r="K608" s="57">
        <v>2.0000000000000001E-4</v>
      </c>
      <c r="L608" s="57">
        <v>-2.8400000000000002E-2</v>
      </c>
      <c r="M608" s="57">
        <v>-2.69E-2</v>
      </c>
      <c r="N608" s="57">
        <v>-3.9399999999999998E-2</v>
      </c>
      <c r="O608" s="57">
        <v>6.4399999999999999E-2</v>
      </c>
      <c r="P608" s="57">
        <v>-3.7900000000000003E-2</v>
      </c>
      <c r="Q608" s="57">
        <v>-8.5999999999999993E-2</v>
      </c>
      <c r="R608" s="57">
        <v>-0.1852</v>
      </c>
      <c r="S608">
        <v>18.329999999999998</v>
      </c>
      <c r="T608">
        <v>17.649999999999999</v>
      </c>
      <c r="U608">
        <v>42.59</v>
      </c>
      <c r="V608" s="20">
        <v>1242.6449</v>
      </c>
    </row>
    <row r="609" spans="7:22" x14ac:dyDescent="0.15">
      <c r="G609" s="11">
        <v>608</v>
      </c>
      <c r="H609" t="s">
        <v>322</v>
      </c>
      <c r="I609" t="s">
        <v>1066</v>
      </c>
      <c r="J609" t="s">
        <v>851</v>
      </c>
      <c r="K609" s="57">
        <v>3.5000000000000001E-3</v>
      </c>
      <c r="L609" s="57">
        <v>2.1499999999999998E-2</v>
      </c>
      <c r="M609" s="57">
        <v>3.2000000000000001E-2</v>
      </c>
      <c r="N609" s="57">
        <v>-4.1000000000000003E-3</v>
      </c>
      <c r="O609" s="57">
        <v>0.21240000000000001</v>
      </c>
      <c r="P609" s="57">
        <v>8.8300000000000003E-2</v>
      </c>
      <c r="Q609" s="57">
        <v>2.75E-2</v>
      </c>
      <c r="R609" s="57">
        <v>0.48880000000000001</v>
      </c>
      <c r="S609">
        <v>18.190000000000001</v>
      </c>
      <c r="T609">
        <v>50.81</v>
      </c>
      <c r="U609">
        <v>9.3000000000000007</v>
      </c>
      <c r="V609" s="20">
        <v>4498.6508000000003</v>
      </c>
    </row>
    <row r="610" spans="7:22" x14ac:dyDescent="0.15">
      <c r="G610" s="11">
        <v>609</v>
      </c>
      <c r="H610" t="s">
        <v>1511</v>
      </c>
      <c r="I610" t="s">
        <v>1512</v>
      </c>
      <c r="J610" t="s">
        <v>1665</v>
      </c>
      <c r="K610" s="57">
        <v>1.6000000000000001E-3</v>
      </c>
      <c r="L610" s="57">
        <v>-5.0000000000000001E-3</v>
      </c>
      <c r="M610" s="57">
        <v>1.01E-2</v>
      </c>
      <c r="N610" s="57">
        <v>-1.34E-2</v>
      </c>
      <c r="O610" s="57">
        <v>1.9900000000000001E-2</v>
      </c>
      <c r="P610" s="57">
        <v>-5.7099999999999998E-2</v>
      </c>
      <c r="Q610" s="57">
        <v>1.0500000000000001E-2</v>
      </c>
      <c r="R610" s="57">
        <v>0.24629999999999999</v>
      </c>
      <c r="S610">
        <v>18.059999999999999</v>
      </c>
      <c r="T610">
        <v>38.950000000000003</v>
      </c>
      <c r="U610">
        <v>20.89</v>
      </c>
      <c r="V610" s="20">
        <v>4.3977000000000004</v>
      </c>
    </row>
    <row r="611" spans="7:22" x14ac:dyDescent="0.15">
      <c r="G611" s="11">
        <v>610</v>
      </c>
      <c r="H611" t="s">
        <v>647</v>
      </c>
      <c r="I611" t="s">
        <v>1151</v>
      </c>
      <c r="J611" t="s">
        <v>851</v>
      </c>
      <c r="K611" s="57">
        <v>8.0000000000000004E-4</v>
      </c>
      <c r="L611" s="57">
        <v>-8.3000000000000001E-3</v>
      </c>
      <c r="M611" s="57">
        <v>1.4E-3</v>
      </c>
      <c r="N611" s="57">
        <v>-2.5000000000000001E-2</v>
      </c>
      <c r="O611" s="57">
        <v>6.1400000000000003E-2</v>
      </c>
      <c r="P611" s="57">
        <v>-5.5599999999999997E-2</v>
      </c>
      <c r="Q611" s="57">
        <v>-0.13780000000000001</v>
      </c>
      <c r="R611" s="57">
        <v>-0.13780000000000001</v>
      </c>
      <c r="S611">
        <v>17.920000000000002</v>
      </c>
      <c r="T611">
        <v>27.36</v>
      </c>
      <c r="U611">
        <v>32.479999999999997</v>
      </c>
      <c r="V611" s="20">
        <v>46382.378599999996</v>
      </c>
    </row>
    <row r="612" spans="7:22" x14ac:dyDescent="0.15">
      <c r="G612" s="11">
        <v>611</v>
      </c>
      <c r="H612" t="s">
        <v>614</v>
      </c>
      <c r="I612" t="s">
        <v>1113</v>
      </c>
      <c r="J612" t="s">
        <v>851</v>
      </c>
      <c r="K612" s="57">
        <v>4.1999999999999997E-3</v>
      </c>
      <c r="L612" s="57">
        <v>-5.4999999999999997E-3</v>
      </c>
      <c r="M612" s="57">
        <v>1.1299999999999999E-2</v>
      </c>
      <c r="N612" s="57">
        <v>-2.5000000000000001E-3</v>
      </c>
      <c r="O612" s="57">
        <v>5.21E-2</v>
      </c>
      <c r="P612" s="57">
        <v>-2.8299999999999999E-2</v>
      </c>
      <c r="Q612" s="57">
        <v>-2.3E-2</v>
      </c>
      <c r="R612" s="57">
        <v>3.8600000000000002E-2</v>
      </c>
      <c r="S612">
        <v>17.79</v>
      </c>
      <c r="T612">
        <v>52.02</v>
      </c>
      <c r="U612">
        <v>7.68</v>
      </c>
      <c r="V612" s="20">
        <v>4592.6026000000002</v>
      </c>
    </row>
    <row r="613" spans="7:22" x14ac:dyDescent="0.15">
      <c r="G613" s="11">
        <v>612</v>
      </c>
      <c r="H613" t="s">
        <v>1200</v>
      </c>
      <c r="I613" t="s">
        <v>1201</v>
      </c>
      <c r="J613" t="s">
        <v>1199</v>
      </c>
      <c r="K613" s="57">
        <v>0.2787</v>
      </c>
      <c r="L613" s="57">
        <v>0</v>
      </c>
      <c r="M613" s="57">
        <v>0</v>
      </c>
      <c r="N613" s="57">
        <v>0</v>
      </c>
      <c r="O613" s="57">
        <v>0</v>
      </c>
      <c r="P613" s="57">
        <v>0</v>
      </c>
      <c r="Q613" s="57">
        <v>0</v>
      </c>
      <c r="R613" s="57">
        <v>0</v>
      </c>
      <c r="S613">
        <v>17.649999999999999</v>
      </c>
      <c r="T613">
        <v>57.28</v>
      </c>
      <c r="U613">
        <v>2.02</v>
      </c>
      <c r="V613" s="20">
        <v>2765.3344000000002</v>
      </c>
    </row>
    <row r="614" spans="7:22" x14ac:dyDescent="0.15">
      <c r="G614" s="11">
        <v>613</v>
      </c>
      <c r="H614" t="s">
        <v>1215</v>
      </c>
      <c r="I614" t="s">
        <v>1216</v>
      </c>
      <c r="J614" t="s">
        <v>1199</v>
      </c>
      <c r="K614" s="57">
        <v>0.16270000000000001</v>
      </c>
      <c r="L614" s="57">
        <v>0</v>
      </c>
      <c r="M614" s="57">
        <v>0</v>
      </c>
      <c r="N614" s="57">
        <v>0</v>
      </c>
      <c r="O614" s="57">
        <v>0</v>
      </c>
      <c r="P614" s="57">
        <v>0</v>
      </c>
      <c r="Q614" s="57">
        <v>0</v>
      </c>
      <c r="R614" s="57">
        <v>0</v>
      </c>
      <c r="S614">
        <v>17.52</v>
      </c>
      <c r="T614">
        <v>56.74</v>
      </c>
      <c r="U614">
        <v>2.4300000000000002</v>
      </c>
      <c r="V614" s="20">
        <v>1410.6949646999999</v>
      </c>
    </row>
    <row r="615" spans="7:22" x14ac:dyDescent="0.15">
      <c r="G615" s="11">
        <v>614</v>
      </c>
      <c r="H615" t="s">
        <v>1204</v>
      </c>
      <c r="I615" t="s">
        <v>1205</v>
      </c>
      <c r="J615" t="s">
        <v>1199</v>
      </c>
      <c r="K615" s="57">
        <v>1.5299999999999999E-2</v>
      </c>
      <c r="L615" s="57">
        <v>0</v>
      </c>
      <c r="M615" s="57">
        <v>0</v>
      </c>
      <c r="N615" s="57">
        <v>0</v>
      </c>
      <c r="O615" s="57">
        <v>0</v>
      </c>
      <c r="P615" s="57">
        <v>0</v>
      </c>
      <c r="Q615" s="57">
        <v>0</v>
      </c>
      <c r="R615" s="57">
        <v>0</v>
      </c>
      <c r="S615">
        <v>17.39</v>
      </c>
      <c r="T615">
        <v>55.93</v>
      </c>
      <c r="U615">
        <v>3.23</v>
      </c>
      <c r="V615" s="20">
        <v>6114.4934999999996</v>
      </c>
    </row>
    <row r="616" spans="7:22" x14ac:dyDescent="0.15">
      <c r="G616" s="11">
        <v>615</v>
      </c>
      <c r="H616" t="s">
        <v>1219</v>
      </c>
      <c r="I616" t="s">
        <v>1220</v>
      </c>
      <c r="J616" t="s">
        <v>1199</v>
      </c>
      <c r="K616" s="57">
        <v>0.3</v>
      </c>
      <c r="L616" s="57">
        <v>0</v>
      </c>
      <c r="M616" s="57">
        <v>0</v>
      </c>
      <c r="N616" s="57">
        <v>0</v>
      </c>
      <c r="O616" s="57">
        <v>0</v>
      </c>
      <c r="P616" s="57">
        <v>0</v>
      </c>
      <c r="Q616" s="57">
        <v>0</v>
      </c>
      <c r="R616" s="57">
        <v>0</v>
      </c>
      <c r="S616">
        <v>17.25</v>
      </c>
      <c r="T616">
        <v>57.14</v>
      </c>
      <c r="U616">
        <v>1.89</v>
      </c>
      <c r="V616" s="20">
        <v>2209.8199601000001</v>
      </c>
    </row>
    <row r="617" spans="7:22" x14ac:dyDescent="0.15">
      <c r="G617" s="11">
        <v>616</v>
      </c>
      <c r="H617" t="s">
        <v>1208</v>
      </c>
      <c r="I617" t="s">
        <v>1209</v>
      </c>
      <c r="J617" t="s">
        <v>1199</v>
      </c>
      <c r="K617" s="57">
        <v>6.6400000000000001E-2</v>
      </c>
      <c r="L617" s="57">
        <v>0</v>
      </c>
      <c r="M617" s="57">
        <v>0</v>
      </c>
      <c r="N617" s="57">
        <v>0</v>
      </c>
      <c r="O617" s="57">
        <v>0</v>
      </c>
      <c r="P617" s="57">
        <v>0</v>
      </c>
      <c r="Q617" s="57">
        <v>0</v>
      </c>
      <c r="R617" s="57">
        <v>0</v>
      </c>
      <c r="S617">
        <v>17.12</v>
      </c>
      <c r="T617">
        <v>56.33</v>
      </c>
      <c r="U617">
        <v>2.56</v>
      </c>
      <c r="V617" s="20">
        <v>1220.1072999999999</v>
      </c>
    </row>
    <row r="618" spans="7:22" x14ac:dyDescent="0.15">
      <c r="G618" s="11">
        <v>617</v>
      </c>
      <c r="H618" t="s">
        <v>1202</v>
      </c>
      <c r="I618" t="s">
        <v>1203</v>
      </c>
      <c r="J618" t="s">
        <v>1199</v>
      </c>
      <c r="K618" s="57">
        <v>0.23649999999999999</v>
      </c>
      <c r="L618" s="57">
        <v>0</v>
      </c>
      <c r="M618" s="57">
        <v>0</v>
      </c>
      <c r="N618" s="57">
        <v>0</v>
      </c>
      <c r="O618" s="57">
        <v>0</v>
      </c>
      <c r="P618" s="57">
        <v>0</v>
      </c>
      <c r="Q618" s="57">
        <v>0</v>
      </c>
      <c r="R618" s="57">
        <v>0</v>
      </c>
      <c r="S618">
        <v>16.98</v>
      </c>
      <c r="T618">
        <v>56.6</v>
      </c>
      <c r="U618">
        <v>2.29</v>
      </c>
      <c r="V618" s="20">
        <v>1696.6886</v>
      </c>
    </row>
    <row r="619" spans="7:22" x14ac:dyDescent="0.15">
      <c r="G619" s="11">
        <v>618</v>
      </c>
      <c r="H619" t="s">
        <v>1197</v>
      </c>
      <c r="I619" t="s">
        <v>1198</v>
      </c>
      <c r="J619" t="s">
        <v>1199</v>
      </c>
      <c r="K619" s="57">
        <v>0.33610000000000001</v>
      </c>
      <c r="L619" s="57">
        <v>0</v>
      </c>
      <c r="M619" s="57">
        <v>0</v>
      </c>
      <c r="N619" s="57">
        <v>0</v>
      </c>
      <c r="O619" s="57">
        <v>0</v>
      </c>
      <c r="P619" s="57">
        <v>0</v>
      </c>
      <c r="Q619" s="57">
        <v>0</v>
      </c>
      <c r="R619" s="57">
        <v>0</v>
      </c>
      <c r="S619">
        <v>16.850000000000001</v>
      </c>
      <c r="T619">
        <v>56.47</v>
      </c>
      <c r="U619">
        <v>1.35</v>
      </c>
      <c r="V619" s="20">
        <v>3010.0971</v>
      </c>
    </row>
    <row r="620" spans="7:22" x14ac:dyDescent="0.15">
      <c r="G620" s="11">
        <v>619</v>
      </c>
      <c r="H620" t="s">
        <v>641</v>
      </c>
      <c r="I620" t="s">
        <v>1131</v>
      </c>
      <c r="J620" t="s">
        <v>851</v>
      </c>
      <c r="K620" s="57">
        <v>1.5E-3</v>
      </c>
      <c r="L620" s="57">
        <v>-9.4000000000000004E-3</v>
      </c>
      <c r="M620" s="57">
        <v>-8.9999999999999998E-4</v>
      </c>
      <c r="N620" s="57">
        <v>-1.8499999999999999E-2</v>
      </c>
      <c r="O620" s="57">
        <v>5.6599999999999998E-2</v>
      </c>
      <c r="P620" s="57">
        <v>-6.59E-2</v>
      </c>
      <c r="Q620" s="57">
        <v>-0.14630000000000001</v>
      </c>
      <c r="R620" s="57">
        <v>-7.2499999999999995E-2</v>
      </c>
      <c r="S620">
        <v>16.71</v>
      </c>
      <c r="T620">
        <v>34.229999999999997</v>
      </c>
      <c r="U620">
        <v>22.91</v>
      </c>
      <c r="V620" s="20">
        <v>7834.8311000000003</v>
      </c>
    </row>
    <row r="621" spans="7:22" x14ac:dyDescent="0.15">
      <c r="G621" s="11">
        <v>620</v>
      </c>
      <c r="H621" t="s">
        <v>2128</v>
      </c>
      <c r="I621" t="s">
        <v>2129</v>
      </c>
      <c r="J621" t="s">
        <v>2058</v>
      </c>
      <c r="K621" s="57">
        <v>5.9999999999999995E-4</v>
      </c>
      <c r="L621" s="57">
        <v>-3.6600000000000001E-2</v>
      </c>
      <c r="M621" s="57">
        <v>-3.6600000000000001E-2</v>
      </c>
      <c r="N621" s="57">
        <v>-3.6600000000000001E-2</v>
      </c>
      <c r="O621" s="57">
        <v>-3.6600000000000001E-2</v>
      </c>
      <c r="P621" s="57">
        <v>-3.6600000000000001E-2</v>
      </c>
      <c r="Q621" s="57">
        <v>-3.6600000000000001E-2</v>
      </c>
      <c r="R621" s="57">
        <v>-3.6600000000000001E-2</v>
      </c>
      <c r="S621">
        <v>16.579999999999998</v>
      </c>
      <c r="T621">
        <v>19.14</v>
      </c>
      <c r="U621">
        <v>37.200000000000003</v>
      </c>
      <c r="V621" s="20">
        <v>26069.955047799998</v>
      </c>
    </row>
    <row r="622" spans="7:22" x14ac:dyDescent="0.15">
      <c r="G622" s="11">
        <v>621</v>
      </c>
      <c r="H622" t="s">
        <v>727</v>
      </c>
      <c r="I622" t="s">
        <v>1281</v>
      </c>
      <c r="J622" t="s">
        <v>1267</v>
      </c>
      <c r="K622" s="57">
        <v>2.0000000000000001E-4</v>
      </c>
      <c r="L622" s="57">
        <v>-1.23E-2</v>
      </c>
      <c r="M622" s="57">
        <v>-1.7299999999999999E-2</v>
      </c>
      <c r="N622" s="57">
        <v>-4.7600000000000003E-2</v>
      </c>
      <c r="O622" s="57">
        <v>1.2699999999999999E-2</v>
      </c>
      <c r="P622" s="57">
        <v>-9.0899999999999995E-2</v>
      </c>
      <c r="Q622" s="57">
        <v>-0.2379</v>
      </c>
      <c r="R622" s="57">
        <v>-0.38009999999999999</v>
      </c>
      <c r="S622">
        <v>16.440000000000001</v>
      </c>
      <c r="T622">
        <v>13.61</v>
      </c>
      <c r="U622">
        <v>42.72</v>
      </c>
      <c r="V622" s="20">
        <v>1072.4837262999999</v>
      </c>
    </row>
    <row r="623" spans="7:22" x14ac:dyDescent="0.15">
      <c r="G623" s="11">
        <v>622</v>
      </c>
      <c r="H623" t="s">
        <v>575</v>
      </c>
      <c r="I623" t="s">
        <v>916</v>
      </c>
      <c r="J623" t="s">
        <v>851</v>
      </c>
      <c r="K623" s="57">
        <v>5.0000000000000001E-4</v>
      </c>
      <c r="L623" s="57">
        <v>-2.64E-2</v>
      </c>
      <c r="M623" s="57">
        <v>-1.5699999999999999E-2</v>
      </c>
      <c r="N623" s="57">
        <v>-3.9E-2</v>
      </c>
      <c r="O623" s="57">
        <v>1.01E-2</v>
      </c>
      <c r="P623" s="57">
        <v>-0.1014</v>
      </c>
      <c r="Q623" s="57">
        <v>-0.1764</v>
      </c>
      <c r="R623" s="57">
        <v>-0.1764</v>
      </c>
      <c r="S623">
        <v>16.309999999999999</v>
      </c>
      <c r="T623">
        <v>17.79</v>
      </c>
      <c r="U623">
        <v>38.54</v>
      </c>
      <c r="V623" s="20">
        <v>234.9572</v>
      </c>
    </row>
    <row r="624" spans="7:22" x14ac:dyDescent="0.15">
      <c r="G624" s="11">
        <v>623</v>
      </c>
      <c r="H624" t="s">
        <v>303</v>
      </c>
      <c r="I624" t="s">
        <v>896</v>
      </c>
      <c r="J624" t="s">
        <v>851</v>
      </c>
      <c r="K624" s="57">
        <v>3.5999999999999999E-3</v>
      </c>
      <c r="L624" s="57">
        <v>-3.3700000000000001E-2</v>
      </c>
      <c r="M624" s="57">
        <v>-1.8700000000000001E-2</v>
      </c>
      <c r="N624" s="57">
        <v>-9.1000000000000004E-3</v>
      </c>
      <c r="O624" s="57">
        <v>7.0599999999999996E-2</v>
      </c>
      <c r="P624" s="57">
        <v>-8.5699999999999998E-2</v>
      </c>
      <c r="Q624" s="57">
        <v>-0.1125</v>
      </c>
      <c r="R624" s="57">
        <v>0.13789999999999999</v>
      </c>
      <c r="S624">
        <v>16.170000000000002</v>
      </c>
      <c r="T624">
        <v>45.28</v>
      </c>
      <c r="U624">
        <v>8.89</v>
      </c>
      <c r="V624" s="20">
        <v>307.3494</v>
      </c>
    </row>
    <row r="625" spans="7:22" x14ac:dyDescent="0.15">
      <c r="G625" s="11">
        <v>624</v>
      </c>
      <c r="H625" t="s">
        <v>671</v>
      </c>
      <c r="I625" t="s">
        <v>242</v>
      </c>
      <c r="J625" t="s">
        <v>851</v>
      </c>
      <c r="K625" s="57">
        <v>8.9999999999999998E-4</v>
      </c>
      <c r="L625" s="57">
        <v>-1.5900000000000001E-2</v>
      </c>
      <c r="M625" s="57">
        <v>-8.2000000000000007E-3</v>
      </c>
      <c r="N625" s="57">
        <v>-3.2599999999999997E-2</v>
      </c>
      <c r="O625" s="57">
        <v>2.6499999999999999E-2</v>
      </c>
      <c r="P625" s="57">
        <v>-7.8899999999999998E-2</v>
      </c>
      <c r="Q625" s="57">
        <v>-0.12379999999999999</v>
      </c>
      <c r="R625" s="57">
        <v>-0.1153</v>
      </c>
      <c r="S625">
        <v>16.04</v>
      </c>
      <c r="T625">
        <v>21.97</v>
      </c>
      <c r="U625">
        <v>31.4</v>
      </c>
      <c r="V625" s="20">
        <v>2032.8809000000001</v>
      </c>
    </row>
    <row r="626" spans="7:22" x14ac:dyDescent="0.15">
      <c r="G626" s="11">
        <v>625</v>
      </c>
      <c r="H626" t="s">
        <v>511</v>
      </c>
      <c r="I626" t="s">
        <v>1128</v>
      </c>
      <c r="J626" t="s">
        <v>851</v>
      </c>
      <c r="K626" s="57">
        <v>8.9999999999999998E-4</v>
      </c>
      <c r="L626" s="57">
        <v>2.2000000000000001E-3</v>
      </c>
      <c r="M626" s="57">
        <v>0.02</v>
      </c>
      <c r="N626" s="57">
        <v>-3.1899999999999998E-2</v>
      </c>
      <c r="O626" s="57">
        <v>-8.6E-3</v>
      </c>
      <c r="P626" s="57">
        <v>-7.8299999999999995E-2</v>
      </c>
      <c r="Q626" s="57">
        <v>-7.0499999999999993E-2</v>
      </c>
      <c r="R626" s="57">
        <v>1E-4</v>
      </c>
      <c r="S626">
        <v>15.9</v>
      </c>
      <c r="T626">
        <v>22.24</v>
      </c>
      <c r="U626">
        <v>31</v>
      </c>
      <c r="V626" s="20">
        <v>8530.6587</v>
      </c>
    </row>
    <row r="627" spans="7:22" x14ac:dyDescent="0.15">
      <c r="G627" s="11">
        <v>626</v>
      </c>
      <c r="H627" t="s">
        <v>396</v>
      </c>
      <c r="I627" t="s">
        <v>1253</v>
      </c>
      <c r="J627" t="s">
        <v>1230</v>
      </c>
      <c r="K627" s="57">
        <v>2.3999999999999998E-3</v>
      </c>
      <c r="L627" s="57">
        <v>-1.21E-2</v>
      </c>
      <c r="M627" s="57">
        <v>-8.3000000000000001E-3</v>
      </c>
      <c r="N627" s="57">
        <v>-1.5299999999999999E-2</v>
      </c>
      <c r="O627" s="57">
        <v>3.2399999999999998E-2</v>
      </c>
      <c r="P627" s="57">
        <v>-9.4000000000000004E-3</v>
      </c>
      <c r="Q627" s="57">
        <v>-7.7000000000000002E-3</v>
      </c>
      <c r="R627" s="57">
        <v>0.1323</v>
      </c>
      <c r="S627">
        <v>15.77</v>
      </c>
      <c r="T627">
        <v>38.14</v>
      </c>
      <c r="U627">
        <v>14.69</v>
      </c>
      <c r="V627" s="20">
        <v>2282.978599</v>
      </c>
    </row>
    <row r="628" spans="7:22" x14ac:dyDescent="0.15">
      <c r="G628" s="11">
        <v>627</v>
      </c>
      <c r="H628" t="s">
        <v>649</v>
      </c>
      <c r="I628" t="s">
        <v>1155</v>
      </c>
      <c r="J628" t="s">
        <v>851</v>
      </c>
      <c r="K628" s="57">
        <v>1.2999999999999999E-3</v>
      </c>
      <c r="L628" s="57">
        <v>-8.2000000000000007E-3</v>
      </c>
      <c r="M628" s="57">
        <v>1.2999999999999999E-3</v>
      </c>
      <c r="N628" s="57">
        <v>-2.52E-2</v>
      </c>
      <c r="O628" s="57">
        <v>6.2100000000000002E-2</v>
      </c>
      <c r="P628" s="57">
        <v>-5.45E-2</v>
      </c>
      <c r="Q628" s="57">
        <v>-0.13619999999999999</v>
      </c>
      <c r="R628" s="57">
        <v>-0.13619999999999999</v>
      </c>
      <c r="S628">
        <v>15.63</v>
      </c>
      <c r="T628">
        <v>26.95</v>
      </c>
      <c r="U628">
        <v>25.2</v>
      </c>
      <c r="V628" s="20">
        <v>42357.345800000003</v>
      </c>
    </row>
    <row r="629" spans="7:22" x14ac:dyDescent="0.15">
      <c r="G629" s="11">
        <v>628</v>
      </c>
      <c r="H629" t="s">
        <v>450</v>
      </c>
      <c r="I629" t="s">
        <v>980</v>
      </c>
      <c r="J629" t="s">
        <v>851</v>
      </c>
      <c r="K629" s="57">
        <v>1.1999999999999999E-3</v>
      </c>
      <c r="L629" s="57">
        <v>-2E-3</v>
      </c>
      <c r="M629" s="57">
        <v>-1.5800000000000002E-2</v>
      </c>
      <c r="N629" s="57">
        <v>-2.8299999999999999E-2</v>
      </c>
      <c r="O629" s="57">
        <v>0.17230000000000001</v>
      </c>
      <c r="P629" s="57">
        <v>-1.84E-2</v>
      </c>
      <c r="Q629" s="57">
        <v>-0.1013</v>
      </c>
      <c r="R629" s="57">
        <v>0.29749999999999999</v>
      </c>
      <c r="S629">
        <v>15.5</v>
      </c>
      <c r="T629">
        <v>24.66</v>
      </c>
      <c r="U629">
        <v>27.36</v>
      </c>
      <c r="V629" s="20">
        <v>2149.4456</v>
      </c>
    </row>
    <row r="630" spans="7:22" x14ac:dyDescent="0.15">
      <c r="G630" s="11">
        <v>629</v>
      </c>
      <c r="H630" t="s">
        <v>427</v>
      </c>
      <c r="I630" t="s">
        <v>852</v>
      </c>
      <c r="J630" t="s">
        <v>851</v>
      </c>
      <c r="K630" s="57">
        <v>4.4999999999999997E-3</v>
      </c>
      <c r="L630" s="57">
        <v>-4.19E-2</v>
      </c>
      <c r="M630" s="57">
        <v>-6.2700000000000006E-2</v>
      </c>
      <c r="N630" s="57">
        <v>-8.6E-3</v>
      </c>
      <c r="O630" s="57">
        <v>6.2199999999999998E-2</v>
      </c>
      <c r="P630" s="57">
        <v>-0.2266</v>
      </c>
      <c r="Q630" s="57">
        <v>-0.2964</v>
      </c>
      <c r="R630" s="57">
        <v>-0.1797</v>
      </c>
      <c r="S630">
        <v>15.36</v>
      </c>
      <c r="T630">
        <v>45.69</v>
      </c>
      <c r="U630">
        <v>6.2</v>
      </c>
      <c r="V630" s="20">
        <v>116.70003</v>
      </c>
    </row>
    <row r="631" spans="7:22" x14ac:dyDescent="0.15">
      <c r="G631" s="11">
        <v>630</v>
      </c>
      <c r="H631" t="s">
        <v>1414</v>
      </c>
      <c r="I631" t="s">
        <v>1415</v>
      </c>
      <c r="J631" t="s">
        <v>1665</v>
      </c>
      <c r="K631" s="57">
        <v>2.5999999999999999E-3</v>
      </c>
      <c r="L631" s="57">
        <v>-3.3799999999999997E-2</v>
      </c>
      <c r="M631" s="57">
        <v>-5.0799999999999998E-2</v>
      </c>
      <c r="N631" s="57">
        <v>-1.49E-2</v>
      </c>
      <c r="O631" s="57">
        <v>6.5100000000000005E-2</v>
      </c>
      <c r="P631" s="57">
        <v>3.4299999999999997E-2</v>
      </c>
      <c r="Q631" s="57">
        <v>3.4299999999999997E-2</v>
      </c>
      <c r="R631" s="57">
        <v>3.4299999999999997E-2</v>
      </c>
      <c r="S631">
        <v>15.23</v>
      </c>
      <c r="T631">
        <v>38.409999999999997</v>
      </c>
      <c r="U631">
        <v>13.48</v>
      </c>
      <c r="V631" s="20">
        <v>390.19880000000001</v>
      </c>
    </row>
    <row r="632" spans="7:22" x14ac:dyDescent="0.15">
      <c r="G632" s="11">
        <v>631</v>
      </c>
      <c r="H632" t="s">
        <v>1428</v>
      </c>
      <c r="I632" t="s">
        <v>1429</v>
      </c>
      <c r="J632" t="s">
        <v>1665</v>
      </c>
      <c r="K632" s="57">
        <v>8.9999999999999998E-4</v>
      </c>
      <c r="L632" s="57">
        <v>-2.7699999999999999E-2</v>
      </c>
      <c r="M632" s="57">
        <v>-2.3699999999999999E-2</v>
      </c>
      <c r="N632" s="57">
        <v>-3.5299999999999998E-2</v>
      </c>
      <c r="O632" s="57">
        <v>6.4199999999999993E-2</v>
      </c>
      <c r="P632" s="57">
        <v>-4.2500000000000003E-2</v>
      </c>
      <c r="Q632" s="57">
        <v>-6.9800000000000001E-2</v>
      </c>
      <c r="R632" s="57">
        <v>-6.9800000000000001E-2</v>
      </c>
      <c r="S632">
        <v>15.09</v>
      </c>
      <c r="T632">
        <v>20.079999999999998</v>
      </c>
      <c r="U632">
        <v>31.54</v>
      </c>
      <c r="V632" s="20">
        <v>2954.0832800000003</v>
      </c>
    </row>
    <row r="633" spans="7:22" x14ac:dyDescent="0.15">
      <c r="G633" s="11">
        <v>632</v>
      </c>
      <c r="H633" t="s">
        <v>634</v>
      </c>
      <c r="I633" t="s">
        <v>942</v>
      </c>
      <c r="J633" t="s">
        <v>851</v>
      </c>
      <c r="K633" s="57">
        <v>2E-3</v>
      </c>
      <c r="L633" s="57">
        <v>-9.4999999999999998E-3</v>
      </c>
      <c r="M633" s="57">
        <v>-8.9999999999999998E-4</v>
      </c>
      <c r="N633" s="57">
        <v>-1.8499999999999999E-2</v>
      </c>
      <c r="O633" s="57">
        <v>5.6300000000000003E-2</v>
      </c>
      <c r="P633" s="57">
        <v>-6.7299999999999999E-2</v>
      </c>
      <c r="Q633" s="57">
        <v>-0.1507</v>
      </c>
      <c r="R633" s="57">
        <v>-7.9299999999999995E-2</v>
      </c>
      <c r="S633">
        <v>14.96</v>
      </c>
      <c r="T633">
        <v>34.1</v>
      </c>
      <c r="U633">
        <v>17.12</v>
      </c>
      <c r="V633" s="20">
        <v>1405.1541</v>
      </c>
    </row>
    <row r="634" spans="7:22" x14ac:dyDescent="0.15">
      <c r="G634" s="11">
        <v>633</v>
      </c>
      <c r="H634" t="s">
        <v>632</v>
      </c>
      <c r="I634" t="s">
        <v>1082</v>
      </c>
      <c r="J634" t="s">
        <v>851</v>
      </c>
      <c r="K634" s="57">
        <v>1.6000000000000001E-3</v>
      </c>
      <c r="L634" s="57">
        <v>-8.8000000000000005E-3</v>
      </c>
      <c r="M634" s="57">
        <v>-4.7000000000000002E-3</v>
      </c>
      <c r="N634" s="57">
        <v>-2.3099999999999999E-2</v>
      </c>
      <c r="O634" s="57">
        <v>-3.6900000000000002E-2</v>
      </c>
      <c r="P634" s="57">
        <v>-0.1106</v>
      </c>
      <c r="Q634" s="57">
        <v>-6.5100000000000005E-2</v>
      </c>
      <c r="R634" s="57">
        <v>-0.1464</v>
      </c>
      <c r="S634">
        <v>14.82</v>
      </c>
      <c r="T634">
        <v>29.25</v>
      </c>
      <c r="U634">
        <v>21.83</v>
      </c>
      <c r="V634" s="20">
        <v>4441.2880553999994</v>
      </c>
    </row>
    <row r="635" spans="7:22" x14ac:dyDescent="0.15">
      <c r="G635" s="11">
        <v>634</v>
      </c>
      <c r="H635" t="s">
        <v>624</v>
      </c>
      <c r="I635" t="s">
        <v>1021</v>
      </c>
      <c r="J635" t="s">
        <v>851</v>
      </c>
      <c r="K635" s="57">
        <v>1.1000000000000001E-3</v>
      </c>
      <c r="L635" s="57">
        <v>-1.5800000000000002E-2</v>
      </c>
      <c r="M635" s="57">
        <v>-7.6E-3</v>
      </c>
      <c r="N635" s="57">
        <v>-3.1399999999999997E-2</v>
      </c>
      <c r="O635" s="57">
        <v>2.6200000000000001E-2</v>
      </c>
      <c r="P635" s="57">
        <v>-7.9000000000000001E-2</v>
      </c>
      <c r="Q635" s="57">
        <v>-0.12189999999999999</v>
      </c>
      <c r="R635" s="57">
        <v>-8.7499999999999994E-2</v>
      </c>
      <c r="S635">
        <v>14.69</v>
      </c>
      <c r="T635">
        <v>22.91</v>
      </c>
      <c r="U635">
        <v>28.17</v>
      </c>
      <c r="V635" s="20">
        <v>1710.0293999999999</v>
      </c>
    </row>
    <row r="636" spans="7:22" x14ac:dyDescent="0.15">
      <c r="G636" s="11">
        <v>635</v>
      </c>
      <c r="H636" t="s">
        <v>520</v>
      </c>
      <c r="I636" t="s">
        <v>1002</v>
      </c>
      <c r="J636" t="s">
        <v>851</v>
      </c>
      <c r="K636" s="57">
        <v>8.9999999999999998E-4</v>
      </c>
      <c r="L636" s="57">
        <v>-2.8500000000000001E-2</v>
      </c>
      <c r="M636" s="57">
        <v>-2.5100000000000001E-2</v>
      </c>
      <c r="N636" s="57">
        <v>-3.6400000000000002E-2</v>
      </c>
      <c r="O636" s="57">
        <v>8.0799999999999997E-2</v>
      </c>
      <c r="P636" s="57">
        <v>-2.6100000000000002E-2</v>
      </c>
      <c r="Q636" s="57">
        <v>-4.7300000000000002E-2</v>
      </c>
      <c r="R636" s="57">
        <v>-0.1797</v>
      </c>
      <c r="S636">
        <v>14.56</v>
      </c>
      <c r="T636">
        <v>19.27</v>
      </c>
      <c r="U636">
        <v>31.67</v>
      </c>
      <c r="V636" s="20">
        <v>1363.1576451999999</v>
      </c>
    </row>
    <row r="637" spans="7:22" x14ac:dyDescent="0.15">
      <c r="G637" s="11">
        <v>636</v>
      </c>
      <c r="H637" t="s">
        <v>605</v>
      </c>
      <c r="I637" t="s">
        <v>992</v>
      </c>
      <c r="J637" t="s">
        <v>851</v>
      </c>
      <c r="K637" s="57">
        <v>2.5999999999999999E-3</v>
      </c>
      <c r="L637" s="57">
        <v>-3.7600000000000001E-2</v>
      </c>
      <c r="M637" s="57">
        <v>-5.1200000000000002E-2</v>
      </c>
      <c r="N637" s="57">
        <v>-1.5900000000000001E-2</v>
      </c>
      <c r="O637" s="57">
        <v>0.1062</v>
      </c>
      <c r="P637" s="57">
        <v>-0.1769</v>
      </c>
      <c r="Q637" s="57">
        <v>-0.29270000000000002</v>
      </c>
      <c r="R637" s="57">
        <v>-0.22500000000000001</v>
      </c>
      <c r="S637">
        <v>14.42</v>
      </c>
      <c r="T637">
        <v>37.6</v>
      </c>
      <c r="U637">
        <v>13.21</v>
      </c>
      <c r="V637" s="20">
        <v>1822.61007</v>
      </c>
    </row>
    <row r="638" spans="7:22" x14ac:dyDescent="0.15">
      <c r="G638" s="11">
        <v>637</v>
      </c>
      <c r="H638" t="s">
        <v>561</v>
      </c>
      <c r="I638" t="s">
        <v>1020</v>
      </c>
      <c r="J638" t="s">
        <v>851</v>
      </c>
      <c r="K638" s="57">
        <v>6.6E-3</v>
      </c>
      <c r="L638" s="57">
        <v>1.12E-2</v>
      </c>
      <c r="M638" s="57">
        <v>1.47E-2</v>
      </c>
      <c r="N638" s="57">
        <v>-8.6999999999999994E-3</v>
      </c>
      <c r="O638" s="57">
        <v>0.16</v>
      </c>
      <c r="P638" s="57">
        <v>-9.2999999999999992E-3</v>
      </c>
      <c r="Q638" s="57">
        <v>-0.2417</v>
      </c>
      <c r="R638" s="57">
        <v>3.2000000000000002E-3</v>
      </c>
      <c r="S638">
        <v>14.29</v>
      </c>
      <c r="T638">
        <v>45.42</v>
      </c>
      <c r="U638">
        <v>5.26</v>
      </c>
      <c r="V638" s="20">
        <v>1692.1829100000002</v>
      </c>
    </row>
    <row r="639" spans="7:22" x14ac:dyDescent="0.15">
      <c r="G639" s="11">
        <v>638</v>
      </c>
      <c r="H639" t="s">
        <v>584</v>
      </c>
      <c r="I639" t="s">
        <v>874</v>
      </c>
      <c r="J639" t="s">
        <v>851</v>
      </c>
      <c r="K639" s="57">
        <v>3.3E-3</v>
      </c>
      <c r="L639" s="57">
        <v>-2.5999999999999999E-3</v>
      </c>
      <c r="M639" s="57">
        <v>4.1999999999999997E-3</v>
      </c>
      <c r="N639" s="57">
        <v>-1.15E-2</v>
      </c>
      <c r="O639" s="57">
        <v>9.5500000000000002E-2</v>
      </c>
      <c r="P639" s="57">
        <v>-5.9499999999999997E-2</v>
      </c>
      <c r="Q639" s="57">
        <v>-0.18390000000000001</v>
      </c>
      <c r="R639" s="57">
        <v>-7.2099999999999997E-2</v>
      </c>
      <c r="S639">
        <v>14.15</v>
      </c>
      <c r="T639">
        <v>40.840000000000003</v>
      </c>
      <c r="U639">
        <v>9.6999999999999993</v>
      </c>
      <c r="V639" s="20">
        <v>88.446860000000001</v>
      </c>
    </row>
    <row r="640" spans="7:22" x14ac:dyDescent="0.15">
      <c r="G640" s="11">
        <v>639</v>
      </c>
      <c r="H640" t="s">
        <v>672</v>
      </c>
      <c r="I640" t="s">
        <v>880</v>
      </c>
      <c r="J640" t="s">
        <v>851</v>
      </c>
      <c r="K640" s="57">
        <v>2.0999999999999999E-3</v>
      </c>
      <c r="L640" s="57">
        <v>-9.4000000000000004E-3</v>
      </c>
      <c r="M640" s="57">
        <v>-1.1000000000000001E-3</v>
      </c>
      <c r="N640" s="57">
        <v>-1.8599999999999998E-2</v>
      </c>
      <c r="O640" s="57">
        <v>5.6099999999999997E-2</v>
      </c>
      <c r="P640" s="57">
        <v>-6.7100000000000007E-2</v>
      </c>
      <c r="Q640" s="57">
        <v>-0.1484</v>
      </c>
      <c r="R640" s="57">
        <v>-6.0100000000000001E-2</v>
      </c>
      <c r="S640">
        <v>14.02</v>
      </c>
      <c r="T640">
        <v>33.96</v>
      </c>
      <c r="U640">
        <v>16.579999999999998</v>
      </c>
      <c r="V640" s="20">
        <v>74.457462800000002</v>
      </c>
    </row>
    <row r="641" spans="7:22" x14ac:dyDescent="0.15">
      <c r="G641" s="11">
        <v>640</v>
      </c>
      <c r="H641" t="s">
        <v>1591</v>
      </c>
      <c r="I641" t="s">
        <v>1592</v>
      </c>
      <c r="J641" t="s">
        <v>1665</v>
      </c>
      <c r="K641" s="57">
        <v>-1E-4</v>
      </c>
      <c r="L641" s="57">
        <v>-1.9699999999999999E-2</v>
      </c>
      <c r="M641" s="57">
        <v>-3.1099999999999999E-2</v>
      </c>
      <c r="N641" s="57">
        <v>-8.2000000000000003E-2</v>
      </c>
      <c r="O641" s="57">
        <v>5.79E-2</v>
      </c>
      <c r="P641" s="57">
        <v>-0.1037</v>
      </c>
      <c r="Q641" s="57">
        <v>-0.19289999999999999</v>
      </c>
      <c r="R641" s="57">
        <v>-0.19289999999999999</v>
      </c>
      <c r="S641">
        <v>13.88</v>
      </c>
      <c r="T641">
        <v>2.7</v>
      </c>
      <c r="U641">
        <v>47.57</v>
      </c>
      <c r="V641" s="20">
        <v>16071.585499999999</v>
      </c>
    </row>
    <row r="642" spans="7:22" x14ac:dyDescent="0.15">
      <c r="G642" s="11">
        <v>641</v>
      </c>
      <c r="H642" t="s">
        <v>1521</v>
      </c>
      <c r="I642" t="s">
        <v>1522</v>
      </c>
      <c r="J642" t="s">
        <v>1665</v>
      </c>
      <c r="K642" s="57">
        <v>1.6999999999999999E-3</v>
      </c>
      <c r="L642" s="57">
        <v>-2.9899999999999999E-2</v>
      </c>
      <c r="M642" s="57">
        <v>-3.9600000000000003E-2</v>
      </c>
      <c r="N642" s="57">
        <v>-2.1999999999999999E-2</v>
      </c>
      <c r="O642" s="57">
        <v>5.7000000000000002E-2</v>
      </c>
      <c r="P642" s="57">
        <v>-0.1842</v>
      </c>
      <c r="Q642" s="57">
        <v>-0.23430000000000001</v>
      </c>
      <c r="R642" s="57">
        <v>-0.23430000000000001</v>
      </c>
      <c r="S642">
        <v>13.75</v>
      </c>
      <c r="T642">
        <v>30.19</v>
      </c>
      <c r="U642">
        <v>20.079999999999998</v>
      </c>
      <c r="V642" s="20">
        <v>1226.2354300000002</v>
      </c>
    </row>
    <row r="643" spans="7:22" x14ac:dyDescent="0.15">
      <c r="G643" s="11">
        <v>642</v>
      </c>
      <c r="H643" t="s">
        <v>349</v>
      </c>
      <c r="I643" t="s">
        <v>979</v>
      </c>
      <c r="J643" t="s">
        <v>851</v>
      </c>
      <c r="K643" s="57">
        <v>2.0000000000000001E-4</v>
      </c>
      <c r="L643" s="57">
        <v>-4.3499999999999997E-2</v>
      </c>
      <c r="M643" s="57">
        <v>-4.6199999999999998E-2</v>
      </c>
      <c r="N643" s="57">
        <v>-7.3099999999999998E-2</v>
      </c>
      <c r="O643" s="57">
        <v>4.53E-2</v>
      </c>
      <c r="P643" s="57">
        <v>-5.91E-2</v>
      </c>
      <c r="Q643" s="57">
        <v>-0.36759999999999998</v>
      </c>
      <c r="R643" s="57">
        <v>-0.42809999999999998</v>
      </c>
      <c r="S643">
        <v>13.61</v>
      </c>
      <c r="T643">
        <v>6.87</v>
      </c>
      <c r="U643">
        <v>42.86</v>
      </c>
      <c r="V643" s="20">
        <v>1208.6759300000001</v>
      </c>
    </row>
    <row r="644" spans="7:22" x14ac:dyDescent="0.15">
      <c r="G644" s="11">
        <v>643</v>
      </c>
      <c r="H644" t="s">
        <v>689</v>
      </c>
      <c r="I644" t="s">
        <v>1057</v>
      </c>
      <c r="J644" t="s">
        <v>851</v>
      </c>
      <c r="K644" s="57">
        <v>1.1999999999999999E-3</v>
      </c>
      <c r="L644" s="57">
        <v>-1.6E-2</v>
      </c>
      <c r="M644" s="57">
        <v>-8.0999999999999996E-3</v>
      </c>
      <c r="N644" s="57">
        <v>-3.27E-2</v>
      </c>
      <c r="O644" s="57">
        <v>2.7099999999999999E-2</v>
      </c>
      <c r="P644" s="57">
        <v>-7.7299999999999994E-2</v>
      </c>
      <c r="Q644" s="57">
        <v>-0.11849999999999999</v>
      </c>
      <c r="R644" s="57">
        <v>-6.2399999999999997E-2</v>
      </c>
      <c r="S644">
        <v>13.48</v>
      </c>
      <c r="T644">
        <v>21.83</v>
      </c>
      <c r="U644">
        <v>27.09</v>
      </c>
      <c r="V644" s="20">
        <v>2460.9724999999999</v>
      </c>
    </row>
    <row r="645" spans="7:22" x14ac:dyDescent="0.15">
      <c r="G645" s="11">
        <v>644</v>
      </c>
      <c r="H645" t="s">
        <v>1477</v>
      </c>
      <c r="I645" t="s">
        <v>1478</v>
      </c>
      <c r="J645" t="s">
        <v>1665</v>
      </c>
      <c r="K645" s="57">
        <v>1E-3</v>
      </c>
      <c r="L645" s="57">
        <v>-2.7E-2</v>
      </c>
      <c r="M645" s="57">
        <v>-2.41E-2</v>
      </c>
      <c r="N645" s="57">
        <v>-3.6700000000000003E-2</v>
      </c>
      <c r="O645" s="57">
        <v>7.9000000000000001E-2</v>
      </c>
      <c r="P645" s="57">
        <v>-2.9100000000000001E-2</v>
      </c>
      <c r="Q645" s="57">
        <v>-0.1149</v>
      </c>
      <c r="R645" s="57">
        <v>-0.1149</v>
      </c>
      <c r="S645">
        <v>13.34</v>
      </c>
      <c r="T645">
        <v>18.87</v>
      </c>
      <c r="U645">
        <v>29.92</v>
      </c>
      <c r="V645" s="20">
        <v>180.03448999999998</v>
      </c>
    </row>
    <row r="646" spans="7:22" x14ac:dyDescent="0.15">
      <c r="G646" s="11">
        <v>645</v>
      </c>
      <c r="H646" t="s">
        <v>415</v>
      </c>
      <c r="I646" t="s">
        <v>840</v>
      </c>
      <c r="J646" t="s">
        <v>814</v>
      </c>
      <c r="K646" s="57">
        <v>1.6400000000000001E-2</v>
      </c>
      <c r="L646" s="57">
        <v>4.1000000000000003E-3</v>
      </c>
      <c r="M646" s="57">
        <v>6.9999999999999999E-4</v>
      </c>
      <c r="N646" s="57">
        <v>-8.6E-3</v>
      </c>
      <c r="O646" s="57">
        <v>1.5E-3</v>
      </c>
      <c r="P646" s="57">
        <v>-0.17760000000000001</v>
      </c>
      <c r="Q646" s="57">
        <v>-0.32790000000000002</v>
      </c>
      <c r="R646" s="57">
        <v>-7.9600000000000004E-2</v>
      </c>
      <c r="S646">
        <v>13.21</v>
      </c>
      <c r="T646">
        <v>45.82</v>
      </c>
      <c r="U646">
        <v>2.96</v>
      </c>
      <c r="V646" s="20">
        <v>129.4109</v>
      </c>
    </row>
    <row r="647" spans="7:22" x14ac:dyDescent="0.15">
      <c r="G647" s="11">
        <v>646</v>
      </c>
      <c r="H647" t="s">
        <v>557</v>
      </c>
      <c r="I647" t="s">
        <v>865</v>
      </c>
      <c r="J647" t="s">
        <v>851</v>
      </c>
      <c r="K647" s="57">
        <v>4.4000000000000003E-3</v>
      </c>
      <c r="L647" s="57">
        <v>-3.3799999999999997E-2</v>
      </c>
      <c r="M647" s="57">
        <v>-1.9300000000000001E-2</v>
      </c>
      <c r="N647" s="57">
        <v>-1.11E-2</v>
      </c>
      <c r="O647" s="57">
        <v>6.0499999999999998E-2</v>
      </c>
      <c r="P647" s="57">
        <v>-9.4E-2</v>
      </c>
      <c r="Q647" s="57">
        <v>-0.126</v>
      </c>
      <c r="R647" s="57">
        <v>4.4400000000000002E-2</v>
      </c>
      <c r="S647">
        <v>13.07</v>
      </c>
      <c r="T647">
        <v>41.91</v>
      </c>
      <c r="U647">
        <v>6.6</v>
      </c>
      <c r="V647" s="20">
        <v>52.185600000000001</v>
      </c>
    </row>
    <row r="648" spans="7:22" x14ac:dyDescent="0.15">
      <c r="G648" s="11">
        <v>647</v>
      </c>
      <c r="H648" t="s">
        <v>1421</v>
      </c>
      <c r="I648" t="s">
        <v>1422</v>
      </c>
      <c r="J648" t="s">
        <v>1665</v>
      </c>
      <c r="K648" s="57">
        <v>2.0999999999999999E-3</v>
      </c>
      <c r="L648" s="57">
        <v>-6.8999999999999999E-3</v>
      </c>
      <c r="M648" s="57">
        <v>1.8E-3</v>
      </c>
      <c r="N648" s="57">
        <v>-2.07E-2</v>
      </c>
      <c r="O648" s="57">
        <v>0.152</v>
      </c>
      <c r="P648" s="57">
        <v>3.3E-3</v>
      </c>
      <c r="Q648" s="57">
        <v>-0.13089999999999999</v>
      </c>
      <c r="R648" s="57">
        <v>-7.1199999999999999E-2</v>
      </c>
      <c r="S648">
        <v>12.94</v>
      </c>
      <c r="T648">
        <v>31.4</v>
      </c>
      <c r="U648">
        <v>16.71</v>
      </c>
      <c r="V648" s="20">
        <v>796.46759999999995</v>
      </c>
    </row>
    <row r="649" spans="7:22" x14ac:dyDescent="0.15">
      <c r="G649" s="11">
        <v>648</v>
      </c>
      <c r="H649" t="s">
        <v>506</v>
      </c>
      <c r="I649" t="s">
        <v>1031</v>
      </c>
      <c r="J649" t="s">
        <v>851</v>
      </c>
      <c r="K649" s="57">
        <v>1.4E-3</v>
      </c>
      <c r="L649" s="57">
        <v>-2.7E-2</v>
      </c>
      <c r="M649" s="57">
        <v>-1.8599999999999998E-2</v>
      </c>
      <c r="N649" s="57">
        <v>-2.9700000000000001E-2</v>
      </c>
      <c r="O649" s="57">
        <v>3.8899999999999997E-2</v>
      </c>
      <c r="P649" s="57">
        <v>-7.0099999999999996E-2</v>
      </c>
      <c r="Q649" s="57">
        <v>-0.30530000000000002</v>
      </c>
      <c r="R649" s="57">
        <v>-0.35089999999999999</v>
      </c>
      <c r="S649">
        <v>12.8</v>
      </c>
      <c r="T649">
        <v>23.58</v>
      </c>
      <c r="U649">
        <v>24.53</v>
      </c>
      <c r="V649" s="20">
        <v>2417.9635499999999</v>
      </c>
    </row>
    <row r="650" spans="7:22" x14ac:dyDescent="0.15">
      <c r="G650" s="11">
        <v>649</v>
      </c>
      <c r="H650" t="s">
        <v>1210</v>
      </c>
      <c r="I650" t="s">
        <v>1211</v>
      </c>
      <c r="J650" t="s">
        <v>1199</v>
      </c>
      <c r="K650" s="57">
        <v>0.31340000000000001</v>
      </c>
      <c r="L650" s="57">
        <v>-8.2000000000000007E-3</v>
      </c>
      <c r="M650" s="57">
        <v>-8.2000000000000007E-3</v>
      </c>
      <c r="N650" s="57">
        <v>-8.2000000000000007E-3</v>
      </c>
      <c r="O650" s="57">
        <v>-8.2000000000000007E-3</v>
      </c>
      <c r="P650" s="57">
        <v>-8.2000000000000007E-3</v>
      </c>
      <c r="Q650" s="57">
        <v>-8.2000000000000007E-3</v>
      </c>
      <c r="R650" s="57">
        <v>-8.2000000000000007E-3</v>
      </c>
      <c r="S650">
        <v>12.67</v>
      </c>
      <c r="T650">
        <v>46.36</v>
      </c>
      <c r="U650">
        <v>1.62</v>
      </c>
      <c r="V650" s="20">
        <v>1168.4875999999999</v>
      </c>
    </row>
    <row r="651" spans="7:22" x14ac:dyDescent="0.15">
      <c r="G651" s="11">
        <v>650</v>
      </c>
      <c r="H651" t="s">
        <v>741</v>
      </c>
      <c r="I651" t="s">
        <v>1046</v>
      </c>
      <c r="J651" t="s">
        <v>851</v>
      </c>
      <c r="K651" s="57">
        <v>8.0000000000000004E-4</v>
      </c>
      <c r="L651" s="57">
        <v>-2.5700000000000001E-2</v>
      </c>
      <c r="M651" s="57">
        <v>-2.63E-2</v>
      </c>
      <c r="N651" s="57">
        <v>-4.58E-2</v>
      </c>
      <c r="O651" s="57">
        <v>5.3400000000000003E-2</v>
      </c>
      <c r="P651" s="57">
        <v>-0.1177</v>
      </c>
      <c r="Q651" s="57">
        <v>-0.3261</v>
      </c>
      <c r="R651" s="57">
        <v>-0.47739999999999999</v>
      </c>
      <c r="S651">
        <v>12.53</v>
      </c>
      <c r="T651">
        <v>14.82</v>
      </c>
      <c r="U651">
        <v>32.75</v>
      </c>
      <c r="V651" s="20">
        <v>2327.5021652</v>
      </c>
    </row>
    <row r="652" spans="7:22" x14ac:dyDescent="0.15">
      <c r="G652" s="11">
        <v>651</v>
      </c>
      <c r="H652" t="s">
        <v>1479</v>
      </c>
      <c r="I652" t="s">
        <v>1480</v>
      </c>
      <c r="J652" t="s">
        <v>1665</v>
      </c>
      <c r="K652" s="57">
        <v>2.7000000000000001E-3</v>
      </c>
      <c r="L652" s="57">
        <v>-6.1999999999999998E-3</v>
      </c>
      <c r="M652" s="57">
        <v>2.8E-3</v>
      </c>
      <c r="N652" s="57">
        <v>-1.8499999999999999E-2</v>
      </c>
      <c r="O652" s="57">
        <v>0.16209999999999999</v>
      </c>
      <c r="P652" s="57">
        <v>9.1999999999999998E-3</v>
      </c>
      <c r="Q652" s="57">
        <v>-0.1094</v>
      </c>
      <c r="R652" s="57">
        <v>-0.1094</v>
      </c>
      <c r="S652">
        <v>12.4</v>
      </c>
      <c r="T652">
        <v>34.369999999999997</v>
      </c>
      <c r="U652">
        <v>12.8</v>
      </c>
      <c r="V652" s="20">
        <v>1144.1488999999999</v>
      </c>
    </row>
    <row r="653" spans="7:22" x14ac:dyDescent="0.15">
      <c r="G653" s="11">
        <v>652</v>
      </c>
      <c r="H653" t="s">
        <v>2085</v>
      </c>
      <c r="I653" t="s">
        <v>2086</v>
      </c>
      <c r="J653" t="s">
        <v>2058</v>
      </c>
      <c r="K653" s="57">
        <v>8.0000000000000004E-4</v>
      </c>
      <c r="L653" s="57">
        <v>-2.35E-2</v>
      </c>
      <c r="M653" s="57">
        <v>-1.6500000000000001E-2</v>
      </c>
      <c r="N653" s="57">
        <v>-4.6800000000000001E-2</v>
      </c>
      <c r="O653" s="57">
        <v>-4.6800000000000001E-2</v>
      </c>
      <c r="P653" s="57">
        <v>-4.6800000000000001E-2</v>
      </c>
      <c r="Q653" s="57">
        <v>-4.6800000000000001E-2</v>
      </c>
      <c r="R653" s="57">
        <v>-4.6800000000000001E-2</v>
      </c>
      <c r="S653">
        <v>12.26</v>
      </c>
      <c r="T653">
        <v>13.88</v>
      </c>
      <c r="U653">
        <v>33.15</v>
      </c>
      <c r="V653" s="20">
        <v>1743.2939190000002</v>
      </c>
    </row>
    <row r="654" spans="7:22" x14ac:dyDescent="0.15">
      <c r="G654" s="11">
        <v>653</v>
      </c>
      <c r="H654" t="s">
        <v>441</v>
      </c>
      <c r="I654" t="s">
        <v>946</v>
      </c>
      <c r="J654" t="s">
        <v>851</v>
      </c>
      <c r="K654" s="57">
        <v>6.9999999999999999E-4</v>
      </c>
      <c r="L654" s="57">
        <v>-3.3300000000000003E-2</v>
      </c>
      <c r="M654" s="57">
        <v>-3.2500000000000001E-2</v>
      </c>
      <c r="N654" s="57">
        <v>-4.9500000000000002E-2</v>
      </c>
      <c r="O654" s="57">
        <v>6.5799999999999997E-2</v>
      </c>
      <c r="P654" s="57">
        <v>-9.5500000000000002E-2</v>
      </c>
      <c r="Q654" s="57">
        <v>-0.20619999999999999</v>
      </c>
      <c r="R654" s="57">
        <v>-0.32150000000000001</v>
      </c>
      <c r="S654">
        <v>12.13</v>
      </c>
      <c r="T654">
        <v>12.53</v>
      </c>
      <c r="U654">
        <v>34.369999999999997</v>
      </c>
      <c r="V654" s="20">
        <v>487.27229999999997</v>
      </c>
    </row>
    <row r="655" spans="7:22" x14ac:dyDescent="0.15">
      <c r="G655" s="11">
        <v>654</v>
      </c>
      <c r="H655" t="s">
        <v>743</v>
      </c>
      <c r="I655" t="s">
        <v>1288</v>
      </c>
      <c r="J655" t="s">
        <v>1267</v>
      </c>
      <c r="K655" s="57">
        <v>2.0000000000000001E-4</v>
      </c>
      <c r="L655" s="57">
        <v>-2.8000000000000001E-2</v>
      </c>
      <c r="M655" s="57">
        <v>-4.1300000000000003E-2</v>
      </c>
      <c r="N655" s="57">
        <v>-8.0299999999999996E-2</v>
      </c>
      <c r="O655" s="57">
        <v>5.7000000000000002E-2</v>
      </c>
      <c r="P655" s="57">
        <v>-0.1201</v>
      </c>
      <c r="Q655" s="57">
        <v>-0.35120000000000001</v>
      </c>
      <c r="R655" s="57">
        <v>-0.4551</v>
      </c>
      <c r="S655">
        <v>11.99</v>
      </c>
      <c r="T655">
        <v>3.77</v>
      </c>
      <c r="U655">
        <v>42.99</v>
      </c>
      <c r="V655" s="20">
        <v>82172.944199999998</v>
      </c>
    </row>
    <row r="656" spans="7:22" x14ac:dyDescent="0.15">
      <c r="G656" s="11">
        <v>655</v>
      </c>
      <c r="H656" t="s">
        <v>287</v>
      </c>
      <c r="I656" t="s">
        <v>1241</v>
      </c>
      <c r="J656" t="s">
        <v>1230</v>
      </c>
      <c r="K656" s="57">
        <v>1.6999999999999999E-3</v>
      </c>
      <c r="L656" s="57">
        <v>-1.6400000000000001E-2</v>
      </c>
      <c r="M656" s="57">
        <v>-1.5599999999999999E-2</v>
      </c>
      <c r="N656" s="57">
        <v>-2.5100000000000001E-2</v>
      </c>
      <c r="O656" s="57">
        <v>1.2500000000000001E-2</v>
      </c>
      <c r="P656" s="57">
        <v>-3.44E-2</v>
      </c>
      <c r="Q656" s="57">
        <v>-0.18790000000000001</v>
      </c>
      <c r="R656" s="57">
        <v>-0.2218</v>
      </c>
      <c r="S656">
        <v>11.86</v>
      </c>
      <c r="T656">
        <v>27.22</v>
      </c>
      <c r="U656">
        <v>19.54</v>
      </c>
      <c r="V656" s="20">
        <v>220.30273349999999</v>
      </c>
    </row>
    <row r="657" spans="7:22" x14ac:dyDescent="0.15">
      <c r="G657" s="11">
        <v>656</v>
      </c>
      <c r="H657" t="s">
        <v>2087</v>
      </c>
      <c r="I657" t="s">
        <v>2088</v>
      </c>
      <c r="J657" t="s">
        <v>2058</v>
      </c>
      <c r="K657" s="57">
        <v>8.9999999999999998E-4</v>
      </c>
      <c r="L657" s="57">
        <v>-2.3699999999999999E-2</v>
      </c>
      <c r="M657" s="57">
        <v>-1.67E-2</v>
      </c>
      <c r="N657" s="57">
        <v>-4.5900000000000003E-2</v>
      </c>
      <c r="O657" s="57">
        <v>-4.5900000000000003E-2</v>
      </c>
      <c r="P657" s="57">
        <v>-4.5900000000000003E-2</v>
      </c>
      <c r="Q657" s="57">
        <v>-4.5900000000000003E-2</v>
      </c>
      <c r="R657" s="57">
        <v>-4.5900000000000003E-2</v>
      </c>
      <c r="S657">
        <v>11.73</v>
      </c>
      <c r="T657">
        <v>14.56</v>
      </c>
      <c r="U657">
        <v>32.08</v>
      </c>
      <c r="V657" s="20">
        <v>1109.8213000000001</v>
      </c>
    </row>
    <row r="658" spans="7:22" x14ac:dyDescent="0.15">
      <c r="G658" s="11">
        <v>657</v>
      </c>
      <c r="H658" t="s">
        <v>665</v>
      </c>
      <c r="I658" t="s">
        <v>1233</v>
      </c>
      <c r="J658" t="s">
        <v>1230</v>
      </c>
      <c r="K658" s="57">
        <v>1.5E-3</v>
      </c>
      <c r="L658" s="57">
        <v>-1.6799999999999999E-2</v>
      </c>
      <c r="M658" s="57">
        <v>-8.8000000000000005E-3</v>
      </c>
      <c r="N658" s="57">
        <v>-3.1600000000000003E-2</v>
      </c>
      <c r="O658" s="57">
        <v>1.8100000000000002E-2</v>
      </c>
      <c r="P658" s="57">
        <v>-7.5399999999999995E-2</v>
      </c>
      <c r="Q658" s="57">
        <v>-0.1235</v>
      </c>
      <c r="R658" s="57">
        <v>-9.1600000000000001E-2</v>
      </c>
      <c r="S658">
        <v>11.59</v>
      </c>
      <c r="T658">
        <v>22.51</v>
      </c>
      <c r="U658">
        <v>23.85</v>
      </c>
      <c r="V658" s="20">
        <v>85.201899999999995</v>
      </c>
    </row>
    <row r="659" spans="7:22" x14ac:dyDescent="0.15">
      <c r="G659" s="11">
        <v>658</v>
      </c>
      <c r="H659" t="s">
        <v>734</v>
      </c>
      <c r="I659" t="s">
        <v>856</v>
      </c>
      <c r="J659" t="s">
        <v>851</v>
      </c>
      <c r="K659" s="57">
        <v>2E-3</v>
      </c>
      <c r="L659" s="57">
        <v>-2.0999999999999999E-3</v>
      </c>
      <c r="M659" s="57">
        <v>1.6999999999999999E-3</v>
      </c>
      <c r="N659" s="57">
        <v>-2.3400000000000001E-2</v>
      </c>
      <c r="O659" s="57">
        <v>0.11559999999999999</v>
      </c>
      <c r="P659" s="57">
        <v>4.3E-3</v>
      </c>
      <c r="Q659" s="57">
        <v>-8.0799999999999997E-2</v>
      </c>
      <c r="R659" s="57">
        <v>4.7199999999999999E-2</v>
      </c>
      <c r="S659">
        <v>11.46</v>
      </c>
      <c r="T659">
        <v>29.11</v>
      </c>
      <c r="U659">
        <v>16.98</v>
      </c>
      <c r="V659" s="20">
        <v>36.400459999999995</v>
      </c>
    </row>
    <row r="660" spans="7:22" x14ac:dyDescent="0.15">
      <c r="G660" s="11">
        <v>659</v>
      </c>
      <c r="H660" t="s">
        <v>656</v>
      </c>
      <c r="I660" t="s">
        <v>866</v>
      </c>
      <c r="J660" t="s">
        <v>851</v>
      </c>
      <c r="K660" s="57">
        <v>1.4E-3</v>
      </c>
      <c r="L660" s="57">
        <v>-1.6500000000000001E-2</v>
      </c>
      <c r="M660" s="57">
        <v>-8.8999999999999999E-3</v>
      </c>
      <c r="N660" s="57">
        <v>-3.3599999999999998E-2</v>
      </c>
      <c r="O660" s="57">
        <v>2.1499999999999998E-2</v>
      </c>
      <c r="P660" s="57">
        <v>-8.1600000000000006E-2</v>
      </c>
      <c r="Q660" s="57">
        <v>-0.12870000000000001</v>
      </c>
      <c r="R660" s="57">
        <v>-7.6600000000000001E-2</v>
      </c>
      <c r="S660">
        <v>11.32</v>
      </c>
      <c r="T660">
        <v>21.43</v>
      </c>
      <c r="U660">
        <v>24.66</v>
      </c>
      <c r="V660" s="20">
        <v>38.679400000000001</v>
      </c>
    </row>
    <row r="661" spans="7:22" x14ac:dyDescent="0.15">
      <c r="G661" s="11">
        <v>660</v>
      </c>
      <c r="H661" t="s">
        <v>326</v>
      </c>
      <c r="I661" t="s">
        <v>1037</v>
      </c>
      <c r="J661" t="s">
        <v>851</v>
      </c>
      <c r="K661" s="57">
        <v>5.0000000000000001E-4</v>
      </c>
      <c r="L661" s="57">
        <v>-4.58E-2</v>
      </c>
      <c r="M661" s="57">
        <v>-4.3799999999999999E-2</v>
      </c>
      <c r="N661" s="57">
        <v>-6.9599999999999995E-2</v>
      </c>
      <c r="O661" s="57">
        <v>3.2899999999999999E-2</v>
      </c>
      <c r="P661" s="57">
        <v>-9.5699999999999993E-2</v>
      </c>
      <c r="Q661" s="57">
        <v>-0.4022</v>
      </c>
      <c r="R661" s="57">
        <v>-0.40629999999999999</v>
      </c>
      <c r="S661">
        <v>11.19</v>
      </c>
      <c r="T661">
        <v>7.28</v>
      </c>
      <c r="U661">
        <v>38.409999999999997</v>
      </c>
      <c r="V661" s="20">
        <v>1612.6428988</v>
      </c>
    </row>
    <row r="662" spans="7:22" x14ac:dyDescent="0.15">
      <c r="G662" s="11">
        <v>661</v>
      </c>
      <c r="H662" t="s">
        <v>722</v>
      </c>
      <c r="I662" t="s">
        <v>1250</v>
      </c>
      <c r="J662" t="s">
        <v>1230</v>
      </c>
      <c r="K662" s="57">
        <v>1.5E-3</v>
      </c>
      <c r="L662" s="57">
        <v>-9.9000000000000008E-3</v>
      </c>
      <c r="M662" s="57">
        <v>1.8E-3</v>
      </c>
      <c r="N662" s="57">
        <v>-3.1600000000000003E-2</v>
      </c>
      <c r="O662" s="57">
        <v>2.1299999999999999E-2</v>
      </c>
      <c r="P662" s="57">
        <v>-0.151</v>
      </c>
      <c r="Q662" s="57">
        <v>-0.18490000000000001</v>
      </c>
      <c r="R662" s="57">
        <v>-0.24979999999999999</v>
      </c>
      <c r="S662">
        <v>11.05</v>
      </c>
      <c r="T662">
        <v>22.64</v>
      </c>
      <c r="U662">
        <v>22.64</v>
      </c>
      <c r="V662" s="20">
        <v>157.28592639999999</v>
      </c>
    </row>
    <row r="663" spans="7:22" x14ac:dyDescent="0.15">
      <c r="G663" s="11">
        <v>662</v>
      </c>
      <c r="H663" t="s">
        <v>487</v>
      </c>
      <c r="I663" t="s">
        <v>934</v>
      </c>
      <c r="J663" t="s">
        <v>851</v>
      </c>
      <c r="K663" s="57">
        <v>8.9999999999999998E-4</v>
      </c>
      <c r="L663" s="57">
        <v>-3.3799999999999997E-2</v>
      </c>
      <c r="M663" s="57">
        <v>-3.1699999999999999E-2</v>
      </c>
      <c r="N663" s="57">
        <v>-4.8000000000000001E-2</v>
      </c>
      <c r="O663" s="57">
        <v>4.9000000000000002E-2</v>
      </c>
      <c r="P663" s="57">
        <v>-5.5300000000000002E-2</v>
      </c>
      <c r="Q663" s="57">
        <v>-0.31990000000000002</v>
      </c>
      <c r="R663" s="57">
        <v>-0.2487</v>
      </c>
      <c r="S663">
        <v>10.92</v>
      </c>
      <c r="T663">
        <v>13.48</v>
      </c>
      <c r="U663">
        <v>31.13</v>
      </c>
      <c r="V663" s="20">
        <v>806.81245000000001</v>
      </c>
    </row>
    <row r="664" spans="7:22" x14ac:dyDescent="0.15">
      <c r="G664" s="11">
        <v>663</v>
      </c>
      <c r="H664" t="s">
        <v>748</v>
      </c>
      <c r="I664" t="s">
        <v>1190</v>
      </c>
      <c r="J664" t="s">
        <v>1177</v>
      </c>
      <c r="K664" s="57">
        <v>8.5000000000000006E-3</v>
      </c>
      <c r="L664" s="57">
        <v>-2.47E-2</v>
      </c>
      <c r="M664" s="57">
        <v>-3.2399999999999998E-2</v>
      </c>
      <c r="N664" s="57">
        <v>-1.2999999999999999E-2</v>
      </c>
      <c r="O664" s="57">
        <v>0.27289999999999998</v>
      </c>
      <c r="P664" s="57">
        <v>-2.5700000000000001E-2</v>
      </c>
      <c r="Q664" s="57">
        <v>-0.25209999999999999</v>
      </c>
      <c r="R664" s="57">
        <v>-0.60540000000000005</v>
      </c>
      <c r="S664">
        <v>10.78</v>
      </c>
      <c r="T664">
        <v>39.35</v>
      </c>
      <c r="U664">
        <v>4.45</v>
      </c>
      <c r="V664" s="20">
        <v>6666.2358000000004</v>
      </c>
    </row>
    <row r="665" spans="7:22" x14ac:dyDescent="0.15">
      <c r="G665" s="11">
        <v>664</v>
      </c>
      <c r="H665" t="s">
        <v>388</v>
      </c>
      <c r="I665" t="s">
        <v>1070</v>
      </c>
      <c r="J665" t="s">
        <v>851</v>
      </c>
      <c r="K665" s="57">
        <v>1.1999999999999999E-3</v>
      </c>
      <c r="L665" s="57">
        <v>-8.3999999999999995E-3</v>
      </c>
      <c r="M665" s="57">
        <v>-1.6199999999999999E-2</v>
      </c>
      <c r="N665" s="57">
        <v>-3.8899999999999997E-2</v>
      </c>
      <c r="O665" s="57">
        <v>0.192</v>
      </c>
      <c r="P665" s="57">
        <v>1.7399999999999999E-2</v>
      </c>
      <c r="Q665" s="57">
        <v>-0.1164</v>
      </c>
      <c r="R665" s="57">
        <v>1.0609</v>
      </c>
      <c r="S665">
        <v>10.65</v>
      </c>
      <c r="T665">
        <v>17.920000000000002</v>
      </c>
      <c r="U665">
        <v>25.88</v>
      </c>
      <c r="V665" s="20">
        <v>8415.1301299999996</v>
      </c>
    </row>
    <row r="666" spans="7:22" x14ac:dyDescent="0.15">
      <c r="G666" s="11">
        <v>665</v>
      </c>
      <c r="H666" t="s">
        <v>346</v>
      </c>
      <c r="I666" t="s">
        <v>1248</v>
      </c>
      <c r="J666" t="s">
        <v>1230</v>
      </c>
      <c r="K666" s="57">
        <v>2.8999999999999998E-3</v>
      </c>
      <c r="L666" s="57">
        <v>-3.2000000000000002E-3</v>
      </c>
      <c r="M666" s="57">
        <v>-7.7999999999999996E-3</v>
      </c>
      <c r="N666" s="57">
        <v>-2.0400000000000001E-2</v>
      </c>
      <c r="O666" s="57">
        <v>9.1700000000000004E-2</v>
      </c>
      <c r="P666" s="57">
        <v>1.0500000000000001E-2</v>
      </c>
      <c r="Q666" s="57">
        <v>-6.4600000000000005E-2</v>
      </c>
      <c r="R666" s="57">
        <v>0.47449999999999998</v>
      </c>
      <c r="S666">
        <v>10.51</v>
      </c>
      <c r="T666">
        <v>32.21</v>
      </c>
      <c r="U666">
        <v>11.59</v>
      </c>
      <c r="V666" s="20">
        <v>513.54589340000007</v>
      </c>
    </row>
    <row r="667" spans="7:22" x14ac:dyDescent="0.15">
      <c r="G667" s="11">
        <v>666</v>
      </c>
      <c r="H667" t="s">
        <v>2079</v>
      </c>
      <c r="I667" t="s">
        <v>2080</v>
      </c>
      <c r="J667" t="s">
        <v>2058</v>
      </c>
      <c r="K667" s="57">
        <v>6.9999999999999999E-4</v>
      </c>
      <c r="L667" s="57">
        <v>-4.4299999999999999E-2</v>
      </c>
      <c r="M667" s="57">
        <v>-4.4200000000000003E-2</v>
      </c>
      <c r="N667" s="57">
        <v>-6.5799999999999997E-2</v>
      </c>
      <c r="O667" s="57">
        <v>3.4299999999999997E-2</v>
      </c>
      <c r="P667" s="57">
        <v>3.4299999999999997E-2</v>
      </c>
      <c r="Q667" s="57">
        <v>3.4299999999999997E-2</v>
      </c>
      <c r="R667" s="57">
        <v>3.4299999999999997E-2</v>
      </c>
      <c r="S667">
        <v>10.38</v>
      </c>
      <c r="T667">
        <v>8.6300000000000008</v>
      </c>
      <c r="U667">
        <v>34.64</v>
      </c>
      <c r="V667" s="20">
        <v>152.34790000000001</v>
      </c>
    </row>
    <row r="668" spans="7:22" x14ac:dyDescent="0.15">
      <c r="G668" s="11">
        <v>667</v>
      </c>
      <c r="H668" t="s">
        <v>446</v>
      </c>
      <c r="I668" t="s">
        <v>939</v>
      </c>
      <c r="J668" t="s">
        <v>851</v>
      </c>
      <c r="K668" s="57">
        <v>2.8E-3</v>
      </c>
      <c r="L668" s="57">
        <v>1.09E-2</v>
      </c>
      <c r="M668" s="57">
        <v>1.7500000000000002E-2</v>
      </c>
      <c r="N668" s="57">
        <v>-2.1999999999999999E-2</v>
      </c>
      <c r="O668" s="57">
        <v>0.18190000000000001</v>
      </c>
      <c r="P668" s="57">
        <v>3.0200000000000001E-2</v>
      </c>
      <c r="Q668" s="57">
        <v>-6.6199999999999995E-2</v>
      </c>
      <c r="R668" s="57">
        <v>-1.4800000000000001E-2</v>
      </c>
      <c r="S668">
        <v>10.24</v>
      </c>
      <c r="T668">
        <v>30.86</v>
      </c>
      <c r="U668">
        <v>12.26</v>
      </c>
      <c r="V668" s="20">
        <v>976.47730000000001</v>
      </c>
    </row>
    <row r="669" spans="7:22" x14ac:dyDescent="0.15">
      <c r="G669" s="11">
        <v>668</v>
      </c>
      <c r="H669" t="s">
        <v>1465</v>
      </c>
      <c r="I669" t="s">
        <v>1466</v>
      </c>
      <c r="J669" t="s">
        <v>1665</v>
      </c>
      <c r="K669" s="57">
        <v>1.8E-3</v>
      </c>
      <c r="L669" s="57">
        <v>-3.0999999999999999E-3</v>
      </c>
      <c r="M669" s="57">
        <v>-1.6299999999999999E-2</v>
      </c>
      <c r="N669" s="57">
        <v>-2.9399999999999999E-2</v>
      </c>
      <c r="O669" s="57">
        <v>0.16619999999999999</v>
      </c>
      <c r="P669" s="57">
        <v>-2.9700000000000001E-2</v>
      </c>
      <c r="Q669" s="57">
        <v>-0.13400000000000001</v>
      </c>
      <c r="R669" s="57">
        <v>-8.7599999999999997E-2</v>
      </c>
      <c r="S669">
        <v>10.11</v>
      </c>
      <c r="T669">
        <v>23.72</v>
      </c>
      <c r="U669">
        <v>19</v>
      </c>
      <c r="V669" s="20">
        <v>935.35339999999997</v>
      </c>
    </row>
    <row r="670" spans="7:22" x14ac:dyDescent="0.15">
      <c r="G670" s="11">
        <v>669</v>
      </c>
      <c r="H670" t="s">
        <v>411</v>
      </c>
      <c r="I670" t="s">
        <v>932</v>
      </c>
      <c r="J670" t="s">
        <v>851</v>
      </c>
      <c r="K670" s="57">
        <v>2.0999999999999999E-3</v>
      </c>
      <c r="L670" s="57">
        <v>-2.7199999999999998E-2</v>
      </c>
      <c r="M670" s="57">
        <v>-1.8700000000000001E-2</v>
      </c>
      <c r="N670" s="57">
        <v>-2.8199999999999999E-2</v>
      </c>
      <c r="O670" s="57">
        <v>4.7699999999999999E-2</v>
      </c>
      <c r="P670" s="57">
        <v>-5.8299999999999998E-2</v>
      </c>
      <c r="Q670" s="57">
        <v>-0.27910000000000001</v>
      </c>
      <c r="R670" s="57">
        <v>-0.34939999999999999</v>
      </c>
      <c r="S670">
        <v>9.9700000000000006</v>
      </c>
      <c r="T670">
        <v>24.8</v>
      </c>
      <c r="U670">
        <v>16.850000000000001</v>
      </c>
      <c r="V670" s="20">
        <v>863.58183000000008</v>
      </c>
    </row>
    <row r="671" spans="7:22" x14ac:dyDescent="0.15">
      <c r="G671" s="11">
        <v>670</v>
      </c>
      <c r="H671" t="s">
        <v>401</v>
      </c>
      <c r="I671" t="s">
        <v>1064</v>
      </c>
      <c r="J671" t="s">
        <v>851</v>
      </c>
      <c r="K671" s="57">
        <v>1.6000000000000001E-3</v>
      </c>
      <c r="L671" s="57">
        <v>-6.1000000000000004E-3</v>
      </c>
      <c r="M671" s="57">
        <v>-1.2699999999999999E-2</v>
      </c>
      <c r="N671" s="57">
        <v>-3.4700000000000002E-2</v>
      </c>
      <c r="O671" s="57">
        <v>0.1933</v>
      </c>
      <c r="P671" s="57">
        <v>1.9699999999999999E-2</v>
      </c>
      <c r="Q671" s="57">
        <v>-0.1031</v>
      </c>
      <c r="R671" s="57">
        <v>0.40970000000000001</v>
      </c>
      <c r="S671">
        <v>9.84</v>
      </c>
      <c r="T671">
        <v>20.62</v>
      </c>
      <c r="U671">
        <v>20.75</v>
      </c>
      <c r="V671" s="20">
        <v>2698.3428254</v>
      </c>
    </row>
    <row r="672" spans="7:22" x14ac:dyDescent="0.15">
      <c r="G672" s="11">
        <v>671</v>
      </c>
      <c r="H672" t="s">
        <v>325</v>
      </c>
      <c r="I672" t="s">
        <v>1068</v>
      </c>
      <c r="J672" t="s">
        <v>851</v>
      </c>
      <c r="K672" s="57">
        <v>8.0000000000000004E-4</v>
      </c>
      <c r="L672" s="57">
        <v>-4.6100000000000002E-2</v>
      </c>
      <c r="M672" s="57">
        <v>-4.6199999999999998E-2</v>
      </c>
      <c r="N672" s="57">
        <v>-6.8400000000000002E-2</v>
      </c>
      <c r="O672" s="57">
        <v>5.5300000000000002E-2</v>
      </c>
      <c r="P672" s="57">
        <v>-7.6499999999999999E-2</v>
      </c>
      <c r="Q672" s="57">
        <v>-0.34610000000000002</v>
      </c>
      <c r="R672" s="57">
        <v>-0.28760000000000002</v>
      </c>
      <c r="S672">
        <v>9.6999999999999993</v>
      </c>
      <c r="T672">
        <v>7.55</v>
      </c>
      <c r="U672">
        <v>33.69</v>
      </c>
      <c r="V672" s="20">
        <v>4909.0753000000004</v>
      </c>
    </row>
    <row r="673" spans="7:22" x14ac:dyDescent="0.15">
      <c r="G673" s="11">
        <v>672</v>
      </c>
      <c r="H673" t="s">
        <v>1503</v>
      </c>
      <c r="I673" t="s">
        <v>1504</v>
      </c>
      <c r="J673" t="s">
        <v>1665</v>
      </c>
      <c r="K673" s="57">
        <v>8.0000000000000004E-4</v>
      </c>
      <c r="L673" s="57">
        <v>-4.4400000000000002E-2</v>
      </c>
      <c r="M673" s="57">
        <v>-4.2500000000000003E-2</v>
      </c>
      <c r="N673" s="57">
        <v>-7.0099999999999996E-2</v>
      </c>
      <c r="O673" s="57">
        <v>4.5199999999999997E-2</v>
      </c>
      <c r="P673" s="57">
        <v>-8.5000000000000006E-2</v>
      </c>
      <c r="Q673" s="57">
        <v>-0.24660000000000001</v>
      </c>
      <c r="R673" s="57">
        <v>-0.24660000000000001</v>
      </c>
      <c r="S673">
        <v>9.57</v>
      </c>
      <c r="T673">
        <v>7.14</v>
      </c>
      <c r="U673">
        <v>33.96</v>
      </c>
      <c r="V673" s="20">
        <v>1193.21381</v>
      </c>
    </row>
    <row r="674" spans="7:22" x14ac:dyDescent="0.15">
      <c r="G674" s="11">
        <v>673</v>
      </c>
      <c r="H674" t="s">
        <v>635</v>
      </c>
      <c r="I674" t="s">
        <v>1087</v>
      </c>
      <c r="J674" t="s">
        <v>851</v>
      </c>
      <c r="K674" s="57">
        <v>1.2999999999999999E-3</v>
      </c>
      <c r="L674" s="57">
        <v>-1.7899999999999999E-2</v>
      </c>
      <c r="M674" s="57">
        <v>-2.06E-2</v>
      </c>
      <c r="N674" s="57">
        <v>-4.58E-2</v>
      </c>
      <c r="O674" s="57">
        <v>5.9400000000000001E-2</v>
      </c>
      <c r="P674" s="57">
        <v>-6.3299999999999995E-2</v>
      </c>
      <c r="Q674" s="57">
        <v>-0.12970000000000001</v>
      </c>
      <c r="R674" s="57">
        <v>-8.6300000000000002E-2</v>
      </c>
      <c r="S674">
        <v>9.43</v>
      </c>
      <c r="T674">
        <v>14.69</v>
      </c>
      <c r="U674">
        <v>25.47</v>
      </c>
      <c r="V674" s="20">
        <v>5011.4937</v>
      </c>
    </row>
    <row r="675" spans="7:22" x14ac:dyDescent="0.15">
      <c r="G675" s="11">
        <v>674</v>
      </c>
      <c r="H675" t="s">
        <v>414</v>
      </c>
      <c r="I675" t="s">
        <v>1173</v>
      </c>
      <c r="J675" t="s">
        <v>1296</v>
      </c>
      <c r="K675" s="57">
        <v>0.996</v>
      </c>
      <c r="L675" s="57">
        <v>-9.4799999999999995E-2</v>
      </c>
      <c r="M675" s="57">
        <v>-0.1115</v>
      </c>
      <c r="N675" s="57">
        <v>-1.3299999999999999E-2</v>
      </c>
      <c r="O675" s="57">
        <v>0.13009999999999999</v>
      </c>
      <c r="P675" s="57">
        <v>-0.216</v>
      </c>
      <c r="Q675" s="57">
        <v>-0.2341</v>
      </c>
      <c r="R675" s="57">
        <v>-0.219</v>
      </c>
      <c r="S675">
        <v>9.3000000000000007</v>
      </c>
      <c r="T675">
        <v>39.08</v>
      </c>
      <c r="U675">
        <v>0.81</v>
      </c>
      <c r="V675" s="20">
        <v>216504.7697</v>
      </c>
    </row>
    <row r="676" spans="7:22" x14ac:dyDescent="0.15">
      <c r="G676" s="11">
        <v>675</v>
      </c>
      <c r="H676" t="s">
        <v>1355</v>
      </c>
      <c r="I676" t="s">
        <v>1356</v>
      </c>
      <c r="J676" t="s">
        <v>1665</v>
      </c>
      <c r="K676" s="57">
        <v>3.8E-3</v>
      </c>
      <c r="L676" s="57">
        <v>-1.46E-2</v>
      </c>
      <c r="M676" s="57">
        <v>4.4000000000000003E-3</v>
      </c>
      <c r="N676" s="57">
        <v>-2.0899999999999998E-2</v>
      </c>
      <c r="O676" s="57">
        <v>4.19E-2</v>
      </c>
      <c r="P676" s="57">
        <v>-0.11650000000000001</v>
      </c>
      <c r="Q676" s="57">
        <v>-0.1552</v>
      </c>
      <c r="R676" s="57">
        <v>-0.1552</v>
      </c>
      <c r="S676">
        <v>9.16</v>
      </c>
      <c r="T676">
        <v>31.27</v>
      </c>
      <c r="U676">
        <v>8.49</v>
      </c>
      <c r="V676" s="20">
        <v>36.163899999999998</v>
      </c>
    </row>
    <row r="677" spans="7:22" x14ac:dyDescent="0.15">
      <c r="G677" s="11">
        <v>676</v>
      </c>
      <c r="H677" t="s">
        <v>521</v>
      </c>
      <c r="I677" t="s">
        <v>869</v>
      </c>
      <c r="J677" t="s">
        <v>851</v>
      </c>
      <c r="K677" s="57">
        <v>1.0999999999999999E-2</v>
      </c>
      <c r="L677" s="57">
        <v>-7.4999999999999997E-3</v>
      </c>
      <c r="M677" s="57">
        <v>2.0000000000000001E-4</v>
      </c>
      <c r="N677" s="57">
        <v>-1.72E-2</v>
      </c>
      <c r="O677" s="57">
        <v>0.10299999999999999</v>
      </c>
      <c r="P677" s="57">
        <v>-5.3699999999999998E-2</v>
      </c>
      <c r="Q677" s="57">
        <v>-0.24</v>
      </c>
      <c r="R677" s="57">
        <v>9.9000000000000008E-3</v>
      </c>
      <c r="S677">
        <v>9.0299999999999994</v>
      </c>
      <c r="T677">
        <v>35.71</v>
      </c>
      <c r="U677">
        <v>3.77</v>
      </c>
      <c r="V677" s="20">
        <v>190.7176</v>
      </c>
    </row>
    <row r="678" spans="7:22" x14ac:dyDescent="0.15">
      <c r="G678" s="11">
        <v>677</v>
      </c>
      <c r="H678" t="s">
        <v>1593</v>
      </c>
      <c r="I678" t="s">
        <v>1594</v>
      </c>
      <c r="J678" t="s">
        <v>1665</v>
      </c>
      <c r="K678" s="57">
        <v>6.9999999999999999E-4</v>
      </c>
      <c r="L678" s="57">
        <v>-4.3200000000000002E-2</v>
      </c>
      <c r="M678" s="57">
        <v>-5.0200000000000002E-2</v>
      </c>
      <c r="N678" s="57">
        <v>-7.8899999999999998E-2</v>
      </c>
      <c r="O678" s="57">
        <v>0.1694</v>
      </c>
      <c r="P678" s="57">
        <v>-4.6800000000000001E-2</v>
      </c>
      <c r="Q678" s="57">
        <v>-9.9599999999999994E-2</v>
      </c>
      <c r="R678" s="57">
        <v>-9.9599999999999994E-2</v>
      </c>
      <c r="S678">
        <v>8.89</v>
      </c>
      <c r="T678">
        <v>4.8499999999999996</v>
      </c>
      <c r="U678">
        <v>34.5</v>
      </c>
      <c r="V678" s="20">
        <v>2402.681</v>
      </c>
    </row>
    <row r="679" spans="7:22" x14ac:dyDescent="0.15">
      <c r="G679" s="11">
        <v>678</v>
      </c>
      <c r="H679" t="s">
        <v>331</v>
      </c>
      <c r="I679" t="s">
        <v>40</v>
      </c>
      <c r="J679" t="s">
        <v>814</v>
      </c>
      <c r="K679" s="57">
        <v>1.4E-2</v>
      </c>
      <c r="L679" s="57">
        <v>2.7E-2</v>
      </c>
      <c r="M679" s="57">
        <v>6.1999999999999998E-3</v>
      </c>
      <c r="N679" s="57">
        <v>-1.7899999999999999E-2</v>
      </c>
      <c r="O679" s="57">
        <v>0.20749999999999999</v>
      </c>
      <c r="P679" s="57">
        <v>9.1999999999999998E-2</v>
      </c>
      <c r="Q679" s="57">
        <v>3.2099999999999997E-2</v>
      </c>
      <c r="R679" s="57">
        <v>0.37140000000000001</v>
      </c>
      <c r="S679">
        <v>8.76</v>
      </c>
      <c r="T679">
        <v>35.31</v>
      </c>
      <c r="U679">
        <v>3.5</v>
      </c>
      <c r="V679" s="20">
        <v>159.71700000000001</v>
      </c>
    </row>
    <row r="680" spans="7:22" x14ac:dyDescent="0.15">
      <c r="G680" s="11">
        <v>679</v>
      </c>
      <c r="H680" t="s">
        <v>721</v>
      </c>
      <c r="I680" t="s">
        <v>859</v>
      </c>
      <c r="J680" t="s">
        <v>851</v>
      </c>
      <c r="K680" s="57">
        <v>1.5900000000000001E-2</v>
      </c>
      <c r="L680" s="57">
        <v>-1.1599999999999999E-2</v>
      </c>
      <c r="M680" s="57">
        <v>-6.4000000000000003E-3</v>
      </c>
      <c r="N680" s="57">
        <v>-1.78E-2</v>
      </c>
      <c r="O680" s="57">
        <v>2.6599999999999999E-2</v>
      </c>
      <c r="P680" s="57">
        <v>-8.9399999999999993E-2</v>
      </c>
      <c r="Q680" s="57">
        <v>-0.10929999999999999</v>
      </c>
      <c r="R680" s="57">
        <v>-5.7200000000000001E-2</v>
      </c>
      <c r="S680">
        <v>8.6300000000000008</v>
      </c>
      <c r="T680">
        <v>35.44</v>
      </c>
      <c r="U680">
        <v>3.1</v>
      </c>
      <c r="V680" s="20">
        <v>16.591290000000001</v>
      </c>
    </row>
    <row r="681" spans="7:22" x14ac:dyDescent="0.15">
      <c r="G681" s="11">
        <v>680</v>
      </c>
      <c r="H681" t="s">
        <v>333</v>
      </c>
      <c r="I681" t="s">
        <v>839</v>
      </c>
      <c r="J681" t="s">
        <v>814</v>
      </c>
      <c r="K681" s="57">
        <v>2.8999999999999998E-3</v>
      </c>
      <c r="L681" s="57">
        <v>1.1999999999999999E-3</v>
      </c>
      <c r="M681" s="57">
        <v>-9.9000000000000008E-3</v>
      </c>
      <c r="N681" s="57">
        <v>-2.53E-2</v>
      </c>
      <c r="O681" s="57">
        <v>8.9999999999999998E-4</v>
      </c>
      <c r="P681" s="57">
        <v>-0.1109</v>
      </c>
      <c r="Q681" s="57">
        <v>-0.2112</v>
      </c>
      <c r="R681" s="57">
        <v>-0.15770000000000001</v>
      </c>
      <c r="S681">
        <v>8.49</v>
      </c>
      <c r="T681">
        <v>26.68</v>
      </c>
      <c r="U681">
        <v>11.73</v>
      </c>
      <c r="V681" s="20">
        <v>85.188500000000005</v>
      </c>
    </row>
    <row r="682" spans="7:22" x14ac:dyDescent="0.15">
      <c r="G682" s="11">
        <v>681</v>
      </c>
      <c r="H682" t="s">
        <v>540</v>
      </c>
      <c r="I682" t="s">
        <v>1108</v>
      </c>
      <c r="J682" t="s">
        <v>851</v>
      </c>
      <c r="K682" s="57">
        <v>1.6999999999999999E-3</v>
      </c>
      <c r="L682" s="57">
        <v>-2.8000000000000001E-2</v>
      </c>
      <c r="M682" s="57">
        <v>-2.47E-2</v>
      </c>
      <c r="N682" s="57">
        <v>-3.7699999999999997E-2</v>
      </c>
      <c r="O682" s="57">
        <v>8.0100000000000005E-2</v>
      </c>
      <c r="P682" s="57">
        <v>-3.1E-2</v>
      </c>
      <c r="Q682" s="57">
        <v>-7.2800000000000004E-2</v>
      </c>
      <c r="R682" s="57">
        <v>-0.24729999999999999</v>
      </c>
      <c r="S682">
        <v>8.36</v>
      </c>
      <c r="T682">
        <v>18.46</v>
      </c>
      <c r="U682">
        <v>19.27</v>
      </c>
      <c r="V682" s="20">
        <v>15132.695</v>
      </c>
    </row>
    <row r="683" spans="7:22" x14ac:dyDescent="0.15">
      <c r="G683" s="11">
        <v>682</v>
      </c>
      <c r="H683" t="s">
        <v>1446</v>
      </c>
      <c r="I683" t="s">
        <v>1447</v>
      </c>
      <c r="J683" t="s">
        <v>1665</v>
      </c>
      <c r="K683" s="57">
        <v>1.2999999999999999E-3</v>
      </c>
      <c r="L683" s="57">
        <v>-2.0299999999999999E-2</v>
      </c>
      <c r="M683" s="57">
        <v>-2.5499999999999998E-2</v>
      </c>
      <c r="N683" s="57">
        <v>-4.9500000000000002E-2</v>
      </c>
      <c r="O683" s="57">
        <v>7.4200000000000002E-2</v>
      </c>
      <c r="P683" s="57">
        <v>-4.1300000000000003E-2</v>
      </c>
      <c r="Q683" s="57">
        <v>-0.12809999999999999</v>
      </c>
      <c r="R683" s="57">
        <v>-0.12809999999999999</v>
      </c>
      <c r="S683">
        <v>8.2200000000000006</v>
      </c>
      <c r="T683">
        <v>12.4</v>
      </c>
      <c r="U683">
        <v>25.07</v>
      </c>
      <c r="V683" s="20">
        <v>269.83890000000002</v>
      </c>
    </row>
    <row r="684" spans="7:22" x14ac:dyDescent="0.15">
      <c r="G684" s="11">
        <v>683</v>
      </c>
      <c r="H684" t="s">
        <v>1435</v>
      </c>
      <c r="I684" t="s">
        <v>1436</v>
      </c>
      <c r="J684" t="s">
        <v>1665</v>
      </c>
      <c r="K684" s="57">
        <v>4.4000000000000003E-3</v>
      </c>
      <c r="L684" s="57">
        <v>-8.0999999999999996E-3</v>
      </c>
      <c r="M684" s="57">
        <v>-1.6999999999999999E-3</v>
      </c>
      <c r="N684" s="57">
        <v>-2.1299999999999999E-2</v>
      </c>
      <c r="O684" s="57">
        <v>4.2200000000000001E-2</v>
      </c>
      <c r="P684" s="57">
        <v>-6.2600000000000003E-2</v>
      </c>
      <c r="Q684" s="57">
        <v>-0.1089</v>
      </c>
      <c r="R684" s="57">
        <v>-0.1089</v>
      </c>
      <c r="S684">
        <v>8.09</v>
      </c>
      <c r="T684">
        <v>31.13</v>
      </c>
      <c r="U684">
        <v>6.33</v>
      </c>
      <c r="V684" s="20">
        <v>1.5572999999999999</v>
      </c>
    </row>
    <row r="685" spans="7:22" x14ac:dyDescent="0.15">
      <c r="G685" s="11">
        <v>684</v>
      </c>
      <c r="H685" t="s">
        <v>320</v>
      </c>
      <c r="I685" t="s">
        <v>929</v>
      </c>
      <c r="J685" t="s">
        <v>851</v>
      </c>
      <c r="K685" s="57">
        <v>1.4E-3</v>
      </c>
      <c r="L685" s="57">
        <v>-3.3300000000000003E-2</v>
      </c>
      <c r="M685" s="57">
        <v>-3.15E-2</v>
      </c>
      <c r="N685" s="57">
        <v>-4.8800000000000003E-2</v>
      </c>
      <c r="O685" s="57">
        <v>4.1799999999999997E-2</v>
      </c>
      <c r="P685" s="57">
        <v>-6.0299999999999999E-2</v>
      </c>
      <c r="Q685" s="57">
        <v>-0.32079999999999997</v>
      </c>
      <c r="R685" s="57">
        <v>-0.33889999999999998</v>
      </c>
      <c r="S685">
        <v>7.95</v>
      </c>
      <c r="T685">
        <v>12.94</v>
      </c>
      <c r="U685">
        <v>24.39</v>
      </c>
      <c r="V685" s="20">
        <v>721.40449999999998</v>
      </c>
    </row>
    <row r="686" spans="7:22" x14ac:dyDescent="0.15">
      <c r="G686" s="11">
        <v>685</v>
      </c>
      <c r="H686" t="s">
        <v>566</v>
      </c>
      <c r="I686" t="s">
        <v>1238</v>
      </c>
      <c r="J686" t="s">
        <v>1230</v>
      </c>
      <c r="K686" s="57">
        <v>2.3E-3</v>
      </c>
      <c r="L686" s="57">
        <v>-4.5999999999999999E-3</v>
      </c>
      <c r="M686" s="57">
        <v>-1.14E-2</v>
      </c>
      <c r="N686" s="57">
        <v>-3.3700000000000001E-2</v>
      </c>
      <c r="O686" s="57">
        <v>0.18240000000000001</v>
      </c>
      <c r="P686" s="57">
        <v>1.7999999999999999E-2</v>
      </c>
      <c r="Q686" s="57">
        <v>-0.111</v>
      </c>
      <c r="R686" s="57">
        <v>1.0202</v>
      </c>
      <c r="S686">
        <v>7.82</v>
      </c>
      <c r="T686">
        <v>21.16</v>
      </c>
      <c r="U686">
        <v>16.170000000000002</v>
      </c>
      <c r="V686" s="20">
        <v>153.7209</v>
      </c>
    </row>
    <row r="687" spans="7:22" x14ac:dyDescent="0.15">
      <c r="G687" s="11">
        <v>686</v>
      </c>
      <c r="H687" t="s">
        <v>383</v>
      </c>
      <c r="I687" t="s">
        <v>926</v>
      </c>
      <c r="J687" t="s">
        <v>851</v>
      </c>
      <c r="K687" s="57">
        <v>4.3E-3</v>
      </c>
      <c r="L687" s="57">
        <v>-8.2000000000000007E-3</v>
      </c>
      <c r="M687" s="57">
        <v>0</v>
      </c>
      <c r="N687" s="57">
        <v>-2.1999999999999999E-2</v>
      </c>
      <c r="O687" s="57">
        <v>0.14849999999999999</v>
      </c>
      <c r="P687" s="57">
        <v>4.7999999999999996E-3</v>
      </c>
      <c r="Q687" s="57">
        <v>-0.13739999999999999</v>
      </c>
      <c r="R687" s="57">
        <v>7.8299999999999995E-2</v>
      </c>
      <c r="S687">
        <v>7.68</v>
      </c>
      <c r="T687">
        <v>30.46</v>
      </c>
      <c r="U687">
        <v>6.74</v>
      </c>
      <c r="V687" s="20">
        <v>16.1008</v>
      </c>
    </row>
    <row r="688" spans="7:22" x14ac:dyDescent="0.15">
      <c r="G688" s="11">
        <v>687</v>
      </c>
      <c r="H688" t="s">
        <v>1357</v>
      </c>
      <c r="I688" t="s">
        <v>1358</v>
      </c>
      <c r="J688" t="s">
        <v>1665</v>
      </c>
      <c r="K688" s="57">
        <v>4.1999999999999997E-3</v>
      </c>
      <c r="L688" s="57">
        <v>-3.6499999999999998E-2</v>
      </c>
      <c r="M688" s="57">
        <v>-5.4199999999999998E-2</v>
      </c>
      <c r="N688" s="57">
        <v>-2.2700000000000001E-2</v>
      </c>
      <c r="O688" s="57">
        <v>6.0499999999999998E-2</v>
      </c>
      <c r="P688" s="57">
        <v>-0.17050000000000001</v>
      </c>
      <c r="Q688" s="57">
        <v>-0.32879999999999998</v>
      </c>
      <c r="R688" s="57">
        <v>-0.32879999999999998</v>
      </c>
      <c r="S688">
        <v>7.55</v>
      </c>
      <c r="T688">
        <v>29.65</v>
      </c>
      <c r="U688">
        <v>7.55</v>
      </c>
      <c r="V688" s="20">
        <v>57.592399999999998</v>
      </c>
    </row>
    <row r="689" spans="7:22" x14ac:dyDescent="0.15">
      <c r="G689" s="11">
        <v>688</v>
      </c>
      <c r="H689" t="s">
        <v>1618</v>
      </c>
      <c r="I689" t="s">
        <v>1619</v>
      </c>
      <c r="J689" t="s">
        <v>1665</v>
      </c>
      <c r="K689" s="57">
        <v>1.6000000000000001E-3</v>
      </c>
      <c r="L689" s="57">
        <v>-3.1699999999999999E-2</v>
      </c>
      <c r="M689" s="57">
        <v>-3.0700000000000002E-2</v>
      </c>
      <c r="N689" s="57">
        <v>-4.3900000000000002E-2</v>
      </c>
      <c r="O689" s="57">
        <v>0.1009</v>
      </c>
      <c r="P689" s="57">
        <v>-4.3700000000000003E-2</v>
      </c>
      <c r="Q689" s="57">
        <v>-0.1414</v>
      </c>
      <c r="R689" s="57">
        <v>-0.1414</v>
      </c>
      <c r="S689">
        <v>7.41</v>
      </c>
      <c r="T689">
        <v>15.63</v>
      </c>
      <c r="U689">
        <v>21.29</v>
      </c>
      <c r="V689" s="20">
        <v>11808.1482</v>
      </c>
    </row>
    <row r="690" spans="7:22" x14ac:dyDescent="0.15">
      <c r="G690" s="11">
        <v>689</v>
      </c>
      <c r="H690" t="s">
        <v>455</v>
      </c>
      <c r="I690" t="s">
        <v>885</v>
      </c>
      <c r="J690" t="s">
        <v>851</v>
      </c>
      <c r="K690" s="57">
        <v>1.1999999999999999E-3</v>
      </c>
      <c r="L690" s="57">
        <v>-4.4299999999999999E-2</v>
      </c>
      <c r="M690" s="57">
        <v>-3.7699999999999997E-2</v>
      </c>
      <c r="N690" s="57">
        <v>-5.96E-2</v>
      </c>
      <c r="O690" s="57">
        <v>5.0299999999999997E-2</v>
      </c>
      <c r="P690" s="57">
        <v>-9.1200000000000003E-2</v>
      </c>
      <c r="Q690" s="57">
        <v>-0.33729999999999999</v>
      </c>
      <c r="R690" s="57">
        <v>-0.19400000000000001</v>
      </c>
      <c r="S690">
        <v>7.28</v>
      </c>
      <c r="T690">
        <v>10.38</v>
      </c>
      <c r="U690">
        <v>26.42</v>
      </c>
      <c r="V690" s="20">
        <v>323.4597</v>
      </c>
    </row>
    <row r="691" spans="7:22" x14ac:dyDescent="0.15">
      <c r="G691" s="11">
        <v>690</v>
      </c>
      <c r="H691" t="s">
        <v>708</v>
      </c>
      <c r="I691" t="s">
        <v>894</v>
      </c>
      <c r="J691" t="s">
        <v>851</v>
      </c>
      <c r="K691" s="57">
        <v>2.8999999999999998E-3</v>
      </c>
      <c r="L691" s="57">
        <v>-9.2999999999999992E-3</v>
      </c>
      <c r="M691" s="57">
        <v>-2.3E-3</v>
      </c>
      <c r="N691" s="57">
        <v>-2.75E-2</v>
      </c>
      <c r="O691" s="57">
        <v>3.3300000000000003E-2</v>
      </c>
      <c r="P691" s="57">
        <v>-6.4299999999999996E-2</v>
      </c>
      <c r="Q691" s="57">
        <v>-0.1116</v>
      </c>
      <c r="R691" s="57">
        <v>-1.32E-2</v>
      </c>
      <c r="S691">
        <v>7.14</v>
      </c>
      <c r="T691">
        <v>25.61</v>
      </c>
      <c r="U691">
        <v>11.05</v>
      </c>
      <c r="V691" s="20">
        <v>49.089599999999997</v>
      </c>
    </row>
    <row r="692" spans="7:22" x14ac:dyDescent="0.15">
      <c r="G692" s="11">
        <v>691</v>
      </c>
      <c r="H692" t="s">
        <v>1471</v>
      </c>
      <c r="I692" t="s">
        <v>1472</v>
      </c>
      <c r="J692" t="s">
        <v>1665</v>
      </c>
      <c r="K692" s="57">
        <v>2.5999999999999999E-3</v>
      </c>
      <c r="L692" s="57">
        <v>-3.5999999999999999E-3</v>
      </c>
      <c r="M692" s="57">
        <v>-1.8499999999999999E-2</v>
      </c>
      <c r="N692" s="57">
        <v>-3.1899999999999998E-2</v>
      </c>
      <c r="O692" s="57">
        <v>0.16</v>
      </c>
      <c r="P692" s="57">
        <v>-2.9899999999999999E-2</v>
      </c>
      <c r="Q692" s="57">
        <v>-0.1278</v>
      </c>
      <c r="R692" s="57">
        <v>-0.1183</v>
      </c>
      <c r="S692">
        <v>7.01</v>
      </c>
      <c r="T692">
        <v>22.37</v>
      </c>
      <c r="U692">
        <v>14.02</v>
      </c>
      <c r="V692" s="20">
        <v>72.826980000000006</v>
      </c>
    </row>
    <row r="693" spans="7:22" x14ac:dyDescent="0.15">
      <c r="G693" s="11">
        <v>692</v>
      </c>
      <c r="H693" t="s">
        <v>2048</v>
      </c>
      <c r="I693" t="s">
        <v>2096</v>
      </c>
      <c r="J693" t="s">
        <v>2058</v>
      </c>
      <c r="K693" s="57">
        <v>8.0000000000000004E-4</v>
      </c>
      <c r="L693" s="57">
        <v>-3.8199999999999998E-2</v>
      </c>
      <c r="M693" s="57">
        <v>-5.2299999999999999E-2</v>
      </c>
      <c r="N693" s="57">
        <v>-8.72E-2</v>
      </c>
      <c r="O693" s="57">
        <v>-8.4699999999999998E-2</v>
      </c>
      <c r="P693" s="57">
        <v>-8.4699999999999998E-2</v>
      </c>
      <c r="Q693" s="57">
        <v>-8.4699999999999998E-2</v>
      </c>
      <c r="R693" s="57">
        <v>-8.4699999999999998E-2</v>
      </c>
      <c r="S693">
        <v>6.87</v>
      </c>
      <c r="T693">
        <v>1.89</v>
      </c>
      <c r="U693">
        <v>34.229999999999997</v>
      </c>
      <c r="V693" s="20">
        <v>4157.4070663000002</v>
      </c>
    </row>
    <row r="694" spans="7:22" x14ac:dyDescent="0.15">
      <c r="G694" s="11">
        <v>693</v>
      </c>
      <c r="H694" t="s">
        <v>338</v>
      </c>
      <c r="I694" t="s">
        <v>1235</v>
      </c>
      <c r="J694" t="s">
        <v>1230</v>
      </c>
      <c r="K694" s="57">
        <v>7.0000000000000001E-3</v>
      </c>
      <c r="L694" s="57">
        <v>5.1000000000000004E-3</v>
      </c>
      <c r="M694" s="57">
        <v>-8.9999999999999998E-4</v>
      </c>
      <c r="N694" s="57">
        <v>-2.1999999999999999E-2</v>
      </c>
      <c r="O694" s="57">
        <v>0.19</v>
      </c>
      <c r="P694" s="57">
        <v>3.5499999999999997E-2</v>
      </c>
      <c r="Q694" s="57">
        <v>-0.1032</v>
      </c>
      <c r="R694" s="57">
        <v>0.80810000000000004</v>
      </c>
      <c r="S694">
        <v>6.74</v>
      </c>
      <c r="T694">
        <v>30.73</v>
      </c>
      <c r="U694">
        <v>4.99</v>
      </c>
      <c r="V694" s="20">
        <v>132.83772919999998</v>
      </c>
    </row>
    <row r="695" spans="7:22" x14ac:dyDescent="0.15">
      <c r="G695" s="11">
        <v>694</v>
      </c>
      <c r="H695" t="s">
        <v>1349</v>
      </c>
      <c r="I695" t="s">
        <v>1350</v>
      </c>
      <c r="J695" t="s">
        <v>1665</v>
      </c>
      <c r="K695" s="57">
        <v>1.6999999999999999E-3</v>
      </c>
      <c r="L695" s="57">
        <v>-3.1699999999999999E-2</v>
      </c>
      <c r="M695" s="57">
        <v>-3.0700000000000002E-2</v>
      </c>
      <c r="N695" s="57">
        <v>-4.3999999999999997E-2</v>
      </c>
      <c r="O695" s="57">
        <v>0.1027</v>
      </c>
      <c r="P695" s="57">
        <v>-4.2700000000000002E-2</v>
      </c>
      <c r="Q695" s="57">
        <v>-5.16E-2</v>
      </c>
      <c r="R695" s="57">
        <v>-5.16E-2</v>
      </c>
      <c r="S695">
        <v>6.6</v>
      </c>
      <c r="T695">
        <v>15.5</v>
      </c>
      <c r="U695">
        <v>19.95</v>
      </c>
      <c r="V695" s="20">
        <v>1251.66101</v>
      </c>
    </row>
    <row r="696" spans="7:22" x14ac:dyDescent="0.15">
      <c r="G696" s="11">
        <v>695</v>
      </c>
      <c r="H696" t="s">
        <v>490</v>
      </c>
      <c r="I696" t="s">
        <v>1080</v>
      </c>
      <c r="J696" t="s">
        <v>851</v>
      </c>
      <c r="K696" s="57">
        <v>1.1000000000000001E-3</v>
      </c>
      <c r="L696" s="57">
        <v>-4.4699999999999997E-2</v>
      </c>
      <c r="M696" s="57">
        <v>-4.8000000000000001E-2</v>
      </c>
      <c r="N696" s="57">
        <v>-7.4999999999999997E-2</v>
      </c>
      <c r="O696" s="57">
        <v>3.0599999999999999E-2</v>
      </c>
      <c r="P696" s="57">
        <v>-6.83E-2</v>
      </c>
      <c r="Q696" s="57">
        <v>-0.36620000000000003</v>
      </c>
      <c r="R696" s="57">
        <v>-0.36070000000000002</v>
      </c>
      <c r="S696">
        <v>6.47</v>
      </c>
      <c r="T696">
        <v>6.47</v>
      </c>
      <c r="U696">
        <v>28.57</v>
      </c>
      <c r="V696" s="20">
        <v>8186.285464399999</v>
      </c>
    </row>
    <row r="697" spans="7:22" x14ac:dyDescent="0.15">
      <c r="G697" s="11">
        <v>696</v>
      </c>
      <c r="H697" t="s">
        <v>376</v>
      </c>
      <c r="I697" t="s">
        <v>1011</v>
      </c>
      <c r="J697" t="s">
        <v>851</v>
      </c>
      <c r="K697" s="57">
        <v>2.5999999999999999E-3</v>
      </c>
      <c r="L697" s="57">
        <v>-4.4000000000000003E-3</v>
      </c>
      <c r="M697" s="57">
        <v>-1.1599999999999999E-2</v>
      </c>
      <c r="N697" s="57">
        <v>-3.44E-2</v>
      </c>
      <c r="O697" s="57">
        <v>0.191</v>
      </c>
      <c r="P697" s="57">
        <v>1.8100000000000002E-2</v>
      </c>
      <c r="Q697" s="57">
        <v>-0.11459999999999999</v>
      </c>
      <c r="R697" s="57">
        <v>0.17100000000000001</v>
      </c>
      <c r="S697">
        <v>6.33</v>
      </c>
      <c r="T697">
        <v>20.75</v>
      </c>
      <c r="U697">
        <v>13.61</v>
      </c>
      <c r="V697" s="20">
        <v>3039.0349000000001</v>
      </c>
    </row>
    <row r="698" spans="7:22" x14ac:dyDescent="0.15">
      <c r="G698" s="11">
        <v>697</v>
      </c>
      <c r="H698" t="s">
        <v>579</v>
      </c>
      <c r="I698" t="s">
        <v>1061</v>
      </c>
      <c r="J698" t="s">
        <v>851</v>
      </c>
      <c r="K698" s="57">
        <v>2.3E-3</v>
      </c>
      <c r="L698" s="57">
        <v>-2.76E-2</v>
      </c>
      <c r="M698" s="57">
        <v>-2.4400000000000002E-2</v>
      </c>
      <c r="N698" s="57">
        <v>-3.6900000000000002E-2</v>
      </c>
      <c r="O698" s="57">
        <v>7.9600000000000004E-2</v>
      </c>
      <c r="P698" s="57">
        <v>-2.9399999999999999E-2</v>
      </c>
      <c r="Q698" s="57">
        <v>-6.6500000000000004E-2</v>
      </c>
      <c r="R698" s="57">
        <v>-0.21779999999999999</v>
      </c>
      <c r="S698">
        <v>6.2</v>
      </c>
      <c r="T698">
        <v>18.73</v>
      </c>
      <c r="U698">
        <v>15.5</v>
      </c>
      <c r="V698" s="20">
        <v>2978.5248000000001</v>
      </c>
    </row>
    <row r="699" spans="7:22" x14ac:dyDescent="0.15">
      <c r="G699" s="11">
        <v>698</v>
      </c>
      <c r="H699" t="s">
        <v>342</v>
      </c>
      <c r="I699" t="s">
        <v>899</v>
      </c>
      <c r="J699" t="s">
        <v>851</v>
      </c>
      <c r="K699" s="57">
        <v>1.1999999999999999E-3</v>
      </c>
      <c r="L699" s="57">
        <v>-4.5499999999999999E-2</v>
      </c>
      <c r="M699" s="57">
        <v>-4.5499999999999999E-2</v>
      </c>
      <c r="N699" s="57">
        <v>-6.7900000000000002E-2</v>
      </c>
      <c r="O699" s="57">
        <v>5.4300000000000001E-2</v>
      </c>
      <c r="P699" s="57">
        <v>-7.5899999999999995E-2</v>
      </c>
      <c r="Q699" s="57">
        <v>-0.34499999999999997</v>
      </c>
      <c r="R699" s="57">
        <v>-0.34379999999999999</v>
      </c>
      <c r="S699">
        <v>6.06</v>
      </c>
      <c r="T699">
        <v>7.82</v>
      </c>
      <c r="U699">
        <v>26.15</v>
      </c>
      <c r="V699" s="20">
        <v>623.88239999999996</v>
      </c>
    </row>
    <row r="700" spans="7:22" x14ac:dyDescent="0.15">
      <c r="G700" s="11">
        <v>699</v>
      </c>
      <c r="H700" t="s">
        <v>312</v>
      </c>
      <c r="I700" t="s">
        <v>862</v>
      </c>
      <c r="J700" t="s">
        <v>851</v>
      </c>
      <c r="K700" s="57">
        <v>1.5E-3</v>
      </c>
      <c r="L700" s="57">
        <v>-4.4200000000000003E-2</v>
      </c>
      <c r="M700" s="57">
        <v>-3.7400000000000003E-2</v>
      </c>
      <c r="N700" s="57">
        <v>-5.9799999999999999E-2</v>
      </c>
      <c r="O700" s="57">
        <v>5.4100000000000002E-2</v>
      </c>
      <c r="P700" s="57">
        <v>-8.8999999999999996E-2</v>
      </c>
      <c r="Q700" s="57">
        <v>-0.34710000000000002</v>
      </c>
      <c r="R700" s="57">
        <v>-0.34300000000000003</v>
      </c>
      <c r="S700">
        <v>5.93</v>
      </c>
      <c r="T700">
        <v>10.24</v>
      </c>
      <c r="U700">
        <v>23.32</v>
      </c>
      <c r="V700" s="20">
        <v>213.36031</v>
      </c>
    </row>
    <row r="701" spans="7:22" x14ac:dyDescent="0.15">
      <c r="G701" s="11">
        <v>700</v>
      </c>
      <c r="H701" t="s">
        <v>1489</v>
      </c>
      <c r="I701" t="s">
        <v>1490</v>
      </c>
      <c r="J701" t="s">
        <v>1665</v>
      </c>
      <c r="K701" s="57">
        <v>1.6999999999999999E-3</v>
      </c>
      <c r="L701" s="57">
        <v>-2.5100000000000001E-2</v>
      </c>
      <c r="M701" s="57">
        <v>-2.53E-2</v>
      </c>
      <c r="N701" s="57">
        <v>-4.7100000000000003E-2</v>
      </c>
      <c r="O701" s="57">
        <v>3.78E-2</v>
      </c>
      <c r="P701" s="57">
        <v>-9.7699999999999995E-2</v>
      </c>
      <c r="Q701" s="57">
        <v>-0.2359</v>
      </c>
      <c r="R701" s="57">
        <v>-0.36309999999999998</v>
      </c>
      <c r="S701">
        <v>5.8</v>
      </c>
      <c r="T701">
        <v>13.75</v>
      </c>
      <c r="U701">
        <v>19.68</v>
      </c>
      <c r="V701" s="20">
        <v>486.14179999999999</v>
      </c>
    </row>
    <row r="702" spans="7:22" x14ac:dyDescent="0.15">
      <c r="G702" s="11">
        <v>701</v>
      </c>
      <c r="H702" t="s">
        <v>1491</v>
      </c>
      <c r="I702" t="s">
        <v>1492</v>
      </c>
      <c r="J702" t="s">
        <v>1665</v>
      </c>
      <c r="K702" s="57">
        <v>3.2000000000000002E-3</v>
      </c>
      <c r="L702" s="57">
        <v>3.5000000000000001E-3</v>
      </c>
      <c r="M702" s="57">
        <v>-2.9999999999999997E-4</v>
      </c>
      <c r="N702" s="57">
        <v>-3.1300000000000001E-2</v>
      </c>
      <c r="O702" s="57">
        <v>0.21690000000000001</v>
      </c>
      <c r="P702" s="57">
        <v>5.0099999999999999E-2</v>
      </c>
      <c r="Q702" s="57">
        <v>-5.1999999999999998E-2</v>
      </c>
      <c r="R702" s="57">
        <v>-5.1999999999999998E-2</v>
      </c>
      <c r="S702">
        <v>5.66</v>
      </c>
      <c r="T702">
        <v>23.05</v>
      </c>
      <c r="U702">
        <v>9.84</v>
      </c>
      <c r="V702" s="20">
        <v>649.03284000000008</v>
      </c>
    </row>
    <row r="703" spans="7:22" x14ac:dyDescent="0.15">
      <c r="G703" s="11">
        <v>702</v>
      </c>
      <c r="H703" t="s">
        <v>377</v>
      </c>
      <c r="I703" t="s">
        <v>1047</v>
      </c>
      <c r="J703" t="s">
        <v>851</v>
      </c>
      <c r="K703" s="57">
        <v>1.5E-3</v>
      </c>
      <c r="L703" s="57">
        <v>-4.0800000000000003E-2</v>
      </c>
      <c r="M703" s="57">
        <v>-4.02E-2</v>
      </c>
      <c r="N703" s="57">
        <v>-6.5799999999999997E-2</v>
      </c>
      <c r="O703" s="57">
        <v>3.6400000000000002E-2</v>
      </c>
      <c r="P703" s="57">
        <v>-8.3500000000000005E-2</v>
      </c>
      <c r="Q703" s="57">
        <v>-0.31979999999999997</v>
      </c>
      <c r="R703" s="57">
        <v>-0.34660000000000002</v>
      </c>
      <c r="S703">
        <v>5.53</v>
      </c>
      <c r="T703">
        <v>8.76</v>
      </c>
      <c r="U703">
        <v>23.72</v>
      </c>
      <c r="V703" s="20">
        <v>3760.5099600000003</v>
      </c>
    </row>
    <row r="704" spans="7:22" x14ac:dyDescent="0.15">
      <c r="G704" s="11">
        <v>703</v>
      </c>
      <c r="H704" t="s">
        <v>1616</v>
      </c>
      <c r="I704" t="s">
        <v>1617</v>
      </c>
      <c r="J704" t="s">
        <v>1665</v>
      </c>
      <c r="K704" s="57">
        <v>3.0000000000000001E-3</v>
      </c>
      <c r="L704" s="57">
        <v>-5.5999999999999999E-3</v>
      </c>
      <c r="M704" s="57">
        <v>-2.2200000000000001E-2</v>
      </c>
      <c r="N704" s="57">
        <v>-3.3799999999999997E-2</v>
      </c>
      <c r="O704" s="57">
        <v>0.15359999999999999</v>
      </c>
      <c r="P704" s="57">
        <v>-3.2099999999999997E-2</v>
      </c>
      <c r="Q704" s="57">
        <v>-5.6800000000000003E-2</v>
      </c>
      <c r="R704" s="57">
        <v>-5.6800000000000003E-2</v>
      </c>
      <c r="S704">
        <v>5.39</v>
      </c>
      <c r="T704">
        <v>21.02</v>
      </c>
      <c r="U704">
        <v>10.24</v>
      </c>
      <c r="V704" s="20">
        <v>360.61020000000002</v>
      </c>
    </row>
    <row r="705" spans="7:22" x14ac:dyDescent="0.15">
      <c r="G705" s="11">
        <v>704</v>
      </c>
      <c r="H705" t="s">
        <v>1644</v>
      </c>
      <c r="I705" t="s">
        <v>1645</v>
      </c>
      <c r="J705" t="s">
        <v>1665</v>
      </c>
      <c r="K705" s="57">
        <v>1.6000000000000001E-3</v>
      </c>
      <c r="L705" s="57">
        <v>-2.3E-2</v>
      </c>
      <c r="M705" s="57">
        <v>-1.49E-2</v>
      </c>
      <c r="N705" s="57">
        <v>-6.6400000000000001E-2</v>
      </c>
      <c r="O705" s="57">
        <v>5.6000000000000001E-2</v>
      </c>
      <c r="P705" s="57">
        <v>-6.93E-2</v>
      </c>
      <c r="Q705" s="57">
        <v>-4.7500000000000001E-2</v>
      </c>
      <c r="R705" s="57">
        <v>-4.7500000000000001E-2</v>
      </c>
      <c r="S705">
        <v>5.26</v>
      </c>
      <c r="T705">
        <v>8.49</v>
      </c>
      <c r="U705">
        <v>21.97</v>
      </c>
      <c r="V705" s="20">
        <v>1307.7103999999999</v>
      </c>
    </row>
    <row r="706" spans="7:22" x14ac:dyDescent="0.15">
      <c r="G706" s="11">
        <v>705</v>
      </c>
      <c r="H706" t="s">
        <v>313</v>
      </c>
      <c r="I706" t="s">
        <v>982</v>
      </c>
      <c r="J706" t="s">
        <v>851</v>
      </c>
      <c r="K706" s="57">
        <v>1.6000000000000001E-3</v>
      </c>
      <c r="L706" s="57">
        <v>-4.58E-2</v>
      </c>
      <c r="M706" s="57">
        <v>-4.53E-2</v>
      </c>
      <c r="N706" s="57">
        <v>-6.7400000000000002E-2</v>
      </c>
      <c r="O706" s="57">
        <v>5.8500000000000003E-2</v>
      </c>
      <c r="P706" s="57">
        <v>-7.2599999999999998E-2</v>
      </c>
      <c r="Q706" s="57">
        <v>-0.3427</v>
      </c>
      <c r="R706" s="57">
        <v>-0.26019999999999999</v>
      </c>
      <c r="S706">
        <v>5.12</v>
      </c>
      <c r="T706">
        <v>8.2200000000000006</v>
      </c>
      <c r="U706">
        <v>22.1</v>
      </c>
      <c r="V706" s="20">
        <v>949.64166999999998</v>
      </c>
    </row>
    <row r="707" spans="7:22" x14ac:dyDescent="0.15">
      <c r="G707" s="11">
        <v>706</v>
      </c>
      <c r="H707" t="s">
        <v>297</v>
      </c>
      <c r="I707" t="s">
        <v>997</v>
      </c>
      <c r="J707" t="s">
        <v>851</v>
      </c>
      <c r="K707" s="57">
        <v>1.5E-3</v>
      </c>
      <c r="L707" s="57">
        <v>-4.7300000000000002E-2</v>
      </c>
      <c r="M707" s="57">
        <v>-5.0200000000000002E-2</v>
      </c>
      <c r="N707" s="57">
        <v>-7.4499999999999997E-2</v>
      </c>
      <c r="O707" s="57">
        <v>3.6799999999999999E-2</v>
      </c>
      <c r="P707" s="57">
        <v>-9.0800000000000006E-2</v>
      </c>
      <c r="Q707" s="57">
        <v>-0.307</v>
      </c>
      <c r="R707" s="57">
        <v>-0.24490000000000001</v>
      </c>
      <c r="S707">
        <v>4.99</v>
      </c>
      <c r="T707">
        <v>6.6</v>
      </c>
      <c r="U707">
        <v>23.58</v>
      </c>
      <c r="V707" s="20">
        <v>2887.2806</v>
      </c>
    </row>
    <row r="708" spans="7:22" x14ac:dyDescent="0.15">
      <c r="G708" s="11">
        <v>707</v>
      </c>
      <c r="H708" t="s">
        <v>1265</v>
      </c>
      <c r="I708" t="s">
        <v>1266</v>
      </c>
      <c r="J708" t="s">
        <v>1267</v>
      </c>
      <c r="K708" s="57">
        <v>3.8999999999999998E-3</v>
      </c>
      <c r="L708" s="57">
        <v>-8.0999999999999996E-3</v>
      </c>
      <c r="M708" s="57">
        <v>-9.4999999999999998E-3</v>
      </c>
      <c r="N708" s="57">
        <v>-3.2599999999999997E-2</v>
      </c>
      <c r="O708" s="57">
        <v>7.6E-3</v>
      </c>
      <c r="P708" s="57">
        <v>-8.0699999999999994E-2</v>
      </c>
      <c r="Q708" s="57">
        <v>-0.20069999999999999</v>
      </c>
      <c r="R708" s="57">
        <v>-0.255</v>
      </c>
      <c r="S708">
        <v>4.8499999999999996</v>
      </c>
      <c r="T708">
        <v>22.1</v>
      </c>
      <c r="U708">
        <v>7.95</v>
      </c>
      <c r="V708" s="20">
        <v>5.1188000000000002</v>
      </c>
    </row>
    <row r="709" spans="7:22" x14ac:dyDescent="0.15">
      <c r="G709" s="11">
        <v>708</v>
      </c>
      <c r="H709" t="s">
        <v>299</v>
      </c>
      <c r="I709" t="s">
        <v>1078</v>
      </c>
      <c r="J709" t="s">
        <v>1230</v>
      </c>
      <c r="K709" s="57">
        <v>1.8E-3</v>
      </c>
      <c r="L709" s="57">
        <v>-4.3099999999999999E-2</v>
      </c>
      <c r="M709" s="57">
        <v>-3.7100000000000001E-2</v>
      </c>
      <c r="N709" s="57">
        <v>-6.13E-2</v>
      </c>
      <c r="O709" s="57">
        <v>4.0599999999999997E-2</v>
      </c>
      <c r="P709" s="57">
        <v>-9.7799999999999998E-2</v>
      </c>
      <c r="Q709" s="57">
        <v>-0.3659</v>
      </c>
      <c r="R709" s="57">
        <v>-0.3836</v>
      </c>
      <c r="S709">
        <v>4.72</v>
      </c>
      <c r="T709">
        <v>9.84</v>
      </c>
      <c r="U709">
        <v>18.73</v>
      </c>
      <c r="V709" s="20">
        <v>55.5092</v>
      </c>
    </row>
    <row r="710" spans="7:22" x14ac:dyDescent="0.15">
      <c r="G710" s="11">
        <v>709</v>
      </c>
      <c r="H710" t="s">
        <v>345</v>
      </c>
      <c r="I710" t="s">
        <v>1248</v>
      </c>
      <c r="J710" t="s">
        <v>1230</v>
      </c>
      <c r="K710" s="57">
        <v>4.3E-3</v>
      </c>
      <c r="L710" s="57">
        <v>-4.5999999999999999E-3</v>
      </c>
      <c r="M710" s="57">
        <v>-1.1299999999999999E-2</v>
      </c>
      <c r="N710" s="57">
        <v>-3.3500000000000002E-2</v>
      </c>
      <c r="O710" s="57">
        <v>0.18310000000000001</v>
      </c>
      <c r="P710" s="57">
        <v>1.9300000000000001E-2</v>
      </c>
      <c r="Q710" s="57">
        <v>-0.1087</v>
      </c>
      <c r="R710" s="57">
        <v>1.0306</v>
      </c>
      <c r="S710">
        <v>4.58</v>
      </c>
      <c r="T710">
        <v>21.56</v>
      </c>
      <c r="U710">
        <v>7.01</v>
      </c>
      <c r="V710" s="20">
        <v>775.65779999999995</v>
      </c>
    </row>
    <row r="711" spans="7:22" x14ac:dyDescent="0.15">
      <c r="G711" s="11">
        <v>710</v>
      </c>
      <c r="H711" t="s">
        <v>308</v>
      </c>
      <c r="I711" t="s">
        <v>1110</v>
      </c>
      <c r="J711" t="s">
        <v>851</v>
      </c>
      <c r="K711" s="57">
        <v>1.6999999999999999E-3</v>
      </c>
      <c r="L711" s="57">
        <v>-4.58E-2</v>
      </c>
      <c r="M711" s="57">
        <v>-4.5699999999999998E-2</v>
      </c>
      <c r="N711" s="57">
        <v>-6.8199999999999997E-2</v>
      </c>
      <c r="O711" s="57">
        <v>5.3999999999999999E-2</v>
      </c>
      <c r="P711" s="57">
        <v>-7.5700000000000003E-2</v>
      </c>
      <c r="Q711" s="57">
        <v>-0.34300000000000003</v>
      </c>
      <c r="R711" s="57">
        <v>-0.3775</v>
      </c>
      <c r="S711">
        <v>4.45</v>
      </c>
      <c r="T711">
        <v>7.68</v>
      </c>
      <c r="U711">
        <v>20.22</v>
      </c>
      <c r="V711" s="20">
        <v>12584.698326399999</v>
      </c>
    </row>
    <row r="712" spans="7:22" x14ac:dyDescent="0.15">
      <c r="G712" s="11">
        <v>711</v>
      </c>
      <c r="H712" t="s">
        <v>735</v>
      </c>
      <c r="I712" t="s">
        <v>1275</v>
      </c>
      <c r="J712" t="s">
        <v>1267</v>
      </c>
      <c r="K712" s="57">
        <v>2.3999999999999998E-3</v>
      </c>
      <c r="L712" s="57">
        <v>-1.44E-2</v>
      </c>
      <c r="M712" s="57">
        <v>-2.3E-2</v>
      </c>
      <c r="N712" s="57">
        <v>-5.5E-2</v>
      </c>
      <c r="O712" s="57">
        <v>2.1399999999999999E-2</v>
      </c>
      <c r="P712" s="57">
        <v>-0.14979999999999999</v>
      </c>
      <c r="Q712" s="57">
        <v>-0.22969999999999999</v>
      </c>
      <c r="R712" s="57">
        <v>-0.48099999999999998</v>
      </c>
      <c r="S712">
        <v>4.3099999999999996</v>
      </c>
      <c r="T712">
        <v>10.92</v>
      </c>
      <c r="U712">
        <v>15.36</v>
      </c>
      <c r="V712" s="20">
        <v>5.1438326999999999</v>
      </c>
    </row>
    <row r="713" spans="7:22" x14ac:dyDescent="0.15">
      <c r="G713" s="11">
        <v>712</v>
      </c>
      <c r="H713" t="s">
        <v>327</v>
      </c>
      <c r="I713" t="s">
        <v>947</v>
      </c>
      <c r="J713" t="s">
        <v>851</v>
      </c>
      <c r="K713" s="57">
        <v>1.8E-3</v>
      </c>
      <c r="L713" s="57">
        <v>-4.3999999999999997E-2</v>
      </c>
      <c r="M713" s="57">
        <v>-4.8800000000000003E-2</v>
      </c>
      <c r="N713" s="57">
        <v>-7.1800000000000003E-2</v>
      </c>
      <c r="O713" s="57">
        <v>0.11990000000000001</v>
      </c>
      <c r="P713" s="57">
        <v>-4.1399999999999999E-2</v>
      </c>
      <c r="Q713" s="57">
        <v>-0.3407</v>
      </c>
      <c r="R713" s="57">
        <v>-0.37409999999999999</v>
      </c>
      <c r="S713">
        <v>4.18</v>
      </c>
      <c r="T713">
        <v>7.01</v>
      </c>
      <c r="U713">
        <v>18.87</v>
      </c>
      <c r="V713" s="20">
        <v>798.45650000000001</v>
      </c>
    </row>
    <row r="714" spans="7:22" x14ac:dyDescent="0.15">
      <c r="G714" s="11">
        <v>713</v>
      </c>
      <c r="H714" t="s">
        <v>1329</v>
      </c>
      <c r="I714" t="s">
        <v>1330</v>
      </c>
      <c r="J714" t="s">
        <v>1665</v>
      </c>
      <c r="K714" s="57">
        <v>2.8E-3</v>
      </c>
      <c r="L714" s="57">
        <v>-3.4599999999999999E-2</v>
      </c>
      <c r="M714" s="57">
        <v>-3.27E-2</v>
      </c>
      <c r="N714" s="57">
        <v>-4.9099999999999998E-2</v>
      </c>
      <c r="O714" s="57">
        <v>4.4499999999999998E-2</v>
      </c>
      <c r="P714" s="57">
        <v>-6.2300000000000001E-2</v>
      </c>
      <c r="Q714" s="57">
        <v>-0.20419999999999999</v>
      </c>
      <c r="R714" s="57">
        <v>-0.20419999999999999</v>
      </c>
      <c r="S714">
        <v>4.04</v>
      </c>
      <c r="T714">
        <v>12.67</v>
      </c>
      <c r="U714">
        <v>12.13</v>
      </c>
      <c r="V714" s="20">
        <v>1293.83374</v>
      </c>
    </row>
    <row r="715" spans="7:22" x14ac:dyDescent="0.15">
      <c r="G715" s="11">
        <v>714</v>
      </c>
      <c r="H715" t="s">
        <v>402</v>
      </c>
      <c r="I715" t="s">
        <v>1222</v>
      </c>
      <c r="J715" t="s">
        <v>1221</v>
      </c>
      <c r="K715" s="57">
        <v>6.7000000000000002E-3</v>
      </c>
      <c r="L715" s="57">
        <v>-1.9599999999999999E-2</v>
      </c>
      <c r="M715" s="57">
        <v>-3.73E-2</v>
      </c>
      <c r="N715" s="57">
        <v>-3.6299999999999999E-2</v>
      </c>
      <c r="O715" s="57">
        <v>0.15190000000000001</v>
      </c>
      <c r="P715" s="57">
        <v>-4.41E-2</v>
      </c>
      <c r="Q715" s="57">
        <v>-0.21260000000000001</v>
      </c>
      <c r="R715" s="57">
        <v>-8.0199999999999994E-2</v>
      </c>
      <c r="S715">
        <v>3.91</v>
      </c>
      <c r="T715">
        <v>19.41</v>
      </c>
      <c r="U715">
        <v>5.12</v>
      </c>
      <c r="V715" s="20">
        <v>29.433700000000002</v>
      </c>
    </row>
    <row r="716" spans="7:22" x14ac:dyDescent="0.15">
      <c r="G716" s="11">
        <v>715</v>
      </c>
      <c r="H716" t="s">
        <v>364</v>
      </c>
      <c r="I716" t="s">
        <v>1078</v>
      </c>
      <c r="J716" t="s">
        <v>851</v>
      </c>
      <c r="K716" s="57">
        <v>2.5999999999999999E-3</v>
      </c>
      <c r="L716" s="57">
        <v>-4.4600000000000001E-2</v>
      </c>
      <c r="M716" s="57">
        <v>-3.8199999999999998E-2</v>
      </c>
      <c r="N716" s="57">
        <v>-6.1100000000000002E-2</v>
      </c>
      <c r="O716" s="57">
        <v>5.0700000000000002E-2</v>
      </c>
      <c r="P716" s="57">
        <v>-9.0300000000000005E-2</v>
      </c>
      <c r="Q716" s="57">
        <v>-0.3569</v>
      </c>
      <c r="R716" s="57">
        <v>-0.38059999999999999</v>
      </c>
      <c r="S716">
        <v>3.77</v>
      </c>
      <c r="T716">
        <v>9.9700000000000006</v>
      </c>
      <c r="U716">
        <v>13.88</v>
      </c>
      <c r="V716" s="20">
        <v>6405.0394818000004</v>
      </c>
    </row>
    <row r="717" spans="7:22" x14ac:dyDescent="0.15">
      <c r="G717" s="11">
        <v>716</v>
      </c>
      <c r="H717" t="s">
        <v>750</v>
      </c>
      <c r="I717" t="s">
        <v>1181</v>
      </c>
      <c r="J717" t="s">
        <v>1177</v>
      </c>
      <c r="K717" s="57">
        <v>2.8E-3</v>
      </c>
      <c r="L717" s="57">
        <v>-1.06E-2</v>
      </c>
      <c r="M717" s="57">
        <v>-2.5999999999999999E-2</v>
      </c>
      <c r="N717" s="57">
        <v>-6.3399999999999998E-2</v>
      </c>
      <c r="O717" s="57">
        <v>4.8599999999999997E-2</v>
      </c>
      <c r="P717" s="57">
        <v>-0.13</v>
      </c>
      <c r="Q717" s="57">
        <v>-0.34789999999999999</v>
      </c>
      <c r="R717" s="57">
        <v>-0.35880000000000001</v>
      </c>
      <c r="S717">
        <v>3.64</v>
      </c>
      <c r="T717">
        <v>9.57</v>
      </c>
      <c r="U717">
        <v>12.53</v>
      </c>
      <c r="V717" s="20">
        <v>274.49492999999995</v>
      </c>
    </row>
    <row r="718" spans="7:22" x14ac:dyDescent="0.15">
      <c r="G718" s="11">
        <v>717</v>
      </c>
      <c r="H718" t="s">
        <v>1519</v>
      </c>
      <c r="I718" t="s">
        <v>1520</v>
      </c>
      <c r="J718" t="s">
        <v>1665</v>
      </c>
      <c r="K718" s="57">
        <v>2.7000000000000001E-3</v>
      </c>
      <c r="L718" s="57">
        <v>-4.5600000000000002E-2</v>
      </c>
      <c r="M718" s="57">
        <v>-4.2999999999999997E-2</v>
      </c>
      <c r="N718" s="57">
        <v>-6.7699999999999996E-2</v>
      </c>
      <c r="O718" s="57">
        <v>4.1599999999999998E-2</v>
      </c>
      <c r="P718" s="57">
        <v>-8.6999999999999994E-2</v>
      </c>
      <c r="Q718" s="57">
        <v>-0.38400000000000001</v>
      </c>
      <c r="R718" s="57">
        <v>-0.37169999999999997</v>
      </c>
      <c r="S718">
        <v>3.5</v>
      </c>
      <c r="T718">
        <v>7.95</v>
      </c>
      <c r="U718">
        <v>12.94</v>
      </c>
      <c r="V718" s="20">
        <v>2057.8805600000001</v>
      </c>
    </row>
    <row r="719" spans="7:22" x14ac:dyDescent="0.15">
      <c r="G719" s="11">
        <v>718</v>
      </c>
      <c r="H719" t="s">
        <v>1612</v>
      </c>
      <c r="I719" t="s">
        <v>1613</v>
      </c>
      <c r="J719" t="s">
        <v>1665</v>
      </c>
      <c r="K719" s="57">
        <v>1.04E-2</v>
      </c>
      <c r="L719" s="57">
        <v>-3.15E-2</v>
      </c>
      <c r="M719" s="57">
        <v>-2.9700000000000001E-2</v>
      </c>
      <c r="N719" s="57">
        <v>-4.1700000000000001E-2</v>
      </c>
      <c r="O719" s="57">
        <v>0.1086</v>
      </c>
      <c r="P719" s="57">
        <v>-3.61E-2</v>
      </c>
      <c r="Q719" s="57">
        <v>-6.5799999999999997E-2</v>
      </c>
      <c r="R719" s="57">
        <v>-6.5799999999999997E-2</v>
      </c>
      <c r="S719">
        <v>3.37</v>
      </c>
      <c r="T719">
        <v>16.850000000000001</v>
      </c>
      <c r="U719">
        <v>4.04</v>
      </c>
      <c r="V719" s="20">
        <v>499.8143</v>
      </c>
    </row>
    <row r="720" spans="7:22" x14ac:dyDescent="0.15">
      <c r="G720" s="11">
        <v>719</v>
      </c>
      <c r="H720" t="s">
        <v>1527</v>
      </c>
      <c r="I720" t="s">
        <v>1528</v>
      </c>
      <c r="J720" t="s">
        <v>1665</v>
      </c>
      <c r="K720" s="57">
        <v>3.0000000000000001E-3</v>
      </c>
      <c r="L720" s="57">
        <v>-4.4499999999999998E-2</v>
      </c>
      <c r="M720" s="57">
        <v>-3.8100000000000002E-2</v>
      </c>
      <c r="N720" s="57">
        <v>-6.0900000000000003E-2</v>
      </c>
      <c r="O720" s="57">
        <v>4.4699999999999997E-2</v>
      </c>
      <c r="P720" s="57">
        <v>-9.5899999999999999E-2</v>
      </c>
      <c r="Q720" s="57">
        <v>-0.34100000000000003</v>
      </c>
      <c r="R720" s="57">
        <v>-0.34100000000000003</v>
      </c>
      <c r="S720">
        <v>3.23</v>
      </c>
      <c r="T720">
        <v>10.11</v>
      </c>
      <c r="U720">
        <v>10.51</v>
      </c>
      <c r="V720" s="20">
        <v>43.130699999999997</v>
      </c>
    </row>
    <row r="721" spans="7:22" x14ac:dyDescent="0.15">
      <c r="G721" s="11">
        <v>720</v>
      </c>
      <c r="H721" t="s">
        <v>359</v>
      </c>
      <c r="I721" t="s">
        <v>887</v>
      </c>
      <c r="J721" t="s">
        <v>851</v>
      </c>
      <c r="K721" s="57">
        <v>2.5999999999999999E-3</v>
      </c>
      <c r="L721" s="57">
        <v>-4.6899999999999997E-2</v>
      </c>
      <c r="M721" s="57">
        <v>-0.05</v>
      </c>
      <c r="N721" s="57">
        <v>-7.6200000000000004E-2</v>
      </c>
      <c r="O721" s="57">
        <v>3.2000000000000001E-2</v>
      </c>
      <c r="P721" s="57">
        <v>-9.5600000000000004E-2</v>
      </c>
      <c r="Q721" s="57">
        <v>-0.32019999999999998</v>
      </c>
      <c r="R721" s="57">
        <v>-0.30080000000000001</v>
      </c>
      <c r="S721">
        <v>3.1</v>
      </c>
      <c r="T721">
        <v>5.8</v>
      </c>
      <c r="U721">
        <v>13.75</v>
      </c>
      <c r="V721" s="20">
        <v>721.83623</v>
      </c>
    </row>
    <row r="722" spans="7:22" x14ac:dyDescent="0.15">
      <c r="G722" s="11">
        <v>721</v>
      </c>
      <c r="H722" t="s">
        <v>528</v>
      </c>
      <c r="I722" t="s">
        <v>883</v>
      </c>
      <c r="J722" t="s">
        <v>851</v>
      </c>
      <c r="K722" s="57">
        <v>2.8999999999999998E-3</v>
      </c>
      <c r="L722" s="57">
        <v>-4.5699999999999998E-2</v>
      </c>
      <c r="M722" s="57">
        <v>-4.5699999999999998E-2</v>
      </c>
      <c r="N722" s="57">
        <v>-6.8500000000000005E-2</v>
      </c>
      <c r="O722" s="57">
        <v>5.0299999999999997E-2</v>
      </c>
      <c r="P722" s="57">
        <v>-7.6600000000000001E-2</v>
      </c>
      <c r="Q722" s="57">
        <v>-0.34150000000000003</v>
      </c>
      <c r="R722" s="57">
        <v>-0.25019999999999998</v>
      </c>
      <c r="S722">
        <v>2.96</v>
      </c>
      <c r="T722">
        <v>7.41</v>
      </c>
      <c r="U722">
        <v>11.32</v>
      </c>
      <c r="V722" s="20">
        <v>113.32536999999999</v>
      </c>
    </row>
    <row r="723" spans="7:22" x14ac:dyDescent="0.15">
      <c r="G723" s="11">
        <v>722</v>
      </c>
      <c r="H723" t="s">
        <v>407</v>
      </c>
      <c r="I723" t="s">
        <v>1169</v>
      </c>
      <c r="J723" t="s">
        <v>1296</v>
      </c>
      <c r="K723" s="57">
        <v>0.99609999999999999</v>
      </c>
      <c r="L723" s="57">
        <v>3.0700000000000002E-2</v>
      </c>
      <c r="M723" s="57">
        <v>-9.5999999999999992E-3</v>
      </c>
      <c r="N723" s="57">
        <v>-3.8100000000000002E-2</v>
      </c>
      <c r="O723" s="57">
        <v>-0.15690000000000001</v>
      </c>
      <c r="P723" s="57">
        <v>-0.16009999999999999</v>
      </c>
      <c r="Q723" s="57">
        <v>-0.21490000000000001</v>
      </c>
      <c r="R723" s="57">
        <v>-0.13950000000000001</v>
      </c>
      <c r="S723">
        <v>2.83</v>
      </c>
      <c r="T723">
        <v>18.190000000000001</v>
      </c>
      <c r="U723">
        <v>0.54</v>
      </c>
      <c r="V723" s="20">
        <v>1604.0272573</v>
      </c>
    </row>
    <row r="724" spans="7:22" x14ac:dyDescent="0.15">
      <c r="G724" s="11">
        <v>723</v>
      </c>
      <c r="H724" t="s">
        <v>709</v>
      </c>
      <c r="I724" t="s">
        <v>1280</v>
      </c>
      <c r="J724" t="s">
        <v>1267</v>
      </c>
      <c r="K724" s="57">
        <v>2.0999999999999999E-3</v>
      </c>
      <c r="L724" s="57">
        <v>-3.8399999999999997E-2</v>
      </c>
      <c r="M724" s="57">
        <v>-5.2600000000000001E-2</v>
      </c>
      <c r="N724" s="57">
        <v>-8.7599999999999997E-2</v>
      </c>
      <c r="O724" s="57">
        <v>0.16039999999999999</v>
      </c>
      <c r="P724" s="57">
        <v>-6.13E-2</v>
      </c>
      <c r="Q724" s="57">
        <v>-0.37630000000000002</v>
      </c>
      <c r="R724" s="57">
        <v>-0.37630000000000002</v>
      </c>
      <c r="S724">
        <v>2.7</v>
      </c>
      <c r="T724">
        <v>1.75</v>
      </c>
      <c r="U724">
        <v>16.440000000000001</v>
      </c>
      <c r="V724" s="20">
        <v>3964.5601100000003</v>
      </c>
    </row>
    <row r="725" spans="7:22" x14ac:dyDescent="0.15">
      <c r="G725" s="11">
        <v>724</v>
      </c>
      <c r="H725" t="s">
        <v>1333</v>
      </c>
      <c r="I725" t="s">
        <v>1334</v>
      </c>
      <c r="J725" t="s">
        <v>1665</v>
      </c>
      <c r="K725" s="57">
        <v>9.1999999999999998E-3</v>
      </c>
      <c r="L725" s="57">
        <v>-3.3599999999999998E-2</v>
      </c>
      <c r="M725" s="57">
        <v>-3.1699999999999999E-2</v>
      </c>
      <c r="N725" s="57">
        <v>-4.82E-2</v>
      </c>
      <c r="O725" s="57">
        <v>4.6399999999999997E-2</v>
      </c>
      <c r="P725" s="57">
        <v>-5.5199999999999999E-2</v>
      </c>
      <c r="Q725" s="57">
        <v>-0.24299999999999999</v>
      </c>
      <c r="R725" s="57">
        <v>-0.24299999999999999</v>
      </c>
      <c r="S725">
        <v>2.56</v>
      </c>
      <c r="T725">
        <v>13.34</v>
      </c>
      <c r="U725">
        <v>4.3099999999999996</v>
      </c>
      <c r="V725" s="20">
        <v>698.87879999999996</v>
      </c>
    </row>
    <row r="726" spans="7:22" x14ac:dyDescent="0.15">
      <c r="G726" s="11">
        <v>725</v>
      </c>
      <c r="H726" t="s">
        <v>378</v>
      </c>
      <c r="I726" t="s">
        <v>960</v>
      </c>
      <c r="J726" t="s">
        <v>851</v>
      </c>
      <c r="K726" s="57">
        <v>3.8E-3</v>
      </c>
      <c r="L726" s="57">
        <v>-0.04</v>
      </c>
      <c r="M726" s="57">
        <v>-0.04</v>
      </c>
      <c r="N726" s="57">
        <v>-6.5500000000000003E-2</v>
      </c>
      <c r="O726" s="57">
        <v>4.3499999999999997E-2</v>
      </c>
      <c r="P726" s="57">
        <v>-9.0700000000000003E-2</v>
      </c>
      <c r="Q726" s="57">
        <v>-0.31459999999999999</v>
      </c>
      <c r="R726" s="57">
        <v>-0.38200000000000001</v>
      </c>
      <c r="S726">
        <v>2.4300000000000002</v>
      </c>
      <c r="T726">
        <v>9.0299999999999994</v>
      </c>
      <c r="U726">
        <v>8.36</v>
      </c>
      <c r="V726" s="20">
        <v>1814.8063999999999</v>
      </c>
    </row>
    <row r="727" spans="7:22" x14ac:dyDescent="0.15">
      <c r="G727" s="11">
        <v>726</v>
      </c>
      <c r="H727" t="s">
        <v>288</v>
      </c>
      <c r="I727" t="s">
        <v>871</v>
      </c>
      <c r="J727" t="s">
        <v>851</v>
      </c>
      <c r="K727" s="57">
        <v>5.7000000000000002E-3</v>
      </c>
      <c r="L727" s="57">
        <v>-3.4599999999999999E-2</v>
      </c>
      <c r="M727" s="57">
        <v>-3.32E-2</v>
      </c>
      <c r="N727" s="57">
        <v>-5.0799999999999998E-2</v>
      </c>
      <c r="O727" s="57">
        <v>3.8399999999999997E-2</v>
      </c>
      <c r="P727" s="57">
        <v>-6.3700000000000007E-2</v>
      </c>
      <c r="Q727" s="57">
        <v>-0.32219999999999999</v>
      </c>
      <c r="R727" s="57">
        <v>-0.39450000000000002</v>
      </c>
      <c r="S727">
        <v>2.29</v>
      </c>
      <c r="T727">
        <v>11.46</v>
      </c>
      <c r="U727">
        <v>5.53</v>
      </c>
      <c r="V727" s="20">
        <v>69.202669999999998</v>
      </c>
    </row>
    <row r="728" spans="7:22" x14ac:dyDescent="0.15">
      <c r="G728" s="11">
        <v>727</v>
      </c>
      <c r="H728" t="s">
        <v>332</v>
      </c>
      <c r="I728" t="s">
        <v>848</v>
      </c>
      <c r="J728" t="s">
        <v>814</v>
      </c>
      <c r="K728" s="57">
        <v>9.7999999999999997E-3</v>
      </c>
      <c r="L728" s="57">
        <v>2.0199999999999999E-2</v>
      </c>
      <c r="M728" s="57">
        <v>-1.6799999999999999E-2</v>
      </c>
      <c r="N728" s="57">
        <v>-5.8000000000000003E-2</v>
      </c>
      <c r="O728" s="57">
        <v>0.1011</v>
      </c>
      <c r="P728" s="57">
        <v>-1.9400000000000001E-2</v>
      </c>
      <c r="Q728" s="57">
        <v>-5.5800000000000002E-2</v>
      </c>
      <c r="R728" s="57">
        <v>0.15340000000000001</v>
      </c>
      <c r="S728">
        <v>2.16</v>
      </c>
      <c r="T728">
        <v>10.78</v>
      </c>
      <c r="U728">
        <v>4.18</v>
      </c>
      <c r="V728" s="20">
        <v>556.59839999999997</v>
      </c>
    </row>
    <row r="729" spans="7:22" x14ac:dyDescent="0.15">
      <c r="G729" s="11">
        <v>728</v>
      </c>
      <c r="H729" t="s">
        <v>419</v>
      </c>
      <c r="I729" t="s">
        <v>1172</v>
      </c>
      <c r="J729" t="s">
        <v>1296</v>
      </c>
      <c r="K729" s="57">
        <v>0.99570000000000003</v>
      </c>
      <c r="L729" s="57">
        <v>-2.7799999999999998E-2</v>
      </c>
      <c r="M729" s="57">
        <v>-4.5100000000000001E-2</v>
      </c>
      <c r="N729" s="57">
        <v>-4.8500000000000001E-2</v>
      </c>
      <c r="O729" s="57">
        <v>-6.5600000000000006E-2</v>
      </c>
      <c r="P729" s="57">
        <v>-0.18440000000000001</v>
      </c>
      <c r="Q729" s="57">
        <v>-0.26550000000000001</v>
      </c>
      <c r="R729" s="57">
        <v>-0.28789999999999999</v>
      </c>
      <c r="S729">
        <v>2.02</v>
      </c>
      <c r="T729">
        <v>13.07</v>
      </c>
      <c r="U729">
        <v>1.08</v>
      </c>
      <c r="V729" s="20">
        <v>128559.7806</v>
      </c>
    </row>
    <row r="730" spans="7:22" x14ac:dyDescent="0.15">
      <c r="G730" s="11">
        <v>729</v>
      </c>
      <c r="H730" t="s">
        <v>747</v>
      </c>
      <c r="I730" t="s">
        <v>1176</v>
      </c>
      <c r="J730" t="s">
        <v>1177</v>
      </c>
      <c r="K730" s="57">
        <v>2.7000000000000001E-3</v>
      </c>
      <c r="L730" s="57">
        <v>-1.9099999999999999E-2</v>
      </c>
      <c r="M730" s="57">
        <v>-5.2499999999999998E-2</v>
      </c>
      <c r="N730" s="57">
        <v>-9.9500000000000005E-2</v>
      </c>
      <c r="O730" s="57">
        <v>8.4500000000000006E-2</v>
      </c>
      <c r="P730" s="57">
        <v>-0.1116</v>
      </c>
      <c r="Q730" s="57">
        <v>-0.25600000000000001</v>
      </c>
      <c r="R730" s="57">
        <v>-0.25600000000000001</v>
      </c>
      <c r="S730">
        <v>1.89</v>
      </c>
      <c r="T730">
        <v>0.54</v>
      </c>
      <c r="U730">
        <v>13.07</v>
      </c>
      <c r="V730" s="20">
        <v>11213.912663500001</v>
      </c>
    </row>
    <row r="731" spans="7:22" x14ac:dyDescent="0.15">
      <c r="G731" s="11">
        <v>730</v>
      </c>
      <c r="H731" t="s">
        <v>746</v>
      </c>
      <c r="I731" t="s">
        <v>1178</v>
      </c>
      <c r="J731" t="s">
        <v>1177</v>
      </c>
      <c r="K731" s="57">
        <v>2.8E-3</v>
      </c>
      <c r="L731" s="57">
        <v>-1.9199999999999998E-2</v>
      </c>
      <c r="M731" s="57">
        <v>-5.2699999999999997E-2</v>
      </c>
      <c r="N731" s="57">
        <v>-0.10009999999999999</v>
      </c>
      <c r="O731" s="57">
        <v>8.2500000000000004E-2</v>
      </c>
      <c r="P731" s="57">
        <v>-0.1119</v>
      </c>
      <c r="Q731" s="57">
        <v>-0.2611</v>
      </c>
      <c r="R731" s="57">
        <v>-0.2611</v>
      </c>
      <c r="S731">
        <v>1.75</v>
      </c>
      <c r="T731">
        <v>0.4</v>
      </c>
      <c r="U731">
        <v>11.86</v>
      </c>
      <c r="V731" s="20">
        <v>52694.843452999994</v>
      </c>
    </row>
    <row r="732" spans="7:22" x14ac:dyDescent="0.15">
      <c r="G732" s="11">
        <v>731</v>
      </c>
      <c r="H732" t="s">
        <v>329</v>
      </c>
      <c r="I732" t="s">
        <v>1004</v>
      </c>
      <c r="J732" t="s">
        <v>851</v>
      </c>
      <c r="K732" s="57">
        <v>3.8E-3</v>
      </c>
      <c r="L732" s="57">
        <v>-5.4800000000000001E-2</v>
      </c>
      <c r="M732" s="57">
        <v>-5.6399999999999999E-2</v>
      </c>
      <c r="N732" s="57">
        <v>-8.1199999999999994E-2</v>
      </c>
      <c r="O732" s="57">
        <v>2.53E-2</v>
      </c>
      <c r="P732" s="57">
        <v>-0.1036</v>
      </c>
      <c r="Q732" s="57">
        <v>-0.37719999999999998</v>
      </c>
      <c r="R732" s="57">
        <v>-0.4481</v>
      </c>
      <c r="S732">
        <v>1.62</v>
      </c>
      <c r="T732">
        <v>3.37</v>
      </c>
      <c r="U732">
        <v>8.2200000000000006</v>
      </c>
      <c r="V732" s="20">
        <v>2687.7856999999999</v>
      </c>
    </row>
    <row r="733" spans="7:22" x14ac:dyDescent="0.15">
      <c r="G733" s="11">
        <v>732</v>
      </c>
      <c r="H733" t="s">
        <v>418</v>
      </c>
      <c r="I733" t="s">
        <v>1171</v>
      </c>
      <c r="J733" t="s">
        <v>1296</v>
      </c>
      <c r="K733" s="57">
        <v>0.99619999999999997</v>
      </c>
      <c r="L733" s="57">
        <v>-3.8300000000000001E-2</v>
      </c>
      <c r="M733" s="57">
        <v>-4.3900000000000002E-2</v>
      </c>
      <c r="N733" s="57">
        <v>-5.4300000000000001E-2</v>
      </c>
      <c r="O733" s="57">
        <v>1.9300000000000001E-2</v>
      </c>
      <c r="P733" s="57">
        <v>-0.21429999999999999</v>
      </c>
      <c r="Q733" s="57">
        <v>-0.25469999999999998</v>
      </c>
      <c r="R733" s="57">
        <v>-0.21679999999999999</v>
      </c>
      <c r="S733">
        <v>1.48</v>
      </c>
      <c r="T733">
        <v>11.19</v>
      </c>
      <c r="U733">
        <v>0.4</v>
      </c>
      <c r="V733" s="20">
        <v>39593.205461000005</v>
      </c>
    </row>
    <row r="734" spans="7:22" x14ac:dyDescent="0.15">
      <c r="G734" s="11">
        <v>733</v>
      </c>
      <c r="H734" t="s">
        <v>700</v>
      </c>
      <c r="I734" t="s">
        <v>1179</v>
      </c>
      <c r="J734" t="s">
        <v>1177</v>
      </c>
      <c r="K734" s="57">
        <v>3.3999999999999998E-3</v>
      </c>
      <c r="L734" s="57">
        <v>-2.1899999999999999E-2</v>
      </c>
      <c r="M734" s="57">
        <v>-4.5999999999999999E-2</v>
      </c>
      <c r="N734" s="57">
        <v>-8.8900000000000007E-2</v>
      </c>
      <c r="O734" s="57">
        <v>0.1012</v>
      </c>
      <c r="P734" s="57">
        <v>-0.1053</v>
      </c>
      <c r="Q734" s="57">
        <v>-0.32369999999999999</v>
      </c>
      <c r="R734" s="57">
        <v>-0.50660000000000005</v>
      </c>
      <c r="S734">
        <v>1.35</v>
      </c>
      <c r="T734">
        <v>1.35</v>
      </c>
      <c r="U734">
        <v>9.43</v>
      </c>
      <c r="V734" s="20">
        <v>3477.4774042999998</v>
      </c>
    </row>
    <row r="735" spans="7:22" x14ac:dyDescent="0.15">
      <c r="G735" s="11">
        <v>734</v>
      </c>
      <c r="H735" t="s">
        <v>428</v>
      </c>
      <c r="I735" t="s">
        <v>1167</v>
      </c>
      <c r="J735" t="s">
        <v>1296</v>
      </c>
      <c r="K735" s="57">
        <v>0.99509999999999998</v>
      </c>
      <c r="L735" s="57">
        <v>-5.1799999999999999E-2</v>
      </c>
      <c r="M735" s="57">
        <v>-6.54E-2</v>
      </c>
      <c r="N735" s="57">
        <v>-6.54E-2</v>
      </c>
      <c r="O735" s="57">
        <v>-0.1578</v>
      </c>
      <c r="P735" s="57">
        <v>-0.161</v>
      </c>
      <c r="Q735" s="57">
        <v>-0.42609999999999998</v>
      </c>
      <c r="R735" s="57">
        <v>-0.38219999999999998</v>
      </c>
      <c r="S735">
        <v>1.21</v>
      </c>
      <c r="T735">
        <v>9.3000000000000007</v>
      </c>
      <c r="U735">
        <v>1.21</v>
      </c>
      <c r="V735" s="20">
        <v>3105.3027000000002</v>
      </c>
    </row>
    <row r="736" spans="7:22" x14ac:dyDescent="0.15">
      <c r="G736" s="11">
        <v>735</v>
      </c>
      <c r="H736" t="s">
        <v>434</v>
      </c>
      <c r="I736" t="s">
        <v>1170</v>
      </c>
      <c r="J736" t="s">
        <v>1296</v>
      </c>
      <c r="K736" s="57">
        <v>0.99609999999999999</v>
      </c>
      <c r="L736" s="57">
        <v>-2.1899999999999999E-2</v>
      </c>
      <c r="M736" s="57">
        <v>-4.4200000000000003E-2</v>
      </c>
      <c r="N736" s="57">
        <v>-6.5500000000000003E-2</v>
      </c>
      <c r="O736" s="57">
        <v>-0.106</v>
      </c>
      <c r="P736" s="57">
        <v>-0.25540000000000002</v>
      </c>
      <c r="Q736" s="57">
        <v>-0.2056</v>
      </c>
      <c r="R736" s="57">
        <v>-0.36280000000000001</v>
      </c>
      <c r="S736">
        <v>1.08</v>
      </c>
      <c r="T736">
        <v>9.16</v>
      </c>
      <c r="U736">
        <v>0.67</v>
      </c>
      <c r="V736" s="20">
        <v>4323.6005999999998</v>
      </c>
    </row>
    <row r="737" spans="7:22" x14ac:dyDescent="0.15">
      <c r="G737" s="11">
        <v>736</v>
      </c>
      <c r="H737" t="s">
        <v>1585</v>
      </c>
      <c r="I737" t="s">
        <v>1586</v>
      </c>
      <c r="J737" t="s">
        <v>1665</v>
      </c>
      <c r="K737" s="57">
        <v>4.4000000000000003E-3</v>
      </c>
      <c r="L737" s="57">
        <v>-3.6700000000000003E-2</v>
      </c>
      <c r="M737" s="57">
        <v>-4.3999999999999997E-2</v>
      </c>
      <c r="N737" s="57">
        <v>-8.8499999999999995E-2</v>
      </c>
      <c r="O737" s="57">
        <v>7.7100000000000002E-2</v>
      </c>
      <c r="P737" s="57">
        <v>-5.3699999999999998E-2</v>
      </c>
      <c r="Q737" s="57">
        <v>-0.32650000000000001</v>
      </c>
      <c r="R737" s="57">
        <v>-0.33789999999999998</v>
      </c>
      <c r="S737">
        <v>0.94</v>
      </c>
      <c r="T737">
        <v>1.48</v>
      </c>
      <c r="U737">
        <v>6.47</v>
      </c>
      <c r="V737" s="20">
        <v>761.09339999999997</v>
      </c>
    </row>
    <row r="738" spans="7:22" x14ac:dyDescent="0.15">
      <c r="G738" s="11">
        <v>737</v>
      </c>
      <c r="H738" t="s">
        <v>424</v>
      </c>
      <c r="I738" t="s">
        <v>1175</v>
      </c>
      <c r="J738" t="s">
        <v>1296</v>
      </c>
      <c r="K738" s="57">
        <v>0.99619999999999997</v>
      </c>
      <c r="L738" s="57">
        <v>-1.6400000000000001E-2</v>
      </c>
      <c r="M738" s="57">
        <v>-4.19E-2</v>
      </c>
      <c r="N738" s="57">
        <v>-7.3400000000000007E-2</v>
      </c>
      <c r="O738" s="57">
        <v>-0.1429</v>
      </c>
      <c r="P738" s="57">
        <v>-0.21959999999999999</v>
      </c>
      <c r="Q738" s="57">
        <v>-0.27800000000000002</v>
      </c>
      <c r="R738" s="57">
        <v>-0.34889999999999999</v>
      </c>
      <c r="S738">
        <v>0.81</v>
      </c>
      <c r="T738">
        <v>6.74</v>
      </c>
      <c r="U738">
        <v>0.27</v>
      </c>
      <c r="V738" s="20">
        <v>1621417.4754999999</v>
      </c>
    </row>
    <row r="739" spans="7:22" x14ac:dyDescent="0.15">
      <c r="G739" s="11">
        <v>738</v>
      </c>
      <c r="H739" t="s">
        <v>413</v>
      </c>
      <c r="I739" t="s">
        <v>1168</v>
      </c>
      <c r="J739" t="s">
        <v>1296</v>
      </c>
      <c r="K739" s="57">
        <v>0.99639999999999995</v>
      </c>
      <c r="L739" s="57">
        <v>-4.9000000000000002E-2</v>
      </c>
      <c r="M739" s="57">
        <v>-0.1104</v>
      </c>
      <c r="N739" s="57">
        <v>-7.7499999999999999E-2</v>
      </c>
      <c r="O739" s="57">
        <v>-0.27700000000000002</v>
      </c>
      <c r="P739" s="57">
        <v>-0.31909999999999999</v>
      </c>
      <c r="Q739" s="57">
        <v>-0.54</v>
      </c>
      <c r="R739" s="57">
        <v>-0.53159999999999996</v>
      </c>
      <c r="S739">
        <v>0.67</v>
      </c>
      <c r="T739">
        <v>4.99</v>
      </c>
      <c r="U739">
        <v>0.13</v>
      </c>
      <c r="V739" s="20">
        <v>1495.1436000000001</v>
      </c>
    </row>
    <row r="740" spans="7:22" x14ac:dyDescent="0.15">
      <c r="G740" s="11">
        <v>739</v>
      </c>
      <c r="H740" t="s">
        <v>1533</v>
      </c>
      <c r="I740" t="s">
        <v>1534</v>
      </c>
      <c r="J740" t="s">
        <v>1665</v>
      </c>
      <c r="K740" s="57">
        <v>7.4000000000000003E-3</v>
      </c>
      <c r="L740" s="57">
        <v>-0.1414</v>
      </c>
      <c r="M740" s="57">
        <v>-0.1361</v>
      </c>
      <c r="N740" s="57">
        <v>-0.14810000000000001</v>
      </c>
      <c r="O740" s="57">
        <v>-0.25030000000000002</v>
      </c>
      <c r="P740" s="57">
        <v>-0.27329999999999999</v>
      </c>
      <c r="Q740" s="57">
        <v>-0.24959999999999999</v>
      </c>
      <c r="R740" s="57">
        <v>-0.24959999999999999</v>
      </c>
      <c r="S740">
        <v>0.54</v>
      </c>
      <c r="T740">
        <v>0.13</v>
      </c>
      <c r="U740">
        <v>4.8499999999999996</v>
      </c>
      <c r="V740" s="20">
        <v>1896.6807199999998</v>
      </c>
    </row>
    <row r="741" spans="7:22" x14ac:dyDescent="0.15">
      <c r="G741" s="11">
        <v>740</v>
      </c>
      <c r="H741" t="s">
        <v>745</v>
      </c>
      <c r="I741" t="s">
        <v>1176</v>
      </c>
      <c r="J741" t="s">
        <v>1177</v>
      </c>
      <c r="K741" s="57">
        <v>6.2700000000000006E-2</v>
      </c>
      <c r="L741" s="57">
        <v>-1.0699999999999999E-2</v>
      </c>
      <c r="M741" s="57">
        <v>-4.5699999999999998E-2</v>
      </c>
      <c r="N741" s="57">
        <v>-9.7799999999999998E-2</v>
      </c>
      <c r="O741" s="57">
        <v>5.3800000000000001E-2</v>
      </c>
      <c r="P741" s="57">
        <v>-0.14929999999999999</v>
      </c>
      <c r="Q741" s="57">
        <v>-0.3543</v>
      </c>
      <c r="R741" s="57">
        <v>-0.50549999999999995</v>
      </c>
      <c r="S741">
        <v>0.4</v>
      </c>
      <c r="T741">
        <v>0.67</v>
      </c>
      <c r="U741">
        <v>2.7</v>
      </c>
      <c r="V741" s="20">
        <v>111586.50569999999</v>
      </c>
    </row>
    <row r="742" spans="7:22" x14ac:dyDescent="0.15">
      <c r="G742" s="11">
        <v>741</v>
      </c>
      <c r="H742" t="s">
        <v>410</v>
      </c>
      <c r="I742" t="s">
        <v>1166</v>
      </c>
      <c r="J742" t="s">
        <v>1296</v>
      </c>
      <c r="K742" s="57">
        <v>0.99570000000000003</v>
      </c>
      <c r="L742" s="57">
        <v>-3.7000000000000002E-3</v>
      </c>
      <c r="M742" s="57">
        <v>2.6700000000000002E-2</v>
      </c>
      <c r="N742" s="57">
        <v>-8.3900000000000002E-2</v>
      </c>
      <c r="O742" s="57">
        <v>-0.14449999999999999</v>
      </c>
      <c r="P742" s="57">
        <v>-0.19520000000000001</v>
      </c>
      <c r="Q742" s="57">
        <v>-0.18049999999999999</v>
      </c>
      <c r="R742" s="57">
        <v>0.25659999999999999</v>
      </c>
      <c r="S742">
        <v>0.27</v>
      </c>
      <c r="T742">
        <v>2.29</v>
      </c>
      <c r="U742">
        <v>0.94</v>
      </c>
      <c r="V742" s="20">
        <v>1148.4894684000001</v>
      </c>
    </row>
    <row r="743" spans="7:22" x14ac:dyDescent="0.15">
      <c r="G743" s="11">
        <v>742</v>
      </c>
      <c r="H743" t="s">
        <v>1888</v>
      </c>
      <c r="I743" t="s">
        <v>1212</v>
      </c>
      <c r="J743" t="s">
        <v>1199</v>
      </c>
      <c r="K743" s="57">
        <v>0.30959999999999999</v>
      </c>
      <c r="L743" s="57">
        <v>-0.1076</v>
      </c>
      <c r="M743" s="57">
        <v>-0.1076</v>
      </c>
      <c r="N743" s="57">
        <v>-0.1076</v>
      </c>
      <c r="O743" s="57">
        <v>-0.1076</v>
      </c>
      <c r="P743" s="57">
        <v>-0.1076</v>
      </c>
      <c r="Q743" s="57">
        <v>-0.1076</v>
      </c>
      <c r="R743" s="57">
        <v>-0.1076</v>
      </c>
      <c r="S743">
        <v>0.13</v>
      </c>
      <c r="T743">
        <v>0.27</v>
      </c>
      <c r="U743">
        <v>1.75</v>
      </c>
      <c r="V743" s="20">
        <v>761.69716370000003</v>
      </c>
    </row>
  </sheetData>
  <autoFilter ref="A1:V704"/>
  <phoneticPr fontId="2" type="noConversion"/>
  <hyperlinks>
    <hyperlink ref="X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模块1.rotate_LOF_ETF">
                <anchor moveWithCells="1" sizeWithCells="1">
                  <from>
                    <xdr:col>23</xdr:col>
                    <xdr:colOff>123825</xdr:colOff>
                    <xdr:row>1</xdr:row>
                    <xdr:rowOff>123825</xdr:rowOff>
                  </from>
                  <to>
                    <xdr:col>24</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Y116"/>
  <sheetViews>
    <sheetView workbookViewId="0">
      <pane ySplit="1" topLeftCell="A2" activePane="bottomLeft" state="frozen"/>
      <selection pane="bottomLeft" activeCell="M13" sqref="M13"/>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57" customWidth="1"/>
    <col min="12" max="12" width="8.125" style="57" customWidth="1"/>
    <col min="13" max="13" width="8.375" style="57" customWidth="1"/>
    <col min="14" max="14" width="8" style="57" customWidth="1"/>
    <col min="15" max="16" width="7.875" style="57" customWidth="1"/>
    <col min="17" max="17" width="8.75" style="57" customWidth="1"/>
    <col min="18" max="18" width="9" style="57" customWidth="1"/>
    <col min="19" max="19" width="8.625" customWidth="1"/>
    <col min="20" max="20" width="9" customWidth="1"/>
    <col min="21" max="21" width="7.25" customWidth="1"/>
    <col min="22" max="22" width="12.375" style="20" customWidth="1"/>
  </cols>
  <sheetData>
    <row r="1" spans="1:25" s="21" customFormat="1" ht="50.25" customHeight="1" x14ac:dyDescent="0.15">
      <c r="A1" s="26" t="s">
        <v>264</v>
      </c>
      <c r="B1" s="22" t="s">
        <v>39</v>
      </c>
      <c r="C1" s="22" t="s">
        <v>38</v>
      </c>
      <c r="D1" s="22" t="s">
        <v>1667</v>
      </c>
      <c r="E1" s="25"/>
      <c r="F1" s="26" t="s">
        <v>1666</v>
      </c>
      <c r="G1" s="23"/>
      <c r="H1" s="22" t="s">
        <v>39</v>
      </c>
      <c r="I1" s="22" t="s">
        <v>38</v>
      </c>
      <c r="J1" s="22" t="s">
        <v>37</v>
      </c>
      <c r="K1" s="59" t="s">
        <v>35</v>
      </c>
      <c r="L1" s="59" t="s">
        <v>1909</v>
      </c>
      <c r="M1" s="59" t="s">
        <v>1910</v>
      </c>
      <c r="N1" s="59" t="s">
        <v>36</v>
      </c>
      <c r="O1" s="59" t="s">
        <v>2052</v>
      </c>
      <c r="P1" s="59" t="s">
        <v>2053</v>
      </c>
      <c r="Q1" s="59" t="s">
        <v>2054</v>
      </c>
      <c r="R1" s="59" t="s">
        <v>2055</v>
      </c>
      <c r="S1" s="22" t="s">
        <v>34</v>
      </c>
      <c r="T1" s="22" t="s">
        <v>1662</v>
      </c>
      <c r="U1" s="22" t="s">
        <v>1663</v>
      </c>
      <c r="V1" s="24" t="s">
        <v>1664</v>
      </c>
      <c r="X1" s="50" t="s">
        <v>1902</v>
      </c>
    </row>
    <row r="2" spans="1:25" x14ac:dyDescent="0.15">
      <c r="A2">
        <v>1</v>
      </c>
      <c r="B2">
        <v>159980</v>
      </c>
      <c r="C2" t="s">
        <v>793</v>
      </c>
      <c r="D2">
        <f t="shared" ref="D2:D8" si="0">MATCH(IF(B2&lt;499999,"SZ"&amp;B2,"SH"&amp;B2),$H$2:$H$2993,0)</f>
        <v>6</v>
      </c>
      <c r="G2" s="11">
        <v>1</v>
      </c>
      <c r="H2" t="s">
        <v>269</v>
      </c>
      <c r="I2" t="s">
        <v>27</v>
      </c>
      <c r="J2" t="s">
        <v>15</v>
      </c>
      <c r="K2" s="57">
        <v>-1.12E-2</v>
      </c>
      <c r="L2" s="57">
        <v>4.5699999999999998E-2</v>
      </c>
      <c r="M2" s="57">
        <v>0.15090000000000001</v>
      </c>
      <c r="N2" s="57">
        <v>0.1595</v>
      </c>
      <c r="O2" s="57">
        <v>1.15E-2</v>
      </c>
      <c r="P2" s="57">
        <v>0.43559999999999999</v>
      </c>
      <c r="Q2" s="57">
        <v>0.83830000000000005</v>
      </c>
      <c r="R2" s="57">
        <v>1.7246999999999999</v>
      </c>
      <c r="S2">
        <v>100</v>
      </c>
      <c r="T2">
        <v>99.13</v>
      </c>
      <c r="U2">
        <v>97.39</v>
      </c>
      <c r="V2" s="20">
        <v>5035.0085873999997</v>
      </c>
      <c r="X2" s="9"/>
      <c r="Y2" s="9"/>
    </row>
    <row r="3" spans="1:25" x14ac:dyDescent="0.15">
      <c r="A3">
        <v>2</v>
      </c>
      <c r="B3">
        <v>159981</v>
      </c>
      <c r="C3" t="s">
        <v>794</v>
      </c>
      <c r="D3">
        <f t="shared" si="0"/>
        <v>30</v>
      </c>
      <c r="G3" s="11">
        <v>2</v>
      </c>
      <c r="H3" t="s">
        <v>340</v>
      </c>
      <c r="I3" t="s">
        <v>1709</v>
      </c>
      <c r="J3" t="s">
        <v>15</v>
      </c>
      <c r="K3" s="57">
        <v>-1.3299999999999999E-2</v>
      </c>
      <c r="L3" s="57">
        <v>2.3199999999999998E-2</v>
      </c>
      <c r="M3" s="57">
        <v>8.3699999999999997E-2</v>
      </c>
      <c r="N3" s="57">
        <v>0.1197</v>
      </c>
      <c r="O3" s="57">
        <v>-9.7999999999999997E-3</v>
      </c>
      <c r="P3" s="57">
        <v>0.15740000000000001</v>
      </c>
      <c r="Q3" s="57">
        <v>0.38569999999999999</v>
      </c>
      <c r="R3" s="57">
        <v>0.66510000000000002</v>
      </c>
      <c r="S3">
        <v>99.13</v>
      </c>
      <c r="T3">
        <v>97.39</v>
      </c>
      <c r="U3">
        <v>98.26</v>
      </c>
      <c r="V3" s="20">
        <v>114.9362344</v>
      </c>
      <c r="X3" s="9"/>
      <c r="Y3" s="9"/>
    </row>
    <row r="4" spans="1:25" x14ac:dyDescent="0.15">
      <c r="A4">
        <v>3</v>
      </c>
      <c r="B4">
        <v>160216</v>
      </c>
      <c r="C4" t="s">
        <v>28</v>
      </c>
      <c r="D4">
        <f t="shared" si="0"/>
        <v>27</v>
      </c>
      <c r="G4" s="11">
        <v>3</v>
      </c>
      <c r="H4" t="s">
        <v>268</v>
      </c>
      <c r="I4" t="s">
        <v>24</v>
      </c>
      <c r="J4" t="s">
        <v>15</v>
      </c>
      <c r="K4" s="57">
        <v>-1.0999999999999999E-2</v>
      </c>
      <c r="L4" s="57">
        <v>2.2200000000000001E-2</v>
      </c>
      <c r="M4" s="57">
        <v>9.6500000000000002E-2</v>
      </c>
      <c r="N4" s="57">
        <v>9.06E-2</v>
      </c>
      <c r="O4" s="57">
        <v>-3.6200000000000003E-2</v>
      </c>
      <c r="P4" s="57">
        <v>0.26219999999999999</v>
      </c>
      <c r="Q4" s="57">
        <v>0.62280000000000002</v>
      </c>
      <c r="R4" s="57">
        <v>1.0717000000000001</v>
      </c>
      <c r="S4">
        <v>98.26</v>
      </c>
      <c r="T4">
        <v>95.65</v>
      </c>
      <c r="U4">
        <v>96.52</v>
      </c>
      <c r="V4" s="20">
        <v>79.217748700000001</v>
      </c>
      <c r="X4" s="9"/>
      <c r="Y4" s="9"/>
    </row>
    <row r="5" spans="1:25" x14ac:dyDescent="0.15">
      <c r="A5">
        <v>4</v>
      </c>
      <c r="B5">
        <v>161815</v>
      </c>
      <c r="C5" t="s">
        <v>20</v>
      </c>
      <c r="D5">
        <f t="shared" si="0"/>
        <v>26</v>
      </c>
      <c r="G5" s="11">
        <v>4</v>
      </c>
      <c r="H5" t="s">
        <v>755</v>
      </c>
      <c r="I5" t="s">
        <v>1712</v>
      </c>
      <c r="J5" t="s">
        <v>15</v>
      </c>
      <c r="K5" s="57">
        <v>-9.1999999999999998E-3</v>
      </c>
      <c r="L5" s="57">
        <v>5.04E-2</v>
      </c>
      <c r="M5" s="57">
        <v>0.15329999999999999</v>
      </c>
      <c r="N5" s="57">
        <v>0.1517</v>
      </c>
      <c r="O5" s="57">
        <v>0</v>
      </c>
      <c r="P5" s="57">
        <v>0.34660000000000002</v>
      </c>
      <c r="Q5" s="57">
        <v>0.88029999999999997</v>
      </c>
      <c r="R5" s="57">
        <v>1.8082</v>
      </c>
      <c r="S5">
        <v>97.39</v>
      </c>
      <c r="T5">
        <v>98.26</v>
      </c>
      <c r="U5">
        <v>91.3</v>
      </c>
      <c r="V5" s="20">
        <v>521.82727299999999</v>
      </c>
      <c r="X5" s="9"/>
      <c r="Y5" s="9"/>
    </row>
    <row r="6" spans="1:25" x14ac:dyDescent="0.15">
      <c r="A6">
        <v>5</v>
      </c>
      <c r="B6">
        <v>163208</v>
      </c>
      <c r="C6" t="s">
        <v>24</v>
      </c>
      <c r="D6">
        <f t="shared" si="0"/>
        <v>3</v>
      </c>
      <c r="G6" s="11">
        <v>5</v>
      </c>
      <c r="H6" t="s">
        <v>1658</v>
      </c>
      <c r="I6" t="s">
        <v>2036</v>
      </c>
      <c r="J6" t="s">
        <v>15</v>
      </c>
      <c r="K6" s="57">
        <v>-8.6E-3</v>
      </c>
      <c r="L6" s="57">
        <v>2.63E-2</v>
      </c>
      <c r="M6" s="57">
        <v>3.5499999999999997E-2</v>
      </c>
      <c r="N6" s="57">
        <v>7.2800000000000004E-2</v>
      </c>
      <c r="O6" s="57">
        <v>0.1008</v>
      </c>
      <c r="P6" s="57">
        <v>9.0300000000000005E-2</v>
      </c>
      <c r="Q6" s="57">
        <v>9.0300000000000005E-2</v>
      </c>
      <c r="R6" s="57">
        <v>9.0300000000000005E-2</v>
      </c>
      <c r="S6">
        <v>96.52</v>
      </c>
      <c r="T6">
        <v>91.3</v>
      </c>
      <c r="U6">
        <v>90.43</v>
      </c>
      <c r="V6" s="20">
        <v>5932.4343500000004</v>
      </c>
      <c r="X6" t="s">
        <v>2142</v>
      </c>
    </row>
    <row r="7" spans="1:25" x14ac:dyDescent="0.15">
      <c r="A7">
        <v>6</v>
      </c>
      <c r="B7">
        <v>165513</v>
      </c>
      <c r="C7" t="s">
        <v>26</v>
      </c>
      <c r="D7">
        <f t="shared" si="0"/>
        <v>33</v>
      </c>
      <c r="G7" s="11">
        <v>6</v>
      </c>
      <c r="H7" t="s">
        <v>283</v>
      </c>
      <c r="I7" t="s">
        <v>29</v>
      </c>
      <c r="J7" t="s">
        <v>1680</v>
      </c>
      <c r="K7" s="57">
        <v>-8.0000000000000002E-3</v>
      </c>
      <c r="L7" s="57">
        <v>-2.3099999999999999E-2</v>
      </c>
      <c r="M7" s="57">
        <v>1.5299999999999999E-2</v>
      </c>
      <c r="N7" s="57">
        <v>7.5700000000000003E-2</v>
      </c>
      <c r="O7" s="57">
        <v>-0.1066</v>
      </c>
      <c r="P7" s="57">
        <v>-0.1153</v>
      </c>
      <c r="Q7" s="57">
        <v>9.9000000000000008E-3</v>
      </c>
      <c r="R7" s="57">
        <v>0.33900000000000002</v>
      </c>
      <c r="S7">
        <v>95.65</v>
      </c>
      <c r="T7">
        <v>93.91</v>
      </c>
      <c r="U7">
        <v>86.96</v>
      </c>
      <c r="V7" s="20">
        <v>7312.6309900000006</v>
      </c>
    </row>
    <row r="8" spans="1:25" x14ac:dyDescent="0.15">
      <c r="A8">
        <v>7</v>
      </c>
      <c r="B8">
        <v>513130</v>
      </c>
      <c r="C8" t="s">
        <v>795</v>
      </c>
      <c r="D8">
        <f t="shared" si="0"/>
        <v>64</v>
      </c>
      <c r="G8" s="11">
        <v>7</v>
      </c>
      <c r="H8" t="s">
        <v>753</v>
      </c>
      <c r="I8" t="s">
        <v>1771</v>
      </c>
      <c r="J8" t="s">
        <v>15</v>
      </c>
      <c r="K8" s="57">
        <v>-9.9000000000000008E-3</v>
      </c>
      <c r="L8" s="57">
        <v>2.2499999999999999E-2</v>
      </c>
      <c r="M8" s="57">
        <v>1.67E-2</v>
      </c>
      <c r="N8" s="57">
        <v>6.9699999999999998E-2</v>
      </c>
      <c r="O8" s="57">
        <v>0.14369999999999999</v>
      </c>
      <c r="P8" s="57">
        <v>6.7900000000000002E-2</v>
      </c>
      <c r="Q8" s="57">
        <v>-6.3200000000000006E-2</v>
      </c>
      <c r="R8" s="57">
        <v>0.2051</v>
      </c>
      <c r="S8">
        <v>94.78</v>
      </c>
      <c r="T8">
        <v>86.96</v>
      </c>
      <c r="U8">
        <v>93.04</v>
      </c>
      <c r="V8" s="20">
        <v>440.29200319999995</v>
      </c>
    </row>
    <row r="9" spans="1:25" x14ac:dyDescent="0.15">
      <c r="G9" s="11">
        <v>8</v>
      </c>
      <c r="H9" t="s">
        <v>740</v>
      </c>
      <c r="I9" t="s">
        <v>1744</v>
      </c>
      <c r="J9" t="s">
        <v>15</v>
      </c>
      <c r="K9" s="57">
        <v>-1.7100000000000001E-2</v>
      </c>
      <c r="L9" s="57">
        <v>-5.1999999999999998E-3</v>
      </c>
      <c r="M9" s="57">
        <v>5.3E-3</v>
      </c>
      <c r="N9" s="57">
        <v>3.3700000000000001E-2</v>
      </c>
      <c r="O9" s="57">
        <v>-6.1199999999999997E-2</v>
      </c>
      <c r="P9" s="57">
        <v>-0.1129</v>
      </c>
      <c r="Q9" s="57">
        <v>-0.2361</v>
      </c>
      <c r="R9" s="57">
        <v>-0.11940000000000001</v>
      </c>
      <c r="S9">
        <v>93.91</v>
      </c>
      <c r="T9">
        <v>78.260000000000005</v>
      </c>
      <c r="U9">
        <v>99.13</v>
      </c>
      <c r="V9" s="20">
        <v>1773.9512</v>
      </c>
    </row>
    <row r="10" spans="1:25" x14ac:dyDescent="0.15">
      <c r="G10" s="11">
        <v>9</v>
      </c>
      <c r="H10" t="s">
        <v>749</v>
      </c>
      <c r="I10" t="s">
        <v>1758</v>
      </c>
      <c r="J10" t="s">
        <v>15</v>
      </c>
      <c r="K10" s="57">
        <v>-7.1000000000000004E-3</v>
      </c>
      <c r="L10" s="57">
        <v>2.4500000000000001E-2</v>
      </c>
      <c r="M10" s="57">
        <v>2.0799999999999999E-2</v>
      </c>
      <c r="N10" s="57">
        <v>7.51E-2</v>
      </c>
      <c r="O10" s="57">
        <v>0.1512</v>
      </c>
      <c r="P10" s="57">
        <v>7.0499999999999993E-2</v>
      </c>
      <c r="Q10" s="57">
        <v>-6.6100000000000006E-2</v>
      </c>
      <c r="R10" s="57">
        <v>0.15609999999999999</v>
      </c>
      <c r="S10">
        <v>93.04</v>
      </c>
      <c r="T10">
        <v>93.04</v>
      </c>
      <c r="U10">
        <v>83.48</v>
      </c>
      <c r="V10" s="20">
        <v>7143.6619000000001</v>
      </c>
    </row>
    <row r="11" spans="1:25" x14ac:dyDescent="0.15">
      <c r="G11" s="11">
        <v>10</v>
      </c>
      <c r="H11" t="s">
        <v>483</v>
      </c>
      <c r="I11" t="s">
        <v>18</v>
      </c>
      <c r="J11" t="s">
        <v>15</v>
      </c>
      <c r="K11" s="57">
        <v>-6.4999999999999997E-3</v>
      </c>
      <c r="L11" s="57">
        <v>3.5000000000000003E-2</v>
      </c>
      <c r="M11" s="57">
        <v>2.4199999999999999E-2</v>
      </c>
      <c r="N11" s="57">
        <v>9.5299999999999996E-2</v>
      </c>
      <c r="O11" s="57">
        <v>0.21679999999999999</v>
      </c>
      <c r="P11" s="57">
        <v>8.3799999999999999E-2</v>
      </c>
      <c r="Q11" s="57">
        <v>-4.1000000000000003E-3</v>
      </c>
      <c r="R11" s="57">
        <v>0.21</v>
      </c>
      <c r="S11">
        <v>92.17</v>
      </c>
      <c r="T11">
        <v>96.52</v>
      </c>
      <c r="U11">
        <v>79.13</v>
      </c>
      <c r="V11" s="20">
        <v>38.104820000000004</v>
      </c>
    </row>
    <row r="12" spans="1:25" x14ac:dyDescent="0.15">
      <c r="G12" s="11">
        <v>11</v>
      </c>
      <c r="H12" t="s">
        <v>757</v>
      </c>
      <c r="I12" t="s">
        <v>1769</v>
      </c>
      <c r="J12" t="s">
        <v>15</v>
      </c>
      <c r="K12" s="57">
        <v>-6.6E-3</v>
      </c>
      <c r="L12" s="57">
        <v>2.81E-2</v>
      </c>
      <c r="M12" s="57">
        <v>2.4799999999999999E-2</v>
      </c>
      <c r="N12" s="57">
        <v>8.2000000000000003E-2</v>
      </c>
      <c r="O12" s="57">
        <v>0.14349999999999999</v>
      </c>
      <c r="P12" s="57">
        <v>5.62E-2</v>
      </c>
      <c r="Q12" s="57">
        <v>1.34E-2</v>
      </c>
      <c r="R12" s="57">
        <v>0.29160000000000003</v>
      </c>
      <c r="S12">
        <v>91.3</v>
      </c>
      <c r="T12">
        <v>94.78</v>
      </c>
      <c r="U12">
        <v>80</v>
      </c>
      <c r="V12" s="20">
        <v>108.84386859999999</v>
      </c>
    </row>
    <row r="13" spans="1:25" x14ac:dyDescent="0.15">
      <c r="G13" s="11">
        <v>12</v>
      </c>
      <c r="H13" t="s">
        <v>751</v>
      </c>
      <c r="I13" t="s">
        <v>1742</v>
      </c>
      <c r="J13" t="s">
        <v>15</v>
      </c>
      <c r="K13" s="57">
        <v>-7.6E-3</v>
      </c>
      <c r="L13" s="57">
        <v>-3.2000000000000002E-3</v>
      </c>
      <c r="M13" s="57">
        <v>1.04E-2</v>
      </c>
      <c r="N13" s="57">
        <v>5.8900000000000001E-2</v>
      </c>
      <c r="O13" s="57">
        <v>1.2999999999999999E-2</v>
      </c>
      <c r="P13" s="57">
        <v>-5.0500000000000003E-2</v>
      </c>
      <c r="Q13" s="57">
        <v>-0.11890000000000001</v>
      </c>
      <c r="R13" s="57">
        <v>0.1404</v>
      </c>
      <c r="S13">
        <v>90.43</v>
      </c>
      <c r="T13">
        <v>84.35</v>
      </c>
      <c r="U13">
        <v>86.09</v>
      </c>
      <c r="V13" s="20">
        <v>101.5951</v>
      </c>
    </row>
    <row r="14" spans="1:25" x14ac:dyDescent="0.15">
      <c r="G14" s="11">
        <v>13</v>
      </c>
      <c r="H14" t="s">
        <v>1762</v>
      </c>
      <c r="I14" t="s">
        <v>1763</v>
      </c>
      <c r="J14" t="s">
        <v>15</v>
      </c>
      <c r="K14" s="57">
        <v>-6.4000000000000003E-3</v>
      </c>
      <c r="L14" s="57">
        <v>2.4799999999999999E-2</v>
      </c>
      <c r="M14" s="57">
        <v>3.3300000000000003E-2</v>
      </c>
      <c r="N14" s="57">
        <v>7.0800000000000002E-2</v>
      </c>
      <c r="O14" s="57">
        <v>9.3399999999999997E-2</v>
      </c>
      <c r="P14" s="57">
        <v>8.7900000000000006E-2</v>
      </c>
      <c r="Q14" s="57">
        <v>1.9400000000000001E-2</v>
      </c>
      <c r="R14" s="57">
        <v>0.27439999999999998</v>
      </c>
      <c r="S14">
        <v>89.57</v>
      </c>
      <c r="T14">
        <v>88.7</v>
      </c>
      <c r="U14">
        <v>78.260000000000005</v>
      </c>
      <c r="V14" s="20">
        <v>15.815020000000001</v>
      </c>
    </row>
    <row r="15" spans="1:25" x14ac:dyDescent="0.15">
      <c r="G15" s="11">
        <v>14</v>
      </c>
      <c r="H15" t="s">
        <v>611</v>
      </c>
      <c r="I15" t="s">
        <v>1766</v>
      </c>
      <c r="J15" t="s">
        <v>15</v>
      </c>
      <c r="K15" s="57">
        <v>-5.7999999999999996E-3</v>
      </c>
      <c r="L15" s="57">
        <v>2.29E-2</v>
      </c>
      <c r="M15" s="57">
        <v>1.6899999999999998E-2</v>
      </c>
      <c r="N15" s="57">
        <v>7.22E-2</v>
      </c>
      <c r="O15" s="57">
        <v>0.1492</v>
      </c>
      <c r="P15" s="57">
        <v>6.3399999999999998E-2</v>
      </c>
      <c r="Q15" s="57">
        <v>-6.9900000000000004E-2</v>
      </c>
      <c r="R15" s="57">
        <v>0.20799999999999999</v>
      </c>
      <c r="S15">
        <v>88.7</v>
      </c>
      <c r="T15">
        <v>89.57</v>
      </c>
      <c r="U15">
        <v>77.39</v>
      </c>
      <c r="V15" s="20">
        <v>45419.271985500003</v>
      </c>
    </row>
    <row r="16" spans="1:25" x14ac:dyDescent="0.15">
      <c r="G16" s="11">
        <v>15</v>
      </c>
      <c r="H16" t="s">
        <v>2032</v>
      </c>
      <c r="I16" t="s">
        <v>2033</v>
      </c>
      <c r="J16" t="s">
        <v>15</v>
      </c>
      <c r="K16" s="57">
        <v>-8.2000000000000007E-3</v>
      </c>
      <c r="L16" s="57">
        <v>-2.9999999999999997E-4</v>
      </c>
      <c r="M16" s="57">
        <v>1.12E-2</v>
      </c>
      <c r="N16" s="57">
        <v>3.6999999999999998E-2</v>
      </c>
      <c r="O16" s="57">
        <v>1.06E-2</v>
      </c>
      <c r="P16" s="57">
        <v>-1.09E-2</v>
      </c>
      <c r="Q16" s="57">
        <v>-0.10489999999999999</v>
      </c>
      <c r="R16" s="57">
        <v>3.0700000000000002E-2</v>
      </c>
      <c r="S16">
        <v>87.83</v>
      </c>
      <c r="T16">
        <v>79.13</v>
      </c>
      <c r="U16">
        <v>87.83</v>
      </c>
      <c r="V16" s="20">
        <v>1.5406</v>
      </c>
    </row>
    <row r="17" spans="7:22" x14ac:dyDescent="0.15">
      <c r="G17" s="11">
        <v>16</v>
      </c>
      <c r="H17" t="s">
        <v>717</v>
      </c>
      <c r="I17" t="s">
        <v>1691</v>
      </c>
      <c r="J17" t="s">
        <v>15</v>
      </c>
      <c r="K17" s="57">
        <v>-7.3000000000000001E-3</v>
      </c>
      <c r="L17" s="57">
        <v>1.6999999999999999E-3</v>
      </c>
      <c r="M17" s="57">
        <v>1.14E-2</v>
      </c>
      <c r="N17" s="57">
        <v>5.4199999999999998E-2</v>
      </c>
      <c r="O17" s="57">
        <v>3.4700000000000002E-2</v>
      </c>
      <c r="P17" s="57">
        <v>1.7899999999999999E-2</v>
      </c>
      <c r="Q17" s="57">
        <v>-0.10539999999999999</v>
      </c>
      <c r="R17" s="57">
        <v>5.7000000000000002E-3</v>
      </c>
      <c r="S17">
        <v>86.96</v>
      </c>
      <c r="T17">
        <v>81.739999999999995</v>
      </c>
      <c r="U17">
        <v>84.35</v>
      </c>
      <c r="V17" s="20">
        <v>137.26429999999999</v>
      </c>
    </row>
    <row r="18" spans="7:22" x14ac:dyDescent="0.15">
      <c r="G18" s="11">
        <v>17</v>
      </c>
      <c r="H18" t="s">
        <v>650</v>
      </c>
      <c r="I18" t="s">
        <v>1759</v>
      </c>
      <c r="J18" t="s">
        <v>15</v>
      </c>
      <c r="K18" s="57">
        <v>-4.5999999999999999E-3</v>
      </c>
      <c r="L18" s="57">
        <v>2.5600000000000001E-2</v>
      </c>
      <c r="M18" s="57">
        <v>3.49E-2</v>
      </c>
      <c r="N18" s="57">
        <v>7.46E-2</v>
      </c>
      <c r="O18" s="57">
        <v>9.7199999999999995E-2</v>
      </c>
      <c r="P18" s="57">
        <v>6.2899999999999998E-2</v>
      </c>
      <c r="Q18" s="57">
        <v>1.3899999999999999E-2</v>
      </c>
      <c r="R18" s="57">
        <v>0.32390000000000002</v>
      </c>
      <c r="S18">
        <v>86.09</v>
      </c>
      <c r="T18">
        <v>92.17</v>
      </c>
      <c r="U18">
        <v>73.91</v>
      </c>
      <c r="V18" s="20">
        <v>21379.600299999998</v>
      </c>
    </row>
    <row r="19" spans="7:22" x14ac:dyDescent="0.15">
      <c r="G19" s="11">
        <v>18</v>
      </c>
      <c r="H19" t="s">
        <v>696</v>
      </c>
      <c r="I19" t="s">
        <v>1767</v>
      </c>
      <c r="J19" t="s">
        <v>15</v>
      </c>
      <c r="K19" s="57">
        <v>-4.3E-3</v>
      </c>
      <c r="L19" s="57">
        <v>2.3099999999999999E-2</v>
      </c>
      <c r="M19" s="57">
        <v>1.7500000000000002E-2</v>
      </c>
      <c r="N19" s="57">
        <v>7.2499999999999995E-2</v>
      </c>
      <c r="O19" s="57">
        <v>0.1492</v>
      </c>
      <c r="P19" s="57">
        <v>6.2700000000000006E-2</v>
      </c>
      <c r="Q19" s="57">
        <v>-6.9900000000000004E-2</v>
      </c>
      <c r="R19" s="57">
        <v>0.2082</v>
      </c>
      <c r="S19">
        <v>85.22</v>
      </c>
      <c r="T19">
        <v>90.43</v>
      </c>
      <c r="U19">
        <v>72.17</v>
      </c>
      <c r="V19" s="20">
        <v>23523.359199999999</v>
      </c>
    </row>
    <row r="20" spans="7:22" x14ac:dyDescent="0.15">
      <c r="G20" s="11">
        <v>19</v>
      </c>
      <c r="H20" t="s">
        <v>603</v>
      </c>
      <c r="I20" t="s">
        <v>1716</v>
      </c>
      <c r="J20" t="s">
        <v>15</v>
      </c>
      <c r="K20" s="57">
        <v>-5.1000000000000004E-3</v>
      </c>
      <c r="L20" s="57">
        <v>2.5000000000000001E-3</v>
      </c>
      <c r="M20" s="57">
        <v>1.3100000000000001E-2</v>
      </c>
      <c r="N20" s="57">
        <v>5.28E-2</v>
      </c>
      <c r="O20" s="57">
        <v>3.5700000000000003E-2</v>
      </c>
      <c r="P20" s="57">
        <v>2.1399999999999999E-2</v>
      </c>
      <c r="Q20" s="57">
        <v>-9.9099999999999994E-2</v>
      </c>
      <c r="R20" s="57">
        <v>2.2200000000000001E-2</v>
      </c>
      <c r="S20">
        <v>84.35</v>
      </c>
      <c r="T20">
        <v>80.87</v>
      </c>
      <c r="U20">
        <v>75.650000000000006</v>
      </c>
      <c r="V20" s="20">
        <v>70.240600000000001</v>
      </c>
    </row>
    <row r="21" spans="7:22" x14ac:dyDescent="0.15">
      <c r="G21" s="11">
        <v>20</v>
      </c>
      <c r="H21" t="s">
        <v>305</v>
      </c>
      <c r="I21" t="s">
        <v>1685</v>
      </c>
      <c r="J21" t="s">
        <v>1679</v>
      </c>
      <c r="K21" s="57">
        <v>-1.0999999999999999E-2</v>
      </c>
      <c r="L21" s="57">
        <v>5.4999999999999997E-3</v>
      </c>
      <c r="M21" s="57">
        <v>6.1000000000000004E-3</v>
      </c>
      <c r="N21" s="57">
        <v>1.18E-2</v>
      </c>
      <c r="O21" s="57">
        <v>1.47E-2</v>
      </c>
      <c r="P21" s="57">
        <v>2.8500000000000001E-2</v>
      </c>
      <c r="Q21" s="57">
        <v>5.21E-2</v>
      </c>
      <c r="R21" s="57">
        <v>8.5099999999999995E-2</v>
      </c>
      <c r="S21">
        <v>83.48</v>
      </c>
      <c r="T21">
        <v>60</v>
      </c>
      <c r="U21">
        <v>95.65</v>
      </c>
      <c r="V21" s="20">
        <v>29564.080999999998</v>
      </c>
    </row>
    <row r="22" spans="7:22" x14ac:dyDescent="0.15">
      <c r="G22" s="11">
        <v>21</v>
      </c>
      <c r="H22" t="s">
        <v>2034</v>
      </c>
      <c r="I22" t="s">
        <v>2035</v>
      </c>
      <c r="J22" t="s">
        <v>15</v>
      </c>
      <c r="K22" s="57">
        <v>-6.6E-3</v>
      </c>
      <c r="L22" s="57">
        <v>-1.04E-2</v>
      </c>
      <c r="M22" s="57">
        <v>-1.2999999999999999E-2</v>
      </c>
      <c r="N22" s="57">
        <v>2.8400000000000002E-2</v>
      </c>
      <c r="O22" s="57">
        <v>-3.3099999999999997E-2</v>
      </c>
      <c r="P22" s="57">
        <v>-2.06E-2</v>
      </c>
      <c r="Q22" s="57">
        <v>2.1499999999999998E-2</v>
      </c>
      <c r="R22" s="57">
        <v>-0.15740000000000001</v>
      </c>
      <c r="S22">
        <v>82.61</v>
      </c>
      <c r="T22">
        <v>71.3</v>
      </c>
      <c r="U22">
        <v>80.87</v>
      </c>
      <c r="V22" s="20">
        <v>3.2010879999999999</v>
      </c>
    </row>
    <row r="23" spans="7:22" x14ac:dyDescent="0.15">
      <c r="G23" s="11">
        <v>22</v>
      </c>
      <c r="H23" t="s">
        <v>813</v>
      </c>
      <c r="I23" t="s">
        <v>812</v>
      </c>
      <c r="J23" t="s">
        <v>1680</v>
      </c>
      <c r="K23" s="57">
        <v>-5.1000000000000004E-3</v>
      </c>
      <c r="L23" s="57">
        <v>-8.0999999999999996E-3</v>
      </c>
      <c r="M23" s="57">
        <v>-7.4999999999999997E-3</v>
      </c>
      <c r="N23" s="57">
        <v>2.8799999999999999E-2</v>
      </c>
      <c r="O23" s="57">
        <v>-3.6900000000000002E-2</v>
      </c>
      <c r="P23" s="57">
        <v>-3.3399999999999999E-2</v>
      </c>
      <c r="Q23" s="57">
        <v>-3.3399999999999999E-2</v>
      </c>
      <c r="R23" s="57">
        <v>-3.3399999999999999E-2</v>
      </c>
      <c r="S23">
        <v>81.739999999999995</v>
      </c>
      <c r="T23">
        <v>72.17</v>
      </c>
      <c r="U23">
        <v>76.52</v>
      </c>
      <c r="V23" s="20">
        <v>222.40736000000001</v>
      </c>
    </row>
    <row r="24" spans="7:22" x14ac:dyDescent="0.15">
      <c r="G24" s="11">
        <v>23</v>
      </c>
      <c r="H24" t="s">
        <v>732</v>
      </c>
      <c r="I24" t="s">
        <v>1701</v>
      </c>
      <c r="J24" t="s">
        <v>15</v>
      </c>
      <c r="K24" s="57">
        <v>-3.0999999999999999E-3</v>
      </c>
      <c r="L24" s="57">
        <v>1.1000000000000001E-3</v>
      </c>
      <c r="M24" s="57">
        <v>1.32E-2</v>
      </c>
      <c r="N24" s="57">
        <v>5.5199999999999999E-2</v>
      </c>
      <c r="O24" s="57">
        <v>2.2800000000000001E-2</v>
      </c>
      <c r="P24" s="57">
        <v>1.26E-2</v>
      </c>
      <c r="Q24" s="57">
        <v>-0.10630000000000001</v>
      </c>
      <c r="R24" s="57">
        <v>7.0000000000000001E-3</v>
      </c>
      <c r="S24">
        <v>80.87</v>
      </c>
      <c r="T24">
        <v>82.61</v>
      </c>
      <c r="U24">
        <v>65.22</v>
      </c>
      <c r="V24" s="20">
        <v>297.56259999999997</v>
      </c>
    </row>
    <row r="25" spans="7:22" x14ac:dyDescent="0.15">
      <c r="G25" s="11">
        <v>24</v>
      </c>
      <c r="H25" t="s">
        <v>300</v>
      </c>
      <c r="I25" t="s">
        <v>19</v>
      </c>
      <c r="J25" t="s">
        <v>1679</v>
      </c>
      <c r="K25" s="57">
        <v>-1.9099999999999999E-2</v>
      </c>
      <c r="L25" s="57">
        <v>2.0999999999999999E-3</v>
      </c>
      <c r="M25" s="57">
        <v>2.0999999999999999E-3</v>
      </c>
      <c r="N25" s="57">
        <v>4.1000000000000003E-3</v>
      </c>
      <c r="O25" s="57">
        <v>6.0000000000000001E-3</v>
      </c>
      <c r="P25" s="57">
        <v>1.0999999999999999E-2</v>
      </c>
      <c r="Q25" s="57">
        <v>2.4899999999999999E-2</v>
      </c>
      <c r="R25" s="57">
        <v>5.2299999999999999E-2</v>
      </c>
      <c r="S25">
        <v>80</v>
      </c>
      <c r="T25">
        <v>47.83</v>
      </c>
      <c r="U25">
        <v>100</v>
      </c>
      <c r="V25" s="20">
        <v>108.61725519999999</v>
      </c>
    </row>
    <row r="26" spans="7:22" x14ac:dyDescent="0.15">
      <c r="G26" s="11">
        <v>25</v>
      </c>
      <c r="H26" t="s">
        <v>294</v>
      </c>
      <c r="I26" t="s">
        <v>1692</v>
      </c>
      <c r="J26" t="s">
        <v>1679</v>
      </c>
      <c r="K26" s="57">
        <v>-8.3999999999999995E-3</v>
      </c>
      <c r="L26" s="57">
        <v>4.4999999999999997E-3</v>
      </c>
      <c r="M26" s="57">
        <v>2.8E-3</v>
      </c>
      <c r="N26" s="57">
        <v>8.0000000000000002E-3</v>
      </c>
      <c r="O26" s="57">
        <v>1.1599999999999999E-2</v>
      </c>
      <c r="P26" s="57">
        <v>2.01E-2</v>
      </c>
      <c r="Q26" s="57">
        <v>4.1700000000000001E-2</v>
      </c>
      <c r="R26" s="57">
        <v>8.2500000000000004E-2</v>
      </c>
      <c r="S26">
        <v>79.13</v>
      </c>
      <c r="T26">
        <v>54.78</v>
      </c>
      <c r="U26">
        <v>89.57</v>
      </c>
      <c r="V26" s="20">
        <v>2522.1570999999999</v>
      </c>
    </row>
    <row r="27" spans="7:22" x14ac:dyDescent="0.15">
      <c r="G27" s="11">
        <v>26</v>
      </c>
      <c r="H27" t="s">
        <v>267</v>
      </c>
      <c r="I27" t="s">
        <v>20</v>
      </c>
      <c r="J27" t="s">
        <v>15</v>
      </c>
      <c r="K27" s="57">
        <v>-9.5999999999999992E-3</v>
      </c>
      <c r="L27" s="57">
        <v>-1.4800000000000001E-2</v>
      </c>
      <c r="M27" s="57">
        <v>3.2399999999999998E-2</v>
      </c>
      <c r="N27" s="57">
        <v>0</v>
      </c>
      <c r="O27" s="57">
        <v>-6.9800000000000001E-2</v>
      </c>
      <c r="P27" s="57">
        <v>0.13289999999999999</v>
      </c>
      <c r="Q27" s="57">
        <v>0.33029999999999998</v>
      </c>
      <c r="R27" s="57">
        <v>0.79220000000000002</v>
      </c>
      <c r="S27">
        <v>78.260000000000005</v>
      </c>
      <c r="T27">
        <v>44.35</v>
      </c>
      <c r="U27">
        <v>92.17</v>
      </c>
      <c r="V27" s="20">
        <v>56.160769999999992</v>
      </c>
    </row>
    <row r="28" spans="7:22" x14ac:dyDescent="0.15">
      <c r="G28" s="11">
        <v>27</v>
      </c>
      <c r="H28" t="s">
        <v>488</v>
      </c>
      <c r="I28" t="s">
        <v>28</v>
      </c>
      <c r="J28" t="s">
        <v>15</v>
      </c>
      <c r="K28" s="57">
        <v>-1.09E-2</v>
      </c>
      <c r="L28" s="57">
        <v>-1.2699999999999999E-2</v>
      </c>
      <c r="M28" s="57">
        <v>3.3300000000000003E-2</v>
      </c>
      <c r="N28" s="57">
        <v>-8.5000000000000006E-3</v>
      </c>
      <c r="O28" s="57">
        <v>-6.25E-2</v>
      </c>
      <c r="P28" s="57">
        <v>0.20469999999999999</v>
      </c>
      <c r="Q28" s="57">
        <v>0.55520000000000003</v>
      </c>
      <c r="R28" s="57">
        <v>1.2906</v>
      </c>
      <c r="S28">
        <v>77.39</v>
      </c>
      <c r="T28">
        <v>41.74</v>
      </c>
      <c r="U28">
        <v>94.78</v>
      </c>
      <c r="V28" s="20">
        <v>133.25124479999999</v>
      </c>
    </row>
    <row r="29" spans="7:22" x14ac:dyDescent="0.15">
      <c r="G29" s="11">
        <v>28</v>
      </c>
      <c r="H29" t="s">
        <v>1681</v>
      </c>
      <c r="I29" t="s">
        <v>1682</v>
      </c>
      <c r="J29" t="s">
        <v>15</v>
      </c>
      <c r="K29" s="57">
        <v>-5.0000000000000001E-3</v>
      </c>
      <c r="L29" s="57">
        <v>3.0300000000000001E-2</v>
      </c>
      <c r="M29" s="57">
        <v>2.1700000000000001E-2</v>
      </c>
      <c r="N29" s="57">
        <v>1.3599999999999999E-2</v>
      </c>
      <c r="O29" s="57">
        <v>-2.8899999999999999E-2</v>
      </c>
      <c r="P29" s="57">
        <v>-2.5000000000000001E-2</v>
      </c>
      <c r="Q29" s="57">
        <v>-0.13400000000000001</v>
      </c>
      <c r="R29" s="57">
        <v>-0.1731</v>
      </c>
      <c r="S29">
        <v>76.52</v>
      </c>
      <c r="T29">
        <v>60.87</v>
      </c>
      <c r="U29">
        <v>74.78</v>
      </c>
      <c r="V29" s="20">
        <v>51.082500000000003</v>
      </c>
    </row>
    <row r="30" spans="7:22" x14ac:dyDescent="0.15">
      <c r="G30" s="11">
        <v>29</v>
      </c>
      <c r="H30" t="s">
        <v>759</v>
      </c>
      <c r="I30" t="s">
        <v>1721</v>
      </c>
      <c r="J30" t="s">
        <v>15</v>
      </c>
      <c r="K30" s="57">
        <v>-0.01</v>
      </c>
      <c r="L30" s="57">
        <v>-1.5800000000000002E-2</v>
      </c>
      <c r="M30" s="57">
        <v>3.4599999999999999E-2</v>
      </c>
      <c r="N30" s="57">
        <v>-1.3100000000000001E-2</v>
      </c>
      <c r="O30" s="57">
        <v>-6.7900000000000002E-2</v>
      </c>
      <c r="P30" s="57">
        <v>0.18229999999999999</v>
      </c>
      <c r="Q30" s="57">
        <v>0.54810000000000003</v>
      </c>
      <c r="R30" s="57">
        <v>1.2555000000000001</v>
      </c>
      <c r="S30">
        <v>75.650000000000006</v>
      </c>
      <c r="T30">
        <v>39.130000000000003</v>
      </c>
      <c r="U30">
        <v>93.91</v>
      </c>
      <c r="V30" s="20">
        <v>343.95850000000002</v>
      </c>
    </row>
    <row r="31" spans="7:22" x14ac:dyDescent="0.15">
      <c r="G31" s="11">
        <v>30</v>
      </c>
      <c r="H31" t="s">
        <v>279</v>
      </c>
      <c r="I31" t="s">
        <v>33</v>
      </c>
      <c r="J31" t="s">
        <v>1680</v>
      </c>
      <c r="K31" s="57">
        <v>-7.4999999999999997E-3</v>
      </c>
      <c r="L31" s="57">
        <v>-3.7499999999999999E-2</v>
      </c>
      <c r="M31" s="57">
        <v>-2.2100000000000002E-2</v>
      </c>
      <c r="N31" s="57">
        <v>3.2000000000000002E-3</v>
      </c>
      <c r="O31" s="57">
        <v>-0.15679999999999999</v>
      </c>
      <c r="P31" s="57">
        <v>-0.1181</v>
      </c>
      <c r="Q31" s="57">
        <v>7.5899999999999995E-2</v>
      </c>
      <c r="R31" s="57">
        <v>0.69</v>
      </c>
      <c r="S31">
        <v>74.78</v>
      </c>
      <c r="T31">
        <v>46.96</v>
      </c>
      <c r="U31">
        <v>85.22</v>
      </c>
      <c r="V31" s="20">
        <v>3202.9813454</v>
      </c>
    </row>
    <row r="32" spans="7:22" x14ac:dyDescent="0.15">
      <c r="G32" s="11">
        <v>31</v>
      </c>
      <c r="H32" t="s">
        <v>1484</v>
      </c>
      <c r="I32" t="s">
        <v>1485</v>
      </c>
      <c r="J32" t="s">
        <v>1680</v>
      </c>
      <c r="K32" s="57">
        <v>-1.6999999999999999E-3</v>
      </c>
      <c r="L32" s="57">
        <v>-9.2999999999999992E-3</v>
      </c>
      <c r="M32" s="57">
        <v>-8.6E-3</v>
      </c>
      <c r="N32" s="57">
        <v>2.9100000000000001E-2</v>
      </c>
      <c r="O32" s="57">
        <v>-3.8100000000000002E-2</v>
      </c>
      <c r="P32" s="57">
        <v>-2.9700000000000001E-2</v>
      </c>
      <c r="Q32" s="57">
        <v>-2.9700000000000001E-2</v>
      </c>
      <c r="R32" s="57">
        <v>-2.9700000000000001E-2</v>
      </c>
      <c r="S32">
        <v>73.91</v>
      </c>
      <c r="T32">
        <v>73.91</v>
      </c>
      <c r="U32">
        <v>56.52</v>
      </c>
      <c r="V32" s="20">
        <v>800.28961320000008</v>
      </c>
    </row>
    <row r="33" spans="7:22" x14ac:dyDescent="0.15">
      <c r="G33" s="11">
        <v>32</v>
      </c>
      <c r="H33" t="s">
        <v>343</v>
      </c>
      <c r="I33" t="s">
        <v>1719</v>
      </c>
      <c r="J33" t="s">
        <v>1680</v>
      </c>
      <c r="K33" s="57">
        <v>-6.9999999999999999E-4</v>
      </c>
      <c r="L33" s="57">
        <v>-9.4999999999999998E-3</v>
      </c>
      <c r="M33" s="57">
        <v>-8.8000000000000005E-3</v>
      </c>
      <c r="N33" s="57">
        <v>2.9399999999999999E-2</v>
      </c>
      <c r="O33" s="57">
        <v>-3.7600000000000001E-2</v>
      </c>
      <c r="P33" s="57">
        <v>-2.6499999999999999E-2</v>
      </c>
      <c r="Q33" s="57">
        <v>4.6600000000000003E-2</v>
      </c>
      <c r="R33" s="57">
        <v>-0.1166</v>
      </c>
      <c r="S33">
        <v>73.040000000000006</v>
      </c>
      <c r="T33">
        <v>76.52</v>
      </c>
      <c r="U33">
        <v>51.3</v>
      </c>
      <c r="V33" s="20">
        <v>1510.3368</v>
      </c>
    </row>
    <row r="34" spans="7:22" x14ac:dyDescent="0.15">
      <c r="G34" s="11">
        <v>33</v>
      </c>
      <c r="H34" t="s">
        <v>266</v>
      </c>
      <c r="I34" t="s">
        <v>26</v>
      </c>
      <c r="J34" t="s">
        <v>15</v>
      </c>
      <c r="K34" s="57">
        <v>-6.8999999999999999E-3</v>
      </c>
      <c r="L34" s="57">
        <v>-1.52E-2</v>
      </c>
      <c r="M34" s="57">
        <v>2.2800000000000001E-2</v>
      </c>
      <c r="N34" s="57">
        <v>-6.7999999999999996E-3</v>
      </c>
      <c r="O34" s="57">
        <v>-6.5600000000000006E-2</v>
      </c>
      <c r="P34" s="57">
        <v>0.187</v>
      </c>
      <c r="Q34" s="57">
        <v>0.46729999999999999</v>
      </c>
      <c r="R34" s="57">
        <v>1.0278</v>
      </c>
      <c r="S34">
        <v>72.17</v>
      </c>
      <c r="T34">
        <v>42.61</v>
      </c>
      <c r="U34">
        <v>82.61</v>
      </c>
      <c r="V34" s="20">
        <v>20.7773334</v>
      </c>
    </row>
    <row r="35" spans="7:22" x14ac:dyDescent="0.15">
      <c r="G35" s="11">
        <v>34</v>
      </c>
      <c r="H35" t="s">
        <v>756</v>
      </c>
      <c r="I35" t="s">
        <v>1720</v>
      </c>
      <c r="J35" t="s">
        <v>15</v>
      </c>
      <c r="K35" s="57">
        <v>-8.3000000000000001E-3</v>
      </c>
      <c r="L35" s="57">
        <v>-1.66E-2</v>
      </c>
      <c r="M35" s="57">
        <v>2.8899999999999999E-2</v>
      </c>
      <c r="N35" s="57">
        <v>-2.07E-2</v>
      </c>
      <c r="O35" s="57">
        <v>-7.7600000000000002E-2</v>
      </c>
      <c r="P35" s="57">
        <v>0.17130000000000001</v>
      </c>
      <c r="Q35" s="57">
        <v>0.54369999999999996</v>
      </c>
      <c r="R35" s="57">
        <v>1.2578</v>
      </c>
      <c r="S35">
        <v>71.3</v>
      </c>
      <c r="T35">
        <v>36.520000000000003</v>
      </c>
      <c r="U35">
        <v>88.7</v>
      </c>
      <c r="V35" s="20">
        <v>544.04529720000005</v>
      </c>
    </row>
    <row r="36" spans="7:22" x14ac:dyDescent="0.15">
      <c r="G36" s="11">
        <v>35</v>
      </c>
      <c r="H36" t="s">
        <v>395</v>
      </c>
      <c r="I36" t="s">
        <v>22</v>
      </c>
      <c r="J36" t="s">
        <v>1680</v>
      </c>
      <c r="K36" s="57">
        <v>-5.9999999999999995E-4</v>
      </c>
      <c r="L36" s="57">
        <v>-9.4999999999999998E-3</v>
      </c>
      <c r="M36" s="57">
        <v>-8.8999999999999999E-3</v>
      </c>
      <c r="N36" s="57">
        <v>2.92E-2</v>
      </c>
      <c r="O36" s="57">
        <v>-3.7699999999999997E-2</v>
      </c>
      <c r="P36" s="57">
        <v>-2.6700000000000002E-2</v>
      </c>
      <c r="Q36" s="57">
        <v>4.7100000000000003E-2</v>
      </c>
      <c r="R36" s="57">
        <v>-0.11550000000000001</v>
      </c>
      <c r="S36">
        <v>70.430000000000007</v>
      </c>
      <c r="T36">
        <v>74.78</v>
      </c>
      <c r="U36">
        <v>49.57</v>
      </c>
      <c r="V36" s="20">
        <v>328.84530000000001</v>
      </c>
    </row>
    <row r="37" spans="7:22" x14ac:dyDescent="0.15">
      <c r="G37" s="11">
        <v>36</v>
      </c>
      <c r="H37" t="s">
        <v>335</v>
      </c>
      <c r="I37" t="s">
        <v>21</v>
      </c>
      <c r="J37" t="s">
        <v>1680</v>
      </c>
      <c r="K37" s="57">
        <v>-5.9999999999999995E-4</v>
      </c>
      <c r="L37" s="57">
        <v>-9.5999999999999992E-3</v>
      </c>
      <c r="M37" s="57">
        <v>-9.1999999999999998E-3</v>
      </c>
      <c r="N37" s="57">
        <v>2.8799999999999999E-2</v>
      </c>
      <c r="O37" s="57">
        <v>-3.9899999999999998E-2</v>
      </c>
      <c r="P37" s="57">
        <v>-3.09E-2</v>
      </c>
      <c r="Q37" s="57">
        <v>3.2899999999999999E-2</v>
      </c>
      <c r="R37" s="57">
        <v>-4.4999999999999997E-3</v>
      </c>
      <c r="S37">
        <v>69.569999999999993</v>
      </c>
      <c r="T37">
        <v>73.040000000000006</v>
      </c>
      <c r="U37">
        <v>50.43</v>
      </c>
      <c r="V37" s="20">
        <v>115.57723999999999</v>
      </c>
    </row>
    <row r="38" spans="7:22" x14ac:dyDescent="0.15">
      <c r="G38" s="11">
        <v>37</v>
      </c>
      <c r="H38" t="s">
        <v>348</v>
      </c>
      <c r="I38" t="s">
        <v>23</v>
      </c>
      <c r="J38" t="s">
        <v>1680</v>
      </c>
      <c r="K38" s="57">
        <v>-2.0000000000000001E-4</v>
      </c>
      <c r="L38" s="57">
        <v>-9.4999999999999998E-3</v>
      </c>
      <c r="M38" s="57">
        <v>-8.8000000000000005E-3</v>
      </c>
      <c r="N38" s="57">
        <v>2.93E-2</v>
      </c>
      <c r="O38" s="57">
        <v>-3.7400000000000003E-2</v>
      </c>
      <c r="P38" s="57">
        <v>-2.58E-2</v>
      </c>
      <c r="Q38" s="57">
        <v>4.9099999999999998E-2</v>
      </c>
      <c r="R38" s="57">
        <v>-8.1600000000000006E-2</v>
      </c>
      <c r="S38">
        <v>68.7</v>
      </c>
      <c r="T38">
        <v>75.650000000000006</v>
      </c>
      <c r="U38">
        <v>46.09</v>
      </c>
      <c r="V38" s="20">
        <v>322.39690000000002</v>
      </c>
    </row>
    <row r="39" spans="7:22" x14ac:dyDescent="0.15">
      <c r="G39" s="11">
        <v>38</v>
      </c>
      <c r="H39" t="s">
        <v>787</v>
      </c>
      <c r="I39" t="s">
        <v>786</v>
      </c>
      <c r="J39" t="s">
        <v>1680</v>
      </c>
      <c r="K39" s="57">
        <v>2.0000000000000001E-4</v>
      </c>
      <c r="L39" s="57">
        <v>-9.2999999999999992E-3</v>
      </c>
      <c r="M39" s="57">
        <v>-8.6999999999999994E-3</v>
      </c>
      <c r="N39" s="57">
        <v>2.98E-2</v>
      </c>
      <c r="O39" s="57">
        <v>-3.6999999999999998E-2</v>
      </c>
      <c r="P39" s="57">
        <v>-3.4799999999999998E-2</v>
      </c>
      <c r="Q39" s="57">
        <v>-3.4799999999999998E-2</v>
      </c>
      <c r="R39" s="57">
        <v>-3.4799999999999998E-2</v>
      </c>
      <c r="S39">
        <v>67.83</v>
      </c>
      <c r="T39">
        <v>77.39</v>
      </c>
      <c r="U39">
        <v>40.869999999999997</v>
      </c>
      <c r="V39" s="20">
        <v>365.05280440000001</v>
      </c>
    </row>
    <row r="40" spans="7:22" x14ac:dyDescent="0.15">
      <c r="G40" s="11">
        <v>39</v>
      </c>
      <c r="H40" t="s">
        <v>752</v>
      </c>
      <c r="I40" t="s">
        <v>1768</v>
      </c>
      <c r="J40" t="s">
        <v>15</v>
      </c>
      <c r="K40" s="57">
        <v>1.8E-3</v>
      </c>
      <c r="L40" s="57">
        <v>2.2800000000000001E-2</v>
      </c>
      <c r="M40" s="57">
        <v>2.5899999999999999E-2</v>
      </c>
      <c r="N40" s="57">
        <v>6.8099999999999994E-2</v>
      </c>
      <c r="O40" s="57">
        <v>9.2799999999999994E-2</v>
      </c>
      <c r="P40" s="57">
        <v>6.3299999999999995E-2</v>
      </c>
      <c r="Q40" s="57">
        <v>4.4200000000000003E-2</v>
      </c>
      <c r="R40" s="57">
        <v>0.36549999999999999</v>
      </c>
      <c r="S40">
        <v>66.959999999999994</v>
      </c>
      <c r="T40">
        <v>86.09</v>
      </c>
      <c r="U40">
        <v>28.7</v>
      </c>
      <c r="V40" s="20">
        <v>87.461415099999996</v>
      </c>
    </row>
    <row r="41" spans="7:22" x14ac:dyDescent="0.15">
      <c r="G41" s="11">
        <v>40</v>
      </c>
      <c r="H41" t="s">
        <v>311</v>
      </c>
      <c r="I41" t="s">
        <v>1687</v>
      </c>
      <c r="J41" t="s">
        <v>1679</v>
      </c>
      <c r="K41" s="57">
        <v>-2.5000000000000001E-3</v>
      </c>
      <c r="L41" s="57">
        <v>3.5999999999999999E-3</v>
      </c>
      <c r="M41" s="57">
        <v>3.0999999999999999E-3</v>
      </c>
      <c r="N41" s="57">
        <v>7.1000000000000004E-3</v>
      </c>
      <c r="O41" s="57">
        <v>1.01E-2</v>
      </c>
      <c r="P41" s="57">
        <v>1.8700000000000001E-2</v>
      </c>
      <c r="Q41" s="57">
        <v>3.9800000000000002E-2</v>
      </c>
      <c r="R41" s="57">
        <v>7.5899999999999995E-2</v>
      </c>
      <c r="S41">
        <v>66.09</v>
      </c>
      <c r="T41">
        <v>53.91</v>
      </c>
      <c r="U41">
        <v>60.87</v>
      </c>
      <c r="V41" s="20">
        <v>20360.929899999999</v>
      </c>
    </row>
    <row r="42" spans="7:22" x14ac:dyDescent="0.15">
      <c r="G42" s="11">
        <v>41</v>
      </c>
      <c r="H42" t="s">
        <v>2044</v>
      </c>
      <c r="I42" t="s">
        <v>2045</v>
      </c>
      <c r="J42" t="s">
        <v>1684</v>
      </c>
      <c r="K42" s="57">
        <v>0.99270000000000003</v>
      </c>
      <c r="L42" s="57">
        <v>0.2452</v>
      </c>
      <c r="M42" s="57">
        <v>0.21440000000000001</v>
      </c>
      <c r="N42" s="57">
        <v>0.23050000000000001</v>
      </c>
      <c r="O42" s="57">
        <v>0.32300000000000001</v>
      </c>
      <c r="P42" s="57">
        <v>4.4400000000000002E-2</v>
      </c>
      <c r="Q42" s="57">
        <v>-7.6300000000000007E-2</v>
      </c>
      <c r="R42" s="57">
        <v>-0.2303</v>
      </c>
      <c r="S42">
        <v>65.22</v>
      </c>
      <c r="T42">
        <v>100</v>
      </c>
      <c r="U42">
        <v>13.91</v>
      </c>
      <c r="V42" s="20">
        <v>57.450200000000002</v>
      </c>
    </row>
    <row r="43" spans="7:22" x14ac:dyDescent="0.15">
      <c r="G43" s="11">
        <v>42</v>
      </c>
      <c r="H43" t="s">
        <v>393</v>
      </c>
      <c r="I43" t="s">
        <v>1722</v>
      </c>
      <c r="J43" t="s">
        <v>1704</v>
      </c>
      <c r="K43" s="57">
        <v>-1E-4</v>
      </c>
      <c r="L43" s="57">
        <v>-1.04E-2</v>
      </c>
      <c r="M43" s="57">
        <v>-1.06E-2</v>
      </c>
      <c r="N43" s="57">
        <v>2.7199999999999998E-2</v>
      </c>
      <c r="O43" s="57">
        <v>-3.85E-2</v>
      </c>
      <c r="P43" s="57">
        <v>-2.6499999999999999E-2</v>
      </c>
      <c r="Q43" s="57">
        <v>4.8099999999999997E-2</v>
      </c>
      <c r="R43" s="57">
        <v>-0.1144</v>
      </c>
      <c r="S43">
        <v>64.349999999999994</v>
      </c>
      <c r="T43">
        <v>66.959999999999994</v>
      </c>
      <c r="U43">
        <v>45.22</v>
      </c>
      <c r="V43" s="20">
        <v>365.61579999999998</v>
      </c>
    </row>
    <row r="44" spans="7:22" x14ac:dyDescent="0.15">
      <c r="G44" s="11">
        <v>43</v>
      </c>
      <c r="H44" t="s">
        <v>1764</v>
      </c>
      <c r="I44" t="s">
        <v>1765</v>
      </c>
      <c r="J44" t="s">
        <v>15</v>
      </c>
      <c r="K44" s="57">
        <v>3.0000000000000001E-3</v>
      </c>
      <c r="L44" s="57">
        <v>1.1599999999999999E-2</v>
      </c>
      <c r="M44" s="57">
        <v>3.8600000000000002E-2</v>
      </c>
      <c r="N44" s="57">
        <v>7.0499999999999993E-2</v>
      </c>
      <c r="O44" s="57">
        <v>5.1900000000000002E-2</v>
      </c>
      <c r="P44" s="57">
        <v>4.6199999999999998E-2</v>
      </c>
      <c r="Q44" s="57">
        <v>1.0500000000000001E-2</v>
      </c>
      <c r="R44" s="57">
        <v>0.27760000000000001</v>
      </c>
      <c r="S44">
        <v>63.48</v>
      </c>
      <c r="T44">
        <v>87.83</v>
      </c>
      <c r="U44">
        <v>21.74</v>
      </c>
      <c r="V44" s="20">
        <v>11.7877622</v>
      </c>
    </row>
    <row r="45" spans="7:22" x14ac:dyDescent="0.15">
      <c r="G45" s="11">
        <v>44</v>
      </c>
      <c r="H45" t="s">
        <v>386</v>
      </c>
      <c r="I45" t="s">
        <v>1707</v>
      </c>
      <c r="J45" t="s">
        <v>1704</v>
      </c>
      <c r="K45" s="57">
        <v>5.0000000000000001E-4</v>
      </c>
      <c r="L45" s="57">
        <v>-1.0500000000000001E-2</v>
      </c>
      <c r="M45" s="57">
        <v>-1.06E-2</v>
      </c>
      <c r="N45" s="57">
        <v>2.7400000000000001E-2</v>
      </c>
      <c r="O45" s="57">
        <v>-3.7999999999999999E-2</v>
      </c>
      <c r="P45" s="57">
        <v>-2.53E-2</v>
      </c>
      <c r="Q45" s="57">
        <v>5.0799999999999998E-2</v>
      </c>
      <c r="R45" s="57">
        <v>-0.11</v>
      </c>
      <c r="S45">
        <v>62.61</v>
      </c>
      <c r="T45">
        <v>69.569999999999993</v>
      </c>
      <c r="U45">
        <v>38.26</v>
      </c>
      <c r="V45" s="20">
        <v>20084.364043599999</v>
      </c>
    </row>
    <row r="46" spans="7:22" x14ac:dyDescent="0.15">
      <c r="G46" s="11">
        <v>45</v>
      </c>
      <c r="H46" t="s">
        <v>355</v>
      </c>
      <c r="I46" t="s">
        <v>1708</v>
      </c>
      <c r="J46" t="s">
        <v>1704</v>
      </c>
      <c r="K46" s="57">
        <v>4.0000000000000002E-4</v>
      </c>
      <c r="L46" s="57">
        <v>-1.04E-2</v>
      </c>
      <c r="M46" s="57">
        <v>-1.06E-2</v>
      </c>
      <c r="N46" s="57">
        <v>2.7400000000000001E-2</v>
      </c>
      <c r="O46" s="57">
        <v>-3.7999999999999999E-2</v>
      </c>
      <c r="P46" s="57">
        <v>-2.5600000000000001E-2</v>
      </c>
      <c r="Q46" s="57">
        <v>0.05</v>
      </c>
      <c r="R46" s="57">
        <v>-0.11119999999999999</v>
      </c>
      <c r="S46">
        <v>61.74</v>
      </c>
      <c r="T46">
        <v>67.83</v>
      </c>
      <c r="U46">
        <v>39.130000000000003</v>
      </c>
      <c r="V46" s="20">
        <v>13639.585800000001</v>
      </c>
    </row>
    <row r="47" spans="7:22" x14ac:dyDescent="0.15">
      <c r="G47" s="11">
        <v>46</v>
      </c>
      <c r="H47" t="s">
        <v>492</v>
      </c>
      <c r="I47" t="s">
        <v>1695</v>
      </c>
      <c r="J47" t="s">
        <v>1679</v>
      </c>
      <c r="K47" s="57">
        <v>-4.0000000000000002E-4</v>
      </c>
      <c r="L47" s="57">
        <v>-1.5E-3</v>
      </c>
      <c r="M47" s="57">
        <v>5.8999999999999999E-3</v>
      </c>
      <c r="N47" s="57">
        <v>1.0200000000000001E-2</v>
      </c>
      <c r="O47" s="57">
        <v>3.2300000000000002E-2</v>
      </c>
      <c r="P47" s="57">
        <v>-3.5000000000000001E-3</v>
      </c>
      <c r="Q47" s="57">
        <v>4.36E-2</v>
      </c>
      <c r="R47" s="57">
        <v>9.5699999999999993E-2</v>
      </c>
      <c r="S47">
        <v>60.87</v>
      </c>
      <c r="T47">
        <v>58.26</v>
      </c>
      <c r="U47">
        <v>47.83</v>
      </c>
      <c r="V47" s="20">
        <v>14838.859899999999</v>
      </c>
    </row>
    <row r="48" spans="7:22" x14ac:dyDescent="0.15">
      <c r="G48" s="11">
        <v>47</v>
      </c>
      <c r="H48" t="s">
        <v>1723</v>
      </c>
      <c r="I48" t="s">
        <v>1724</v>
      </c>
      <c r="J48" t="s">
        <v>1679</v>
      </c>
      <c r="K48" s="57">
        <v>-4.0000000000000002E-4</v>
      </c>
      <c r="L48" s="57">
        <v>5.1999999999999998E-3</v>
      </c>
      <c r="M48" s="57">
        <v>4.5999999999999999E-3</v>
      </c>
      <c r="N48" s="57">
        <v>9.4999999999999998E-3</v>
      </c>
      <c r="O48" s="57">
        <v>1.35E-2</v>
      </c>
      <c r="P48" s="57">
        <v>2.64E-2</v>
      </c>
      <c r="Q48" s="57">
        <v>4.7500000000000001E-2</v>
      </c>
      <c r="R48" s="57">
        <v>9.9000000000000005E-2</v>
      </c>
      <c r="S48">
        <v>60</v>
      </c>
      <c r="T48">
        <v>57.39</v>
      </c>
      <c r="U48">
        <v>48.7</v>
      </c>
      <c r="V48" s="20">
        <v>44.700371199999999</v>
      </c>
    </row>
    <row r="49" spans="7:22" x14ac:dyDescent="0.15">
      <c r="G49" s="11">
        <v>48</v>
      </c>
      <c r="H49" t="s">
        <v>387</v>
      </c>
      <c r="I49" t="s">
        <v>30</v>
      </c>
      <c r="J49" t="s">
        <v>1680</v>
      </c>
      <c r="K49" s="57">
        <v>4.5999999999999999E-3</v>
      </c>
      <c r="L49" s="57">
        <v>-2.3E-2</v>
      </c>
      <c r="M49" s="57">
        <v>1E-4</v>
      </c>
      <c r="N49" s="57">
        <v>6.2300000000000001E-2</v>
      </c>
      <c r="O49" s="57">
        <v>-1.55E-2</v>
      </c>
      <c r="P49" s="57">
        <v>3.49E-2</v>
      </c>
      <c r="Q49" s="57">
        <v>0.223</v>
      </c>
      <c r="R49" s="57">
        <v>0.55330000000000001</v>
      </c>
      <c r="S49">
        <v>59.13</v>
      </c>
      <c r="T49">
        <v>85.22</v>
      </c>
      <c r="U49">
        <v>19.13</v>
      </c>
      <c r="V49" s="20">
        <v>5590.9165400000002</v>
      </c>
    </row>
    <row r="50" spans="7:22" x14ac:dyDescent="0.15">
      <c r="G50" s="11">
        <v>49</v>
      </c>
      <c r="H50" t="s">
        <v>296</v>
      </c>
      <c r="I50" t="s">
        <v>1694</v>
      </c>
      <c r="J50" t="s">
        <v>1679</v>
      </c>
      <c r="K50" s="57">
        <v>-1.1999999999999999E-3</v>
      </c>
      <c r="L50" s="57">
        <v>1.6999999999999999E-3</v>
      </c>
      <c r="M50" s="57">
        <v>1.1000000000000001E-3</v>
      </c>
      <c r="N50" s="57">
        <v>4.4000000000000003E-3</v>
      </c>
      <c r="O50" s="57">
        <v>7.4000000000000003E-3</v>
      </c>
      <c r="P50" s="57">
        <v>1.49E-2</v>
      </c>
      <c r="Q50" s="57">
        <v>3.2399999999999998E-2</v>
      </c>
      <c r="R50" s="57">
        <v>6.2600000000000003E-2</v>
      </c>
      <c r="S50">
        <v>58.26</v>
      </c>
      <c r="T50">
        <v>48.7</v>
      </c>
      <c r="U50">
        <v>54.78</v>
      </c>
      <c r="V50" s="20">
        <v>1633.6768</v>
      </c>
    </row>
    <row r="51" spans="7:22" x14ac:dyDescent="0.15">
      <c r="G51" s="11">
        <v>50</v>
      </c>
      <c r="H51" t="s">
        <v>367</v>
      </c>
      <c r="I51" t="s">
        <v>1705</v>
      </c>
      <c r="J51" t="s">
        <v>1704</v>
      </c>
      <c r="K51" s="57">
        <v>8.0000000000000004E-4</v>
      </c>
      <c r="L51" s="57">
        <v>-1.04E-2</v>
      </c>
      <c r="M51" s="57">
        <v>-1.0500000000000001E-2</v>
      </c>
      <c r="N51" s="57">
        <v>2.75E-2</v>
      </c>
      <c r="O51" s="57">
        <v>-3.78E-2</v>
      </c>
      <c r="P51" s="57">
        <v>-2.52E-2</v>
      </c>
      <c r="Q51" s="57">
        <v>5.0999999999999997E-2</v>
      </c>
      <c r="R51" s="57">
        <v>-0.10970000000000001</v>
      </c>
      <c r="S51">
        <v>57.39</v>
      </c>
      <c r="T51">
        <v>70.430000000000007</v>
      </c>
      <c r="U51">
        <v>33.04</v>
      </c>
      <c r="V51" s="20">
        <v>47448.070099999997</v>
      </c>
    </row>
    <row r="52" spans="7:22" x14ac:dyDescent="0.15">
      <c r="G52" s="11">
        <v>51</v>
      </c>
      <c r="H52" t="s">
        <v>381</v>
      </c>
      <c r="I52" t="s">
        <v>1736</v>
      </c>
      <c r="J52" t="s">
        <v>1704</v>
      </c>
      <c r="K52" s="57">
        <v>5.9999999999999995E-4</v>
      </c>
      <c r="L52" s="57">
        <v>-1.04E-2</v>
      </c>
      <c r="M52" s="57">
        <v>-1.0699999999999999E-2</v>
      </c>
      <c r="N52" s="57">
        <v>2.69E-2</v>
      </c>
      <c r="O52" s="57">
        <v>-3.85E-2</v>
      </c>
      <c r="P52" s="57">
        <v>-2.7099999999999999E-2</v>
      </c>
      <c r="Q52" s="57">
        <v>4.58E-2</v>
      </c>
      <c r="R52" s="57">
        <v>-0.11550000000000001</v>
      </c>
      <c r="S52">
        <v>56.52</v>
      </c>
      <c r="T52">
        <v>66.09</v>
      </c>
      <c r="U52">
        <v>36.520000000000003</v>
      </c>
      <c r="V52" s="20">
        <v>281.81849999999997</v>
      </c>
    </row>
    <row r="53" spans="7:22" x14ac:dyDescent="0.15">
      <c r="G53" s="11">
        <v>52</v>
      </c>
      <c r="H53" t="s">
        <v>391</v>
      </c>
      <c r="I53" t="s">
        <v>1703</v>
      </c>
      <c r="J53" t="s">
        <v>1704</v>
      </c>
      <c r="K53" s="57">
        <v>1E-3</v>
      </c>
      <c r="L53" s="57">
        <v>-1.04E-2</v>
      </c>
      <c r="M53" s="57">
        <v>-1.06E-2</v>
      </c>
      <c r="N53" s="57">
        <v>2.7400000000000001E-2</v>
      </c>
      <c r="O53" s="57">
        <v>-3.7900000000000003E-2</v>
      </c>
      <c r="P53" s="57">
        <v>-2.5399999999999999E-2</v>
      </c>
      <c r="Q53" s="57">
        <v>0.05</v>
      </c>
      <c r="R53" s="57">
        <v>-0.11119999999999999</v>
      </c>
      <c r="S53">
        <v>55.65</v>
      </c>
      <c r="T53">
        <v>68.7</v>
      </c>
      <c r="U53">
        <v>32.17</v>
      </c>
      <c r="V53" s="20">
        <v>7638.4934810000004</v>
      </c>
    </row>
    <row r="54" spans="7:22" x14ac:dyDescent="0.15">
      <c r="G54" s="11">
        <v>53</v>
      </c>
      <c r="H54" t="s">
        <v>758</v>
      </c>
      <c r="I54" t="s">
        <v>1770</v>
      </c>
      <c r="J54" t="s">
        <v>15</v>
      </c>
      <c r="K54" s="57">
        <v>2.8299999999999999E-2</v>
      </c>
      <c r="L54" s="57">
        <v>-1.2699999999999999E-2</v>
      </c>
      <c r="M54" s="57">
        <v>3.3999999999999998E-3</v>
      </c>
      <c r="N54" s="57">
        <v>5.5500000000000001E-2</v>
      </c>
      <c r="O54" s="57">
        <v>0.30299999999999999</v>
      </c>
      <c r="P54" s="57">
        <v>0.10539999999999999</v>
      </c>
      <c r="Q54" s="57">
        <v>-0.26119999999999999</v>
      </c>
      <c r="R54" s="57">
        <v>-0.2321</v>
      </c>
      <c r="S54">
        <v>54.78</v>
      </c>
      <c r="T54">
        <v>83.48</v>
      </c>
      <c r="U54">
        <v>15.65</v>
      </c>
      <c r="V54" s="20">
        <v>829.82890520000001</v>
      </c>
    </row>
    <row r="55" spans="7:22" x14ac:dyDescent="0.15">
      <c r="G55" s="11">
        <v>54</v>
      </c>
      <c r="H55" t="s">
        <v>682</v>
      </c>
      <c r="I55" t="s">
        <v>1675</v>
      </c>
      <c r="J55" t="s">
        <v>15</v>
      </c>
      <c r="K55" s="57">
        <v>-3.2000000000000002E-3</v>
      </c>
      <c r="L55" s="57">
        <v>-1.01E-2</v>
      </c>
      <c r="M55" s="57">
        <v>-1.7399999999999999E-2</v>
      </c>
      <c r="N55" s="57">
        <v>-4.4600000000000001E-2</v>
      </c>
      <c r="O55" s="57">
        <v>1.8200000000000001E-2</v>
      </c>
      <c r="P55" s="57">
        <v>-8.5000000000000006E-2</v>
      </c>
      <c r="Q55" s="57">
        <v>-0.23069999999999999</v>
      </c>
      <c r="R55" s="57">
        <v>-0.31180000000000002</v>
      </c>
      <c r="S55">
        <v>53.91</v>
      </c>
      <c r="T55">
        <v>30.43</v>
      </c>
      <c r="U55">
        <v>66.09</v>
      </c>
      <c r="V55" s="20">
        <v>157.69984879999998</v>
      </c>
    </row>
    <row r="56" spans="7:22" x14ac:dyDescent="0.15">
      <c r="G56" s="11">
        <v>55</v>
      </c>
      <c r="H56" t="s">
        <v>723</v>
      </c>
      <c r="I56" t="s">
        <v>1696</v>
      </c>
      <c r="J56" t="s">
        <v>15</v>
      </c>
      <c r="K56" s="57">
        <v>-2.7000000000000001E-3</v>
      </c>
      <c r="L56" s="57">
        <v>-1.01E-2</v>
      </c>
      <c r="M56" s="57">
        <v>-0.01</v>
      </c>
      <c r="N56" s="57">
        <v>-3.0300000000000001E-2</v>
      </c>
      <c r="O56" s="57">
        <v>1.2699999999999999E-2</v>
      </c>
      <c r="P56" s="57">
        <v>-6.1400000000000003E-2</v>
      </c>
      <c r="Q56" s="57">
        <v>-0.19539999999999999</v>
      </c>
      <c r="R56" s="57">
        <v>-0.19500000000000001</v>
      </c>
      <c r="S56">
        <v>53.04</v>
      </c>
      <c r="T56">
        <v>33.909999999999997</v>
      </c>
      <c r="U56">
        <v>62.61</v>
      </c>
      <c r="V56" s="20">
        <v>22558.646540000002</v>
      </c>
    </row>
    <row r="57" spans="7:22" x14ac:dyDescent="0.15">
      <c r="G57" s="11">
        <v>56</v>
      </c>
      <c r="H57" t="s">
        <v>707</v>
      </c>
      <c r="I57" t="s">
        <v>1717</v>
      </c>
      <c r="J57" t="s">
        <v>15</v>
      </c>
      <c r="K57" s="57">
        <v>-2.2000000000000001E-3</v>
      </c>
      <c r="L57" s="57">
        <v>-7.6E-3</v>
      </c>
      <c r="M57" s="57">
        <v>-6.0000000000000001E-3</v>
      </c>
      <c r="N57" s="57">
        <v>-2.1999999999999999E-2</v>
      </c>
      <c r="O57" s="57">
        <v>1.03E-2</v>
      </c>
      <c r="P57" s="57">
        <v>-5.4699999999999999E-2</v>
      </c>
      <c r="Q57" s="57">
        <v>-0.1633</v>
      </c>
      <c r="R57" s="57">
        <v>-0.14849999999999999</v>
      </c>
      <c r="S57">
        <v>52.17</v>
      </c>
      <c r="T57">
        <v>35.65</v>
      </c>
      <c r="U57">
        <v>58.26</v>
      </c>
      <c r="V57" s="20">
        <v>5074.9364999999998</v>
      </c>
    </row>
    <row r="58" spans="7:22" x14ac:dyDescent="0.15">
      <c r="G58" s="11">
        <v>57</v>
      </c>
      <c r="H58" t="s">
        <v>362</v>
      </c>
      <c r="I58" t="s">
        <v>1702</v>
      </c>
      <c r="J58" t="s">
        <v>1679</v>
      </c>
      <c r="K58" s="57">
        <v>5.9999999999999995E-4</v>
      </c>
      <c r="L58" s="57">
        <v>5.4000000000000003E-3</v>
      </c>
      <c r="M58" s="57">
        <v>4.5999999999999999E-3</v>
      </c>
      <c r="N58" s="57">
        <v>9.2999999999999992E-3</v>
      </c>
      <c r="O58" s="57">
        <v>0.01</v>
      </c>
      <c r="P58" s="57">
        <v>1.95E-2</v>
      </c>
      <c r="Q58" s="57">
        <v>3.73E-2</v>
      </c>
      <c r="R58" s="57">
        <v>6.2600000000000003E-2</v>
      </c>
      <c r="S58">
        <v>51.3</v>
      </c>
      <c r="T58">
        <v>56.52</v>
      </c>
      <c r="U58">
        <v>37.39</v>
      </c>
      <c r="V58" s="20">
        <v>37057.525999999998</v>
      </c>
    </row>
    <row r="59" spans="7:22" x14ac:dyDescent="0.15">
      <c r="G59" s="11">
        <v>58</v>
      </c>
      <c r="H59" t="s">
        <v>731</v>
      </c>
      <c r="I59" t="s">
        <v>1718</v>
      </c>
      <c r="J59" t="s">
        <v>15</v>
      </c>
      <c r="K59" s="57">
        <v>-2.2000000000000001E-3</v>
      </c>
      <c r="L59" s="57">
        <v>-7.1000000000000004E-3</v>
      </c>
      <c r="M59" s="57">
        <v>-6.1999999999999998E-3</v>
      </c>
      <c r="N59" s="57">
        <v>-2.5700000000000001E-2</v>
      </c>
      <c r="O59" s="57">
        <v>0.01</v>
      </c>
      <c r="P59" s="57">
        <v>-5.8999999999999997E-2</v>
      </c>
      <c r="Q59" s="57">
        <v>-0.17319999999999999</v>
      </c>
      <c r="R59" s="57">
        <v>-0.16350000000000001</v>
      </c>
      <c r="S59">
        <v>50.43</v>
      </c>
      <c r="T59">
        <v>34.78</v>
      </c>
      <c r="U59">
        <v>59.13</v>
      </c>
      <c r="V59" s="20">
        <v>4437.0556999999999</v>
      </c>
    </row>
    <row r="60" spans="7:22" x14ac:dyDescent="0.15">
      <c r="G60" s="11">
        <v>59</v>
      </c>
      <c r="H60" t="s">
        <v>408</v>
      </c>
      <c r="I60" t="s">
        <v>1741</v>
      </c>
      <c r="J60" t="s">
        <v>1679</v>
      </c>
      <c r="K60" s="57">
        <v>-2.9999999999999997E-4</v>
      </c>
      <c r="L60" s="57">
        <v>5.0000000000000001E-4</v>
      </c>
      <c r="M60" s="57">
        <v>5.9999999999999995E-4</v>
      </c>
      <c r="N60" s="57">
        <v>1.9E-3</v>
      </c>
      <c r="O60" s="57">
        <v>5.3E-3</v>
      </c>
      <c r="P60" s="57">
        <v>1.2500000000000001E-2</v>
      </c>
      <c r="Q60" s="57">
        <v>2.6700000000000002E-2</v>
      </c>
      <c r="R60" s="57">
        <v>5.6599999999999998E-2</v>
      </c>
      <c r="S60">
        <v>49.57</v>
      </c>
      <c r="T60">
        <v>46.09</v>
      </c>
      <c r="U60">
        <v>46.96</v>
      </c>
      <c r="V60" s="20">
        <v>534661.48190000001</v>
      </c>
    </row>
    <row r="61" spans="7:22" x14ac:dyDescent="0.15">
      <c r="G61" s="11">
        <v>60</v>
      </c>
      <c r="H61" t="s">
        <v>522</v>
      </c>
      <c r="I61" t="s">
        <v>17</v>
      </c>
      <c r="J61" t="s">
        <v>1679</v>
      </c>
      <c r="K61" s="57">
        <v>1.1000000000000001E-3</v>
      </c>
      <c r="L61" s="57">
        <v>-3.0000000000000001E-3</v>
      </c>
      <c r="M61" s="57">
        <v>8.0000000000000002E-3</v>
      </c>
      <c r="N61" s="57">
        <v>1.46E-2</v>
      </c>
      <c r="O61" s="57">
        <v>5.5599999999999997E-2</v>
      </c>
      <c r="P61" s="57">
        <v>8.6999999999999994E-3</v>
      </c>
      <c r="Q61" s="57">
        <v>6.0600000000000001E-2</v>
      </c>
      <c r="R61" s="57">
        <v>0.14510000000000001</v>
      </c>
      <c r="S61">
        <v>48.7</v>
      </c>
      <c r="T61">
        <v>61.74</v>
      </c>
      <c r="U61">
        <v>31.3</v>
      </c>
      <c r="V61" s="20">
        <v>40643.546999999999</v>
      </c>
    </row>
    <row r="62" spans="7:22" x14ac:dyDescent="0.15">
      <c r="G62" s="11">
        <v>61</v>
      </c>
      <c r="H62" t="s">
        <v>739</v>
      </c>
      <c r="I62" t="s">
        <v>1714</v>
      </c>
      <c r="J62" t="s">
        <v>15</v>
      </c>
      <c r="K62" s="57">
        <v>-2.7000000000000001E-3</v>
      </c>
      <c r="L62" s="57">
        <v>-1.0800000000000001E-2</v>
      </c>
      <c r="M62" s="57">
        <v>-1.5599999999999999E-2</v>
      </c>
      <c r="N62" s="57">
        <v>-4.41E-2</v>
      </c>
      <c r="O62" s="57">
        <v>1.55E-2</v>
      </c>
      <c r="P62" s="57">
        <v>-8.1500000000000003E-2</v>
      </c>
      <c r="Q62" s="57">
        <v>-0.22020000000000001</v>
      </c>
      <c r="R62" s="57">
        <v>-0.31890000000000002</v>
      </c>
      <c r="S62">
        <v>47.83</v>
      </c>
      <c r="T62">
        <v>31.3</v>
      </c>
      <c r="U62">
        <v>61.74</v>
      </c>
      <c r="V62" s="20">
        <v>24451.1368</v>
      </c>
    </row>
    <row r="63" spans="7:22" x14ac:dyDescent="0.15">
      <c r="G63" s="11">
        <v>62</v>
      </c>
      <c r="H63" t="s">
        <v>1677</v>
      </c>
      <c r="I63" t="s">
        <v>1678</v>
      </c>
      <c r="J63" t="s">
        <v>1679</v>
      </c>
      <c r="K63" s="57">
        <v>2.3999999999999998E-3</v>
      </c>
      <c r="L63" s="57">
        <v>-5.1000000000000004E-3</v>
      </c>
      <c r="M63" s="57">
        <v>8.6999999999999994E-3</v>
      </c>
      <c r="N63" s="57">
        <v>2.3900000000000001E-2</v>
      </c>
      <c r="O63" s="57">
        <v>9.1800000000000007E-2</v>
      </c>
      <c r="P63" s="57">
        <v>2.7400000000000001E-2</v>
      </c>
      <c r="Q63" s="57">
        <v>0.15909999999999999</v>
      </c>
      <c r="R63" s="57">
        <v>0.2429</v>
      </c>
      <c r="S63">
        <v>46.96</v>
      </c>
      <c r="T63">
        <v>65.22</v>
      </c>
      <c r="U63">
        <v>26.09</v>
      </c>
      <c r="V63" s="20">
        <v>446.95800789999998</v>
      </c>
    </row>
    <row r="64" spans="7:22" x14ac:dyDescent="0.15">
      <c r="G64" s="11">
        <v>63</v>
      </c>
      <c r="H64" t="s">
        <v>1728</v>
      </c>
      <c r="I64" t="s">
        <v>1729</v>
      </c>
      <c r="J64" t="s">
        <v>1679</v>
      </c>
      <c r="K64" s="57">
        <v>6.9999999999999999E-4</v>
      </c>
      <c r="L64" s="57">
        <v>3.8999999999999998E-3</v>
      </c>
      <c r="M64" s="57">
        <v>3.8999999999999998E-3</v>
      </c>
      <c r="N64" s="57">
        <v>8.5000000000000006E-3</v>
      </c>
      <c r="O64" s="57">
        <v>1.2999999999999999E-2</v>
      </c>
      <c r="P64" s="57">
        <v>2.3800000000000002E-2</v>
      </c>
      <c r="Q64" s="57">
        <v>4.19E-2</v>
      </c>
      <c r="R64" s="57">
        <v>7.46E-2</v>
      </c>
      <c r="S64">
        <v>46.09</v>
      </c>
      <c r="T64">
        <v>55.65</v>
      </c>
      <c r="U64">
        <v>35.65</v>
      </c>
      <c r="V64" s="20">
        <v>17.521000000000001</v>
      </c>
    </row>
    <row r="65" spans="7:22" x14ac:dyDescent="0.15">
      <c r="G65" s="11">
        <v>64</v>
      </c>
      <c r="H65" t="s">
        <v>664</v>
      </c>
      <c r="I65" t="s">
        <v>1697</v>
      </c>
      <c r="J65" t="s">
        <v>15</v>
      </c>
      <c r="K65" s="57">
        <v>-3.5000000000000001E-3</v>
      </c>
      <c r="L65" s="57">
        <v>-2.46E-2</v>
      </c>
      <c r="M65" s="57">
        <v>-3.7900000000000003E-2</v>
      </c>
      <c r="N65" s="57">
        <v>-7.6100000000000001E-2</v>
      </c>
      <c r="O65" s="57">
        <v>6.4299999999999996E-2</v>
      </c>
      <c r="P65" s="57">
        <v>-0.1103</v>
      </c>
      <c r="Q65" s="57">
        <v>-0.34560000000000002</v>
      </c>
      <c r="R65" s="57">
        <v>-0.4521</v>
      </c>
      <c r="S65">
        <v>45.22</v>
      </c>
      <c r="T65">
        <v>21.74</v>
      </c>
      <c r="U65">
        <v>68.7</v>
      </c>
      <c r="V65" s="20">
        <v>35681.839699999997</v>
      </c>
    </row>
    <row r="66" spans="7:22" x14ac:dyDescent="0.15">
      <c r="G66" s="11">
        <v>65</v>
      </c>
      <c r="H66" t="s">
        <v>754</v>
      </c>
      <c r="I66" t="s">
        <v>16</v>
      </c>
      <c r="J66" t="s">
        <v>15</v>
      </c>
      <c r="K66" s="57">
        <v>-2.0999999999999999E-3</v>
      </c>
      <c r="L66" s="57">
        <v>-1.61E-2</v>
      </c>
      <c r="M66" s="57">
        <v>1.72E-2</v>
      </c>
      <c r="N66" s="57">
        <v>-3.5400000000000001E-2</v>
      </c>
      <c r="O66" s="57">
        <v>-8.3599999999999994E-2</v>
      </c>
      <c r="P66" s="57">
        <v>0.17530000000000001</v>
      </c>
      <c r="Q66" s="57">
        <v>0.5635</v>
      </c>
      <c r="R66" s="57">
        <v>1.2652000000000001</v>
      </c>
      <c r="S66">
        <v>44.35</v>
      </c>
      <c r="T66">
        <v>33.04</v>
      </c>
      <c r="U66">
        <v>57.39</v>
      </c>
      <c r="V66" s="20">
        <v>359.3655996</v>
      </c>
    </row>
    <row r="67" spans="7:22" x14ac:dyDescent="0.15">
      <c r="G67" s="11">
        <v>66</v>
      </c>
      <c r="H67" t="s">
        <v>404</v>
      </c>
      <c r="I67" t="s">
        <v>1745</v>
      </c>
      <c r="J67" t="s">
        <v>1684</v>
      </c>
      <c r="K67" s="57">
        <v>0</v>
      </c>
      <c r="L67" s="57">
        <v>2.0000000000000001E-4</v>
      </c>
      <c r="M67" s="57">
        <v>4.0000000000000002E-4</v>
      </c>
      <c r="N67" s="57">
        <v>8.9999999999999998E-4</v>
      </c>
      <c r="O67" s="57">
        <v>3.0999999999999999E-3</v>
      </c>
      <c r="P67" s="57">
        <v>6.8999999999999999E-3</v>
      </c>
      <c r="Q67" s="57">
        <v>1.5900000000000001E-2</v>
      </c>
      <c r="R67" s="57">
        <v>3.3799999999999997E-2</v>
      </c>
      <c r="S67">
        <v>43.48</v>
      </c>
      <c r="T67">
        <v>45.22</v>
      </c>
      <c r="U67">
        <v>44.35</v>
      </c>
      <c r="V67" s="20">
        <v>1260958.0649999999</v>
      </c>
    </row>
    <row r="68" spans="7:22" x14ac:dyDescent="0.15">
      <c r="G68" s="11">
        <v>67</v>
      </c>
      <c r="H68" t="s">
        <v>1688</v>
      </c>
      <c r="I68" t="s">
        <v>1689</v>
      </c>
      <c r="J68" t="s">
        <v>1679</v>
      </c>
      <c r="K68" s="57">
        <v>4.0000000000000002E-4</v>
      </c>
      <c r="L68" s="57">
        <v>1.1000000000000001E-3</v>
      </c>
      <c r="M68" s="57">
        <v>2.5999999999999999E-3</v>
      </c>
      <c r="N68" s="57">
        <v>4.4000000000000003E-3</v>
      </c>
      <c r="O68" s="57">
        <v>2.0899999999999998E-2</v>
      </c>
      <c r="P68" s="57">
        <v>1.7299999999999999E-2</v>
      </c>
      <c r="Q68" s="57">
        <v>2.1899999999999999E-2</v>
      </c>
      <c r="R68" s="57">
        <v>8.5300000000000001E-2</v>
      </c>
      <c r="S68">
        <v>42.61</v>
      </c>
      <c r="T68">
        <v>49.57</v>
      </c>
      <c r="U68">
        <v>40</v>
      </c>
      <c r="V68" s="20">
        <v>93.627259999999993</v>
      </c>
    </row>
    <row r="69" spans="7:22" x14ac:dyDescent="0.15">
      <c r="G69" s="11">
        <v>68</v>
      </c>
      <c r="H69" t="s">
        <v>699</v>
      </c>
      <c r="I69" t="s">
        <v>1700</v>
      </c>
      <c r="J69" t="s">
        <v>15</v>
      </c>
      <c r="K69" s="57">
        <v>-4.0000000000000001E-3</v>
      </c>
      <c r="L69" s="57">
        <v>-2.8199999999999999E-2</v>
      </c>
      <c r="M69" s="57">
        <v>-4.1099999999999998E-2</v>
      </c>
      <c r="N69" s="57">
        <v>-7.9399999999999998E-2</v>
      </c>
      <c r="O69" s="57">
        <v>6.1199999999999997E-2</v>
      </c>
      <c r="P69" s="57">
        <v>-0.1134</v>
      </c>
      <c r="Q69" s="57">
        <v>-0.34320000000000001</v>
      </c>
      <c r="R69" s="57">
        <v>-0.45179999999999998</v>
      </c>
      <c r="S69">
        <v>41.74</v>
      </c>
      <c r="T69">
        <v>18.260000000000002</v>
      </c>
      <c r="U69">
        <v>71.3</v>
      </c>
      <c r="V69" s="20">
        <v>10357.683199999999</v>
      </c>
    </row>
    <row r="70" spans="7:22" x14ac:dyDescent="0.15">
      <c r="G70" s="11">
        <v>69</v>
      </c>
      <c r="H70" t="s">
        <v>316</v>
      </c>
      <c r="I70" t="s">
        <v>1693</v>
      </c>
      <c r="J70" t="s">
        <v>1679</v>
      </c>
      <c r="K70" s="57">
        <v>1.1000000000000001E-3</v>
      </c>
      <c r="L70" s="57">
        <v>6.7000000000000002E-3</v>
      </c>
      <c r="M70" s="57">
        <v>6.7000000000000002E-3</v>
      </c>
      <c r="N70" s="57">
        <v>1.18E-2</v>
      </c>
      <c r="O70" s="57">
        <v>1.2699999999999999E-2</v>
      </c>
      <c r="P70" s="57">
        <v>2.5700000000000001E-2</v>
      </c>
      <c r="Q70" s="57">
        <v>4.4499999999999998E-2</v>
      </c>
      <c r="R70" s="57">
        <v>8.2199999999999995E-2</v>
      </c>
      <c r="S70">
        <v>40.869999999999997</v>
      </c>
      <c r="T70">
        <v>59.13</v>
      </c>
      <c r="U70">
        <v>29.57</v>
      </c>
      <c r="V70" s="20">
        <v>45061.232400000001</v>
      </c>
    </row>
    <row r="71" spans="7:22" x14ac:dyDescent="0.15">
      <c r="G71" s="11">
        <v>70</v>
      </c>
      <c r="H71" t="s">
        <v>526</v>
      </c>
      <c r="I71" t="s">
        <v>1671</v>
      </c>
      <c r="J71" t="s">
        <v>15</v>
      </c>
      <c r="K71" s="57">
        <v>-6.7000000000000002E-3</v>
      </c>
      <c r="L71" s="57">
        <v>-2.7099999999999999E-2</v>
      </c>
      <c r="M71" s="57">
        <v>-4.8599999999999997E-2</v>
      </c>
      <c r="N71" s="57">
        <v>-9.01E-2</v>
      </c>
      <c r="O71" s="57">
        <v>8.72E-2</v>
      </c>
      <c r="P71" s="57">
        <v>-6.5299999999999997E-2</v>
      </c>
      <c r="Q71" s="57">
        <v>-0.15840000000000001</v>
      </c>
      <c r="R71" s="57">
        <v>-0.15840000000000001</v>
      </c>
      <c r="S71">
        <v>40</v>
      </c>
      <c r="T71">
        <v>6.96</v>
      </c>
      <c r="U71">
        <v>81.739999999999995</v>
      </c>
      <c r="V71" s="20">
        <v>5288.0124900000001</v>
      </c>
    </row>
    <row r="72" spans="7:22" x14ac:dyDescent="0.15">
      <c r="G72" s="11">
        <v>71</v>
      </c>
      <c r="H72" t="s">
        <v>601</v>
      </c>
      <c r="I72" t="s">
        <v>1772</v>
      </c>
      <c r="J72" t="s">
        <v>15</v>
      </c>
      <c r="K72" s="57">
        <v>-3.3E-3</v>
      </c>
      <c r="L72" s="57">
        <v>-2.75E-2</v>
      </c>
      <c r="M72" s="57">
        <v>-4.0599999999999997E-2</v>
      </c>
      <c r="N72" s="57">
        <v>-7.9200000000000007E-2</v>
      </c>
      <c r="O72" s="57">
        <v>6.0600000000000001E-2</v>
      </c>
      <c r="P72" s="57">
        <v>-0.1142</v>
      </c>
      <c r="Q72" s="57">
        <v>-0.34689999999999999</v>
      </c>
      <c r="R72" s="57">
        <v>-0.4592</v>
      </c>
      <c r="S72">
        <v>39.130000000000003</v>
      </c>
      <c r="T72">
        <v>20</v>
      </c>
      <c r="U72">
        <v>67.83</v>
      </c>
      <c r="V72" s="20">
        <v>1744.9458399999999</v>
      </c>
    </row>
    <row r="73" spans="7:22" x14ac:dyDescent="0.15">
      <c r="G73" s="11">
        <v>72</v>
      </c>
      <c r="H73" t="s">
        <v>1597</v>
      </c>
      <c r="I73" t="s">
        <v>2037</v>
      </c>
      <c r="J73" t="s">
        <v>15</v>
      </c>
      <c r="K73" s="57">
        <v>-4.4999999999999997E-3</v>
      </c>
      <c r="L73" s="57">
        <v>-2.8299999999999999E-2</v>
      </c>
      <c r="M73" s="57">
        <v>-4.1700000000000001E-2</v>
      </c>
      <c r="N73" s="57">
        <v>-8.1500000000000003E-2</v>
      </c>
      <c r="O73" s="57">
        <v>4.5199999999999997E-2</v>
      </c>
      <c r="P73" s="57">
        <v>2.86E-2</v>
      </c>
      <c r="Q73" s="57">
        <v>2.86E-2</v>
      </c>
      <c r="R73" s="57">
        <v>2.86E-2</v>
      </c>
      <c r="S73">
        <v>38.26</v>
      </c>
      <c r="T73">
        <v>14.78</v>
      </c>
      <c r="U73">
        <v>73.040000000000006</v>
      </c>
      <c r="V73" s="20">
        <v>1110.5981999999999</v>
      </c>
    </row>
    <row r="74" spans="7:22" x14ac:dyDescent="0.15">
      <c r="G74" s="11">
        <v>73</v>
      </c>
      <c r="H74" t="s">
        <v>1737</v>
      </c>
      <c r="I74" t="s">
        <v>1738</v>
      </c>
      <c r="J74" t="s">
        <v>1679</v>
      </c>
      <c r="K74" s="57">
        <v>6.9999999999999999E-4</v>
      </c>
      <c r="L74" s="57">
        <v>3.8E-3</v>
      </c>
      <c r="M74" s="57">
        <v>3.0999999999999999E-3</v>
      </c>
      <c r="N74" s="57">
        <v>6.8999999999999999E-3</v>
      </c>
      <c r="O74" s="57">
        <v>1.14E-2</v>
      </c>
      <c r="P74" s="57">
        <v>2.3099999999999999E-2</v>
      </c>
      <c r="Q74" s="57">
        <v>4.3200000000000002E-2</v>
      </c>
      <c r="R74" s="57">
        <v>9.2499999999999999E-2</v>
      </c>
      <c r="S74">
        <v>37.39</v>
      </c>
      <c r="T74">
        <v>53.04</v>
      </c>
      <c r="U74">
        <v>34.78</v>
      </c>
      <c r="V74" s="20">
        <v>2617.9907819999999</v>
      </c>
    </row>
    <row r="75" spans="7:22" x14ac:dyDescent="0.15">
      <c r="G75" s="11">
        <v>74</v>
      </c>
      <c r="H75" t="s">
        <v>453</v>
      </c>
      <c r="I75" t="s">
        <v>1732</v>
      </c>
      <c r="J75" t="s">
        <v>1679</v>
      </c>
      <c r="K75" s="57">
        <v>2.0000000000000001E-4</v>
      </c>
      <c r="L75" s="57">
        <v>1.1000000000000001E-3</v>
      </c>
      <c r="M75" s="57">
        <v>-1.5E-3</v>
      </c>
      <c r="N75" s="57">
        <v>-1.4E-3</v>
      </c>
      <c r="O75" s="57">
        <v>8.9999999999999998E-4</v>
      </c>
      <c r="P75" s="57">
        <v>4.4999999999999997E-3</v>
      </c>
      <c r="Q75" s="57">
        <v>1.77E-2</v>
      </c>
      <c r="R75" s="57">
        <v>5.7799999999999997E-2</v>
      </c>
      <c r="S75">
        <v>36.520000000000003</v>
      </c>
      <c r="T75">
        <v>43.48</v>
      </c>
      <c r="U75">
        <v>41.74</v>
      </c>
      <c r="V75" s="20">
        <v>1897.4576</v>
      </c>
    </row>
    <row r="76" spans="7:22" x14ac:dyDescent="0.15">
      <c r="G76" s="11">
        <v>75</v>
      </c>
      <c r="H76" t="s">
        <v>1545</v>
      </c>
      <c r="I76" t="s">
        <v>2046</v>
      </c>
      <c r="J76" t="s">
        <v>15</v>
      </c>
      <c r="K76" s="57">
        <v>3.7000000000000002E-3</v>
      </c>
      <c r="L76" s="57">
        <v>1.37E-2</v>
      </c>
      <c r="M76" s="57">
        <v>4.2299999999999997E-2</v>
      </c>
      <c r="N76" s="57">
        <v>1.8700000000000001E-2</v>
      </c>
      <c r="O76" s="57">
        <v>-4.8000000000000001E-2</v>
      </c>
      <c r="P76" s="57">
        <v>-1.4999999999999999E-2</v>
      </c>
      <c r="Q76" s="57">
        <v>-1.4999999999999999E-2</v>
      </c>
      <c r="R76" s="57">
        <v>-1.4999999999999999E-2</v>
      </c>
      <c r="S76">
        <v>35.65</v>
      </c>
      <c r="T76">
        <v>62.61</v>
      </c>
      <c r="U76">
        <v>20</v>
      </c>
      <c r="V76" s="20">
        <v>2952.6028000000001</v>
      </c>
    </row>
    <row r="77" spans="7:22" x14ac:dyDescent="0.15">
      <c r="G77" s="11">
        <v>76</v>
      </c>
      <c r="H77" t="s">
        <v>592</v>
      </c>
      <c r="I77" t="s">
        <v>1669</v>
      </c>
      <c r="J77" t="s">
        <v>15</v>
      </c>
      <c r="K77" s="57">
        <v>-2.3E-3</v>
      </c>
      <c r="L77" s="57">
        <v>-2.63E-2</v>
      </c>
      <c r="M77" s="57">
        <v>-3.95E-2</v>
      </c>
      <c r="N77" s="57">
        <v>-7.5200000000000003E-2</v>
      </c>
      <c r="O77" s="57">
        <v>5.9299999999999999E-2</v>
      </c>
      <c r="P77" s="57">
        <v>-0.10440000000000001</v>
      </c>
      <c r="Q77" s="57">
        <v>-0.2074</v>
      </c>
      <c r="R77" s="57">
        <v>-0.2074</v>
      </c>
      <c r="S77">
        <v>34.78</v>
      </c>
      <c r="T77">
        <v>22.61</v>
      </c>
      <c r="U77">
        <v>60</v>
      </c>
      <c r="V77" s="20">
        <v>5201.5922</v>
      </c>
    </row>
    <row r="78" spans="7:22" x14ac:dyDescent="0.15">
      <c r="G78" s="11">
        <v>77</v>
      </c>
      <c r="H78" t="s">
        <v>1753</v>
      </c>
      <c r="I78" t="s">
        <v>1754</v>
      </c>
      <c r="J78" t="s">
        <v>1684</v>
      </c>
      <c r="K78" s="57">
        <v>0.99680000000000002</v>
      </c>
      <c r="L78" s="57">
        <v>4.3299999999999998E-2</v>
      </c>
      <c r="M78" s="57">
        <v>3.9600000000000003E-2</v>
      </c>
      <c r="N78" s="57">
        <v>4.8899999999999999E-2</v>
      </c>
      <c r="O78" s="57">
        <v>-0.45150000000000001</v>
      </c>
      <c r="P78" s="57">
        <v>0.1845</v>
      </c>
      <c r="Q78" s="57">
        <v>-0.24049999999999999</v>
      </c>
      <c r="R78" s="57">
        <v>0.28960000000000002</v>
      </c>
      <c r="S78">
        <v>33.909999999999997</v>
      </c>
      <c r="T78">
        <v>80</v>
      </c>
      <c r="U78">
        <v>2.61</v>
      </c>
      <c r="V78" s="20">
        <v>39.088500000000003</v>
      </c>
    </row>
    <row r="79" spans="7:22" x14ac:dyDescent="0.15">
      <c r="G79" s="11">
        <v>78</v>
      </c>
      <c r="H79" t="s">
        <v>1760</v>
      </c>
      <c r="I79" t="s">
        <v>1761</v>
      </c>
      <c r="J79" t="s">
        <v>1680</v>
      </c>
      <c r="K79" s="57">
        <v>4.8999999999999998E-3</v>
      </c>
      <c r="L79" s="57">
        <v>-3.7699999999999997E-2</v>
      </c>
      <c r="M79" s="57">
        <v>-3.6200000000000003E-2</v>
      </c>
      <c r="N79" s="57">
        <v>2.3400000000000001E-2</v>
      </c>
      <c r="O79" s="57">
        <v>-0.104</v>
      </c>
      <c r="P79" s="57">
        <v>-0.1774</v>
      </c>
      <c r="Q79" s="57">
        <v>-0.2369</v>
      </c>
      <c r="R79" s="57">
        <v>-0.40179999999999999</v>
      </c>
      <c r="S79">
        <v>33.04</v>
      </c>
      <c r="T79">
        <v>64.349999999999994</v>
      </c>
      <c r="U79">
        <v>18.260000000000002</v>
      </c>
      <c r="V79" s="20">
        <v>2535.6342405999999</v>
      </c>
    </row>
    <row r="80" spans="7:22" x14ac:dyDescent="0.15">
      <c r="G80" s="11">
        <v>79</v>
      </c>
      <c r="H80" t="s">
        <v>2042</v>
      </c>
      <c r="I80" t="s">
        <v>2043</v>
      </c>
      <c r="J80" t="s">
        <v>15</v>
      </c>
      <c r="K80" s="57">
        <v>-3.5000000000000001E-3</v>
      </c>
      <c r="L80" s="57">
        <v>-3.6400000000000002E-2</v>
      </c>
      <c r="M80" s="57">
        <v>-5.0700000000000002E-2</v>
      </c>
      <c r="N80" s="57">
        <v>-8.3099999999999993E-2</v>
      </c>
      <c r="O80" s="57">
        <v>-0.1079</v>
      </c>
      <c r="P80" s="57">
        <v>-0.1079</v>
      </c>
      <c r="Q80" s="57">
        <v>-0.1079</v>
      </c>
      <c r="R80" s="57">
        <v>-0.1079</v>
      </c>
      <c r="S80">
        <v>32.17</v>
      </c>
      <c r="T80">
        <v>13.04</v>
      </c>
      <c r="U80">
        <v>69.569999999999993</v>
      </c>
      <c r="V80" s="20">
        <v>697.94410000000005</v>
      </c>
    </row>
    <row r="81" spans="7:22" x14ac:dyDescent="0.15">
      <c r="G81" s="11">
        <v>80</v>
      </c>
      <c r="H81" t="s">
        <v>480</v>
      </c>
      <c r="I81" t="s">
        <v>1715</v>
      </c>
      <c r="J81" t="s">
        <v>1679</v>
      </c>
      <c r="K81" s="57">
        <v>1.1000000000000001E-3</v>
      </c>
      <c r="L81" s="57">
        <v>1.4E-3</v>
      </c>
      <c r="M81" s="57">
        <v>1.2999999999999999E-3</v>
      </c>
      <c r="N81" s="57">
        <v>4.7000000000000002E-3</v>
      </c>
      <c r="O81" s="57">
        <v>9.5999999999999992E-3</v>
      </c>
      <c r="P81" s="57">
        <v>1.84E-2</v>
      </c>
      <c r="Q81" s="57">
        <v>3.5999999999999997E-2</v>
      </c>
      <c r="R81" s="57">
        <v>7.4099999999999999E-2</v>
      </c>
      <c r="S81">
        <v>31.3</v>
      </c>
      <c r="T81">
        <v>51.3</v>
      </c>
      <c r="U81">
        <v>30.43</v>
      </c>
      <c r="V81" s="20">
        <v>13078.4658</v>
      </c>
    </row>
    <row r="82" spans="7:22" x14ac:dyDescent="0.15">
      <c r="G82" s="11">
        <v>81</v>
      </c>
      <c r="H82" t="s">
        <v>616</v>
      </c>
      <c r="I82" t="s">
        <v>1690</v>
      </c>
      <c r="J82" t="s">
        <v>15</v>
      </c>
      <c r="K82" s="57">
        <v>-2.7000000000000001E-3</v>
      </c>
      <c r="L82" s="57">
        <v>-2.8000000000000001E-2</v>
      </c>
      <c r="M82" s="57">
        <v>-4.1000000000000002E-2</v>
      </c>
      <c r="N82" s="57">
        <v>-7.9799999999999996E-2</v>
      </c>
      <c r="O82" s="57">
        <v>6.1400000000000003E-2</v>
      </c>
      <c r="P82" s="57">
        <v>-0.1129</v>
      </c>
      <c r="Q82" s="57">
        <v>-0.34589999999999999</v>
      </c>
      <c r="R82" s="57">
        <v>-0.44850000000000001</v>
      </c>
      <c r="S82">
        <v>30.43</v>
      </c>
      <c r="T82">
        <v>16.52</v>
      </c>
      <c r="U82">
        <v>63.48</v>
      </c>
      <c r="V82" s="20">
        <v>8262.9761144999993</v>
      </c>
    </row>
    <row r="83" spans="7:22" x14ac:dyDescent="0.15">
      <c r="G83" s="11">
        <v>82</v>
      </c>
      <c r="H83" t="s">
        <v>2038</v>
      </c>
      <c r="I83" t="s">
        <v>2039</v>
      </c>
      <c r="J83" t="s">
        <v>15</v>
      </c>
      <c r="K83" s="57">
        <v>8.6999999999999994E-3</v>
      </c>
      <c r="L83" s="57">
        <v>-1.1999999999999999E-3</v>
      </c>
      <c r="M83" s="57">
        <v>3.5999999999999999E-3</v>
      </c>
      <c r="N83" s="57">
        <v>1.9400000000000001E-2</v>
      </c>
      <c r="O83" s="57">
        <v>3.3799999999999997E-2</v>
      </c>
      <c r="P83" s="57">
        <v>5.5399999999999998E-2</v>
      </c>
      <c r="Q83" s="57">
        <v>-3.1800000000000002E-2</v>
      </c>
      <c r="R83" s="57">
        <v>0.1268</v>
      </c>
      <c r="S83">
        <v>29.57</v>
      </c>
      <c r="T83">
        <v>63.48</v>
      </c>
      <c r="U83">
        <v>16.52</v>
      </c>
      <c r="V83" s="20">
        <v>6.9287615000000002</v>
      </c>
    </row>
    <row r="84" spans="7:22" x14ac:dyDescent="0.15">
      <c r="G84" s="11">
        <v>83</v>
      </c>
      <c r="H84" t="s">
        <v>556</v>
      </c>
      <c r="I84" t="s">
        <v>1676</v>
      </c>
      <c r="J84" t="s">
        <v>15</v>
      </c>
      <c r="K84" s="57">
        <v>-3.8999999999999998E-3</v>
      </c>
      <c r="L84" s="57">
        <v>-3.6999999999999998E-2</v>
      </c>
      <c r="M84" s="57">
        <v>-5.1799999999999999E-2</v>
      </c>
      <c r="N84" s="57">
        <v>-8.8099999999999998E-2</v>
      </c>
      <c r="O84" s="57">
        <v>0.1467</v>
      </c>
      <c r="P84" s="57">
        <v>-6.1800000000000001E-2</v>
      </c>
      <c r="Q84" s="57">
        <v>-0.46539999999999998</v>
      </c>
      <c r="R84" s="57">
        <v>-0.46389999999999998</v>
      </c>
      <c r="S84">
        <v>28.7</v>
      </c>
      <c r="T84">
        <v>8.6999999999999993</v>
      </c>
      <c r="U84">
        <v>70.430000000000007</v>
      </c>
      <c r="V84" s="20">
        <v>44250.592199999999</v>
      </c>
    </row>
    <row r="85" spans="7:22" x14ac:dyDescent="0.15">
      <c r="G85" s="11">
        <v>84</v>
      </c>
      <c r="H85" t="s">
        <v>1725</v>
      </c>
      <c r="I85" t="s">
        <v>1726</v>
      </c>
      <c r="J85" t="s">
        <v>1679</v>
      </c>
      <c r="K85" s="57">
        <v>1.9E-3</v>
      </c>
      <c r="L85" s="57">
        <v>1.6000000000000001E-3</v>
      </c>
      <c r="M85" s="57">
        <v>1.1999999999999999E-3</v>
      </c>
      <c r="N85" s="57">
        <v>4.4999999999999997E-3</v>
      </c>
      <c r="O85" s="57">
        <v>1.0200000000000001E-2</v>
      </c>
      <c r="P85" s="57">
        <v>1.77E-2</v>
      </c>
      <c r="Q85" s="57">
        <v>3.5900000000000001E-2</v>
      </c>
      <c r="R85" s="57">
        <v>0.1197</v>
      </c>
      <c r="S85">
        <v>27.83</v>
      </c>
      <c r="T85">
        <v>50.43</v>
      </c>
      <c r="U85">
        <v>27.83</v>
      </c>
      <c r="V85" s="20">
        <v>2016.0934480000001</v>
      </c>
    </row>
    <row r="86" spans="7:22" x14ac:dyDescent="0.15">
      <c r="G86" s="11">
        <v>85</v>
      </c>
      <c r="H86" t="s">
        <v>1730</v>
      </c>
      <c r="I86" t="s">
        <v>1731</v>
      </c>
      <c r="J86" t="s">
        <v>1679</v>
      </c>
      <c r="K86" s="57">
        <v>2.5000000000000001E-3</v>
      </c>
      <c r="L86" s="57">
        <v>2.3E-3</v>
      </c>
      <c r="M86" s="57">
        <v>2.7000000000000001E-3</v>
      </c>
      <c r="N86" s="57">
        <v>6.3E-3</v>
      </c>
      <c r="O86" s="57">
        <v>1.23E-2</v>
      </c>
      <c r="P86" s="57">
        <v>1.6500000000000001E-2</v>
      </c>
      <c r="Q86" s="57">
        <v>4.4900000000000002E-2</v>
      </c>
      <c r="R86" s="57">
        <v>0.14399999999999999</v>
      </c>
      <c r="S86">
        <v>26.96</v>
      </c>
      <c r="T86">
        <v>52.17</v>
      </c>
      <c r="U86">
        <v>25.22</v>
      </c>
      <c r="V86" s="20">
        <v>15.88383</v>
      </c>
    </row>
    <row r="87" spans="7:22" x14ac:dyDescent="0.15">
      <c r="G87" s="11">
        <v>86</v>
      </c>
      <c r="H87" t="s">
        <v>580</v>
      </c>
      <c r="I87" t="s">
        <v>1673</v>
      </c>
      <c r="J87" t="s">
        <v>15</v>
      </c>
      <c r="K87" s="57">
        <v>-1.6000000000000001E-3</v>
      </c>
      <c r="L87" s="57">
        <v>-2.7699999999999999E-2</v>
      </c>
      <c r="M87" s="57">
        <v>-4.07E-2</v>
      </c>
      <c r="N87" s="57">
        <v>-7.9299999999999995E-2</v>
      </c>
      <c r="O87" s="57">
        <v>5.8700000000000002E-2</v>
      </c>
      <c r="P87" s="57">
        <v>-0.11550000000000001</v>
      </c>
      <c r="Q87" s="57">
        <v>-0.34639999999999999</v>
      </c>
      <c r="R87" s="57">
        <v>-0.4531</v>
      </c>
      <c r="S87">
        <v>26.09</v>
      </c>
      <c r="T87">
        <v>19.13</v>
      </c>
      <c r="U87">
        <v>55.65</v>
      </c>
      <c r="V87" s="20">
        <v>4812.8472793999999</v>
      </c>
    </row>
    <row r="88" spans="7:22" x14ac:dyDescent="0.15">
      <c r="G88" s="11">
        <v>87</v>
      </c>
      <c r="H88" t="s">
        <v>2050</v>
      </c>
      <c r="I88" t="s">
        <v>2051</v>
      </c>
      <c r="J88" t="s">
        <v>15</v>
      </c>
      <c r="K88" s="57">
        <v>-3.2000000000000002E-3</v>
      </c>
      <c r="L88" s="57">
        <v>-1.6299999999999999E-2</v>
      </c>
      <c r="M88" s="57">
        <v>-4.3200000000000002E-2</v>
      </c>
      <c r="N88" s="57">
        <v>-9.1700000000000004E-2</v>
      </c>
      <c r="O88" s="57">
        <v>-0.10920000000000001</v>
      </c>
      <c r="P88" s="57">
        <v>-0.10920000000000001</v>
      </c>
      <c r="Q88" s="57">
        <v>-0.10920000000000001</v>
      </c>
      <c r="R88" s="57">
        <v>-0.10920000000000001</v>
      </c>
      <c r="S88">
        <v>25.22</v>
      </c>
      <c r="T88">
        <v>6.09</v>
      </c>
      <c r="U88">
        <v>66.959999999999994</v>
      </c>
      <c r="V88" s="20">
        <v>545.04780000000005</v>
      </c>
    </row>
    <row r="89" spans="7:22" x14ac:dyDescent="0.15">
      <c r="G89" s="11">
        <v>88</v>
      </c>
      <c r="H89" t="s">
        <v>727</v>
      </c>
      <c r="I89" t="s">
        <v>1674</v>
      </c>
      <c r="J89" t="s">
        <v>15</v>
      </c>
      <c r="K89" s="57">
        <v>2.0000000000000001E-4</v>
      </c>
      <c r="L89" s="57">
        <v>-1.23E-2</v>
      </c>
      <c r="M89" s="57">
        <v>-1.7299999999999999E-2</v>
      </c>
      <c r="N89" s="57">
        <v>-4.7600000000000003E-2</v>
      </c>
      <c r="O89" s="57">
        <v>1.2699999999999999E-2</v>
      </c>
      <c r="P89" s="57">
        <v>-9.0899999999999995E-2</v>
      </c>
      <c r="Q89" s="57">
        <v>-0.2379</v>
      </c>
      <c r="R89" s="57">
        <v>-0.38009999999999999</v>
      </c>
      <c r="S89">
        <v>24.35</v>
      </c>
      <c r="T89">
        <v>29.57</v>
      </c>
      <c r="U89">
        <v>42.61</v>
      </c>
      <c r="V89" s="20">
        <v>1072.4837262999999</v>
      </c>
    </row>
    <row r="90" spans="7:22" x14ac:dyDescent="0.15">
      <c r="G90" s="11">
        <v>89</v>
      </c>
      <c r="H90" t="s">
        <v>715</v>
      </c>
      <c r="I90" t="s">
        <v>1698</v>
      </c>
      <c r="J90" t="s">
        <v>15</v>
      </c>
      <c r="K90" s="57">
        <v>-6.9999999999999999E-4</v>
      </c>
      <c r="L90" s="57">
        <v>-2.7799999999999998E-2</v>
      </c>
      <c r="M90" s="57">
        <v>-4.0899999999999999E-2</v>
      </c>
      <c r="N90" s="57">
        <v>-7.9699999999999993E-2</v>
      </c>
      <c r="O90" s="57">
        <v>6.0699999999999997E-2</v>
      </c>
      <c r="P90" s="57">
        <v>-0.11409999999999999</v>
      </c>
      <c r="Q90" s="57">
        <v>-0.34320000000000001</v>
      </c>
      <c r="R90" s="57">
        <v>-0.4516</v>
      </c>
      <c r="S90">
        <v>23.48</v>
      </c>
      <c r="T90">
        <v>17.39</v>
      </c>
      <c r="U90">
        <v>52.17</v>
      </c>
      <c r="V90" s="20">
        <v>15759.8433</v>
      </c>
    </row>
    <row r="91" spans="7:22" x14ac:dyDescent="0.15">
      <c r="G91" s="11">
        <v>90</v>
      </c>
      <c r="H91" t="s">
        <v>744</v>
      </c>
      <c r="I91" t="s">
        <v>1713</v>
      </c>
      <c r="J91" t="s">
        <v>15</v>
      </c>
      <c r="K91" s="57">
        <v>-2.8999999999999998E-3</v>
      </c>
      <c r="L91" s="57">
        <v>-2.41E-2</v>
      </c>
      <c r="M91" s="57">
        <v>-4.5699999999999998E-2</v>
      </c>
      <c r="N91" s="57">
        <v>-9.2999999999999999E-2</v>
      </c>
      <c r="O91" s="57">
        <v>4.5999999999999999E-2</v>
      </c>
      <c r="P91" s="57">
        <v>-0.1174</v>
      </c>
      <c r="Q91" s="57">
        <v>-0.33439999999999998</v>
      </c>
      <c r="R91" s="57">
        <v>-0.54269999999999996</v>
      </c>
      <c r="S91">
        <v>22.61</v>
      </c>
      <c r="T91">
        <v>4.3499999999999996</v>
      </c>
      <c r="U91">
        <v>64.349999999999994</v>
      </c>
      <c r="V91" s="20">
        <v>165704.17559999999</v>
      </c>
    </row>
    <row r="92" spans="7:22" x14ac:dyDescent="0.15">
      <c r="G92" s="11">
        <v>91</v>
      </c>
      <c r="H92" t="s">
        <v>2040</v>
      </c>
      <c r="I92" t="s">
        <v>2041</v>
      </c>
      <c r="J92" t="s">
        <v>15</v>
      </c>
      <c r="K92" s="57">
        <v>-8.9999999999999998E-4</v>
      </c>
      <c r="L92" s="57">
        <v>-4.7500000000000001E-2</v>
      </c>
      <c r="M92" s="57">
        <v>-5.3400000000000003E-2</v>
      </c>
      <c r="N92" s="57">
        <v>-8.1900000000000001E-2</v>
      </c>
      <c r="O92" s="57">
        <v>-0.1153</v>
      </c>
      <c r="P92" s="57">
        <v>-0.1153</v>
      </c>
      <c r="Q92" s="57">
        <v>-0.1153</v>
      </c>
      <c r="R92" s="57">
        <v>-0.1153</v>
      </c>
      <c r="S92">
        <v>21.74</v>
      </c>
      <c r="T92">
        <v>13.91</v>
      </c>
      <c r="U92">
        <v>53.04</v>
      </c>
      <c r="V92" s="20">
        <v>885.20299999999997</v>
      </c>
    </row>
    <row r="93" spans="7:22" x14ac:dyDescent="0.15">
      <c r="G93" s="11">
        <v>92</v>
      </c>
      <c r="H93" t="s">
        <v>743</v>
      </c>
      <c r="I93" t="s">
        <v>1706</v>
      </c>
      <c r="J93" t="s">
        <v>15</v>
      </c>
      <c r="K93" s="57">
        <v>2.0000000000000001E-4</v>
      </c>
      <c r="L93" s="57">
        <v>-2.8000000000000001E-2</v>
      </c>
      <c r="M93" s="57">
        <v>-4.1300000000000003E-2</v>
      </c>
      <c r="N93" s="57">
        <v>-8.0299999999999996E-2</v>
      </c>
      <c r="O93" s="57">
        <v>5.7000000000000002E-2</v>
      </c>
      <c r="P93" s="57">
        <v>-0.1201</v>
      </c>
      <c r="Q93" s="57">
        <v>-0.35120000000000001</v>
      </c>
      <c r="R93" s="57">
        <v>-0.4551</v>
      </c>
      <c r="S93">
        <v>20.87</v>
      </c>
      <c r="T93">
        <v>15.65</v>
      </c>
      <c r="U93">
        <v>43.48</v>
      </c>
      <c r="V93" s="20">
        <v>82172.944199999998</v>
      </c>
    </row>
    <row r="94" spans="7:22" x14ac:dyDescent="0.15">
      <c r="G94" s="11">
        <v>93</v>
      </c>
      <c r="H94" t="s">
        <v>652</v>
      </c>
      <c r="I94" t="s">
        <v>1672</v>
      </c>
      <c r="J94" t="s">
        <v>15</v>
      </c>
      <c r="K94" s="57">
        <v>-1.1000000000000001E-3</v>
      </c>
      <c r="L94" s="57">
        <v>-2.7900000000000001E-2</v>
      </c>
      <c r="M94" s="57">
        <v>-4.8899999999999999E-2</v>
      </c>
      <c r="N94" s="57">
        <v>-9.2399999999999996E-2</v>
      </c>
      <c r="O94" s="57">
        <v>8.8400000000000006E-2</v>
      </c>
      <c r="P94" s="57">
        <v>-7.4499999999999997E-2</v>
      </c>
      <c r="Q94" s="57">
        <v>-0.37969999999999998</v>
      </c>
      <c r="R94" s="57">
        <v>-0.43840000000000001</v>
      </c>
      <c r="S94">
        <v>20</v>
      </c>
      <c r="T94">
        <v>5.22</v>
      </c>
      <c r="U94">
        <v>53.91</v>
      </c>
      <c r="V94" s="20">
        <v>3123.2725055000001</v>
      </c>
    </row>
    <row r="95" spans="7:22" x14ac:dyDescent="0.15">
      <c r="G95" s="11">
        <v>94</v>
      </c>
      <c r="H95" t="s">
        <v>748</v>
      </c>
      <c r="I95" t="s">
        <v>1727</v>
      </c>
      <c r="J95" t="s">
        <v>15</v>
      </c>
      <c r="K95" s="57">
        <v>8.5000000000000006E-3</v>
      </c>
      <c r="L95" s="57">
        <v>-2.47E-2</v>
      </c>
      <c r="M95" s="57">
        <v>-3.2399999999999998E-2</v>
      </c>
      <c r="N95" s="57">
        <v>-1.2999999999999999E-2</v>
      </c>
      <c r="O95" s="57">
        <v>0.27289999999999998</v>
      </c>
      <c r="P95" s="57">
        <v>-2.5700000000000001E-2</v>
      </c>
      <c r="Q95" s="57">
        <v>-0.25209999999999999</v>
      </c>
      <c r="R95" s="57">
        <v>-0.60540000000000005</v>
      </c>
      <c r="S95">
        <v>19.13</v>
      </c>
      <c r="T95">
        <v>40</v>
      </c>
      <c r="U95">
        <v>17.39</v>
      </c>
      <c r="V95" s="20">
        <v>6666.2358000000004</v>
      </c>
    </row>
    <row r="96" spans="7:22" x14ac:dyDescent="0.15">
      <c r="G96" s="11">
        <v>95</v>
      </c>
      <c r="H96" t="s">
        <v>750</v>
      </c>
      <c r="I96" t="s">
        <v>1748</v>
      </c>
      <c r="J96" t="s">
        <v>15</v>
      </c>
      <c r="K96" s="57">
        <v>2.8E-3</v>
      </c>
      <c r="L96" s="57">
        <v>-1.06E-2</v>
      </c>
      <c r="M96" s="57">
        <v>-2.5999999999999999E-2</v>
      </c>
      <c r="N96" s="57">
        <v>-6.3399999999999998E-2</v>
      </c>
      <c r="O96" s="57">
        <v>4.8599999999999997E-2</v>
      </c>
      <c r="P96" s="57">
        <v>-0.13</v>
      </c>
      <c r="Q96" s="57">
        <v>-0.34789999999999999</v>
      </c>
      <c r="R96" s="57">
        <v>-0.35880000000000001</v>
      </c>
      <c r="S96">
        <v>18.260000000000002</v>
      </c>
      <c r="T96">
        <v>26.09</v>
      </c>
      <c r="U96">
        <v>22.61</v>
      </c>
      <c r="V96" s="20">
        <v>274.49492999999995</v>
      </c>
    </row>
    <row r="97" spans="7:22" x14ac:dyDescent="0.15">
      <c r="G97" s="11">
        <v>96</v>
      </c>
      <c r="H97" t="s">
        <v>414</v>
      </c>
      <c r="I97" t="s">
        <v>1743</v>
      </c>
      <c r="J97" t="s">
        <v>1684</v>
      </c>
      <c r="K97" s="57">
        <v>0.996</v>
      </c>
      <c r="L97" s="57">
        <v>-9.4799999999999995E-2</v>
      </c>
      <c r="M97" s="57">
        <v>-0.1115</v>
      </c>
      <c r="N97" s="57">
        <v>-1.3299999999999999E-2</v>
      </c>
      <c r="O97" s="57">
        <v>0.13009999999999999</v>
      </c>
      <c r="P97" s="57">
        <v>-0.216</v>
      </c>
      <c r="Q97" s="57">
        <v>-0.2341</v>
      </c>
      <c r="R97" s="57">
        <v>-0.219</v>
      </c>
      <c r="S97">
        <v>17.39</v>
      </c>
      <c r="T97">
        <v>38.26</v>
      </c>
      <c r="U97">
        <v>9.57</v>
      </c>
      <c r="V97" s="20">
        <v>216504.7697</v>
      </c>
    </row>
    <row r="98" spans="7:22" x14ac:dyDescent="0.15">
      <c r="G98" s="11">
        <v>97</v>
      </c>
      <c r="H98" t="s">
        <v>2048</v>
      </c>
      <c r="I98" t="s">
        <v>2049</v>
      </c>
      <c r="J98" t="s">
        <v>15</v>
      </c>
      <c r="K98" s="57">
        <v>8.0000000000000004E-4</v>
      </c>
      <c r="L98" s="57">
        <v>-3.8199999999999998E-2</v>
      </c>
      <c r="M98" s="57">
        <v>-5.2299999999999999E-2</v>
      </c>
      <c r="N98" s="57">
        <v>-8.72E-2</v>
      </c>
      <c r="O98" s="57">
        <v>-8.4699999999999998E-2</v>
      </c>
      <c r="P98" s="57">
        <v>-8.4699999999999998E-2</v>
      </c>
      <c r="Q98" s="57">
        <v>-8.4699999999999998E-2</v>
      </c>
      <c r="R98" s="57">
        <v>-8.4699999999999998E-2</v>
      </c>
      <c r="S98">
        <v>16.52</v>
      </c>
      <c r="T98">
        <v>10.43</v>
      </c>
      <c r="U98">
        <v>33.909999999999997</v>
      </c>
      <c r="V98" s="20">
        <v>4157.4070663000002</v>
      </c>
    </row>
    <row r="99" spans="7:22" x14ac:dyDescent="0.15">
      <c r="G99" s="11">
        <v>98</v>
      </c>
      <c r="H99" t="s">
        <v>1755</v>
      </c>
      <c r="I99" t="s">
        <v>1756</v>
      </c>
      <c r="J99" t="s">
        <v>1684</v>
      </c>
      <c r="K99" s="57">
        <v>0.99760000000000004</v>
      </c>
      <c r="L99" s="57">
        <v>2.3199999999999998E-2</v>
      </c>
      <c r="M99" s="57">
        <v>1.9E-3</v>
      </c>
      <c r="N99" s="57">
        <v>-1.03E-2</v>
      </c>
      <c r="O99" s="57">
        <v>-6.1899999999999997E-2</v>
      </c>
      <c r="P99" s="57">
        <v>-0.33750000000000002</v>
      </c>
      <c r="Q99" s="57">
        <v>-0.34770000000000001</v>
      </c>
      <c r="R99" s="57">
        <v>-0.46029999999999999</v>
      </c>
      <c r="S99">
        <v>15.65</v>
      </c>
      <c r="T99">
        <v>40.869999999999997</v>
      </c>
      <c r="U99">
        <v>0.87</v>
      </c>
      <c r="V99" s="20">
        <v>891.27</v>
      </c>
    </row>
    <row r="100" spans="7:22" x14ac:dyDescent="0.15">
      <c r="G100" s="11">
        <v>99</v>
      </c>
      <c r="H100" t="s">
        <v>407</v>
      </c>
      <c r="I100" t="s">
        <v>1749</v>
      </c>
      <c r="J100" t="s">
        <v>1684</v>
      </c>
      <c r="K100" s="57">
        <v>0.99609999999999999</v>
      </c>
      <c r="L100" s="57">
        <v>3.0700000000000002E-2</v>
      </c>
      <c r="M100" s="57">
        <v>-9.5999999999999992E-3</v>
      </c>
      <c r="N100" s="57">
        <v>-3.8100000000000002E-2</v>
      </c>
      <c r="O100" s="57">
        <v>-0.15690000000000001</v>
      </c>
      <c r="P100" s="57">
        <v>-0.16009999999999999</v>
      </c>
      <c r="Q100" s="57">
        <v>-0.21490000000000001</v>
      </c>
      <c r="R100" s="57">
        <v>-0.13950000000000001</v>
      </c>
      <c r="S100">
        <v>14.78</v>
      </c>
      <c r="T100">
        <v>32.17</v>
      </c>
      <c r="U100">
        <v>8.6999999999999993</v>
      </c>
      <c r="V100" s="20">
        <v>1604.0272573</v>
      </c>
    </row>
    <row r="101" spans="7:22" x14ac:dyDescent="0.15">
      <c r="G101" s="11">
        <v>100</v>
      </c>
      <c r="H101" t="s">
        <v>419</v>
      </c>
      <c r="I101" t="s">
        <v>1750</v>
      </c>
      <c r="J101" t="s">
        <v>1684</v>
      </c>
      <c r="K101" s="57">
        <v>0.99570000000000003</v>
      </c>
      <c r="L101" s="57">
        <v>-2.7799999999999998E-2</v>
      </c>
      <c r="M101" s="57">
        <v>-4.5100000000000001E-2</v>
      </c>
      <c r="N101" s="57">
        <v>-4.8500000000000001E-2</v>
      </c>
      <c r="O101" s="57">
        <v>-6.5600000000000006E-2</v>
      </c>
      <c r="P101" s="57">
        <v>-0.18440000000000001</v>
      </c>
      <c r="Q101" s="57">
        <v>-0.26550000000000001</v>
      </c>
      <c r="R101" s="57">
        <v>-0.28789999999999999</v>
      </c>
      <c r="S101">
        <v>13.91</v>
      </c>
      <c r="T101">
        <v>28.7</v>
      </c>
      <c r="U101">
        <v>11.3</v>
      </c>
      <c r="V101" s="20">
        <v>128559.7806</v>
      </c>
    </row>
    <row r="102" spans="7:22" x14ac:dyDescent="0.15">
      <c r="G102" s="11">
        <v>101</v>
      </c>
      <c r="H102" t="s">
        <v>1710</v>
      </c>
      <c r="I102" t="s">
        <v>1711</v>
      </c>
      <c r="J102" t="s">
        <v>1684</v>
      </c>
      <c r="K102" s="57">
        <v>0.99560000000000004</v>
      </c>
      <c r="L102" s="57">
        <v>1.6299999999999999E-2</v>
      </c>
      <c r="M102" s="57">
        <v>2.0299999999999999E-2</v>
      </c>
      <c r="N102" s="57">
        <v>-4.8899999999999999E-2</v>
      </c>
      <c r="O102" s="57">
        <v>-9.6500000000000002E-2</v>
      </c>
      <c r="P102" s="57">
        <v>-0.19889999999999999</v>
      </c>
      <c r="Q102" s="57">
        <v>-0.28039999999999998</v>
      </c>
      <c r="R102" s="57">
        <v>-0.26929999999999998</v>
      </c>
      <c r="S102">
        <v>13.04</v>
      </c>
      <c r="T102">
        <v>27.83</v>
      </c>
      <c r="U102">
        <v>12.17</v>
      </c>
      <c r="V102" s="20">
        <v>132.7242</v>
      </c>
    </row>
    <row r="103" spans="7:22" x14ac:dyDescent="0.15">
      <c r="G103" s="11">
        <v>102</v>
      </c>
      <c r="H103" t="s">
        <v>1739</v>
      </c>
      <c r="I103" t="s">
        <v>1740</v>
      </c>
      <c r="J103" t="s">
        <v>1684</v>
      </c>
      <c r="K103" s="57">
        <v>0.99690000000000001</v>
      </c>
      <c r="L103" s="57">
        <v>-1.1299999999999999E-2</v>
      </c>
      <c r="M103" s="57">
        <v>2.5999999999999999E-3</v>
      </c>
      <c r="N103" s="57">
        <v>-1.8200000000000001E-2</v>
      </c>
      <c r="O103" s="57">
        <v>-0.29530000000000001</v>
      </c>
      <c r="P103" s="57">
        <v>-0.33410000000000001</v>
      </c>
      <c r="Q103" s="57">
        <v>-0.32379999999999998</v>
      </c>
      <c r="R103" s="57">
        <v>-0.5403</v>
      </c>
      <c r="S103">
        <v>12.17</v>
      </c>
      <c r="T103">
        <v>37.39</v>
      </c>
      <c r="U103">
        <v>1.74</v>
      </c>
      <c r="V103" s="20">
        <v>623.01210000000003</v>
      </c>
    </row>
    <row r="104" spans="7:22" x14ac:dyDescent="0.15">
      <c r="G104" s="11">
        <v>103</v>
      </c>
      <c r="H104" t="s">
        <v>428</v>
      </c>
      <c r="I104" t="s">
        <v>1747</v>
      </c>
      <c r="J104" t="s">
        <v>1684</v>
      </c>
      <c r="K104" s="57">
        <v>0.99509999999999998</v>
      </c>
      <c r="L104" s="57">
        <v>-5.1799999999999999E-2</v>
      </c>
      <c r="M104" s="57">
        <v>-6.54E-2</v>
      </c>
      <c r="N104" s="57">
        <v>-6.54E-2</v>
      </c>
      <c r="O104" s="57">
        <v>-0.1578</v>
      </c>
      <c r="P104" s="57">
        <v>-0.161</v>
      </c>
      <c r="Q104" s="57">
        <v>-0.42609999999999998</v>
      </c>
      <c r="R104" s="57">
        <v>-0.38219999999999998</v>
      </c>
      <c r="S104">
        <v>11.3</v>
      </c>
      <c r="T104">
        <v>25.22</v>
      </c>
      <c r="U104">
        <v>13.04</v>
      </c>
      <c r="V104" s="20">
        <v>3105.3027000000002</v>
      </c>
    </row>
    <row r="105" spans="7:22" x14ac:dyDescent="0.15">
      <c r="G105" s="11">
        <v>104</v>
      </c>
      <c r="H105" t="s">
        <v>709</v>
      </c>
      <c r="I105" t="s">
        <v>1686</v>
      </c>
      <c r="J105" t="s">
        <v>15</v>
      </c>
      <c r="K105" s="57">
        <v>2.0999999999999999E-3</v>
      </c>
      <c r="L105" s="57">
        <v>-3.8399999999999997E-2</v>
      </c>
      <c r="M105" s="57">
        <v>-5.2600000000000001E-2</v>
      </c>
      <c r="N105" s="57">
        <v>-8.7599999999999997E-2</v>
      </c>
      <c r="O105" s="57">
        <v>0.16039999999999999</v>
      </c>
      <c r="P105" s="57">
        <v>-6.13E-2</v>
      </c>
      <c r="Q105" s="57">
        <v>-0.37630000000000002</v>
      </c>
      <c r="R105" s="57">
        <v>-0.37630000000000002</v>
      </c>
      <c r="S105">
        <v>10.43</v>
      </c>
      <c r="T105">
        <v>9.57</v>
      </c>
      <c r="U105">
        <v>26.96</v>
      </c>
      <c r="V105" s="20">
        <v>3964.5601100000003</v>
      </c>
    </row>
    <row r="106" spans="7:22" x14ac:dyDescent="0.15">
      <c r="G106" s="11">
        <v>105</v>
      </c>
      <c r="H106" t="s">
        <v>418</v>
      </c>
      <c r="I106" t="s">
        <v>1752</v>
      </c>
      <c r="J106" t="s">
        <v>1684</v>
      </c>
      <c r="K106" s="57">
        <v>0.99619999999999997</v>
      </c>
      <c r="L106" s="57">
        <v>-3.8300000000000001E-2</v>
      </c>
      <c r="M106" s="57">
        <v>-4.3900000000000002E-2</v>
      </c>
      <c r="N106" s="57">
        <v>-5.4300000000000001E-2</v>
      </c>
      <c r="O106" s="57">
        <v>1.9300000000000001E-2</v>
      </c>
      <c r="P106" s="57">
        <v>-0.21429999999999999</v>
      </c>
      <c r="Q106" s="57">
        <v>-0.25469999999999998</v>
      </c>
      <c r="R106" s="57">
        <v>-0.21679999999999999</v>
      </c>
      <c r="S106">
        <v>9.57</v>
      </c>
      <c r="T106">
        <v>26.96</v>
      </c>
      <c r="U106">
        <v>6.96</v>
      </c>
      <c r="V106" s="20">
        <v>39593.205461000005</v>
      </c>
    </row>
    <row r="107" spans="7:22" x14ac:dyDescent="0.15">
      <c r="G107" s="11">
        <v>106</v>
      </c>
      <c r="H107" t="s">
        <v>434</v>
      </c>
      <c r="I107" t="s">
        <v>1746</v>
      </c>
      <c r="J107" t="s">
        <v>1684</v>
      </c>
      <c r="K107" s="57">
        <v>0.99609999999999999</v>
      </c>
      <c r="L107" s="57">
        <v>-2.1899999999999999E-2</v>
      </c>
      <c r="M107" s="57">
        <v>-4.4200000000000003E-2</v>
      </c>
      <c r="N107" s="57">
        <v>-6.5500000000000003E-2</v>
      </c>
      <c r="O107" s="57">
        <v>-0.106</v>
      </c>
      <c r="P107" s="57">
        <v>-0.25540000000000002</v>
      </c>
      <c r="Q107" s="57">
        <v>-0.2056</v>
      </c>
      <c r="R107" s="57">
        <v>-0.36280000000000001</v>
      </c>
      <c r="S107">
        <v>8.6999999999999993</v>
      </c>
      <c r="T107">
        <v>24.35</v>
      </c>
      <c r="U107">
        <v>7.83</v>
      </c>
      <c r="V107" s="20">
        <v>4323.6005999999998</v>
      </c>
    </row>
    <row r="108" spans="7:22" x14ac:dyDescent="0.15">
      <c r="G108" s="11">
        <v>107</v>
      </c>
      <c r="H108" t="s">
        <v>424</v>
      </c>
      <c r="I108" t="s">
        <v>1751</v>
      </c>
      <c r="J108" t="s">
        <v>1684</v>
      </c>
      <c r="K108" s="57">
        <v>0.99619999999999997</v>
      </c>
      <c r="L108" s="57">
        <v>-1.6400000000000001E-2</v>
      </c>
      <c r="M108" s="57">
        <v>-4.19E-2</v>
      </c>
      <c r="N108" s="57">
        <v>-7.3400000000000007E-2</v>
      </c>
      <c r="O108" s="57">
        <v>-0.1429</v>
      </c>
      <c r="P108" s="57">
        <v>-0.21959999999999999</v>
      </c>
      <c r="Q108" s="57">
        <v>-0.27800000000000002</v>
      </c>
      <c r="R108" s="57">
        <v>-0.34889999999999999</v>
      </c>
      <c r="S108">
        <v>7.83</v>
      </c>
      <c r="T108">
        <v>23.48</v>
      </c>
      <c r="U108">
        <v>6.09</v>
      </c>
      <c r="V108" s="20">
        <v>1621417.4754999999</v>
      </c>
    </row>
    <row r="109" spans="7:22" x14ac:dyDescent="0.15">
      <c r="G109" s="11">
        <v>108</v>
      </c>
      <c r="H109" t="s">
        <v>700</v>
      </c>
      <c r="I109" t="s">
        <v>31</v>
      </c>
      <c r="J109" t="s">
        <v>15</v>
      </c>
      <c r="K109" s="57">
        <v>3.3999999999999998E-3</v>
      </c>
      <c r="L109" s="57">
        <v>-2.1899999999999999E-2</v>
      </c>
      <c r="M109" s="57">
        <v>-4.5999999999999999E-2</v>
      </c>
      <c r="N109" s="57">
        <v>-8.8900000000000007E-2</v>
      </c>
      <c r="O109" s="57">
        <v>0.1012</v>
      </c>
      <c r="P109" s="57">
        <v>-0.1053</v>
      </c>
      <c r="Q109" s="57">
        <v>-0.32369999999999999</v>
      </c>
      <c r="R109" s="57">
        <v>-0.50660000000000005</v>
      </c>
      <c r="S109">
        <v>6.96</v>
      </c>
      <c r="T109">
        <v>7.83</v>
      </c>
      <c r="U109">
        <v>20.87</v>
      </c>
      <c r="V109" s="20">
        <v>3477.4774042999998</v>
      </c>
    </row>
    <row r="110" spans="7:22" x14ac:dyDescent="0.15">
      <c r="G110" s="11">
        <v>109</v>
      </c>
      <c r="H110" t="s">
        <v>747</v>
      </c>
      <c r="I110" t="s">
        <v>1773</v>
      </c>
      <c r="J110" t="s">
        <v>15</v>
      </c>
      <c r="K110" s="57">
        <v>2.7000000000000001E-3</v>
      </c>
      <c r="L110" s="57">
        <v>-1.9099999999999999E-2</v>
      </c>
      <c r="M110" s="57">
        <v>-5.2499999999999998E-2</v>
      </c>
      <c r="N110" s="57">
        <v>-9.9500000000000005E-2</v>
      </c>
      <c r="O110" s="57">
        <v>8.4500000000000006E-2</v>
      </c>
      <c r="P110" s="57">
        <v>-0.1116</v>
      </c>
      <c r="Q110" s="57">
        <v>-0.25600000000000001</v>
      </c>
      <c r="R110" s="57">
        <v>-0.25600000000000001</v>
      </c>
      <c r="S110">
        <v>6.09</v>
      </c>
      <c r="T110">
        <v>2.61</v>
      </c>
      <c r="U110">
        <v>24.35</v>
      </c>
      <c r="V110" s="20">
        <v>11213.912663500001</v>
      </c>
    </row>
    <row r="111" spans="7:22" x14ac:dyDescent="0.15">
      <c r="G111" s="11">
        <v>110</v>
      </c>
      <c r="H111" t="s">
        <v>413</v>
      </c>
      <c r="I111" t="s">
        <v>1683</v>
      </c>
      <c r="J111" t="s">
        <v>1684</v>
      </c>
      <c r="K111" s="57">
        <v>0.99639999999999995</v>
      </c>
      <c r="L111" s="57">
        <v>-4.9000000000000002E-2</v>
      </c>
      <c r="M111" s="57">
        <v>-0.1104</v>
      </c>
      <c r="N111" s="57">
        <v>-7.7499999999999999E-2</v>
      </c>
      <c r="O111" s="57">
        <v>-0.27700000000000002</v>
      </c>
      <c r="P111" s="57">
        <v>-0.31909999999999999</v>
      </c>
      <c r="Q111" s="57">
        <v>-0.54</v>
      </c>
      <c r="R111" s="57">
        <v>-0.53159999999999996</v>
      </c>
      <c r="S111">
        <v>5.22</v>
      </c>
      <c r="T111">
        <v>20.87</v>
      </c>
      <c r="U111">
        <v>4.3499999999999996</v>
      </c>
      <c r="V111" s="20">
        <v>1495.1436000000001</v>
      </c>
    </row>
    <row r="112" spans="7:22" x14ac:dyDescent="0.15">
      <c r="G112" s="11">
        <v>111</v>
      </c>
      <c r="H112" t="s">
        <v>746</v>
      </c>
      <c r="I112" t="s">
        <v>1670</v>
      </c>
      <c r="J112" t="s">
        <v>15</v>
      </c>
      <c r="K112" s="57">
        <v>2.8E-3</v>
      </c>
      <c r="L112" s="57">
        <v>-1.9199999999999998E-2</v>
      </c>
      <c r="M112" s="57">
        <v>-5.2699999999999997E-2</v>
      </c>
      <c r="N112" s="57">
        <v>-0.10009999999999999</v>
      </c>
      <c r="O112" s="57">
        <v>8.2500000000000004E-2</v>
      </c>
      <c r="P112" s="57">
        <v>-0.1119</v>
      </c>
      <c r="Q112" s="57">
        <v>-0.2611</v>
      </c>
      <c r="R112" s="57">
        <v>-0.2611</v>
      </c>
      <c r="S112">
        <v>4.3499999999999996</v>
      </c>
      <c r="T112">
        <v>1.74</v>
      </c>
      <c r="U112">
        <v>23.48</v>
      </c>
      <c r="V112" s="20">
        <v>52694.843452999994</v>
      </c>
    </row>
    <row r="113" spans="7:22" x14ac:dyDescent="0.15">
      <c r="G113" s="11">
        <v>112</v>
      </c>
      <c r="H113" t="s">
        <v>410</v>
      </c>
      <c r="I113" t="s">
        <v>1699</v>
      </c>
      <c r="J113" t="s">
        <v>1684</v>
      </c>
      <c r="K113" s="57">
        <v>0.99570000000000003</v>
      </c>
      <c r="L113" s="57">
        <v>-3.7000000000000002E-3</v>
      </c>
      <c r="M113" s="57">
        <v>2.6700000000000002E-2</v>
      </c>
      <c r="N113" s="57">
        <v>-8.3900000000000002E-2</v>
      </c>
      <c r="O113" s="57">
        <v>-0.14449999999999999</v>
      </c>
      <c r="P113" s="57">
        <v>-0.19520000000000001</v>
      </c>
      <c r="Q113" s="57">
        <v>-0.18049999999999999</v>
      </c>
      <c r="R113" s="57">
        <v>0.25659999999999999</v>
      </c>
      <c r="S113">
        <v>3.48</v>
      </c>
      <c r="T113">
        <v>11.3</v>
      </c>
      <c r="U113">
        <v>10.43</v>
      </c>
      <c r="V113" s="20">
        <v>1148.4894684000001</v>
      </c>
    </row>
    <row r="114" spans="7:22" x14ac:dyDescent="0.15">
      <c r="G114" s="11">
        <v>113</v>
      </c>
      <c r="H114" t="s">
        <v>745</v>
      </c>
      <c r="I114" t="s">
        <v>1733</v>
      </c>
      <c r="J114" t="s">
        <v>15</v>
      </c>
      <c r="K114" s="57">
        <v>6.2700000000000006E-2</v>
      </c>
      <c r="L114" s="57">
        <v>-1.0699999999999999E-2</v>
      </c>
      <c r="M114" s="57">
        <v>-4.5699999999999998E-2</v>
      </c>
      <c r="N114" s="57">
        <v>-9.7799999999999998E-2</v>
      </c>
      <c r="O114" s="57">
        <v>5.3800000000000001E-2</v>
      </c>
      <c r="P114" s="57">
        <v>-0.14929999999999999</v>
      </c>
      <c r="Q114" s="57">
        <v>-0.3543</v>
      </c>
      <c r="R114" s="57">
        <v>-0.50549999999999995</v>
      </c>
      <c r="S114">
        <v>2.61</v>
      </c>
      <c r="T114">
        <v>3.48</v>
      </c>
      <c r="U114">
        <v>14.78</v>
      </c>
      <c r="V114" s="20">
        <v>111586.50569999999</v>
      </c>
    </row>
    <row r="115" spans="7:22" x14ac:dyDescent="0.15">
      <c r="G115" s="11">
        <v>114</v>
      </c>
      <c r="H115" t="s">
        <v>1757</v>
      </c>
      <c r="I115" t="s">
        <v>2047</v>
      </c>
      <c r="J115" t="s">
        <v>1684</v>
      </c>
      <c r="K115" s="57">
        <v>0.99639999999999995</v>
      </c>
      <c r="L115" s="57">
        <v>-6.0000000000000001E-3</v>
      </c>
      <c r="M115" s="57">
        <v>-0.29899999999999999</v>
      </c>
      <c r="N115" s="57">
        <v>-8.3900000000000002E-2</v>
      </c>
      <c r="O115" s="57">
        <v>0.36849999999999999</v>
      </c>
      <c r="P115" s="57">
        <v>0.05</v>
      </c>
      <c r="Q115" s="57">
        <v>-0.29830000000000001</v>
      </c>
      <c r="R115" s="57">
        <v>-0.25009999999999999</v>
      </c>
      <c r="S115">
        <v>1.74</v>
      </c>
      <c r="T115">
        <v>12.17</v>
      </c>
      <c r="U115">
        <v>3.48</v>
      </c>
      <c r="V115" s="20">
        <v>253.05969999999999</v>
      </c>
    </row>
    <row r="116" spans="7:22" x14ac:dyDescent="0.15">
      <c r="G116" s="11">
        <v>115</v>
      </c>
      <c r="H116" t="s">
        <v>1734</v>
      </c>
      <c r="I116" t="s">
        <v>1735</v>
      </c>
      <c r="J116" t="s">
        <v>1684</v>
      </c>
      <c r="K116" s="57">
        <v>0.99629999999999996</v>
      </c>
      <c r="L116" s="57">
        <v>-3.39E-2</v>
      </c>
      <c r="M116" s="57">
        <v>7.3800000000000004E-2</v>
      </c>
      <c r="N116" s="57">
        <v>-0.1696</v>
      </c>
      <c r="O116" s="57">
        <v>-3.95E-2</v>
      </c>
      <c r="P116" s="57">
        <v>-0.33029999999999998</v>
      </c>
      <c r="Q116" s="57">
        <v>-0.311</v>
      </c>
      <c r="R116" s="57">
        <v>-0.40039999999999998</v>
      </c>
      <c r="S116">
        <v>0.87</v>
      </c>
      <c r="T116">
        <v>0.87</v>
      </c>
      <c r="U116">
        <v>5.22</v>
      </c>
      <c r="V116" s="20">
        <v>15672.139800000001</v>
      </c>
    </row>
  </sheetData>
  <autoFilter ref="F1:V116">
    <sortState ref="F2:W116">
      <sortCondition descending="1" ref="S1:S116"/>
    </sortState>
  </autoFilter>
  <phoneticPr fontId="2" type="noConversion"/>
  <hyperlinks>
    <hyperlink ref="X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23</xdr:col>
                    <xdr:colOff>171450</xdr:colOff>
                    <xdr:row>1</xdr:row>
                    <xdr:rowOff>133350</xdr:rowOff>
                  </from>
                  <to>
                    <xdr:col>24</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7</vt:i4>
      </vt:variant>
    </vt:vector>
  </HeadingPairs>
  <TitlesOfParts>
    <vt:vector size="7"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2022-08-21T13:00:55Z</dcterms:modified>
</cp:coreProperties>
</file>