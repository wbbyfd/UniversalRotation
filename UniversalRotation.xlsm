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drawings/drawing6.xml" ContentType="application/vnd.openxmlformats-officedocument.drawing+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showInkAnnotation="0" codeName="ThisWorkbook" autoCompressPictures="0"/>
  <mc:AlternateContent xmlns:mc="http://schemas.openxmlformats.org/markup-compatibility/2006">
    <mc:Choice Requires="x15">
      <x15ac:absPath xmlns:x15ac="http://schemas.microsoft.com/office/spreadsheetml/2010/11/ac" url="C:\Users\Administrator\Desktop\wb\UniversalRotation\"/>
    </mc:Choice>
  </mc:AlternateContent>
  <bookViews>
    <workbookView xWindow="-105" yWindow="-105" windowWidth="12810" windowHeight="5460" tabRatio="733" activeTab="5"/>
  </bookViews>
  <sheets>
    <sheet name="Readme" sheetId="14" r:id="rId1"/>
    <sheet name="可转债实时数据" sheetId="15" r:id="rId2"/>
    <sheet name="低溢价可转债轮动" sheetId="6" r:id="rId3"/>
    <sheet name="双低可转债轮动" sheetId="9" r:id="rId4"/>
    <sheet name="20天净值增长率和溢价率轮动LOF、ETF和封基" sheetId="4" r:id="rId5"/>
    <sheet name="20天净值增长率和溢价率轮动债券和境外基金" sheetId="3" r:id="rId6"/>
    <sheet name="_xlwings.conf" sheetId="2" r:id="rId7"/>
  </sheets>
  <functionGroups builtInGroupCount="18">
    <functionGroup name="Commands"/>
    <functionGroup name="xlwings"/>
  </functionGroups>
  <definedNames>
    <definedName name="_xlnm._FilterDatabase" localSheetId="4" hidden="1">'20天净值增长率和溢价率轮动LOF、ETF和封基'!$A$1:$R$704</definedName>
    <definedName name="_xlnm._FilterDatabase" localSheetId="5" hidden="1">'20天净值增长率和溢价率轮动债券和境外基金'!$A$1:$R$115</definedName>
    <definedName name="_xlnm._FilterDatabase" localSheetId="2" hidden="1">低溢价可转债轮动!$A$2:$U$402</definedName>
    <definedName name="_xlnm._FilterDatabase" localSheetId="1" hidden="1">可转债实时数据!$A$1:$R$411</definedName>
    <definedName name="_xlnm._FilterDatabase" localSheetId="3" hidden="1">双低可转债轮动!$A$2:$V$750</definedName>
  </definedNames>
  <calcPr calcId="162913"/>
  <extLst>
    <ext xmlns:x14="http://schemas.microsoft.com/office/spreadsheetml/2009/9/main" uri="{8193D73E-4604-4355-AFF4-8A2333D13BE4}">
      <x14:definedNames>
        <x14:definedName name="get_fund_k_history">
          <x14:argumentDescriptions count="2">
            <x14:argumentDescription index="0">Positional argument 1</x14:argumentDescription>
            <x14:argumentDescription index="1">Positional argument 2</x14:argumentDescription>
          </x14:argumentDescriptions>
        </x14:definedName>
        <x14:definedName name="get_fund_LJJZ_PRE20">
          <x14:argumentDescriptions count="1">
            <x14:argumentDescription index="0">Positional argument 1</x14:argumentDescription>
          </x14:argumentDescriptions>
        </x14:definedName>
        <x14:definedName name="get_fund_net_asset_value_history">
          <x14:argumentDescriptions count="2">
            <x14:argumentDescription index="0">Positional argument 1</x14:argumentDescription>
            <x14:argumentDescription index="1">Positional argument 2</x14:argumentDescription>
          </x14:argumentDescriptions>
        </x14:definedName>
        <x14:definedName name="get_fund_premium_rate">
          <x14:argumentDescriptions count="1">
            <x14:argumentDescription index="0">Positional argument 1</x14:argumentDescription>
          </x14:argumentDescriptions>
        </x14:definedName>
        <x14:definedName name="get_rank_value">
          <x14:argumentDescriptions count="2">
            <x14:argumentDescription index="0">Positional argument 1</x14:argumentDescription>
            <x14:argumentDescription index="1">Positional argument 2</x14:argumentDescription>
          </x14:argumentDescriptions>
        </x14:definedName>
        <x14:definedName name="getfund20LJJZ">
          <x14:argumentDescriptions count="1">
            <x14:argumentDescription index="0">Positional argument 1</x14:argumentDescription>
          </x14:argumentDescriptions>
        </x14:definedName>
        <x14:definedName name="rotate_fund_by_premium_rate_and_20net_asset_value">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s>
    </ext>
    <ext xmlns:x14="http://schemas.microsoft.com/office/spreadsheetml/2009/9/main" uri="{79F54976-1DA5-4618-B147-4CDE4B953A38}">
      <x14:workbookPr defaultImageDpi="330"/>
    </ext>
    <ext xmlns:mx="http://schemas.microsoft.com/office/mac/excel/2008/main" uri="{7523E5D3-25F3-A5E0-1632-64F254C22452}">
      <mx:ArchID Flags="2"/>
    </ext>
  </extLst>
</workbook>
</file>

<file path=xl/calcChain.xml><?xml version="1.0" encoding="utf-8"?>
<calcChain xmlns="http://schemas.openxmlformats.org/spreadsheetml/2006/main">
  <c r="O413" i="9" l="1"/>
  <c r="O414" i="9"/>
  <c r="O415" i="9"/>
  <c r="O416" i="9"/>
  <c r="N413" i="6"/>
  <c r="N414" i="6"/>
  <c r="N415" i="6"/>
  <c r="N416" i="6"/>
  <c r="O287" i="9" l="1"/>
  <c r="O288" i="9"/>
  <c r="O289" i="9"/>
  <c r="O290" i="9"/>
  <c r="O291" i="9"/>
  <c r="O292" i="9"/>
  <c r="O293" i="9"/>
  <c r="O294" i="9"/>
  <c r="O295" i="9"/>
  <c r="O296" i="9"/>
  <c r="O297" i="9"/>
  <c r="O298" i="9"/>
  <c r="O299" i="9"/>
  <c r="O300" i="9"/>
  <c r="O301" i="9"/>
  <c r="O302" i="9"/>
  <c r="O303" i="9"/>
  <c r="O304" i="9"/>
  <c r="O305" i="9"/>
  <c r="O306" i="9"/>
  <c r="O307" i="9"/>
  <c r="O308" i="9"/>
  <c r="O309" i="9"/>
  <c r="O310" i="9"/>
  <c r="O311" i="9"/>
  <c r="O312" i="9"/>
  <c r="O313" i="9"/>
  <c r="O314" i="9"/>
  <c r="O315" i="9"/>
  <c r="O316" i="9"/>
  <c r="O317" i="9"/>
  <c r="O318" i="9"/>
  <c r="O319" i="9"/>
  <c r="O320" i="9"/>
  <c r="O321" i="9"/>
  <c r="O322" i="9"/>
  <c r="O323" i="9"/>
  <c r="O324" i="9"/>
  <c r="O325" i="9"/>
  <c r="O326" i="9"/>
  <c r="O327" i="9"/>
  <c r="O328" i="9"/>
  <c r="O329" i="9"/>
  <c r="O330" i="9"/>
  <c r="O331" i="9"/>
  <c r="O332" i="9"/>
  <c r="O333" i="9"/>
  <c r="O334" i="9"/>
  <c r="O335" i="9"/>
  <c r="O336" i="9"/>
  <c r="O337" i="9"/>
  <c r="O338" i="9"/>
  <c r="O339" i="9"/>
  <c r="O340" i="9"/>
  <c r="O341" i="9"/>
  <c r="O342" i="9"/>
  <c r="O343" i="9"/>
  <c r="O344" i="9"/>
  <c r="O345" i="9"/>
  <c r="O346" i="9"/>
  <c r="O347" i="9"/>
  <c r="O348" i="9"/>
  <c r="O349" i="9"/>
  <c r="O350" i="9"/>
  <c r="O351" i="9"/>
  <c r="O352" i="9"/>
  <c r="O353" i="9"/>
  <c r="O354" i="9"/>
  <c r="O355" i="9"/>
  <c r="O356" i="9"/>
  <c r="O357" i="9"/>
  <c r="O358" i="9"/>
  <c r="O359" i="9"/>
  <c r="O360" i="9"/>
  <c r="O361" i="9"/>
  <c r="O362" i="9"/>
  <c r="O363" i="9"/>
  <c r="O364" i="9"/>
  <c r="O365" i="9"/>
  <c r="O366" i="9"/>
  <c r="O367" i="9"/>
  <c r="O368" i="9"/>
  <c r="O369" i="9"/>
  <c r="O370" i="9"/>
  <c r="O371" i="9"/>
  <c r="O372" i="9"/>
  <c r="O373" i="9"/>
  <c r="O374" i="9"/>
  <c r="O375" i="9"/>
  <c r="O376" i="9"/>
  <c r="O377" i="9"/>
  <c r="O378" i="9"/>
  <c r="O379" i="9"/>
  <c r="O380" i="9"/>
  <c r="O381" i="9"/>
  <c r="O382" i="9"/>
  <c r="O383" i="9"/>
  <c r="O384" i="9"/>
  <c r="O385" i="9"/>
  <c r="O386" i="9"/>
  <c r="O387" i="9"/>
  <c r="O388" i="9"/>
  <c r="O389" i="9"/>
  <c r="O390" i="9"/>
  <c r="O391" i="9"/>
  <c r="O392" i="9"/>
  <c r="O393" i="9"/>
  <c r="O394" i="9"/>
  <c r="O395" i="9"/>
  <c r="O396" i="9"/>
  <c r="O397" i="9"/>
  <c r="O398" i="9"/>
  <c r="O399" i="9"/>
  <c r="O400" i="9"/>
  <c r="O401" i="9"/>
  <c r="O402" i="9"/>
  <c r="O403" i="9"/>
  <c r="O404" i="9"/>
  <c r="O405" i="9"/>
  <c r="O406" i="9"/>
  <c r="O407" i="9"/>
  <c r="O408" i="9"/>
  <c r="O409" i="9"/>
  <c r="O410" i="9"/>
  <c r="O411" i="9"/>
  <c r="O412" i="9"/>
  <c r="N293" i="6" l="1"/>
  <c r="N294" i="6"/>
  <c r="N295" i="6"/>
  <c r="N296" i="6"/>
  <c r="N297" i="6"/>
  <c r="N298" i="6"/>
  <c r="N299" i="6"/>
  <c r="N300" i="6"/>
  <c r="N301" i="6"/>
  <c r="N302" i="6"/>
  <c r="N303" i="6"/>
  <c r="N304" i="6"/>
  <c r="N305" i="6"/>
  <c r="N306" i="6"/>
  <c r="N307" i="6"/>
  <c r="N308" i="6"/>
  <c r="N309" i="6"/>
  <c r="N310" i="6"/>
  <c r="N311" i="6"/>
  <c r="N312" i="6"/>
  <c r="N313" i="6"/>
  <c r="N314" i="6"/>
  <c r="N315" i="6"/>
  <c r="N316" i="6"/>
  <c r="N317" i="6"/>
  <c r="N318" i="6"/>
  <c r="N319" i="6"/>
  <c r="N320" i="6"/>
  <c r="N321" i="6"/>
  <c r="N322" i="6"/>
  <c r="N323" i="6"/>
  <c r="N324" i="6"/>
  <c r="N325" i="6"/>
  <c r="N326" i="6"/>
  <c r="N327" i="6"/>
  <c r="N328" i="6"/>
  <c r="N329" i="6"/>
  <c r="N330" i="6"/>
  <c r="N331" i="6"/>
  <c r="N332" i="6"/>
  <c r="N333" i="6"/>
  <c r="N334" i="6"/>
  <c r="N335" i="6"/>
  <c r="N336" i="6"/>
  <c r="N337" i="6"/>
  <c r="N338" i="6"/>
  <c r="N339" i="6"/>
  <c r="N340" i="6"/>
  <c r="N341" i="6"/>
  <c r="N342" i="6"/>
  <c r="N343" i="6"/>
  <c r="N344" i="6"/>
  <c r="N345" i="6"/>
  <c r="N346" i="6"/>
  <c r="N347" i="6"/>
  <c r="N348" i="6"/>
  <c r="N349" i="6"/>
  <c r="N350" i="6"/>
  <c r="N351" i="6"/>
  <c r="N352" i="6"/>
  <c r="N353" i="6"/>
  <c r="N354" i="6"/>
  <c r="N355" i="6"/>
  <c r="N356" i="6"/>
  <c r="N357" i="6"/>
  <c r="N358" i="6"/>
  <c r="N359" i="6"/>
  <c r="N360" i="6"/>
  <c r="N361" i="6"/>
  <c r="N362" i="6"/>
  <c r="N363" i="6"/>
  <c r="N364" i="6"/>
  <c r="N365" i="6"/>
  <c r="N366" i="6"/>
  <c r="N367" i="6"/>
  <c r="N368" i="6"/>
  <c r="N369" i="6"/>
  <c r="N370" i="6"/>
  <c r="N371" i="6"/>
  <c r="N372" i="6"/>
  <c r="N373" i="6"/>
  <c r="N374" i="6"/>
  <c r="N375" i="6"/>
  <c r="N376" i="6"/>
  <c r="N377" i="6"/>
  <c r="N378" i="6"/>
  <c r="N379" i="6"/>
  <c r="N380" i="6"/>
  <c r="N381" i="6"/>
  <c r="N382" i="6"/>
  <c r="N383" i="6"/>
  <c r="N384" i="6"/>
  <c r="N385" i="6"/>
  <c r="N386" i="6"/>
  <c r="N387" i="6"/>
  <c r="N388" i="6"/>
  <c r="N389" i="6"/>
  <c r="N390" i="6"/>
  <c r="N391" i="6"/>
  <c r="N392" i="6"/>
  <c r="N393" i="6"/>
  <c r="N394" i="6"/>
  <c r="N395" i="6"/>
  <c r="N396" i="6"/>
  <c r="N397" i="6"/>
  <c r="N398" i="6"/>
  <c r="N399" i="6"/>
  <c r="N400" i="6"/>
  <c r="N401" i="6"/>
  <c r="N402" i="6"/>
  <c r="N403" i="6"/>
  <c r="N404" i="6"/>
  <c r="N405" i="6"/>
  <c r="N406" i="6"/>
  <c r="N407" i="6"/>
  <c r="N408" i="6"/>
  <c r="N409" i="6"/>
  <c r="N410" i="6"/>
  <c r="N411" i="6"/>
  <c r="N412" i="6"/>
  <c r="D3" i="4" l="1"/>
  <c r="D4" i="4"/>
  <c r="D5" i="4"/>
  <c r="D6" i="4"/>
  <c r="D7" i="4"/>
  <c r="D8" i="4"/>
  <c r="D9" i="4"/>
  <c r="D10" i="4"/>
  <c r="D11" i="4"/>
  <c r="D2" i="4"/>
  <c r="D3" i="3" l="1"/>
  <c r="D4" i="3"/>
  <c r="D5" i="3"/>
  <c r="D6" i="3"/>
  <c r="D7" i="3"/>
  <c r="D8" i="3"/>
  <c r="D2" i="3"/>
  <c r="V4" i="9" l="1"/>
  <c r="V5" i="9"/>
  <c r="V6" i="9"/>
  <c r="V7" i="9"/>
  <c r="V8" i="9"/>
  <c r="V9" i="9"/>
  <c r="V10" i="9"/>
  <c r="V11" i="9"/>
  <c r="V12" i="9"/>
  <c r="V13" i="9"/>
  <c r="V14" i="9"/>
  <c r="V15" i="9"/>
  <c r="V16" i="9"/>
  <c r="V17" i="9"/>
  <c r="V18" i="9"/>
  <c r="V19" i="9"/>
  <c r="V20" i="9"/>
  <c r="V21" i="9"/>
  <c r="V22" i="9"/>
  <c r="V23" i="9"/>
  <c r="V24" i="9"/>
  <c r="V25" i="9"/>
  <c r="V26" i="9"/>
  <c r="V27" i="9"/>
  <c r="V28" i="9"/>
  <c r="V3" i="9"/>
  <c r="O4" i="9"/>
  <c r="O5" i="9"/>
  <c r="O6" i="9"/>
  <c r="O7" i="9"/>
  <c r="O8" i="9"/>
  <c r="O9" i="9"/>
  <c r="O10" i="9"/>
  <c r="O11" i="9"/>
  <c r="O12" i="9"/>
  <c r="O13" i="9"/>
  <c r="O14" i="9"/>
  <c r="O15" i="9"/>
  <c r="O16" i="9"/>
  <c r="O17" i="9"/>
  <c r="O18" i="9"/>
  <c r="O19" i="9"/>
  <c r="O20" i="9"/>
  <c r="O21" i="9"/>
  <c r="O22" i="9"/>
  <c r="O23" i="9"/>
  <c r="O24" i="9"/>
  <c r="O25" i="9"/>
  <c r="O26" i="9"/>
  <c r="O27" i="9"/>
  <c r="O28" i="9"/>
  <c r="O29" i="9"/>
  <c r="O30" i="9"/>
  <c r="O31" i="9"/>
  <c r="O32" i="9"/>
  <c r="O33" i="9"/>
  <c r="O34" i="9"/>
  <c r="O35" i="9"/>
  <c r="O36" i="9"/>
  <c r="O37" i="9"/>
  <c r="O38" i="9"/>
  <c r="O39" i="9"/>
  <c r="O40" i="9"/>
  <c r="O41" i="9"/>
  <c r="O42" i="9"/>
  <c r="O43" i="9"/>
  <c r="O44" i="9"/>
  <c r="O45" i="9"/>
  <c r="O46" i="9"/>
  <c r="O47" i="9"/>
  <c r="O48" i="9"/>
  <c r="O49" i="9"/>
  <c r="O50" i="9"/>
  <c r="O51" i="9"/>
  <c r="O52" i="9"/>
  <c r="O53" i="9"/>
  <c r="O54" i="9"/>
  <c r="O55" i="9"/>
  <c r="O56" i="9"/>
  <c r="O57" i="9"/>
  <c r="O58" i="9"/>
  <c r="O59" i="9"/>
  <c r="O60" i="9"/>
  <c r="O61" i="9"/>
  <c r="O62" i="9"/>
  <c r="O63" i="9"/>
  <c r="O64" i="9"/>
  <c r="O65" i="9"/>
  <c r="O66" i="9"/>
  <c r="O67" i="9"/>
  <c r="O68" i="9"/>
  <c r="O69" i="9"/>
  <c r="O70" i="9"/>
  <c r="O71" i="9"/>
  <c r="O72" i="9"/>
  <c r="O73" i="9"/>
  <c r="O74" i="9"/>
  <c r="O75" i="9"/>
  <c r="O76" i="9"/>
  <c r="O77" i="9"/>
  <c r="O78" i="9"/>
  <c r="O79" i="9"/>
  <c r="O80" i="9"/>
  <c r="O81" i="9"/>
  <c r="O82" i="9"/>
  <c r="O83" i="9"/>
  <c r="O84" i="9"/>
  <c r="O85" i="9"/>
  <c r="O86" i="9"/>
  <c r="O87" i="9"/>
  <c r="O88" i="9"/>
  <c r="O89" i="9"/>
  <c r="O90" i="9"/>
  <c r="O91" i="9"/>
  <c r="O92" i="9"/>
  <c r="O93" i="9"/>
  <c r="O94" i="9"/>
  <c r="O95" i="9"/>
  <c r="O96" i="9"/>
  <c r="O97" i="9"/>
  <c r="O98" i="9"/>
  <c r="O99" i="9"/>
  <c r="O100" i="9"/>
  <c r="O101" i="9"/>
  <c r="O102" i="9"/>
  <c r="O103" i="9"/>
  <c r="O104" i="9"/>
  <c r="O105" i="9"/>
  <c r="O106" i="9"/>
  <c r="O107" i="9"/>
  <c r="O108" i="9"/>
  <c r="O109" i="9"/>
  <c r="O110" i="9"/>
  <c r="O111" i="9"/>
  <c r="O112" i="9"/>
  <c r="O113" i="9"/>
  <c r="O114" i="9"/>
  <c r="O115" i="9"/>
  <c r="O116" i="9"/>
  <c r="O117" i="9"/>
  <c r="O118" i="9"/>
  <c r="O119" i="9"/>
  <c r="O120" i="9"/>
  <c r="O121" i="9"/>
  <c r="O122" i="9"/>
  <c r="O123" i="9"/>
  <c r="O124" i="9"/>
  <c r="O125" i="9"/>
  <c r="O126" i="9"/>
  <c r="O127" i="9"/>
  <c r="O128" i="9"/>
  <c r="O129" i="9"/>
  <c r="O130" i="9"/>
  <c r="O131" i="9"/>
  <c r="O132" i="9"/>
  <c r="O133" i="9"/>
  <c r="O134" i="9"/>
  <c r="O135" i="9"/>
  <c r="O136" i="9"/>
  <c r="O137" i="9"/>
  <c r="O138" i="9"/>
  <c r="O139" i="9"/>
  <c r="O140" i="9"/>
  <c r="O141" i="9"/>
  <c r="O142" i="9"/>
  <c r="O143" i="9"/>
  <c r="O144" i="9"/>
  <c r="O145" i="9"/>
  <c r="O146" i="9"/>
  <c r="O147" i="9"/>
  <c r="O148" i="9"/>
  <c r="O149" i="9"/>
  <c r="O150" i="9"/>
  <c r="O151" i="9"/>
  <c r="O152" i="9"/>
  <c r="O153" i="9"/>
  <c r="O154" i="9"/>
  <c r="O155" i="9"/>
  <c r="O156" i="9"/>
  <c r="O157" i="9"/>
  <c r="O158" i="9"/>
  <c r="O159" i="9"/>
  <c r="O160" i="9"/>
  <c r="O161" i="9"/>
  <c r="O162" i="9"/>
  <c r="O163" i="9"/>
  <c r="O164" i="9"/>
  <c r="O165" i="9"/>
  <c r="O166" i="9"/>
  <c r="O167" i="9"/>
  <c r="O168" i="9"/>
  <c r="O169" i="9"/>
  <c r="O170" i="9"/>
  <c r="O171" i="9"/>
  <c r="O172" i="9"/>
  <c r="O173" i="9"/>
  <c r="O174" i="9"/>
  <c r="O175" i="9"/>
  <c r="O176" i="9"/>
  <c r="O177" i="9"/>
  <c r="O178" i="9"/>
  <c r="O179" i="9"/>
  <c r="O180" i="9"/>
  <c r="O181" i="9"/>
  <c r="O182" i="9"/>
  <c r="O183" i="9"/>
  <c r="O184" i="9"/>
  <c r="O185" i="9"/>
  <c r="O186" i="9"/>
  <c r="O187" i="9"/>
  <c r="O188" i="9"/>
  <c r="O189" i="9"/>
  <c r="O190" i="9"/>
  <c r="O191" i="9"/>
  <c r="O192" i="9"/>
  <c r="O193" i="9"/>
  <c r="O194" i="9"/>
  <c r="O195" i="9"/>
  <c r="O196" i="9"/>
  <c r="O197" i="9"/>
  <c r="O198" i="9"/>
  <c r="O199" i="9"/>
  <c r="O200" i="9"/>
  <c r="O201" i="9"/>
  <c r="O202" i="9"/>
  <c r="O203" i="9"/>
  <c r="O204" i="9"/>
  <c r="O205" i="9"/>
  <c r="O206" i="9"/>
  <c r="O207" i="9"/>
  <c r="O208" i="9"/>
  <c r="O209" i="9"/>
  <c r="O210" i="9"/>
  <c r="O211" i="9"/>
  <c r="O212" i="9"/>
  <c r="O213" i="9"/>
  <c r="O214" i="9"/>
  <c r="O215" i="9"/>
  <c r="O216" i="9"/>
  <c r="O217" i="9"/>
  <c r="O218" i="9"/>
  <c r="O219" i="9"/>
  <c r="O220" i="9"/>
  <c r="O221" i="9"/>
  <c r="O222" i="9"/>
  <c r="O223" i="9"/>
  <c r="O224" i="9"/>
  <c r="O225" i="9"/>
  <c r="O226" i="9"/>
  <c r="O227" i="9"/>
  <c r="O228" i="9"/>
  <c r="O229" i="9"/>
  <c r="O230" i="9"/>
  <c r="O231" i="9"/>
  <c r="O232" i="9"/>
  <c r="O233" i="9"/>
  <c r="O234" i="9"/>
  <c r="O235" i="9"/>
  <c r="O236" i="9"/>
  <c r="O237" i="9"/>
  <c r="O238" i="9"/>
  <c r="O239" i="9"/>
  <c r="O240" i="9"/>
  <c r="O241" i="9"/>
  <c r="O242" i="9"/>
  <c r="O243" i="9"/>
  <c r="O244" i="9"/>
  <c r="O245" i="9"/>
  <c r="O246" i="9"/>
  <c r="O247" i="9"/>
  <c r="O248" i="9"/>
  <c r="O249" i="9"/>
  <c r="O250" i="9"/>
  <c r="O251" i="9"/>
  <c r="O252" i="9"/>
  <c r="O253" i="9"/>
  <c r="O254" i="9"/>
  <c r="O255" i="9"/>
  <c r="O256" i="9"/>
  <c r="O257" i="9"/>
  <c r="O258" i="9"/>
  <c r="O259" i="9"/>
  <c r="O260" i="9"/>
  <c r="O261" i="9"/>
  <c r="O262" i="9"/>
  <c r="O263" i="9"/>
  <c r="O264" i="9"/>
  <c r="O265" i="9"/>
  <c r="O266" i="9"/>
  <c r="O267" i="9"/>
  <c r="O268" i="9"/>
  <c r="O269" i="9"/>
  <c r="O270" i="9"/>
  <c r="O271" i="9"/>
  <c r="O272" i="9"/>
  <c r="O273" i="9"/>
  <c r="O274" i="9"/>
  <c r="O275" i="9"/>
  <c r="O276" i="9"/>
  <c r="O277" i="9"/>
  <c r="O278" i="9"/>
  <c r="O279" i="9"/>
  <c r="O280" i="9"/>
  <c r="O281" i="9"/>
  <c r="O282" i="9"/>
  <c r="O283" i="9"/>
  <c r="O284" i="9"/>
  <c r="O285" i="9"/>
  <c r="O286" i="9"/>
  <c r="O3" i="9"/>
  <c r="N4" i="6"/>
  <c r="N5" i="6"/>
  <c r="N6" i="6"/>
  <c r="N7" i="6"/>
  <c r="N8" i="6"/>
  <c r="N9" i="6"/>
  <c r="N10" i="6"/>
  <c r="N11" i="6"/>
  <c r="N12" i="6"/>
  <c r="N13" i="6"/>
  <c r="N14" i="6"/>
  <c r="N15" i="6"/>
  <c r="N16" i="6"/>
  <c r="N17" i="6"/>
  <c r="N18" i="6"/>
  <c r="N19" i="6"/>
  <c r="N20" i="6"/>
  <c r="N21" i="6"/>
  <c r="N22" i="6"/>
  <c r="N23" i="6"/>
  <c r="N24" i="6"/>
  <c r="N25" i="6"/>
  <c r="N26" i="6"/>
  <c r="N27" i="6"/>
  <c r="N28" i="6"/>
  <c r="N29" i="6"/>
  <c r="N30" i="6"/>
  <c r="N31" i="6"/>
  <c r="N32" i="6"/>
  <c r="N33" i="6"/>
  <c r="N34" i="6"/>
  <c r="N35" i="6"/>
  <c r="N36" i="6"/>
  <c r="N37" i="6"/>
  <c r="N38" i="6"/>
  <c r="N39" i="6"/>
  <c r="N40" i="6"/>
  <c r="N41" i="6"/>
  <c r="N42" i="6"/>
  <c r="N43" i="6"/>
  <c r="N44" i="6"/>
  <c r="N45" i="6"/>
  <c r="N46" i="6"/>
  <c r="N47" i="6"/>
  <c r="N48" i="6"/>
  <c r="N49" i="6"/>
  <c r="N50" i="6"/>
  <c r="N51" i="6"/>
  <c r="N52" i="6"/>
  <c r="N53" i="6"/>
  <c r="N54" i="6"/>
  <c r="N55" i="6"/>
  <c r="N56" i="6"/>
  <c r="N57" i="6"/>
  <c r="N58" i="6"/>
  <c r="N59" i="6"/>
  <c r="N60" i="6"/>
  <c r="N61" i="6"/>
  <c r="N62" i="6"/>
  <c r="N63" i="6"/>
  <c r="N64" i="6"/>
  <c r="N65" i="6"/>
  <c r="N66" i="6"/>
  <c r="N67" i="6"/>
  <c r="N68" i="6"/>
  <c r="N69" i="6"/>
  <c r="N70" i="6"/>
  <c r="N71" i="6"/>
  <c r="N72" i="6"/>
  <c r="N73" i="6"/>
  <c r="N74" i="6"/>
  <c r="N75" i="6"/>
  <c r="N76" i="6"/>
  <c r="N77" i="6"/>
  <c r="N78" i="6"/>
  <c r="N79" i="6"/>
  <c r="N80" i="6"/>
  <c r="N81" i="6"/>
  <c r="N82" i="6"/>
  <c r="N83" i="6"/>
  <c r="N84" i="6"/>
  <c r="N85" i="6"/>
  <c r="N86" i="6"/>
  <c r="N87" i="6"/>
  <c r="N88" i="6"/>
  <c r="N89" i="6"/>
  <c r="N90" i="6"/>
  <c r="N91" i="6"/>
  <c r="N92" i="6"/>
  <c r="N93" i="6"/>
  <c r="N94" i="6"/>
  <c r="N95" i="6"/>
  <c r="N96" i="6"/>
  <c r="N97" i="6"/>
  <c r="N98" i="6"/>
  <c r="N99" i="6"/>
  <c r="N100" i="6"/>
  <c r="N101" i="6"/>
  <c r="N102" i="6"/>
  <c r="N103" i="6"/>
  <c r="N104" i="6"/>
  <c r="N105" i="6"/>
  <c r="N106" i="6"/>
  <c r="N107" i="6"/>
  <c r="N108" i="6"/>
  <c r="N109" i="6"/>
  <c r="N110" i="6"/>
  <c r="N111" i="6"/>
  <c r="N112" i="6"/>
  <c r="N113" i="6"/>
  <c r="N114" i="6"/>
  <c r="N115" i="6"/>
  <c r="N116" i="6"/>
  <c r="N117" i="6"/>
  <c r="N118" i="6"/>
  <c r="N119" i="6"/>
  <c r="N120" i="6"/>
  <c r="N121" i="6"/>
  <c r="N122" i="6"/>
  <c r="N123" i="6"/>
  <c r="N124" i="6"/>
  <c r="N125" i="6"/>
  <c r="N126" i="6"/>
  <c r="N127" i="6"/>
  <c r="N128" i="6"/>
  <c r="N129" i="6"/>
  <c r="N130" i="6"/>
  <c r="N131" i="6"/>
  <c r="N132" i="6"/>
  <c r="N133" i="6"/>
  <c r="N134" i="6"/>
  <c r="N135" i="6"/>
  <c r="N136" i="6"/>
  <c r="N137" i="6"/>
  <c r="N138" i="6"/>
  <c r="N139" i="6"/>
  <c r="N140" i="6"/>
  <c r="N141" i="6"/>
  <c r="N142" i="6"/>
  <c r="N143" i="6"/>
  <c r="N144" i="6"/>
  <c r="N145" i="6"/>
  <c r="N146" i="6"/>
  <c r="N147" i="6"/>
  <c r="N148" i="6"/>
  <c r="N149" i="6"/>
  <c r="N150" i="6"/>
  <c r="N151" i="6"/>
  <c r="N152" i="6"/>
  <c r="N153" i="6"/>
  <c r="N154" i="6"/>
  <c r="N155" i="6"/>
  <c r="N156" i="6"/>
  <c r="N157" i="6"/>
  <c r="N158" i="6"/>
  <c r="N159" i="6"/>
  <c r="N160" i="6"/>
  <c r="N161" i="6"/>
  <c r="N162" i="6"/>
  <c r="N163" i="6"/>
  <c r="N164" i="6"/>
  <c r="N165" i="6"/>
  <c r="N166" i="6"/>
  <c r="N167" i="6"/>
  <c r="N168" i="6"/>
  <c r="N169" i="6"/>
  <c r="N170" i="6"/>
  <c r="N171" i="6"/>
  <c r="N172" i="6"/>
  <c r="N173" i="6"/>
  <c r="N174" i="6"/>
  <c r="N175" i="6"/>
  <c r="N176" i="6"/>
  <c r="N177" i="6"/>
  <c r="N178" i="6"/>
  <c r="N179" i="6"/>
  <c r="N180" i="6"/>
  <c r="N181" i="6"/>
  <c r="N182" i="6"/>
  <c r="N183" i="6"/>
  <c r="N184" i="6"/>
  <c r="N185" i="6"/>
  <c r="N186" i="6"/>
  <c r="N187" i="6"/>
  <c r="N188" i="6"/>
  <c r="N189" i="6"/>
  <c r="N190" i="6"/>
  <c r="N191" i="6"/>
  <c r="N192" i="6"/>
  <c r="N193" i="6"/>
  <c r="N194" i="6"/>
  <c r="N195" i="6"/>
  <c r="N196" i="6"/>
  <c r="N197" i="6"/>
  <c r="N198" i="6"/>
  <c r="N199" i="6"/>
  <c r="N200" i="6"/>
  <c r="N201" i="6"/>
  <c r="N202" i="6"/>
  <c r="N203" i="6"/>
  <c r="N204" i="6"/>
  <c r="N205" i="6"/>
  <c r="N206" i="6"/>
  <c r="N207" i="6"/>
  <c r="N208" i="6"/>
  <c r="N209" i="6"/>
  <c r="N210" i="6"/>
  <c r="N211" i="6"/>
  <c r="N212" i="6"/>
  <c r="N213" i="6"/>
  <c r="N214" i="6"/>
  <c r="N215" i="6"/>
  <c r="N216" i="6"/>
  <c r="N217" i="6"/>
  <c r="N218" i="6"/>
  <c r="N219" i="6"/>
  <c r="N220" i="6"/>
  <c r="N221" i="6"/>
  <c r="N222" i="6"/>
  <c r="N223" i="6"/>
  <c r="N224" i="6"/>
  <c r="N225" i="6"/>
  <c r="N226" i="6"/>
  <c r="N227" i="6"/>
  <c r="N228" i="6"/>
  <c r="N229" i="6"/>
  <c r="N230" i="6"/>
  <c r="N231" i="6"/>
  <c r="N232" i="6"/>
  <c r="N233" i="6"/>
  <c r="N234" i="6"/>
  <c r="N235" i="6"/>
  <c r="N236" i="6"/>
  <c r="N237" i="6"/>
  <c r="N238" i="6"/>
  <c r="N239" i="6"/>
  <c r="N240" i="6"/>
  <c r="N241" i="6"/>
  <c r="N242" i="6"/>
  <c r="N243" i="6"/>
  <c r="N244" i="6"/>
  <c r="N245" i="6"/>
  <c r="N246" i="6"/>
  <c r="N247" i="6"/>
  <c r="N248" i="6"/>
  <c r="N249" i="6"/>
  <c r="N250" i="6"/>
  <c r="N251" i="6"/>
  <c r="N252" i="6"/>
  <c r="N253" i="6"/>
  <c r="N254" i="6"/>
  <c r="N255" i="6"/>
  <c r="N256" i="6"/>
  <c r="N257" i="6"/>
  <c r="N258" i="6"/>
  <c r="N259" i="6"/>
  <c r="N260" i="6"/>
  <c r="N261" i="6"/>
  <c r="N262" i="6"/>
  <c r="N263" i="6"/>
  <c r="N264" i="6"/>
  <c r="N265" i="6"/>
  <c r="N266" i="6"/>
  <c r="N267" i="6"/>
  <c r="N268" i="6"/>
  <c r="N269" i="6"/>
  <c r="N270" i="6"/>
  <c r="N271" i="6"/>
  <c r="N272" i="6"/>
  <c r="N273" i="6"/>
  <c r="N274" i="6"/>
  <c r="N275" i="6"/>
  <c r="N276" i="6"/>
  <c r="N277" i="6"/>
  <c r="N278" i="6"/>
  <c r="N279" i="6"/>
  <c r="N280" i="6"/>
  <c r="N281" i="6"/>
  <c r="N282" i="6"/>
  <c r="N283" i="6"/>
  <c r="N284" i="6"/>
  <c r="N285" i="6"/>
  <c r="N286" i="6"/>
  <c r="N287" i="6"/>
  <c r="N288" i="6"/>
  <c r="N289" i="6"/>
  <c r="N290" i="6"/>
  <c r="N291" i="6"/>
  <c r="N292" i="6"/>
  <c r="N3" i="6"/>
  <c r="D4" i="9" l="1"/>
  <c r="D5" i="9"/>
  <c r="D6" i="9"/>
  <c r="D7" i="9"/>
  <c r="D8" i="9"/>
  <c r="D9" i="9"/>
  <c r="D10" i="9"/>
  <c r="D11" i="9"/>
  <c r="D12" i="9"/>
  <c r="D13" i="9"/>
  <c r="D14" i="9"/>
  <c r="D15" i="9"/>
  <c r="D16" i="9"/>
  <c r="C4" i="9" l="1"/>
  <c r="C5" i="9"/>
  <c r="C6" i="9"/>
  <c r="C7" i="9"/>
  <c r="C8" i="9"/>
  <c r="C9" i="9"/>
  <c r="C10" i="9"/>
  <c r="C11" i="9"/>
  <c r="C12" i="9"/>
  <c r="C13" i="9"/>
  <c r="C14" i="9"/>
  <c r="C15" i="9"/>
  <c r="C16" i="9"/>
  <c r="C3" i="9"/>
  <c r="C4" i="6" l="1"/>
  <c r="C5" i="6"/>
  <c r="C6" i="6"/>
  <c r="C7" i="6"/>
  <c r="C8" i="6"/>
  <c r="C9" i="6"/>
  <c r="C10" i="6"/>
  <c r="C11" i="6"/>
  <c r="C12" i="6"/>
  <c r="C13" i="6"/>
  <c r="C14" i="6"/>
  <c r="C15" i="6"/>
  <c r="C16" i="6"/>
  <c r="C17" i="6"/>
  <c r="C18" i="6"/>
  <c r="C19" i="6"/>
  <c r="C20" i="6"/>
  <c r="C21" i="6"/>
  <c r="C22" i="6"/>
  <c r="C23" i="6"/>
  <c r="C24" i="6"/>
  <c r="C25" i="6"/>
  <c r="C26" i="6"/>
  <c r="C27" i="6"/>
  <c r="C28" i="6"/>
  <c r="C29" i="6"/>
  <c r="C30" i="6"/>
  <c r="C31" i="6"/>
  <c r="C32" i="6"/>
  <c r="C33" i="6"/>
  <c r="C34" i="6"/>
  <c r="C35" i="6"/>
  <c r="C36" i="6"/>
  <c r="C37" i="6"/>
  <c r="C38" i="6"/>
  <c r="C39" i="6"/>
  <c r="C40" i="6"/>
  <c r="C3" i="6"/>
  <c r="U4" i="9" l="1"/>
  <c r="U5" i="9"/>
  <c r="U6" i="9"/>
  <c r="U7" i="9"/>
  <c r="U8" i="9"/>
  <c r="U9" i="9"/>
  <c r="U10" i="9"/>
  <c r="U11" i="9"/>
  <c r="U12" i="9"/>
  <c r="U13" i="9"/>
  <c r="U14" i="9"/>
  <c r="U15" i="9"/>
  <c r="U16" i="9"/>
  <c r="U17" i="9"/>
  <c r="U18" i="9"/>
  <c r="U19" i="9"/>
  <c r="U20" i="9"/>
  <c r="U21" i="9"/>
  <c r="U22" i="9"/>
  <c r="U23" i="9"/>
  <c r="U24" i="9"/>
  <c r="U25" i="9"/>
  <c r="U26" i="9"/>
  <c r="U27" i="9"/>
  <c r="U28" i="9"/>
  <c r="D3" i="9"/>
  <c r="T4" i="6" l="1"/>
  <c r="T5" i="6"/>
  <c r="T6" i="6"/>
  <c r="T7" i="6"/>
  <c r="T8" i="6"/>
  <c r="T9" i="6"/>
  <c r="T10" i="6"/>
  <c r="T11" i="6"/>
  <c r="T12" i="6"/>
  <c r="T13" i="6"/>
  <c r="T14" i="6"/>
  <c r="T15" i="6"/>
  <c r="T16" i="6"/>
  <c r="T17" i="6"/>
  <c r="T18" i="6"/>
  <c r="T19" i="6"/>
  <c r="T20" i="6"/>
  <c r="T21" i="6"/>
  <c r="T22" i="6"/>
  <c r="T23" i="6"/>
  <c r="T24" i="6"/>
  <c r="T25" i="6"/>
  <c r="T26" i="6"/>
  <c r="T27" i="6"/>
  <c r="T28" i="6"/>
  <c r="T29" i="6"/>
  <c r="T30" i="6"/>
  <c r="T31" i="6"/>
  <c r="T32" i="6"/>
  <c r="T33" i="6"/>
  <c r="T34" i="6"/>
  <c r="T35" i="6"/>
  <c r="T36" i="6"/>
  <c r="T37" i="6"/>
  <c r="T3" i="6"/>
  <c r="D4" i="6" l="1"/>
  <c r="D5" i="6"/>
  <c r="D6" i="6"/>
  <c r="D7" i="6"/>
  <c r="D8" i="6"/>
  <c r="D9" i="6"/>
  <c r="D10" i="6"/>
  <c r="D11" i="6"/>
  <c r="D12" i="6"/>
  <c r="D13" i="6"/>
  <c r="D14" i="6"/>
  <c r="D15" i="6"/>
  <c r="D16" i="6"/>
  <c r="D17" i="6"/>
  <c r="D18" i="6"/>
  <c r="D19" i="6"/>
  <c r="D20" i="6"/>
  <c r="D21" i="6"/>
  <c r="D22" i="6"/>
  <c r="D23" i="6"/>
  <c r="D24" i="6"/>
  <c r="D25" i="6"/>
  <c r="D26" i="6"/>
  <c r="D27" i="6"/>
  <c r="D28" i="6"/>
  <c r="D29" i="6"/>
  <c r="D30" i="6"/>
  <c r="D31" i="6"/>
  <c r="D32" i="6"/>
  <c r="D33" i="6"/>
  <c r="D34" i="6"/>
  <c r="D35" i="6"/>
  <c r="D36" i="6"/>
  <c r="D37" i="6"/>
  <c r="D38" i="6"/>
  <c r="D39" i="6"/>
  <c r="D40" i="6"/>
  <c r="D3" i="6"/>
  <c r="E4" i="9" l="1"/>
  <c r="E5" i="9"/>
  <c r="E6" i="9"/>
  <c r="E7" i="9"/>
  <c r="E8" i="9"/>
  <c r="E9" i="9"/>
  <c r="E10" i="9"/>
  <c r="E11" i="9"/>
  <c r="E12" i="9"/>
  <c r="E13" i="9"/>
  <c r="E14" i="9"/>
  <c r="E15" i="9"/>
  <c r="E16" i="9"/>
  <c r="E3" i="9"/>
  <c r="E4" i="6" l="1"/>
  <c r="E5" i="6"/>
  <c r="E6" i="6"/>
  <c r="E7" i="6"/>
  <c r="E8" i="6"/>
  <c r="E9" i="6"/>
  <c r="E10" i="6"/>
  <c r="E11" i="6"/>
  <c r="E12" i="6"/>
  <c r="E13" i="6"/>
  <c r="E14" i="6"/>
  <c r="E15" i="6"/>
  <c r="E16" i="6"/>
  <c r="E17" i="6"/>
  <c r="E18" i="6"/>
  <c r="E19" i="6"/>
  <c r="E20" i="6"/>
  <c r="E21" i="6"/>
  <c r="E22" i="6"/>
  <c r="E23" i="6"/>
  <c r="E24" i="6"/>
  <c r="E25" i="6"/>
  <c r="E26" i="6"/>
  <c r="E27" i="6"/>
  <c r="E28" i="6"/>
  <c r="E29" i="6"/>
  <c r="E30" i="6"/>
  <c r="E31" i="6"/>
  <c r="E32" i="6"/>
  <c r="E33" i="6"/>
  <c r="E34" i="6"/>
  <c r="E35" i="6"/>
  <c r="E36" i="6"/>
  <c r="E37" i="6"/>
  <c r="E38" i="6"/>
  <c r="E39" i="6"/>
  <c r="E40" i="6"/>
  <c r="E3" i="6"/>
  <c r="U4" i="6" l="1"/>
  <c r="U5" i="6"/>
  <c r="U6" i="6"/>
  <c r="U7" i="6"/>
  <c r="U8" i="6"/>
  <c r="U9" i="6"/>
  <c r="U10" i="6"/>
  <c r="U11" i="6"/>
  <c r="U12" i="6"/>
  <c r="U13" i="6"/>
  <c r="U14" i="6"/>
  <c r="U15" i="6"/>
  <c r="U16" i="6"/>
  <c r="U17" i="6"/>
  <c r="U18" i="6"/>
  <c r="U19" i="6"/>
  <c r="U20" i="6"/>
  <c r="U21" i="6"/>
  <c r="U22" i="6"/>
  <c r="U23" i="6"/>
  <c r="U24" i="6"/>
  <c r="U25" i="6"/>
  <c r="U26" i="6"/>
  <c r="U27" i="6"/>
  <c r="U28" i="6"/>
  <c r="U29" i="6"/>
  <c r="U30" i="6"/>
  <c r="U31" i="6"/>
  <c r="U32" i="6"/>
  <c r="U33" i="6"/>
  <c r="U34" i="6"/>
  <c r="U35" i="6"/>
  <c r="U36" i="6"/>
  <c r="U37" i="6"/>
  <c r="U3" i="6"/>
  <c r="U3" i="9" l="1"/>
</calcChain>
</file>

<file path=xl/sharedStrings.xml><?xml version="1.0" encoding="utf-8"?>
<sst xmlns="http://schemas.openxmlformats.org/spreadsheetml/2006/main" count="3958" uniqueCount="2050">
  <si>
    <t>PYTHONPATH</t>
  </si>
  <si>
    <t>UDF Modules</t>
  </si>
  <si>
    <t>Debug UDFs</t>
  </si>
  <si>
    <t>Use UDF Server</t>
  </si>
  <si>
    <t>Instructions:</t>
  </si>
  <si>
    <t>Conda Env</t>
  </si>
  <si>
    <t>When activated, these settings override the settings in the addin (.xlwings/xlwings.conf file in the user directory) and xlwings.conf in the same directory as this Excel file.</t>
  </si>
  <si>
    <t>Conda Path</t>
  </si>
  <si>
    <t>Interpreter_Win</t>
  </si>
  <si>
    <t>Interpreter_Mac</t>
  </si>
  <si>
    <t>If you want to rely on the settings in the addin or an xlwings.conf file, you can delete this sheet.</t>
  </si>
  <si>
    <t>Rename this sheet to "xlwings.conf" to activate it.  The settings have to start in cell A1.</t>
  </si>
  <si>
    <t>If you delete a row from here, it will fall back to the first non-empty value xlwings finds in an xlwings.conf file and otherwise use the default values.</t>
  </si>
  <si>
    <t>python</t>
  </si>
  <si>
    <t>Show Console</t>
  </si>
  <si>
    <t>境外投资</t>
  </si>
  <si>
    <t>嘉实原油</t>
  </si>
  <si>
    <t>博时可转债ETF</t>
  </si>
  <si>
    <t>华宝美国消费A</t>
  </si>
  <si>
    <t>万家强债</t>
  </si>
  <si>
    <t>银华通胀</t>
  </si>
  <si>
    <t>天弘上海金ETF</t>
  </si>
  <si>
    <t>广发上海金ETF</t>
  </si>
  <si>
    <t>中银上海金ETF</t>
  </si>
  <si>
    <t>诺安油气</t>
  </si>
  <si>
    <t>嘉实恒生H股</t>
  </si>
  <si>
    <t>信诚商品</t>
  </si>
  <si>
    <t>华宝油气A</t>
  </si>
  <si>
    <t>国泰商品</t>
  </si>
  <si>
    <t>大成有色金属ETF</t>
  </si>
  <si>
    <t>华夏饲料豆粕ETF</t>
  </si>
  <si>
    <t>交银中国互联</t>
  </si>
  <si>
    <t>华安石油</t>
  </si>
  <si>
    <t>建信能源化工ETF</t>
  </si>
  <si>
    <t>总排名分</t>
  </si>
  <si>
    <t>溢价率</t>
  </si>
  <si>
    <t>20天净值增长率</t>
  </si>
  <si>
    <t>投资种类</t>
  </si>
  <si>
    <t>基金名称</t>
  </si>
  <si>
    <t>基金代码</t>
  </si>
  <si>
    <t>财通福鑫</t>
  </si>
  <si>
    <t>胜达转债</t>
  </si>
  <si>
    <t>百达转债</t>
  </si>
  <si>
    <t>君禾转债</t>
  </si>
  <si>
    <t>荣晟转债</t>
  </si>
  <si>
    <t>嘉泽转债</t>
  </si>
  <si>
    <t>华钰转债</t>
  </si>
  <si>
    <t>宏川转债</t>
  </si>
  <si>
    <t>搜特转债</t>
  </si>
  <si>
    <t>华通转债</t>
  </si>
  <si>
    <t>特一转债</t>
  </si>
  <si>
    <t>兄弟转债</t>
  </si>
  <si>
    <t>洪涛转债</t>
  </si>
  <si>
    <t>海印转债</t>
  </si>
  <si>
    <t>海波转债</t>
  </si>
  <si>
    <t>凯发转债</t>
  </si>
  <si>
    <t>万顺转债</t>
  </si>
  <si>
    <t>现价</t>
  </si>
  <si>
    <t>证券名称</t>
  </si>
  <si>
    <t>证券代码</t>
  </si>
  <si>
    <t>沪工转债</t>
  </si>
  <si>
    <t>尚荣转债</t>
  </si>
  <si>
    <t>英特转债</t>
  </si>
  <si>
    <t>嘉友转债</t>
  </si>
  <si>
    <t>正丹转债</t>
  </si>
  <si>
    <t>塞力转债</t>
  </si>
  <si>
    <t>威派转债</t>
  </si>
  <si>
    <t>精测转债</t>
  </si>
  <si>
    <t>聚飞转债</t>
  </si>
  <si>
    <t>迪龙转债</t>
  </si>
  <si>
    <t>贝斯转债</t>
  </si>
  <si>
    <t>设研转债</t>
  </si>
  <si>
    <t>明电转债</t>
  </si>
  <si>
    <t>岩土转债</t>
  </si>
  <si>
    <t>联得转债</t>
  </si>
  <si>
    <t>北陆转债</t>
  </si>
  <si>
    <t>淳中转债</t>
  </si>
  <si>
    <t>溢利转债</t>
  </si>
  <si>
    <t>永鼎转债</t>
  </si>
  <si>
    <t>今飞转债</t>
  </si>
  <si>
    <t>泉峰转债</t>
  </si>
  <si>
    <t>国祯转债</t>
  </si>
  <si>
    <t>思特转债</t>
  </si>
  <si>
    <t>永安转债</t>
  </si>
  <si>
    <t>起帆转债</t>
  </si>
  <si>
    <t>金能转债</t>
  </si>
  <si>
    <t>正裕转债</t>
  </si>
  <si>
    <t>迪贝转债</t>
  </si>
  <si>
    <t>合兴转债</t>
  </si>
  <si>
    <t>凌钢转债</t>
  </si>
  <si>
    <t>利群转债</t>
  </si>
  <si>
    <t>大禹转债</t>
  </si>
  <si>
    <t>海亮转债</t>
  </si>
  <si>
    <t>嘉美转债</t>
  </si>
  <si>
    <t>英联转债</t>
  </si>
  <si>
    <t>航新转债</t>
  </si>
  <si>
    <t>东风转债</t>
  </si>
  <si>
    <t>哈尔转债</t>
  </si>
  <si>
    <t>亚泰转债</t>
  </si>
  <si>
    <t>白电转债</t>
  </si>
  <si>
    <t>法兰转债</t>
  </si>
  <si>
    <t>济川转债</t>
  </si>
  <si>
    <t>三超转债</t>
  </si>
  <si>
    <t>朗科转债</t>
  </si>
  <si>
    <t>日丰转债</t>
  </si>
  <si>
    <t>景兴转债</t>
  </si>
  <si>
    <t>九典转债</t>
  </si>
  <si>
    <t>健友转债</t>
  </si>
  <si>
    <t>雷迪转债</t>
  </si>
  <si>
    <t>吉视转债</t>
  </si>
  <si>
    <t>奥佳转债</t>
  </si>
  <si>
    <t>灵康转债</t>
  </si>
  <si>
    <t>高澜转债</t>
  </si>
  <si>
    <t>朗新转债</t>
  </si>
  <si>
    <t>耐普转债</t>
  </si>
  <si>
    <t>春秋转债</t>
  </si>
  <si>
    <t>联诚转债</t>
  </si>
  <si>
    <t>锋龙转债</t>
  </si>
  <si>
    <t>维格转债</t>
  </si>
  <si>
    <t>三力转债</t>
  </si>
  <si>
    <t>孚日转债</t>
  </si>
  <si>
    <t>汽模转2</t>
  </si>
  <si>
    <t>宏辉转债</t>
  </si>
  <si>
    <t>利德转债</t>
  </si>
  <si>
    <t>远东转债</t>
  </si>
  <si>
    <t>美力转债</t>
  </si>
  <si>
    <t>万讯转债</t>
  </si>
  <si>
    <t>艾华转债</t>
  </si>
  <si>
    <t>小康转债</t>
  </si>
  <si>
    <t>金轮转债</t>
  </si>
  <si>
    <t>岭南转债</t>
  </si>
  <si>
    <t>新春转债</t>
  </si>
  <si>
    <t>嘉澳转债</t>
  </si>
  <si>
    <t>台华转债</t>
  </si>
  <si>
    <t>盛路转债</t>
  </si>
  <si>
    <t>广电转债</t>
  </si>
  <si>
    <t>宝莱转债</t>
  </si>
  <si>
    <t>模塑转债</t>
  </si>
  <si>
    <t>起步转债</t>
  </si>
  <si>
    <t>科达转债</t>
  </si>
  <si>
    <t>花王转债</t>
  </si>
  <si>
    <t>万孚转债</t>
  </si>
  <si>
    <t>金陵转债</t>
  </si>
  <si>
    <t>联泰转债</t>
  </si>
  <si>
    <t>纵横转债</t>
  </si>
  <si>
    <t>天创转债</t>
  </si>
  <si>
    <t>健帆转债</t>
  </si>
  <si>
    <t>侨银转债</t>
  </si>
  <si>
    <t>太平转债</t>
  </si>
  <si>
    <t>华阳转债</t>
  </si>
  <si>
    <t>江山转债</t>
  </si>
  <si>
    <t>东时转债</t>
  </si>
  <si>
    <t>拓斯转债</t>
  </si>
  <si>
    <t>瀛通转债</t>
  </si>
  <si>
    <t>道恩转债</t>
  </si>
  <si>
    <t>翔鹭转债</t>
  </si>
  <si>
    <t>佳力转债</t>
  </si>
  <si>
    <t>雪榕转债</t>
  </si>
  <si>
    <t>众信转债</t>
  </si>
  <si>
    <t>交建转债</t>
  </si>
  <si>
    <t>强力转债</t>
  </si>
  <si>
    <t>多伦转债</t>
  </si>
  <si>
    <t>久其转债</t>
  </si>
  <si>
    <t>祥鑫转债</t>
  </si>
  <si>
    <t>国光转债</t>
  </si>
  <si>
    <t>智能转债</t>
  </si>
  <si>
    <t>柳药转债</t>
  </si>
  <si>
    <t>开润转债</t>
  </si>
  <si>
    <t>希望转债</t>
  </si>
  <si>
    <t>红相转债</t>
  </si>
  <si>
    <t>科华转债</t>
  </si>
  <si>
    <t>德尔转债</t>
  </si>
  <si>
    <t>华森转债</t>
  </si>
  <si>
    <t>长久转债</t>
  </si>
  <si>
    <t>全筑转债</t>
  </si>
  <si>
    <t>国城转债</t>
  </si>
  <si>
    <t>富瀚转债</t>
  </si>
  <si>
    <t>好客转债</t>
  </si>
  <si>
    <t>卫宁转债</t>
  </si>
  <si>
    <t>正川转债</t>
  </si>
  <si>
    <t>铁汉转债</t>
  </si>
  <si>
    <t>金农转债</t>
  </si>
  <si>
    <t>三诺转债</t>
  </si>
  <si>
    <t>瑞丰转债</t>
  </si>
  <si>
    <t>瑞达转债</t>
  </si>
  <si>
    <t>长集转债</t>
  </si>
  <si>
    <t>洋丰转债</t>
  </si>
  <si>
    <t>永东转债</t>
  </si>
  <si>
    <t>新北转债</t>
  </si>
  <si>
    <t>大丰转债</t>
  </si>
  <si>
    <t>众兴转债</t>
  </si>
  <si>
    <t>维尔转债</t>
  </si>
  <si>
    <t>翔港转债</t>
  </si>
  <si>
    <t>江丰转债</t>
  </si>
  <si>
    <t>万青转债</t>
  </si>
  <si>
    <t>博世转债</t>
  </si>
  <si>
    <t>晶瑞转2</t>
  </si>
  <si>
    <t>弘亚转债</t>
  </si>
  <si>
    <t>新乳转债</t>
  </si>
  <si>
    <t>海环转债</t>
  </si>
  <si>
    <t>兴森转债</t>
  </si>
  <si>
    <t>绿茵转债</t>
  </si>
  <si>
    <t>华源转债</t>
  </si>
  <si>
    <t>未来转债</t>
  </si>
  <si>
    <t>凯中转债</t>
  </si>
  <si>
    <t>游族转债</t>
  </si>
  <si>
    <t>迪森转债</t>
  </si>
  <si>
    <t>思创转债</t>
  </si>
  <si>
    <t>银信转债</t>
  </si>
  <si>
    <t>荣泰转债</t>
  </si>
  <si>
    <t>万兴转债</t>
  </si>
  <si>
    <t>亚太转债</t>
  </si>
  <si>
    <t>天路转债</t>
  </si>
  <si>
    <t>汉得转债</t>
  </si>
  <si>
    <t>大业转债</t>
  </si>
  <si>
    <t>文科转债</t>
  </si>
  <si>
    <t>润达转债</t>
  </si>
  <si>
    <t>特发转2</t>
  </si>
  <si>
    <t>中大转债</t>
  </si>
  <si>
    <t>奇精转债</t>
  </si>
  <si>
    <t>山玻转债</t>
  </si>
  <si>
    <t>皖天转债</t>
  </si>
  <si>
    <t>元力转债</t>
  </si>
  <si>
    <t>奇正转债</t>
  </si>
  <si>
    <t>利民转债</t>
  </si>
  <si>
    <t>濮耐转债</t>
  </si>
  <si>
    <t>晨丰转债</t>
  </si>
  <si>
    <t>世运转债</t>
  </si>
  <si>
    <t>北方转债</t>
  </si>
  <si>
    <t>东湖转债</t>
  </si>
  <si>
    <t>银轮转债</t>
  </si>
  <si>
    <t>拓尔转债</t>
  </si>
  <si>
    <t>超声转债</t>
  </si>
  <si>
    <t>应急转债</t>
  </si>
  <si>
    <t>帝尔转债</t>
  </si>
  <si>
    <t>威唐转债</t>
  </si>
  <si>
    <t>隆华转债</t>
  </si>
  <si>
    <t>靖远转债</t>
  </si>
  <si>
    <t>惠城转债</t>
  </si>
  <si>
    <t>杭电转债</t>
  </si>
  <si>
    <t>金博转债</t>
  </si>
  <si>
    <t>长海转债</t>
  </si>
  <si>
    <t>普利转债</t>
  </si>
  <si>
    <t>龙大转债</t>
  </si>
  <si>
    <t>锦鸡转债</t>
  </si>
  <si>
    <t>彤程转债</t>
  </si>
  <si>
    <t>特纸转债</t>
  </si>
  <si>
    <t>奥飞转债</t>
  </si>
  <si>
    <t>甬金转债</t>
  </si>
  <si>
    <t>珀莱转债</t>
  </si>
  <si>
    <t>华兴转债</t>
  </si>
  <si>
    <t>回盛转债</t>
  </si>
  <si>
    <t>博杰转债</t>
  </si>
  <si>
    <t>是否已买</t>
  </si>
  <si>
    <t>建信港股通ETF</t>
  </si>
  <si>
    <t>中融煤炭</t>
  </si>
  <si>
    <t>银华内需</t>
  </si>
  <si>
    <t>永赢沪深300ETF</t>
  </si>
  <si>
    <t>工银上证50ETF</t>
  </si>
  <si>
    <t>景顺鼎益</t>
  </si>
  <si>
    <t>万家优选</t>
  </si>
  <si>
    <t>兴全绿色</t>
  </si>
  <si>
    <t>泰康沪深300ETF</t>
  </si>
  <si>
    <t>泰康中证500ETF</t>
  </si>
  <si>
    <t>工银中证500ETF</t>
  </si>
  <si>
    <t>兴全模式</t>
  </si>
  <si>
    <t>兴全趋势</t>
  </si>
  <si>
    <t>博时主题</t>
  </si>
  <si>
    <t>兴全合润</t>
  </si>
  <si>
    <t>最新低溢价排名</t>
    <phoneticPr fontId="2" type="noConversion"/>
  </si>
  <si>
    <t>华翔转债</t>
  </si>
  <si>
    <t>城市转债</t>
  </si>
  <si>
    <t>新星转债</t>
  </si>
  <si>
    <t>贵燃转债</t>
  </si>
  <si>
    <t>台21转债</t>
  </si>
  <si>
    <t>佩蒂转债</t>
  </si>
  <si>
    <t>博瑞转债</t>
  </si>
  <si>
    <t>卡倍转债</t>
  </si>
  <si>
    <t>我的低溢价可转债持仓</t>
  </si>
  <si>
    <t>我的双低可转债持仓</t>
    <phoneticPr fontId="2" type="noConversion"/>
  </si>
  <si>
    <t>我的持仓</t>
    <phoneticPr fontId="2" type="noConversion"/>
  </si>
  <si>
    <t>SH501095</t>
  </si>
  <si>
    <t>SZ165513</t>
  </si>
  <si>
    <t>SZ161815</t>
  </si>
  <si>
    <t>SZ163208</t>
  </si>
  <si>
    <t>SZ162411</t>
  </si>
  <si>
    <t>SH506002</t>
  </si>
  <si>
    <t>SH501081</t>
  </si>
  <si>
    <t>SH506003</t>
  </si>
  <si>
    <t>SZ168204</t>
  </si>
  <si>
    <t>SH506005</t>
  </si>
  <si>
    <t>SZ162720</t>
  </si>
  <si>
    <t>SH501078</t>
  </si>
  <si>
    <t>SH506001</t>
  </si>
  <si>
    <t>SZ161724</t>
  </si>
  <si>
    <t>SZ159981</t>
  </si>
  <si>
    <t>SH501073</t>
  </si>
  <si>
    <t>SZ161032</t>
  </si>
  <si>
    <t>SH501075</t>
  </si>
  <si>
    <t>SZ159980</t>
  </si>
  <si>
    <t>SH501080</t>
  </si>
  <si>
    <t>SH501011</t>
  </si>
  <si>
    <t>SH506000</t>
  </si>
  <si>
    <t>SZ161726</t>
  </si>
  <si>
    <t>SZ159891</t>
  </si>
  <si>
    <t>SH516090</t>
  </si>
  <si>
    <t>SZ161914</t>
  </si>
  <si>
    <t>SH501012</t>
  </si>
  <si>
    <t>SH516080</t>
  </si>
  <si>
    <t>SH501076</t>
  </si>
  <si>
    <t>SZ159972</t>
  </si>
  <si>
    <t>SH501082</t>
  </si>
  <si>
    <t>SZ159816</t>
  </si>
  <si>
    <t>SH515950</t>
  </si>
  <si>
    <t>SZ160529</t>
  </si>
  <si>
    <t>SH501009</t>
  </si>
  <si>
    <t>SZ161911</t>
  </si>
  <si>
    <t>SH501079</t>
  </si>
  <si>
    <t>SH511020</t>
  </si>
  <si>
    <t>SH516650</t>
  </si>
  <si>
    <t>SZ163210</t>
  </si>
  <si>
    <t>SH511270</t>
  </si>
  <si>
    <t>SZ160926</t>
  </si>
  <si>
    <t>SH515220</t>
  </si>
  <si>
    <t>SZ159992</t>
  </si>
  <si>
    <t>SZ163418</t>
  </si>
  <si>
    <t>SZ159812</t>
  </si>
  <si>
    <t>SH511060</t>
  </si>
  <si>
    <t>SZ159849</t>
  </si>
  <si>
    <t>SZ159858</t>
  </si>
  <si>
    <t>SZ161912</t>
  </si>
  <si>
    <t>SH588300</t>
  </si>
  <si>
    <t>SH511260</t>
  </si>
  <si>
    <t>SZ160630</t>
  </si>
  <si>
    <t>SH516180</t>
  </si>
  <si>
    <t>SH588380</t>
  </si>
  <si>
    <t>SH516610</t>
  </si>
  <si>
    <t>SZ161903</t>
  </si>
  <si>
    <t>SH516070</t>
  </si>
  <si>
    <t>SZ159863</t>
  </si>
  <si>
    <t>SZ160325</t>
  </si>
  <si>
    <t>SH515120</t>
  </si>
  <si>
    <t>SZ159839</t>
  </si>
  <si>
    <t>SH517120</t>
  </si>
  <si>
    <t>SH501202</t>
  </si>
  <si>
    <t>SH516820</t>
  </si>
  <si>
    <t>SZ159938</t>
  </si>
  <si>
    <t>SH501046</t>
  </si>
  <si>
    <t>SH501085</t>
  </si>
  <si>
    <t>SH501083</t>
  </si>
  <si>
    <t>SZ161024</t>
  </si>
  <si>
    <t>SZ159830</t>
  </si>
  <si>
    <t>SH506006</t>
  </si>
  <si>
    <t>SH588360</t>
  </si>
  <si>
    <t>SZ160225</t>
  </si>
  <si>
    <t>SZ159930</t>
  </si>
  <si>
    <t>SZ160416</t>
  </si>
  <si>
    <t>SH588400</t>
  </si>
  <si>
    <t>SH516060</t>
  </si>
  <si>
    <t>SH518680</t>
  </si>
  <si>
    <t>SZ159782</t>
  </si>
  <si>
    <t>SH501057</t>
  </si>
  <si>
    <t>SZ161028</t>
  </si>
  <si>
    <t>SZ159881</t>
  </si>
  <si>
    <t>SH518890</t>
  </si>
  <si>
    <t>SZ159847</t>
  </si>
  <si>
    <t>SH516910</t>
  </si>
  <si>
    <t>SZ159703</t>
  </si>
  <si>
    <t>SH515590</t>
  </si>
  <si>
    <t>SH515790</t>
  </si>
  <si>
    <t>SZ159885</t>
  </si>
  <si>
    <t>SH518800</t>
  </si>
  <si>
    <t>SZ159861</t>
  </si>
  <si>
    <t>SZ160632</t>
  </si>
  <si>
    <t>SZ159783</t>
  </si>
  <si>
    <t>SZ159838</t>
  </si>
  <si>
    <t>SZ161022</t>
  </si>
  <si>
    <t>SH510170</t>
  </si>
  <si>
    <t>SH511010</t>
  </si>
  <si>
    <t>SH515610</t>
  </si>
  <si>
    <t>SZ159837</t>
  </si>
  <si>
    <t>SH562880</t>
  </si>
  <si>
    <t>SZ161040</t>
  </si>
  <si>
    <t>SH518880</t>
  </si>
  <si>
    <t>SH501205</t>
  </si>
  <si>
    <t>SZ159876</t>
  </si>
  <si>
    <t>SH501029</t>
  </si>
  <si>
    <t>SZ159943</t>
  </si>
  <si>
    <t>SH501208</t>
  </si>
  <si>
    <t>SH512400</t>
  </si>
  <si>
    <t>SZ163406</t>
  </si>
  <si>
    <t>SH515090</t>
  </si>
  <si>
    <t>SH516390</t>
  </si>
  <si>
    <t>SZ159929</t>
  </si>
  <si>
    <t>SH512120</t>
  </si>
  <si>
    <t>SH588330</t>
  </si>
  <si>
    <t>SZ159945</t>
  </si>
  <si>
    <t>SH518660</t>
  </si>
  <si>
    <t>SH510150</t>
  </si>
  <si>
    <t>SH516480</t>
  </si>
  <si>
    <t>SH515960</t>
  </si>
  <si>
    <t>SH588390</t>
  </si>
  <si>
    <t>SZ159937</t>
  </si>
  <si>
    <t>SZ159985</t>
  </si>
  <si>
    <t>SZ159806</t>
  </si>
  <si>
    <t>SZ160505</t>
  </si>
  <si>
    <t>SZ159755</t>
  </si>
  <si>
    <t>SZ159934</t>
  </si>
  <si>
    <t>SZ159808</t>
  </si>
  <si>
    <t>SH518850</t>
  </si>
  <si>
    <t>SH510760</t>
  </si>
  <si>
    <t>SH518600</t>
  </si>
  <si>
    <t>SZ161725</t>
  </si>
  <si>
    <t>SZ159955</t>
  </si>
  <si>
    <t>SH510880</t>
  </si>
  <si>
    <t>SH516660</t>
  </si>
  <si>
    <t>SH516300</t>
  </si>
  <si>
    <t>SZ159824</t>
  </si>
  <si>
    <t>SH501207</t>
  </si>
  <si>
    <t>SH515100</t>
  </si>
  <si>
    <t>SH511880</t>
  </si>
  <si>
    <t>SH516880</t>
  </si>
  <si>
    <t>SH515150</t>
  </si>
  <si>
    <t>SZ159003</t>
  </si>
  <si>
    <t>SH511360</t>
  </si>
  <si>
    <t>SZ159871</t>
  </si>
  <si>
    <t>SZ159005</t>
  </si>
  <si>
    <t>SZ159898</t>
  </si>
  <si>
    <t>SH510530</t>
  </si>
  <si>
    <t>SH511690</t>
  </si>
  <si>
    <t>SH511850</t>
  </si>
  <si>
    <t>SH501077</t>
  </si>
  <si>
    <t>SH510410</t>
  </si>
  <si>
    <t>SZ159903</t>
  </si>
  <si>
    <t>SZ159001</t>
  </si>
  <si>
    <t>SH511660</t>
  </si>
  <si>
    <t>SZ163415</t>
  </si>
  <si>
    <t>SH501054</t>
  </si>
  <si>
    <t>SH512010</t>
  </si>
  <si>
    <t>SH512660</t>
  </si>
  <si>
    <t>SH511990</t>
  </si>
  <si>
    <t>SH516150</t>
  </si>
  <si>
    <t>SH516000</t>
  </si>
  <si>
    <t>SZ159702</t>
  </si>
  <si>
    <t>SH511700</t>
  </si>
  <si>
    <t>SZ167508</t>
  </si>
  <si>
    <t>SZ159957</t>
  </si>
  <si>
    <t>SH512100</t>
  </si>
  <si>
    <t>SZ159886</t>
  </si>
  <si>
    <t>SZ166027</t>
  </si>
  <si>
    <t>SH511810</t>
  </si>
  <si>
    <t>SH512480</t>
  </si>
  <si>
    <t>SZ159813</t>
  </si>
  <si>
    <t>SZ159958</t>
  </si>
  <si>
    <t>SZ159820</t>
  </si>
  <si>
    <t>SH515750</t>
  </si>
  <si>
    <t>SZ162605</t>
  </si>
  <si>
    <t>SH515910</t>
  </si>
  <si>
    <t>SH515030</t>
  </si>
  <si>
    <t>SH512330</t>
  </si>
  <si>
    <t>SH516850</t>
  </si>
  <si>
    <t>SH510660</t>
  </si>
  <si>
    <t>SH516270</t>
  </si>
  <si>
    <t>SZ159801</t>
  </si>
  <si>
    <t>SH510630</t>
  </si>
  <si>
    <t>SZ159949</t>
  </si>
  <si>
    <t>SH516590</t>
  </si>
  <si>
    <t>SZ159827</t>
  </si>
  <si>
    <t>SZ159810</t>
  </si>
  <si>
    <t>SH511030</t>
  </si>
  <si>
    <t>SH512680</t>
  </si>
  <si>
    <t>SH516500</t>
  </si>
  <si>
    <t>SZ159997</t>
  </si>
  <si>
    <t>SH512950</t>
  </si>
  <si>
    <t>SH512890</t>
  </si>
  <si>
    <t>SH516780</t>
  </si>
  <si>
    <t>SH512290</t>
  </si>
  <si>
    <t>SH512170</t>
  </si>
  <si>
    <t>SH512670</t>
  </si>
  <si>
    <t>SZ159948</t>
  </si>
  <si>
    <t>SH516830</t>
  </si>
  <si>
    <t>SZ159872</t>
  </si>
  <si>
    <t>SH516320</t>
  </si>
  <si>
    <t>SH512580</t>
  </si>
  <si>
    <t>SZ161834</t>
  </si>
  <si>
    <t>SZ159974</t>
  </si>
  <si>
    <t>SH515820</t>
  </si>
  <si>
    <t>SZ159995</t>
  </si>
  <si>
    <t>SH516160</t>
  </si>
  <si>
    <t>SH512760</t>
  </si>
  <si>
    <t>SH512280</t>
  </si>
  <si>
    <t>SZ159857</t>
  </si>
  <si>
    <t>SH515210</t>
  </si>
  <si>
    <t>SH512650</t>
  </si>
  <si>
    <t>SZ159781</t>
  </si>
  <si>
    <t>SH516800</t>
  </si>
  <si>
    <t>SH511220</t>
  </si>
  <si>
    <t>SZ159780</t>
  </si>
  <si>
    <t>SH515890</t>
  </si>
  <si>
    <t>SZ162415</t>
  </si>
  <si>
    <t>SH516630</t>
  </si>
  <si>
    <t>SH515500</t>
  </si>
  <si>
    <t>SH512510</t>
  </si>
  <si>
    <t>SZ159873</t>
  </si>
  <si>
    <t>SZ160216</t>
  </si>
  <si>
    <t>SZ159952</t>
  </si>
  <si>
    <t>SZ159828</t>
  </si>
  <si>
    <t>SH512560</t>
  </si>
  <si>
    <t>SH511180</t>
  </si>
  <si>
    <t>SZ163417</t>
  </si>
  <si>
    <t>SZ159928</t>
  </si>
  <si>
    <t>SH515080</t>
  </si>
  <si>
    <t>SH515700</t>
  </si>
  <si>
    <t>SZ159890</t>
  </si>
  <si>
    <t>SH512960</t>
  </si>
  <si>
    <t>SZ159987</t>
  </si>
  <si>
    <t>SH515260</t>
  </si>
  <si>
    <t>SH515180</t>
  </si>
  <si>
    <t>SH516380</t>
  </si>
  <si>
    <t>SH516960</t>
  </si>
  <si>
    <t>SH516510</t>
  </si>
  <si>
    <t>SH502000</t>
  </si>
  <si>
    <t>SZ159883</t>
  </si>
  <si>
    <t>SZ159725</t>
  </si>
  <si>
    <t>SH588180</t>
  </si>
  <si>
    <t>SH512810</t>
  </si>
  <si>
    <t>SH561500</t>
  </si>
  <si>
    <t>SH516950</t>
  </si>
  <si>
    <t>SH512260</t>
  </si>
  <si>
    <t>SH517300</t>
  </si>
  <si>
    <t>SZ159966</t>
  </si>
  <si>
    <t>SZ159819</t>
  </si>
  <si>
    <t>SZ159825</t>
  </si>
  <si>
    <t>SH513900</t>
  </si>
  <si>
    <t>SZ159968</t>
  </si>
  <si>
    <t>SZ159845</t>
  </si>
  <si>
    <t>SZ159843</t>
  </si>
  <si>
    <t>SH512770</t>
  </si>
  <si>
    <t>SH511380</t>
  </si>
  <si>
    <t>SZ159977</t>
  </si>
  <si>
    <t>SH588080</t>
  </si>
  <si>
    <t>SZ159906</t>
  </si>
  <si>
    <t>SZ159750</t>
  </si>
  <si>
    <t>SH515020</t>
  </si>
  <si>
    <t>SZ159835</t>
  </si>
  <si>
    <t>SZ159915</t>
  </si>
  <si>
    <t>SZ159967</t>
  </si>
  <si>
    <t>SH515060</t>
  </si>
  <si>
    <t>SZ159975</t>
  </si>
  <si>
    <t>SH515200</t>
  </si>
  <si>
    <t>SH516020</t>
  </si>
  <si>
    <t>SZ162703</t>
  </si>
  <si>
    <t>SZ159708</t>
  </si>
  <si>
    <t>SH588000</t>
  </si>
  <si>
    <t>SH515280</t>
  </si>
  <si>
    <t>SH515800</t>
  </si>
  <si>
    <t>SH515170</t>
  </si>
  <si>
    <t>SH512690</t>
  </si>
  <si>
    <t>SH515110</t>
  </si>
  <si>
    <t>SH516970</t>
  </si>
  <si>
    <t>SH512590</t>
  </si>
  <si>
    <t>SH515920</t>
  </si>
  <si>
    <t>SH513990</t>
  </si>
  <si>
    <t>SH513980</t>
  </si>
  <si>
    <t>SH516550</t>
  </si>
  <si>
    <t>SH501022</t>
  </si>
  <si>
    <t>SH516760</t>
  </si>
  <si>
    <t>SZ159867</t>
  </si>
  <si>
    <t>SH517080</t>
  </si>
  <si>
    <t>SH515530</t>
  </si>
  <si>
    <t>SZ159969</t>
  </si>
  <si>
    <t>SH588050</t>
  </si>
  <si>
    <t>SH513060</t>
  </si>
  <si>
    <t>SH516680</t>
  </si>
  <si>
    <t>SH516520</t>
  </si>
  <si>
    <t>SH512710</t>
  </si>
  <si>
    <t>SH517050</t>
  </si>
  <si>
    <t>SZ159814</t>
  </si>
  <si>
    <t>SZ159982</t>
  </si>
  <si>
    <t>SH510230</t>
  </si>
  <si>
    <t>SZ159991</t>
  </si>
  <si>
    <t>SZ159601</t>
  </si>
  <si>
    <t>SH501058</t>
  </si>
  <si>
    <t>SH512090</t>
  </si>
  <si>
    <t>SH512600</t>
  </si>
  <si>
    <t>SZ160706</t>
  </si>
  <si>
    <t>SH510180</t>
  </si>
  <si>
    <t>SH588090</t>
  </si>
  <si>
    <t>SH516570</t>
  </si>
  <si>
    <t>SH515320</t>
  </si>
  <si>
    <t>SH510600</t>
  </si>
  <si>
    <t>SH516560</t>
  </si>
  <si>
    <t>SH516700</t>
  </si>
  <si>
    <t>SZ163409</t>
  </si>
  <si>
    <t>SZ161017</t>
  </si>
  <si>
    <t>SH515710</t>
  </si>
  <si>
    <t>SZ159740</t>
  </si>
  <si>
    <t>SZ159807</t>
  </si>
  <si>
    <t>SZ159899</t>
  </si>
  <si>
    <t>SH515070</t>
  </si>
  <si>
    <t>SZ159970</t>
  </si>
  <si>
    <t>SZ159745</t>
  </si>
  <si>
    <t>SH510590</t>
  </si>
  <si>
    <t>SZ159939</t>
  </si>
  <si>
    <t>SZ159922</t>
  </si>
  <si>
    <t>SH515580</t>
  </si>
  <si>
    <t>SZ159908</t>
  </si>
  <si>
    <t>SH510030</t>
  </si>
  <si>
    <t>SH513890</t>
  </si>
  <si>
    <t>SH515000</t>
  </si>
  <si>
    <t>SH512910</t>
  </si>
  <si>
    <t>SH516050</t>
  </si>
  <si>
    <t>SZ159602</t>
  </si>
  <si>
    <t>SH515810</t>
  </si>
  <si>
    <t>SZ159990</t>
  </si>
  <si>
    <t>SH515310</t>
  </si>
  <si>
    <t>SZ159931</t>
  </si>
  <si>
    <t>SZ159741</t>
  </si>
  <si>
    <t>SH515860</t>
  </si>
  <si>
    <t>SH513000</t>
  </si>
  <si>
    <t>SZ159901</t>
  </si>
  <si>
    <t>SZ159852</t>
  </si>
  <si>
    <t>SH512380</t>
  </si>
  <si>
    <t>SH517200</t>
  </si>
  <si>
    <t>SH512730</t>
  </si>
  <si>
    <t>SH516900</t>
  </si>
  <si>
    <t>SH516670</t>
  </si>
  <si>
    <t>SZ159941</t>
  </si>
  <si>
    <t>SH516310</t>
  </si>
  <si>
    <t>SH510810</t>
  </si>
  <si>
    <t>SH510210</t>
  </si>
  <si>
    <t>SZ159902</t>
  </si>
  <si>
    <t>SZ159742</t>
  </si>
  <si>
    <t>SH516110</t>
  </si>
  <si>
    <t>SH515880</t>
  </si>
  <si>
    <t>SH516770</t>
  </si>
  <si>
    <t>SH515930</t>
  </si>
  <si>
    <t>SH513860</t>
  </si>
  <si>
    <t>SH515250</t>
  </si>
  <si>
    <t>SH515770</t>
  </si>
  <si>
    <t>SH510710</t>
  </si>
  <si>
    <t>SH513550</t>
  </si>
  <si>
    <t>SH510500</t>
  </si>
  <si>
    <t>SZ159811</t>
  </si>
  <si>
    <t>SZ163402</t>
  </si>
  <si>
    <t>SZ159919</t>
  </si>
  <si>
    <t>SH512500</t>
  </si>
  <si>
    <t>SZ159940</t>
  </si>
  <si>
    <t>SZ159887</t>
  </si>
  <si>
    <t>SH512520</t>
  </si>
  <si>
    <t>SH515330</t>
  </si>
  <si>
    <t>SH515650</t>
  </si>
  <si>
    <t>SH515290</t>
  </si>
  <si>
    <t>SZ160119</t>
  </si>
  <si>
    <t>SZ159865</t>
  </si>
  <si>
    <t>SH510510</t>
  </si>
  <si>
    <t>SZ161810</t>
  </si>
  <si>
    <t>SH510310</t>
  </si>
  <si>
    <t>SH501090</t>
  </si>
  <si>
    <t>SH512900</t>
  </si>
  <si>
    <t>SH510580</t>
  </si>
  <si>
    <t>SH515900</t>
  </si>
  <si>
    <t>SZ159766</t>
  </si>
  <si>
    <t>SH560050</t>
  </si>
  <si>
    <t>SZ161720</t>
  </si>
  <si>
    <t>SH563000</t>
  </si>
  <si>
    <t>SH513500</t>
  </si>
  <si>
    <t>SH516330</t>
  </si>
  <si>
    <t>SZ159747</t>
  </si>
  <si>
    <t>SH512980</t>
  </si>
  <si>
    <t>SH515350</t>
  </si>
  <si>
    <t>SH515050</t>
  </si>
  <si>
    <t>SH510680</t>
  </si>
  <si>
    <t>SH512160</t>
  </si>
  <si>
    <t>SH515230</t>
  </si>
  <si>
    <t>SZ159996</t>
  </si>
  <si>
    <t>SH510360</t>
  </si>
  <si>
    <t>SH510050</t>
  </si>
  <si>
    <t>SZ159994</t>
  </si>
  <si>
    <t>SZ159870</t>
  </si>
  <si>
    <t>SH513130</t>
  </si>
  <si>
    <t>SH501050</t>
  </si>
  <si>
    <t>SH510800</t>
  </si>
  <si>
    <t>SH513690</t>
  </si>
  <si>
    <t>SH515010</t>
  </si>
  <si>
    <t>SH512990</t>
  </si>
  <si>
    <t>SH512040</t>
  </si>
  <si>
    <t>SH510850</t>
  </si>
  <si>
    <t>SZ159925</t>
  </si>
  <si>
    <t>SH512800</t>
  </si>
  <si>
    <t>SH515400</t>
  </si>
  <si>
    <t>SH515390</t>
  </si>
  <si>
    <t>SZ159905</t>
  </si>
  <si>
    <t>SZ159855</t>
  </si>
  <si>
    <t>SH515560</t>
  </si>
  <si>
    <t>SH512570</t>
  </si>
  <si>
    <t>SH512700</t>
  </si>
  <si>
    <t>SH510300</t>
  </si>
  <si>
    <t>SZ159823</t>
  </si>
  <si>
    <t>SZ159998</t>
  </si>
  <si>
    <t>SH512220</t>
  </si>
  <si>
    <t>SH512070</t>
  </si>
  <si>
    <t>SZ165525</t>
  </si>
  <si>
    <t>SH510390</t>
  </si>
  <si>
    <t>SZ159888</t>
  </si>
  <si>
    <t>SH510100</t>
  </si>
  <si>
    <t>SH515380</t>
  </si>
  <si>
    <t>SH517390</t>
  </si>
  <si>
    <t>SH515130</t>
  </si>
  <si>
    <t>SH510650</t>
  </si>
  <si>
    <t>SH510330</t>
  </si>
  <si>
    <t>SH561300</t>
  </si>
  <si>
    <t>SH513100</t>
  </si>
  <si>
    <t>SZ159848</t>
  </si>
  <si>
    <t>SH510350</t>
  </si>
  <si>
    <t>SH513580</t>
  </si>
  <si>
    <t>SZ164906</t>
  </si>
  <si>
    <t>SH512200</t>
  </si>
  <si>
    <t>SZ159707</t>
  </si>
  <si>
    <t>SH512720</t>
  </si>
  <si>
    <t>SZ159993</t>
  </si>
  <si>
    <t>SH501021</t>
  </si>
  <si>
    <t>SH516010</t>
  </si>
  <si>
    <t>SH513660</t>
  </si>
  <si>
    <t>SH512150</t>
  </si>
  <si>
    <t>SZ159892</t>
  </si>
  <si>
    <t>SZ161005</t>
  </si>
  <si>
    <t>SH515870</t>
  </si>
  <si>
    <t>SH512820</t>
  </si>
  <si>
    <t>SZ159851</t>
  </si>
  <si>
    <t>SH512880</t>
  </si>
  <si>
    <t>SH513010</t>
  </si>
  <si>
    <t>SZ159805</t>
  </si>
  <si>
    <t>SH513880</t>
  </si>
  <si>
    <t>SZ159869</t>
  </si>
  <si>
    <t>SH512000</t>
  </si>
  <si>
    <t>SZ159735</t>
  </si>
  <si>
    <t>SZ159965</t>
  </si>
  <si>
    <t>SZ167301</t>
  </si>
  <si>
    <t>SZ159920</t>
  </si>
  <si>
    <t>SH512750</t>
  </si>
  <si>
    <t>SH516200</t>
  </si>
  <si>
    <t>SH517360</t>
  </si>
  <si>
    <t>SZ159850</t>
  </si>
  <si>
    <t>SH515850</t>
  </si>
  <si>
    <t>SZ159841</t>
  </si>
  <si>
    <t>SH515630</t>
  </si>
  <si>
    <t>SH513600</t>
  </si>
  <si>
    <t>SH513520</t>
  </si>
  <si>
    <t>SZ159842</t>
  </si>
  <si>
    <t>SZ159936</t>
  </si>
  <si>
    <t>SZ161831</t>
  </si>
  <si>
    <t>SH510200</t>
  </si>
  <si>
    <t>SH517350</t>
  </si>
  <si>
    <t>SZ160717</t>
  </si>
  <si>
    <t>SH510900</t>
  </si>
  <si>
    <t>SH513030</t>
  </si>
  <si>
    <t>SZ159856</t>
  </si>
  <si>
    <t>SH513090</t>
  </si>
  <si>
    <t>SH513180</t>
  </si>
  <si>
    <t>SH513330</t>
  </si>
  <si>
    <t>SH513050</t>
  </si>
  <si>
    <t>SZ159605</t>
  </si>
  <si>
    <t>SZ159607</t>
  </si>
  <si>
    <t>SH513360</t>
  </si>
  <si>
    <t>SH513300</t>
  </si>
  <si>
    <t>SZ159822</t>
  </si>
  <si>
    <t>SH513080</t>
  </si>
  <si>
    <t>SZ164824</t>
  </si>
  <si>
    <t>SZ161130</t>
  </si>
  <si>
    <t>SZ160723</t>
  </si>
  <si>
    <t>SZ162719</t>
  </si>
  <si>
    <t>SZ161129</t>
  </si>
  <si>
    <t>SZ161128</t>
  </si>
  <si>
    <t>SZ161127</t>
  </si>
  <si>
    <t>SH501018</t>
  </si>
  <si>
    <t>最新排名</t>
    <phoneticPr fontId="2" type="noConversion"/>
  </si>
  <si>
    <t>盘龙转债</t>
  </si>
  <si>
    <t>精装转债</t>
  </si>
  <si>
    <t>申昊转债</t>
  </si>
  <si>
    <t>盛虹转债</t>
  </si>
  <si>
    <t>苏利转债</t>
  </si>
  <si>
    <t>双箭转债</t>
  </si>
  <si>
    <t>锦浪转债</t>
  </si>
  <si>
    <t>天奈转债</t>
  </si>
  <si>
    <t>铂科转债</t>
  </si>
  <si>
    <t>丝路转债</t>
  </si>
  <si>
    <t>宏丰转债</t>
  </si>
  <si>
    <t>天地转债</t>
  </si>
  <si>
    <t>华正转债</t>
  </si>
  <si>
    <t>豪美转债</t>
  </si>
  <si>
    <t>飞鹿转债</t>
  </si>
  <si>
    <t>美联转债</t>
  </si>
  <si>
    <t>斯莱转债</t>
  </si>
  <si>
    <t>同和转债</t>
  </si>
  <si>
    <t>九洲转2</t>
  </si>
  <si>
    <t>太阳转债</t>
  </si>
  <si>
    <t>利尔转债</t>
  </si>
  <si>
    <t>鸿达转债</t>
  </si>
  <si>
    <t>新天转债</t>
  </si>
  <si>
    <t>华统转债</t>
  </si>
  <si>
    <t>最新VIP排名</t>
    <phoneticPr fontId="2" type="noConversion"/>
  </si>
  <si>
    <t>南方上海金ETF</t>
  </si>
  <si>
    <t>SZ159834</t>
  </si>
  <si>
    <t>最新双低排名</t>
    <phoneticPr fontId="2" type="noConversion"/>
  </si>
  <si>
    <t>湖广转债</t>
  </si>
  <si>
    <t>寿仙转债</t>
  </si>
  <si>
    <t>阿拉转债</t>
  </si>
  <si>
    <t>日经ETF</t>
  </si>
  <si>
    <t>有色ETF</t>
  </si>
  <si>
    <t>能源化工</t>
  </si>
  <si>
    <t>恒生科技</t>
  </si>
  <si>
    <t>最新VIP可转债排名</t>
    <phoneticPr fontId="2" type="noConversion"/>
  </si>
  <si>
    <t>明新转债</t>
  </si>
  <si>
    <t>风语转债</t>
  </si>
  <si>
    <t>震安转债</t>
  </si>
  <si>
    <t>山石转债</t>
  </si>
  <si>
    <t>胜蓝转债</t>
  </si>
  <si>
    <t>聚合转债</t>
  </si>
  <si>
    <t>文灿转债</t>
  </si>
  <si>
    <t>石英转债</t>
  </si>
  <si>
    <t>天铁转债</t>
  </si>
  <si>
    <t>中矿转债</t>
  </si>
  <si>
    <t>金禾转债</t>
  </si>
  <si>
    <t>苏试转债</t>
  </si>
  <si>
    <t>鼎胜转债</t>
  </si>
  <si>
    <t>齐翔转2</t>
  </si>
  <si>
    <t>伊力转债</t>
  </si>
  <si>
    <t>大成上海金ETF</t>
  </si>
  <si>
    <t>SZ159833</t>
  </si>
  <si>
    <t>封闭股基</t>
  </si>
  <si>
    <t>科创华泰</t>
  </si>
  <si>
    <t>科创中金</t>
  </si>
  <si>
    <t>SH506008</t>
  </si>
  <si>
    <t>科创长城</t>
  </si>
  <si>
    <t>SZ184801</t>
  </si>
  <si>
    <t>鹏华前海</t>
  </si>
  <si>
    <t>中欧创业</t>
  </si>
  <si>
    <t>科创基金</t>
  </si>
  <si>
    <t>安信价值</t>
  </si>
  <si>
    <t>创业大成</t>
  </si>
  <si>
    <t>BOCI科创</t>
  </si>
  <si>
    <t>科创中欧</t>
  </si>
  <si>
    <t>兴全合兴</t>
  </si>
  <si>
    <t>科创混合</t>
  </si>
  <si>
    <t>科创主题</t>
  </si>
  <si>
    <t>富国科创</t>
  </si>
  <si>
    <t>创业博时</t>
  </si>
  <si>
    <t>科创板基</t>
  </si>
  <si>
    <t>创业富国</t>
  </si>
  <si>
    <t>科创投资</t>
  </si>
  <si>
    <t>万家创业</t>
  </si>
  <si>
    <t>添富科创</t>
  </si>
  <si>
    <t>科创大成</t>
  </si>
  <si>
    <t>万家科创</t>
  </si>
  <si>
    <t>科创银华</t>
  </si>
  <si>
    <t>科创富国</t>
  </si>
  <si>
    <t>社会责任</t>
  </si>
  <si>
    <t>创业广发</t>
  </si>
  <si>
    <t>东证睿泽</t>
  </si>
  <si>
    <t>科创板BS</t>
  </si>
  <si>
    <t>易基科创</t>
  </si>
  <si>
    <t>科创配置</t>
  </si>
  <si>
    <t>华夏创业</t>
  </si>
  <si>
    <t>科创财通</t>
  </si>
  <si>
    <t>封闭债基</t>
  </si>
  <si>
    <t>诺安纯债</t>
  </si>
  <si>
    <t>指数ETF</t>
  </si>
  <si>
    <t>AIETF</t>
  </si>
  <si>
    <t>A800ETF</t>
  </si>
  <si>
    <t>中银中证800ETF</t>
  </si>
  <si>
    <t>中证500低波ETF</t>
  </si>
  <si>
    <t>可选消费</t>
  </si>
  <si>
    <t>金融ETF</t>
  </si>
  <si>
    <t>申万上证50ETF</t>
  </si>
  <si>
    <t>央视50</t>
  </si>
  <si>
    <t>500等权ETF</t>
  </si>
  <si>
    <t>MSCIETF</t>
  </si>
  <si>
    <t>生物ETF</t>
  </si>
  <si>
    <t>创业板E</t>
  </si>
  <si>
    <t>深成ETF</t>
  </si>
  <si>
    <t>有色ETF基金</t>
  </si>
  <si>
    <t>上证50ETF基金</t>
  </si>
  <si>
    <t>线上消费</t>
  </si>
  <si>
    <t>沪深300添富ETF</t>
  </si>
  <si>
    <t>战略新兴ETF</t>
  </si>
  <si>
    <t>大数据50ETF</t>
  </si>
  <si>
    <t>医疗</t>
  </si>
  <si>
    <t>深证ETF</t>
  </si>
  <si>
    <t>大数据产业ETF</t>
  </si>
  <si>
    <t>深100ET</t>
  </si>
  <si>
    <t>央调ETF</t>
  </si>
  <si>
    <t>价值ETF</t>
  </si>
  <si>
    <t>中证长三角领先</t>
  </si>
  <si>
    <t>长三角ETF</t>
  </si>
  <si>
    <t>一带一路ETF</t>
  </si>
  <si>
    <t>南方300</t>
  </si>
  <si>
    <t>漂亮50ETF</t>
  </si>
  <si>
    <t>车联网</t>
  </si>
  <si>
    <t>创新药业</t>
  </si>
  <si>
    <t>创新100ETF</t>
  </si>
  <si>
    <t>生物科技ETF</t>
  </si>
  <si>
    <t>沪港深300ETF</t>
  </si>
  <si>
    <t>医药50</t>
  </si>
  <si>
    <t>科技ETF基金</t>
  </si>
  <si>
    <t>医药卫生ETF</t>
  </si>
  <si>
    <t>云计算50ETF</t>
  </si>
  <si>
    <t>金融</t>
  </si>
  <si>
    <t>上海国企ETF</t>
  </si>
  <si>
    <t>创业板HX</t>
  </si>
  <si>
    <t>A50ETF</t>
  </si>
  <si>
    <t>沪港深科技ETF</t>
  </si>
  <si>
    <t>有色50ETF</t>
  </si>
  <si>
    <t>有色</t>
  </si>
  <si>
    <t>新材料</t>
  </si>
  <si>
    <t>创新药产业ETF</t>
  </si>
  <si>
    <t>能源</t>
  </si>
  <si>
    <t>平安中证500ETF</t>
  </si>
  <si>
    <t>小盘价值</t>
  </si>
  <si>
    <t>智能消费ETF</t>
  </si>
  <si>
    <t>新能源80ETF</t>
  </si>
  <si>
    <t>300ESGETF</t>
  </si>
  <si>
    <t>智能车</t>
  </si>
  <si>
    <t>信息科技ETF</t>
  </si>
  <si>
    <t>上证券商ETF</t>
  </si>
  <si>
    <t>深成长</t>
  </si>
  <si>
    <t>中概科技ETF</t>
  </si>
  <si>
    <t>智能电动车ETF</t>
  </si>
  <si>
    <t>深100P</t>
  </si>
  <si>
    <t>可持续发展ETF</t>
  </si>
  <si>
    <t>景顺MSCIA股ETF</t>
  </si>
  <si>
    <t>智能制造ETF</t>
  </si>
  <si>
    <t>养老ETF</t>
  </si>
  <si>
    <t>先进制造ETF</t>
  </si>
  <si>
    <t>央企改革ETF</t>
  </si>
  <si>
    <t>农业50</t>
  </si>
  <si>
    <t>浦银创业</t>
  </si>
  <si>
    <t>有色金属</t>
  </si>
  <si>
    <t>创业板ET</t>
  </si>
  <si>
    <t>互联网ETF</t>
  </si>
  <si>
    <t>银行ETF华夏</t>
  </si>
  <si>
    <t>高端装备ETF</t>
  </si>
  <si>
    <t>新材料ETF基金</t>
  </si>
  <si>
    <t>中证800ETF</t>
  </si>
  <si>
    <t>证券行业ETF</t>
  </si>
  <si>
    <t>医疗服务ETF</t>
  </si>
  <si>
    <t>医药健康ETF</t>
  </si>
  <si>
    <t>500ETF基</t>
  </si>
  <si>
    <t>器械ETF</t>
  </si>
  <si>
    <t>创业板RT</t>
  </si>
  <si>
    <t>医疗设备</t>
  </si>
  <si>
    <t>沪港深500ETF基金</t>
  </si>
  <si>
    <t>创蓝筹</t>
  </si>
  <si>
    <t>一带一路国企ETF</t>
  </si>
  <si>
    <t>MSCIA股ETF</t>
  </si>
  <si>
    <t>新能源50ETF</t>
  </si>
  <si>
    <t>创新药ETF易方达</t>
  </si>
  <si>
    <t>软件基金</t>
  </si>
  <si>
    <t>300ETF天弘</t>
  </si>
  <si>
    <t>1000ETF基金</t>
  </si>
  <si>
    <t>创业板BS</t>
  </si>
  <si>
    <t>智能驾驶ETF</t>
  </si>
  <si>
    <t>质量ETF</t>
  </si>
  <si>
    <t>沪港深创新药ETF</t>
  </si>
  <si>
    <t>创新ETF</t>
  </si>
  <si>
    <t>云ETF</t>
  </si>
  <si>
    <t>中小100</t>
  </si>
  <si>
    <t>化工ETF</t>
  </si>
  <si>
    <t>证券ETF易方达</t>
  </si>
  <si>
    <t>基本面50ETF</t>
  </si>
  <si>
    <t>证保ETF</t>
  </si>
  <si>
    <t>央企创新</t>
  </si>
  <si>
    <t>大宗商品ETF</t>
  </si>
  <si>
    <t>央创ETF</t>
  </si>
  <si>
    <t>MSCI中国ETF</t>
  </si>
  <si>
    <t>深100SZ</t>
  </si>
  <si>
    <t>医药50ETF</t>
  </si>
  <si>
    <t>电子ETF</t>
  </si>
  <si>
    <t>沪深300ETF博时</t>
  </si>
  <si>
    <t>高股息ETF</t>
  </si>
  <si>
    <t>平安沪深300ETF</t>
  </si>
  <si>
    <t>科技ETF150</t>
  </si>
  <si>
    <t>红利ETF</t>
  </si>
  <si>
    <t>影视ETF</t>
  </si>
  <si>
    <t>沪深300ETF基金</t>
  </si>
  <si>
    <t>消费ETF基金</t>
  </si>
  <si>
    <t>云计算沪港深ETF</t>
  </si>
  <si>
    <t>食品50ETF</t>
  </si>
  <si>
    <t>MSCIA股ETF易方达</t>
  </si>
  <si>
    <t>化工行业ETF</t>
  </si>
  <si>
    <t>物联网ETF</t>
  </si>
  <si>
    <t>中证500</t>
  </si>
  <si>
    <t>金融地产ETF</t>
  </si>
  <si>
    <t>养殖ETF</t>
  </si>
  <si>
    <t>光伏ETF平安</t>
  </si>
  <si>
    <t>中证医疗</t>
  </si>
  <si>
    <t>智能汽车50ETF</t>
  </si>
  <si>
    <t>5G50ETF</t>
  </si>
  <si>
    <t>创新药指</t>
  </si>
  <si>
    <t>光伏产业</t>
  </si>
  <si>
    <t>人工智能AIETF</t>
  </si>
  <si>
    <t>科技100ETF</t>
  </si>
  <si>
    <t>工银沪深300ETF</t>
  </si>
  <si>
    <t>资源ETF</t>
  </si>
  <si>
    <t>港股通ETF</t>
  </si>
  <si>
    <t>上投摩根MSCIAETF</t>
  </si>
  <si>
    <t>科技龙头ETF</t>
  </si>
  <si>
    <t>金科ETF</t>
  </si>
  <si>
    <t>农业ETF</t>
  </si>
  <si>
    <t>软件ETF</t>
  </si>
  <si>
    <t>中证500指数ETF</t>
  </si>
  <si>
    <t>计算机</t>
  </si>
  <si>
    <t>创大盘</t>
  </si>
  <si>
    <t>券商ETF基金</t>
  </si>
  <si>
    <t>医药龙头ETF</t>
  </si>
  <si>
    <t>机械ETF</t>
  </si>
  <si>
    <t>红利100ETF</t>
  </si>
  <si>
    <t>中证100ETF</t>
  </si>
  <si>
    <t>证券龙头ETF</t>
  </si>
  <si>
    <t>食品饮料</t>
  </si>
  <si>
    <t>低碳ETF</t>
  </si>
  <si>
    <t>医疗创新ETF</t>
  </si>
  <si>
    <t>红利低波ETF</t>
  </si>
  <si>
    <t>中证银行ETF</t>
  </si>
  <si>
    <t>银行龙头ETF</t>
  </si>
  <si>
    <t>银行ETF易方达</t>
  </si>
  <si>
    <t>互联网50ETF</t>
  </si>
  <si>
    <t>证券公司</t>
  </si>
  <si>
    <t>新能源汽车ETF</t>
  </si>
  <si>
    <t>银行业ETF</t>
  </si>
  <si>
    <t>电池ETF基金</t>
  </si>
  <si>
    <t>电子50ETF</t>
  </si>
  <si>
    <t>传媒ETF</t>
  </si>
  <si>
    <t>游戏动漫ETF</t>
  </si>
  <si>
    <t>双创50</t>
  </si>
  <si>
    <t>环保ETF</t>
  </si>
  <si>
    <t>价值100ETF</t>
  </si>
  <si>
    <t>创业大盘</t>
  </si>
  <si>
    <t>上证50ETF博时</t>
  </si>
  <si>
    <t>创业板EF</t>
  </si>
  <si>
    <t>科技50ETF</t>
  </si>
  <si>
    <t>红利ETF博时</t>
  </si>
  <si>
    <t>港股通科技ETF</t>
  </si>
  <si>
    <t>大数据ETF</t>
  </si>
  <si>
    <t>畜牧养殖ETF</t>
  </si>
  <si>
    <t>MSCI中国A股ETF</t>
  </si>
  <si>
    <t>科创创业50ETF</t>
  </si>
  <si>
    <t>民生加银300ETF</t>
  </si>
  <si>
    <t>医疗器械</t>
  </si>
  <si>
    <t>证券ETF建信</t>
  </si>
  <si>
    <t>云计算ETF</t>
  </si>
  <si>
    <t>能源ETF</t>
  </si>
  <si>
    <t>港股消费</t>
  </si>
  <si>
    <t>800ETF</t>
  </si>
  <si>
    <t>生物药</t>
  </si>
  <si>
    <t>科创50ETF基金</t>
  </si>
  <si>
    <t>必选消费ETF</t>
  </si>
  <si>
    <t>房地产ETF基金</t>
  </si>
  <si>
    <t>汽车ETF</t>
  </si>
  <si>
    <t>消费ETF</t>
  </si>
  <si>
    <t>光伏50ETF</t>
  </si>
  <si>
    <t>科创创业ETF</t>
  </si>
  <si>
    <t>有色60</t>
  </si>
  <si>
    <t>互联网50</t>
  </si>
  <si>
    <t>医药ETF</t>
  </si>
  <si>
    <t>ZZ500ETF</t>
  </si>
  <si>
    <t>科技50</t>
  </si>
  <si>
    <t>物流ETF</t>
  </si>
  <si>
    <t>50ETF基金</t>
  </si>
  <si>
    <t>计算机ETF</t>
  </si>
  <si>
    <t>创业板TH</t>
  </si>
  <si>
    <t>红利ETF易方达</t>
  </si>
  <si>
    <t>芯片基金</t>
  </si>
  <si>
    <t>券商ETF</t>
  </si>
  <si>
    <t>港股通100ETF</t>
  </si>
  <si>
    <t>上证50ETF易方达</t>
  </si>
  <si>
    <t>通信ETF</t>
  </si>
  <si>
    <t>中证500ETF易方达</t>
  </si>
  <si>
    <t>新能源ETF易方达</t>
  </si>
  <si>
    <t>食品ETF</t>
  </si>
  <si>
    <t>碳中和龙头ETF</t>
  </si>
  <si>
    <t>5GETF</t>
  </si>
  <si>
    <t>新能汽车</t>
  </si>
  <si>
    <t>上证综指ETF</t>
  </si>
  <si>
    <t>碳中和50ETF</t>
  </si>
  <si>
    <t>双创龙头ETF</t>
  </si>
  <si>
    <t>创新药ETF</t>
  </si>
  <si>
    <t>中证500ETF基金</t>
  </si>
  <si>
    <t>新能车</t>
  </si>
  <si>
    <t>军工ETF基金</t>
  </si>
  <si>
    <t>AI智能</t>
  </si>
  <si>
    <t>地产ETF</t>
  </si>
  <si>
    <t>中证1000</t>
  </si>
  <si>
    <t>医药</t>
  </si>
  <si>
    <t>华安沪深300ETF</t>
  </si>
  <si>
    <t>信息技术</t>
  </si>
  <si>
    <t>生物科技</t>
  </si>
  <si>
    <t>国防军工ETF</t>
  </si>
  <si>
    <t>医疗ETF</t>
  </si>
  <si>
    <t>豆粕ETF</t>
  </si>
  <si>
    <t>银行ETF</t>
  </si>
  <si>
    <t>游戏ETF</t>
  </si>
  <si>
    <t>中证红利ETF</t>
  </si>
  <si>
    <t>智能汽车ETF</t>
  </si>
  <si>
    <t>科技ETF</t>
  </si>
  <si>
    <t>消费50ETF</t>
  </si>
  <si>
    <t>生物医药ETF</t>
  </si>
  <si>
    <t>芯片</t>
  </si>
  <si>
    <t>畜牧ETF</t>
  </si>
  <si>
    <t>龙头券商</t>
  </si>
  <si>
    <t>建材ETF</t>
  </si>
  <si>
    <t>双创ETF</t>
  </si>
  <si>
    <t>上证180ETF</t>
  </si>
  <si>
    <t>港股科技50ETF</t>
  </si>
  <si>
    <t>深红利</t>
  </si>
  <si>
    <t>稀土ETF</t>
  </si>
  <si>
    <t>恒生高股息ETF</t>
  </si>
  <si>
    <t>稀土ETF基金</t>
  </si>
  <si>
    <t>新能汽车ETF</t>
  </si>
  <si>
    <t>证券ETF基金</t>
  </si>
  <si>
    <t>科创板ETF</t>
  </si>
  <si>
    <t>军工ETF易方达</t>
  </si>
  <si>
    <t>创业ETF</t>
  </si>
  <si>
    <t>创50ETF</t>
  </si>
  <si>
    <t>双创50ETF</t>
  </si>
  <si>
    <t>光伏ETF</t>
  </si>
  <si>
    <t>食品饮料ETF</t>
  </si>
  <si>
    <t>深100ETF</t>
  </si>
  <si>
    <t>创新药</t>
  </si>
  <si>
    <t>国防ETF</t>
  </si>
  <si>
    <t>电池ETF</t>
  </si>
  <si>
    <t>上证指数ETF</t>
  </si>
  <si>
    <t>有色金属ETF</t>
  </si>
  <si>
    <t>钢铁ETF</t>
  </si>
  <si>
    <t>国债ETF</t>
  </si>
  <si>
    <t>军工龙头ETF</t>
  </si>
  <si>
    <t>家电ETF</t>
  </si>
  <si>
    <t>证券ETF</t>
  </si>
  <si>
    <t>银行ETF天弘</t>
  </si>
  <si>
    <t>中国A50</t>
  </si>
  <si>
    <t>港股通50ETF</t>
  </si>
  <si>
    <t>银行ETF基金</t>
  </si>
  <si>
    <t>创成长</t>
  </si>
  <si>
    <t>十年国债ETF</t>
  </si>
  <si>
    <t>500ETF</t>
  </si>
  <si>
    <t>新能源ETF</t>
  </si>
  <si>
    <t>基建ETF</t>
  </si>
  <si>
    <t>科创ETF</t>
  </si>
  <si>
    <t>旅游ETF</t>
  </si>
  <si>
    <t>沪深300ETF易方达</t>
  </si>
  <si>
    <t>中证1000ETF</t>
  </si>
  <si>
    <t>证券保险ETF</t>
  </si>
  <si>
    <t>双创基金</t>
  </si>
  <si>
    <t>新能车ETF</t>
  </si>
  <si>
    <t>煤炭ETF</t>
  </si>
  <si>
    <t>芯片ETF</t>
  </si>
  <si>
    <t>500ETF基金</t>
  </si>
  <si>
    <t>科创板50ETF</t>
  </si>
  <si>
    <t>科创创业</t>
  </si>
  <si>
    <t>房地产ETF</t>
  </si>
  <si>
    <t>军工ETF</t>
  </si>
  <si>
    <t>半导体ETF</t>
  </si>
  <si>
    <t>300ETF</t>
  </si>
  <si>
    <t>香港证券ETF</t>
  </si>
  <si>
    <t>酒ETF</t>
  </si>
  <si>
    <t>基建50ETF</t>
  </si>
  <si>
    <t>300ETF基金</t>
  </si>
  <si>
    <t>300增强ETF</t>
  </si>
  <si>
    <t>新能源车ETF</t>
  </si>
  <si>
    <t>MSCI中国A50ETF</t>
  </si>
  <si>
    <t>H股ETF</t>
  </si>
  <si>
    <t>A50</t>
  </si>
  <si>
    <t>科创50ETF</t>
  </si>
  <si>
    <t>中国A50ETF</t>
  </si>
  <si>
    <t>创业板50</t>
  </si>
  <si>
    <t>创业板</t>
  </si>
  <si>
    <t>中证500ETF</t>
  </si>
  <si>
    <t>上证50ETF</t>
  </si>
  <si>
    <t>沪深300ETF</t>
  </si>
  <si>
    <t>黄金ETF</t>
  </si>
  <si>
    <t>黄金9999</t>
  </si>
  <si>
    <t>金ETF</t>
  </si>
  <si>
    <t>黄金基金ETF</t>
  </si>
  <si>
    <t>黄金ETF9999</t>
  </si>
  <si>
    <t>添富快钱</t>
  </si>
  <si>
    <t>场内货币</t>
  </si>
  <si>
    <t>交易货币</t>
  </si>
  <si>
    <t>招商快线</t>
  </si>
  <si>
    <t>理财金H</t>
  </si>
  <si>
    <t>保证金</t>
  </si>
  <si>
    <t>建信添益</t>
  </si>
  <si>
    <t>财富宝E</t>
  </si>
  <si>
    <t>银华日利</t>
  </si>
  <si>
    <t>华宝添益</t>
  </si>
  <si>
    <t>中概互联</t>
  </si>
  <si>
    <t>欧美指数</t>
  </si>
  <si>
    <t>互联中概</t>
  </si>
  <si>
    <t>中国互联</t>
  </si>
  <si>
    <t>标普生物</t>
  </si>
  <si>
    <t>新经济</t>
  </si>
  <si>
    <t>印度基金</t>
  </si>
  <si>
    <t>法国ETF</t>
  </si>
  <si>
    <t>标普500</t>
  </si>
  <si>
    <t>美国消费</t>
  </si>
  <si>
    <t>纳斯达克</t>
  </si>
  <si>
    <t>纳指ETF</t>
  </si>
  <si>
    <t>纳指LOF</t>
  </si>
  <si>
    <t>标普科技</t>
  </si>
  <si>
    <t>教育ETF</t>
  </si>
  <si>
    <t>南方原油</t>
  </si>
  <si>
    <t>商品</t>
  </si>
  <si>
    <t>广发石油</t>
  </si>
  <si>
    <t>华宝油气</t>
  </si>
  <si>
    <t>原油基金</t>
  </si>
  <si>
    <t>石油基金</t>
  </si>
  <si>
    <t>SH508099</t>
  </si>
  <si>
    <t>中关村</t>
  </si>
  <si>
    <t>REITs</t>
  </si>
  <si>
    <t>SH508056</t>
  </si>
  <si>
    <t>普洛斯</t>
  </si>
  <si>
    <t>SH508027</t>
  </si>
  <si>
    <t>东吴苏园</t>
  </si>
  <si>
    <t>SH508018</t>
  </si>
  <si>
    <t>中交REIT</t>
  </si>
  <si>
    <t>SH508006</t>
  </si>
  <si>
    <t>首创水务</t>
  </si>
  <si>
    <t>SH508001</t>
  </si>
  <si>
    <t>浙江杭徽</t>
  </si>
  <si>
    <t>SH508000</t>
  </si>
  <si>
    <t>张江REIT</t>
  </si>
  <si>
    <t>首钢绿能</t>
  </si>
  <si>
    <t>SZ180301</t>
  </si>
  <si>
    <t>盐港REIT</t>
  </si>
  <si>
    <t>SZ180202</t>
  </si>
  <si>
    <t>华夏越秀高速REIT</t>
  </si>
  <si>
    <t>SZ180201</t>
  </si>
  <si>
    <t>广州广河</t>
  </si>
  <si>
    <t>SZ180101</t>
  </si>
  <si>
    <t>蛇口产园</t>
  </si>
  <si>
    <t>股票LOF</t>
  </si>
  <si>
    <t>华夏创新</t>
  </si>
  <si>
    <t>鹏华创新</t>
  </si>
  <si>
    <t>中欧创新</t>
  </si>
  <si>
    <t>银华鑫锐</t>
  </si>
  <si>
    <t>银华鑫盛</t>
  </si>
  <si>
    <t>广发小盘</t>
  </si>
  <si>
    <t>富国天惠</t>
  </si>
  <si>
    <t>兴全合宜</t>
  </si>
  <si>
    <t>指数LOF</t>
  </si>
  <si>
    <t>消费基金</t>
  </si>
  <si>
    <t>煤炭等权</t>
  </si>
  <si>
    <t>50AH</t>
  </si>
  <si>
    <t>南方500</t>
  </si>
  <si>
    <t>新汽车</t>
  </si>
  <si>
    <t>500增强</t>
  </si>
  <si>
    <t>国防LOF</t>
  </si>
  <si>
    <t>新能车C</t>
  </si>
  <si>
    <t>证券基金</t>
  </si>
  <si>
    <t>富国500</t>
  </si>
  <si>
    <t>生物医药</t>
  </si>
  <si>
    <t>酒LOF</t>
  </si>
  <si>
    <t>嘉实300A</t>
  </si>
  <si>
    <t>红利基金</t>
  </si>
  <si>
    <t>中药C</t>
  </si>
  <si>
    <t>煤炭</t>
  </si>
  <si>
    <t>军工</t>
  </si>
  <si>
    <t>新能源车</t>
  </si>
  <si>
    <t>创业</t>
  </si>
  <si>
    <t>保险主题</t>
  </si>
  <si>
    <t>基建工程</t>
  </si>
  <si>
    <t>中药基金</t>
  </si>
  <si>
    <t>白酒基金</t>
  </si>
  <si>
    <t>SZ159779</t>
  </si>
  <si>
    <t>消电50</t>
  </si>
  <si>
    <t>SH517100</t>
  </si>
  <si>
    <t>AH500ETF</t>
  </si>
  <si>
    <t>SH517000</t>
  </si>
  <si>
    <t>沪港深500ETF</t>
  </si>
  <si>
    <t>SH513700</t>
  </si>
  <si>
    <t>香港医药ETF</t>
  </si>
  <si>
    <t>SZ159776</t>
  </si>
  <si>
    <t>医药港股</t>
  </si>
  <si>
    <t>德国ETF</t>
  </si>
  <si>
    <t>SH513680</t>
  </si>
  <si>
    <t>建信H股</t>
  </si>
  <si>
    <t>亚洲指数</t>
  </si>
  <si>
    <t>SH501311</t>
  </si>
  <si>
    <t>新经济HK</t>
  </si>
  <si>
    <t>SZ159960</t>
  </si>
  <si>
    <t>恒生国企</t>
  </si>
  <si>
    <t>香港中小</t>
  </si>
  <si>
    <t>SH501025</t>
  </si>
  <si>
    <t>香港银行</t>
  </si>
  <si>
    <t>恒生中企</t>
  </si>
  <si>
    <t>H股50ETF</t>
  </si>
  <si>
    <t>225ETF</t>
  </si>
  <si>
    <t>港股通综</t>
  </si>
  <si>
    <t>日经225</t>
  </si>
  <si>
    <t>恒生生物</t>
  </si>
  <si>
    <t>H股50</t>
  </si>
  <si>
    <t>港股100</t>
  </si>
  <si>
    <t>港股科技</t>
  </si>
  <si>
    <t>SZ159954</t>
  </si>
  <si>
    <t>恒生通</t>
  </si>
  <si>
    <t>恒指ETF</t>
  </si>
  <si>
    <t>HS科技</t>
  </si>
  <si>
    <t>恒指科技</t>
  </si>
  <si>
    <t>港股通50</t>
  </si>
  <si>
    <t>香港证券</t>
  </si>
  <si>
    <t>恒生ETF</t>
  </si>
  <si>
    <t>恒生医疗</t>
  </si>
  <si>
    <t>恒生互联</t>
  </si>
  <si>
    <t>SZ169106</t>
  </si>
  <si>
    <t>东证创优</t>
  </si>
  <si>
    <t>SH515300</t>
  </si>
  <si>
    <t>红利低波ETF基金</t>
  </si>
  <si>
    <t>货币</t>
  </si>
  <si>
    <t>恒生H股</t>
  </si>
  <si>
    <t>SH588260</t>
  </si>
  <si>
    <t>华安上证科创板新一代信息技术ETF</t>
  </si>
  <si>
    <t>SH588100</t>
  </si>
  <si>
    <t>嘉实上证科创板新一代信息技术ETF</t>
  </si>
  <si>
    <t>SH588060</t>
  </si>
  <si>
    <t>广发上证科创板50成份ETF</t>
  </si>
  <si>
    <t>SH516620</t>
  </si>
  <si>
    <t>国泰中证影视主题ETF</t>
  </si>
  <si>
    <t>SZ159768</t>
  </si>
  <si>
    <t>银华中证内地地产主题ETF</t>
  </si>
  <si>
    <t>SZ159956</t>
  </si>
  <si>
    <t>建信创业板ETF</t>
  </si>
  <si>
    <t>SZ159618</t>
  </si>
  <si>
    <t>华安中证光伏产业ETF</t>
  </si>
  <si>
    <t>SH517330</t>
  </si>
  <si>
    <t>易方达中证长江保护主题ETF</t>
  </si>
  <si>
    <t>SH588280</t>
  </si>
  <si>
    <t>华安上证科创板50ETF</t>
  </si>
  <si>
    <t>SH516640</t>
  </si>
  <si>
    <t>富国中证芯片产业ETF</t>
  </si>
  <si>
    <t>SZ159889</t>
  </si>
  <si>
    <t>国泰中证智能汽车主题ETF</t>
  </si>
  <si>
    <t>SZ159713</t>
  </si>
  <si>
    <t>富国中证稀土产业ETF</t>
  </si>
  <si>
    <t>SZ159864</t>
  </si>
  <si>
    <t>国泰中证光伏产业ETF</t>
  </si>
  <si>
    <t>SZ159795</t>
  </si>
  <si>
    <t>汇添富中证智能汽车主题ETF</t>
  </si>
  <si>
    <t>鹏华0-4年地方政府债ETF</t>
  </si>
  <si>
    <t>SH588150</t>
  </si>
  <si>
    <t>南方上证科创板50ETF</t>
  </si>
  <si>
    <t>SZ159877</t>
  </si>
  <si>
    <t>南方中证全指医疗保健设备与服务ETF</t>
  </si>
  <si>
    <t>SH516350</t>
  </si>
  <si>
    <t>易方达中证芯片产业ETF</t>
  </si>
  <si>
    <t>SH516790</t>
  </si>
  <si>
    <t>华泰柏瑞中证医疗保健ETF</t>
  </si>
  <si>
    <t>SZ159787</t>
  </si>
  <si>
    <t>易方达中证全指建筑材料ETF</t>
  </si>
  <si>
    <t>SZ159728</t>
  </si>
  <si>
    <t>南方国证在线消费ETF</t>
  </si>
  <si>
    <t>SH516860</t>
  </si>
  <si>
    <t>博时金融科技ETF</t>
  </si>
  <si>
    <t>SZ159797</t>
  </si>
  <si>
    <t>汇添富中证全指医疗器械ETF</t>
  </si>
  <si>
    <t>SZ159733</t>
  </si>
  <si>
    <t>景顺中证消费电子ETF</t>
  </si>
  <si>
    <t>SH516100</t>
  </si>
  <si>
    <t>华夏中证金融科技主题ETF</t>
  </si>
  <si>
    <t>海富通上证10年期ETF</t>
  </si>
  <si>
    <t>海富通上证5年期ETF</t>
  </si>
  <si>
    <t>SZ159608</t>
  </si>
  <si>
    <t>广发中证稀有金属主题ETF</t>
  </si>
  <si>
    <t>SH515980</t>
  </si>
  <si>
    <t>华富中证人工智能产业ETF</t>
  </si>
  <si>
    <t>SZ159880</t>
  </si>
  <si>
    <t>鹏华国证有色金属行业ETF</t>
  </si>
  <si>
    <t>SH516190</t>
  </si>
  <si>
    <t>华夏中证文娱传媒ETF</t>
  </si>
  <si>
    <t>SH517800</t>
  </si>
  <si>
    <t>方正富邦沪港深人工智能50ETF</t>
  </si>
  <si>
    <t>鹏华中证5年地债ETF</t>
  </si>
  <si>
    <t>SH516290</t>
  </si>
  <si>
    <t>汇添富中证光伏产业ETF</t>
  </si>
  <si>
    <t>SH516730</t>
  </si>
  <si>
    <t>浦银安盛中证证券公司30ETF</t>
  </si>
  <si>
    <t>SZ159611</t>
  </si>
  <si>
    <t>广发中证全指电力公用事业ETF</t>
  </si>
  <si>
    <t>SZ159769</t>
  </si>
  <si>
    <t>银华中证消费电子主题ETF</t>
  </si>
  <si>
    <t>SH517160</t>
  </si>
  <si>
    <t>南方中证长江保护主题ETF</t>
  </si>
  <si>
    <t>SZ159786</t>
  </si>
  <si>
    <t>银华中证虚拟现实主题ETF</t>
  </si>
  <si>
    <t>SH516920</t>
  </si>
  <si>
    <t>汇添富中证芯片产业ETF</t>
  </si>
  <si>
    <t>SZ159875</t>
  </si>
  <si>
    <t>嘉实中证新能源ETF</t>
  </si>
  <si>
    <t>SH516580</t>
  </si>
  <si>
    <t>博时中证新能源ETF</t>
  </si>
  <si>
    <t>SZ159896</t>
  </si>
  <si>
    <t>南方中证物联网主题ETF</t>
  </si>
  <si>
    <t>SZ159739</t>
  </si>
  <si>
    <t>鹏华中证云计算与大数据主题ETF</t>
  </si>
  <si>
    <t>SZ159743</t>
  </si>
  <si>
    <t>博时湖北新旧动能转换ETF</t>
  </si>
  <si>
    <t>SZ159763</t>
  </si>
  <si>
    <t>建信中证新材料主题ETF</t>
  </si>
  <si>
    <t>SZ159715</t>
  </si>
  <si>
    <t>易方达中证稀土产业ETF</t>
  </si>
  <si>
    <t>SH516750</t>
  </si>
  <si>
    <t>富国中证全指建筑材料ETF</t>
  </si>
  <si>
    <t>SZ159752</t>
  </si>
  <si>
    <t>申万菱信中证内地新能源主题ETF</t>
  </si>
  <si>
    <t>SZ159613</t>
  </si>
  <si>
    <t>嘉实中证信息安全主题ETF</t>
  </si>
  <si>
    <t>SH516720</t>
  </si>
  <si>
    <t>浦银安盛中证ESG120策略ETF</t>
  </si>
  <si>
    <t>SZ159610</t>
  </si>
  <si>
    <t>景顺中证500增强策略ETF</t>
  </si>
  <si>
    <t>SZ159709</t>
  </si>
  <si>
    <t>工银瑞信深证物联网50ETF</t>
  </si>
  <si>
    <t>SZ159790</t>
  </si>
  <si>
    <t>华夏中证内地低碳经济主题ETF</t>
  </si>
  <si>
    <t>SZ159836</t>
  </si>
  <si>
    <t>天弘创业板300ETF</t>
  </si>
  <si>
    <t>SZ159706</t>
  </si>
  <si>
    <t>华安深证100ETF</t>
  </si>
  <si>
    <t>SZ159625</t>
  </si>
  <si>
    <t>嘉实国证绿色电力ETF</t>
  </si>
  <si>
    <t>SZ159716</t>
  </si>
  <si>
    <t>华宝深创100ETF</t>
  </si>
  <si>
    <t>SZ159778</t>
  </si>
  <si>
    <t>鹏华中证工业互联网主题ETF</t>
  </si>
  <si>
    <t>SH516810</t>
  </si>
  <si>
    <t>华夏中证农业主题ETF</t>
  </si>
  <si>
    <t>SH517850</t>
  </si>
  <si>
    <t>汇添富中证沪港深张江自主创新50ETF</t>
  </si>
  <si>
    <t>平安中证5-10年国债活跃券ETF</t>
  </si>
  <si>
    <t>SZ159761</t>
  </si>
  <si>
    <t>国泰中证新材料主题ETF</t>
  </si>
  <si>
    <t>SZ159730</t>
  </si>
  <si>
    <t>博时国证龙头家电ETF</t>
  </si>
  <si>
    <t>SH516890</t>
  </si>
  <si>
    <t>平安中证新材料主题ETF</t>
  </si>
  <si>
    <t>SZ159721</t>
  </si>
  <si>
    <t>永赢深证创新100ETF</t>
  </si>
  <si>
    <t>SZ159798</t>
  </si>
  <si>
    <t>易方达中证消费50ETF</t>
  </si>
  <si>
    <t>海富通上证城投债ETF</t>
  </si>
  <si>
    <t>SZ159736</t>
  </si>
  <si>
    <t>天弘中证食品饮料ETF</t>
  </si>
  <si>
    <t>SZ159770</t>
  </si>
  <si>
    <t>天弘中证机器人ETF</t>
  </si>
  <si>
    <t>海富通上证投资级可转债ETF</t>
  </si>
  <si>
    <t>SH516360</t>
  </si>
  <si>
    <t>华宝新材料ETF</t>
  </si>
  <si>
    <t>SH517030</t>
  </si>
  <si>
    <t>易方达中证沪港深300ETF</t>
  </si>
  <si>
    <t>SH515450</t>
  </si>
  <si>
    <t>南方中国A股大盘红利低波50ETF</t>
  </si>
  <si>
    <t>海富通中证短融ETF</t>
  </si>
  <si>
    <t>SZ159773</t>
  </si>
  <si>
    <t>华泰柏瑞创业板科技ETF</t>
  </si>
  <si>
    <t>SZ159606</t>
  </si>
  <si>
    <t>易方达中证500质量成长ETF</t>
  </si>
  <si>
    <t>SZ159791</t>
  </si>
  <si>
    <t>华夏沪深300ESG基准ETF</t>
  </si>
  <si>
    <t>SH516130</t>
  </si>
  <si>
    <t>华宝中证消费龙头ETF</t>
  </si>
  <si>
    <t>平安中债债利差因子ETF</t>
  </si>
  <si>
    <t>SH515780</t>
  </si>
  <si>
    <t>浦银安盛MSCI中国A股ETF</t>
  </si>
  <si>
    <t>SZ159732</t>
  </si>
  <si>
    <t>华夏国证消费电子主题ETF</t>
  </si>
  <si>
    <t>SH516690</t>
  </si>
  <si>
    <t>银华中证细分化工产业主题ETF</t>
  </si>
  <si>
    <t>SZ159895</t>
  </si>
  <si>
    <t>易方达中证物联网主题ETF</t>
  </si>
  <si>
    <t>SZ159853</t>
  </si>
  <si>
    <t>南方中证科技100ETF</t>
  </si>
  <si>
    <t>SH510440</t>
  </si>
  <si>
    <t>大成中证500沪市ETF</t>
  </si>
  <si>
    <t>SH516120</t>
  </si>
  <si>
    <t>富国中证细分化工产业主题ETF</t>
  </si>
  <si>
    <t>SZ159757</t>
  </si>
  <si>
    <t>景顺长城国证新能源车电池ETF</t>
  </si>
  <si>
    <t>SZ159720</t>
  </si>
  <si>
    <t>泰康中证智能电动汽车ETF</t>
  </si>
  <si>
    <t>SZ159701</t>
  </si>
  <si>
    <t>招商中证物联网主题ETF</t>
  </si>
  <si>
    <t>SZ159796</t>
  </si>
  <si>
    <t>汇添富中证电池主题ETF</t>
  </si>
  <si>
    <t>SZ159710</t>
  </si>
  <si>
    <t>建信中证智能电动汽车ETF</t>
  </si>
  <si>
    <t>SZ159789</t>
  </si>
  <si>
    <t>建信中证饮料主题ETF</t>
  </si>
  <si>
    <t>SH517760</t>
  </si>
  <si>
    <t>浦银安盛中证沪港深消费龙头ETF</t>
  </si>
  <si>
    <t>SZ159862</t>
  </si>
  <si>
    <t>银华中证细分食品饮料产业主题ETF</t>
  </si>
  <si>
    <t>SH516710</t>
  </si>
  <si>
    <t>华夏中证新材料主题ETF</t>
  </si>
  <si>
    <t>前海开源黄金ETF</t>
  </si>
  <si>
    <t>SH516220</t>
  </si>
  <si>
    <t>国泰中证细分化工产业主题ETF</t>
  </si>
  <si>
    <t>SZ159831</t>
  </si>
  <si>
    <t>嘉实上海金ETF</t>
  </si>
  <si>
    <t>SZ159983</t>
  </si>
  <si>
    <t>华夏粤港澳大湾区创新100ETF</t>
  </si>
  <si>
    <t>工银瑞信黄金ETF</t>
  </si>
  <si>
    <t>SH516600</t>
  </si>
  <si>
    <t>工银瑞信中证消费服务领先ETF</t>
  </si>
  <si>
    <t>SZ159767</t>
  </si>
  <si>
    <t>兴银国证新能源车电池ETF</t>
  </si>
  <si>
    <t>SH517770</t>
  </si>
  <si>
    <t>浦银安盛中证沪港深游戏及文化传媒ETF</t>
  </si>
  <si>
    <t>SH510990</t>
  </si>
  <si>
    <t>工银瑞信中证180ESGETF</t>
  </si>
  <si>
    <t>SH516210</t>
  </si>
  <si>
    <t>华安中证银行ETF</t>
  </si>
  <si>
    <t>SZ159840</t>
  </si>
  <si>
    <t>工银瑞信国证新能源车电池ETF</t>
  </si>
  <si>
    <t>SZ159775</t>
  </si>
  <si>
    <t>建信国证新能源车电池ETF</t>
  </si>
  <si>
    <t>SZ159760</t>
  </si>
  <si>
    <t>泰康国证公共卫生与健康ETF</t>
  </si>
  <si>
    <t>SZ159923</t>
  </si>
  <si>
    <t>大成中证100ETF</t>
  </si>
  <si>
    <t>SH517180</t>
  </si>
  <si>
    <t>南方富时中国国企开放共赢ETF</t>
  </si>
  <si>
    <t>SZ159731</t>
  </si>
  <si>
    <t>华夏中证石化产业ETF</t>
  </si>
  <si>
    <t>SH515600</t>
  </si>
  <si>
    <t>广发央企创新ETF</t>
  </si>
  <si>
    <t>SZ159723</t>
  </si>
  <si>
    <t>汇添富中证沪港深科技龙头ETF</t>
  </si>
  <si>
    <t>SZ159976</t>
  </si>
  <si>
    <t>工银粤港澳大湾区创新100ETF</t>
  </si>
  <si>
    <t>SH517960</t>
  </si>
  <si>
    <t>上投摩根中证沪港深科技100ETF</t>
  </si>
  <si>
    <t>SZ159859</t>
  </si>
  <si>
    <t>天弘国证生物医药ETF</t>
  </si>
  <si>
    <t>SZ159738</t>
  </si>
  <si>
    <t>华泰柏瑞中证沪港深云计算产业ETF</t>
  </si>
  <si>
    <t>SH512550</t>
  </si>
  <si>
    <t>嘉实富时中国A50ETF</t>
  </si>
  <si>
    <t>SH517660</t>
  </si>
  <si>
    <t>天弘中证沪港深物联网主题ETF</t>
  </si>
  <si>
    <t>SH516930</t>
  </si>
  <si>
    <t>民生加银中证生物科技主题ETF</t>
  </si>
  <si>
    <t>SZ159619</t>
  </si>
  <si>
    <t>国泰中证基建ETF</t>
  </si>
  <si>
    <t>SH517170</t>
  </si>
  <si>
    <t>华夏中证沪港深500ETF</t>
  </si>
  <si>
    <t>SZ159726</t>
  </si>
  <si>
    <t>华夏恒生中国内地企业高股息率ETF</t>
  </si>
  <si>
    <t>SZ159758</t>
  </si>
  <si>
    <t>华夏中证红利质量ETF</t>
  </si>
  <si>
    <t>SZ159793</t>
  </si>
  <si>
    <t>平安中证沪港深线上消费主题ETF</t>
  </si>
  <si>
    <t>SH517090</t>
  </si>
  <si>
    <t>国泰富时中国国企开放共赢ETF</t>
  </si>
  <si>
    <t>SH516530</t>
  </si>
  <si>
    <t>银华中证现代物流ETF</t>
  </si>
  <si>
    <t>SH517880</t>
  </si>
  <si>
    <t>华泰柏瑞中证品牌消费50ETF</t>
  </si>
  <si>
    <t>SH513530</t>
  </si>
  <si>
    <t>华泰柏瑞中证港股通高股息投资ETF(QDII)</t>
  </si>
  <si>
    <t>SH517280</t>
  </si>
  <si>
    <t>天弘中证沪港深线上消费主题ETF</t>
  </si>
  <si>
    <t>SH517550</t>
  </si>
  <si>
    <t>招商中证沪港深消费龙头ETF</t>
  </si>
  <si>
    <t>SH517270</t>
  </si>
  <si>
    <t>浦银安盛中证沪港深科技龙头ETF</t>
  </si>
  <si>
    <t>SZ159821</t>
  </si>
  <si>
    <t>中银证券创业板ETF</t>
  </si>
  <si>
    <t>SH517110</t>
  </si>
  <si>
    <t>国泰中证沪港深创新药产业ETF</t>
  </si>
  <si>
    <t>SZ159729</t>
  </si>
  <si>
    <t>汇添富中证沪港深互联网ETF</t>
  </si>
  <si>
    <t>SH517990</t>
  </si>
  <si>
    <t>招商中证沪港深500医药卫生ETF</t>
  </si>
  <si>
    <t>SZ159788</t>
  </si>
  <si>
    <t>易方达中证港股通中国100ETF</t>
  </si>
  <si>
    <t>SH513590</t>
  </si>
  <si>
    <t>鹏华中证港股通消费主题ETF</t>
  </si>
  <si>
    <t>SZ159748</t>
  </si>
  <si>
    <t>富国沪港深创新药产业ETF</t>
  </si>
  <si>
    <t>SH513320</t>
  </si>
  <si>
    <t>易方达恒生港股通新经济ETF</t>
  </si>
  <si>
    <t>SZ159718</t>
  </si>
  <si>
    <t>平安中证港股通医药卫生综合ETF</t>
  </si>
  <si>
    <t>SH513160</t>
  </si>
  <si>
    <t>银华恒生港股通中国科技ETF</t>
  </si>
  <si>
    <t>SZ159792</t>
  </si>
  <si>
    <t>富国中证港股通互联网ETF</t>
  </si>
  <si>
    <t>SH513020</t>
  </si>
  <si>
    <t>国泰中证港股通科技ETF</t>
  </si>
  <si>
    <t>SZ159712</t>
  </si>
  <si>
    <t>国泰中证港股通50ETF</t>
  </si>
  <si>
    <t>SZ159751</t>
  </si>
  <si>
    <t>鹏华中证港股通科技ETF</t>
  </si>
  <si>
    <t>SH513960</t>
  </si>
  <si>
    <t>博时中证港股通消费主题ETF</t>
  </si>
  <si>
    <t>SZ159711</t>
  </si>
  <si>
    <t>华夏中证港股通50ETF</t>
  </si>
  <si>
    <t>SH517380</t>
  </si>
  <si>
    <t>天弘恒生沪深港创新药精选50ETF</t>
  </si>
  <si>
    <t>SH513230</t>
  </si>
  <si>
    <t>华夏中证港股通消费主题ETF</t>
  </si>
  <si>
    <t>SH513070</t>
  </si>
  <si>
    <t>易方达中证港股通消费主题ETF</t>
  </si>
  <si>
    <t>SH513770</t>
  </si>
  <si>
    <t>华宝中证港股通互联网ETF</t>
  </si>
  <si>
    <t>SH513200</t>
  </si>
  <si>
    <t>易方达中证港股通医药卫生综合ETF</t>
  </si>
  <si>
    <t>SH513150</t>
  </si>
  <si>
    <t>华泰柏瑞港股通科技ETF</t>
  </si>
  <si>
    <t>SH513380</t>
  </si>
  <si>
    <t>广发恒生科技(QDII-ETF)</t>
  </si>
  <si>
    <t>上投摩根恒生科技ETF(QDII)</t>
  </si>
  <si>
    <t>招商中证香港科技ETF(QDII)</t>
  </si>
  <si>
    <t>南方中证香港科技ETF(QDII)</t>
  </si>
  <si>
    <t>SZ159719</t>
  </si>
  <si>
    <t>平安富时中国国企开放共赢ETF</t>
  </si>
  <si>
    <t>SH561910</t>
  </si>
  <si>
    <t>招商中证电池主题ETF</t>
  </si>
  <si>
    <t>SH560660</t>
  </si>
  <si>
    <t>新华中证云计算50ETF</t>
  </si>
  <si>
    <t>SH561900</t>
  </si>
  <si>
    <t>招商沪深300ESG基准ETF</t>
  </si>
  <si>
    <t>SH560500</t>
  </si>
  <si>
    <t>鹏扬中证500质量成长ETF</t>
  </si>
  <si>
    <t>SH561800</t>
  </si>
  <si>
    <t>华富中证稀有金属主题ETF</t>
  </si>
  <si>
    <t>SH560560</t>
  </si>
  <si>
    <t>泰康中证内地低碳经济ETF</t>
  </si>
  <si>
    <t>SH560000</t>
  </si>
  <si>
    <t>浦银安盛中证智能电动汽车ETF</t>
  </si>
  <si>
    <t>SH562800</t>
  </si>
  <si>
    <t>嘉实中证稀有金属主题ETF</t>
  </si>
  <si>
    <t>SH562360</t>
  </si>
  <si>
    <t>银华中证机器人ETF</t>
  </si>
  <si>
    <t>SH561130</t>
  </si>
  <si>
    <t>富国中证新华社民族品牌工程ETF</t>
  </si>
  <si>
    <t>SH561350</t>
  </si>
  <si>
    <t>国泰中证500ETF</t>
  </si>
  <si>
    <t>SH561600</t>
  </si>
  <si>
    <t>平安中证消费电子主题ETF</t>
  </si>
  <si>
    <t>SH562910</t>
  </si>
  <si>
    <t>易方达中证装备产业ETF</t>
  </si>
  <si>
    <t>SH561120</t>
  </si>
  <si>
    <t>富国中证全指家用电器ETF</t>
  </si>
  <si>
    <t>SH561550</t>
  </si>
  <si>
    <t>华泰柏瑞中证500增强策略ETF</t>
  </si>
  <si>
    <t>SH562950</t>
  </si>
  <si>
    <t>易方达中证消费电子主题ETF</t>
  </si>
  <si>
    <t>SH562500</t>
  </si>
  <si>
    <t>华夏中证机器人ETF</t>
  </si>
  <si>
    <t>SH561310</t>
  </si>
  <si>
    <t>国泰中证消费电子主题ETF</t>
  </si>
  <si>
    <t>SH562900</t>
  </si>
  <si>
    <t>易方达中证现代农业主题ETF</t>
  </si>
  <si>
    <t>SH561990</t>
  </si>
  <si>
    <t>招商沪深300增强策略ETF</t>
  </si>
  <si>
    <t>SH562510</t>
  </si>
  <si>
    <t>华夏中证旅游主题ETF</t>
  </si>
  <si>
    <t>SH560800</t>
  </si>
  <si>
    <t>鹏扬中证数字经济主题ETF</t>
  </si>
  <si>
    <t>SH561100</t>
  </si>
  <si>
    <t>富国中证消费电子主题ETF</t>
  </si>
  <si>
    <t>SH562300</t>
  </si>
  <si>
    <t>银华中证内地低碳经济主题ETF</t>
  </si>
  <si>
    <t>SH560100</t>
  </si>
  <si>
    <t>南方中证500增强策略ETF</t>
  </si>
  <si>
    <t>SH562520</t>
  </si>
  <si>
    <t>华夏中证智选1000成长创新策略ETF</t>
  </si>
  <si>
    <t>SH560880</t>
  </si>
  <si>
    <t>广发中证全指家用电器ETF</t>
  </si>
  <si>
    <t>SZ159612</t>
  </si>
  <si>
    <t>国泰标普500(QDII-ETF)</t>
  </si>
  <si>
    <t>SH561560</t>
  </si>
  <si>
    <t>华泰柏瑞中证全指电力公用事业ETF</t>
  </si>
  <si>
    <t>20天净值增长率排名分</t>
  </si>
  <si>
    <t>溢价率排名分</t>
  </si>
  <si>
    <t>成交额(万元)</t>
  </si>
  <si>
    <t>股票ETF</t>
  </si>
  <si>
    <t>最新排名</t>
    <phoneticPr fontId="2" type="noConversion"/>
  </si>
  <si>
    <t>持仓排名</t>
    <phoneticPr fontId="2" type="noConversion"/>
  </si>
  <si>
    <t>持仓排名</t>
    <phoneticPr fontId="2" type="noConversion"/>
  </si>
  <si>
    <t>上投恒生科技ETF</t>
  </si>
  <si>
    <t>广发互联网30ETF</t>
  </si>
  <si>
    <t>招商科技ETF</t>
  </si>
  <si>
    <t>南方科技ETF</t>
  </si>
  <si>
    <t>大成恒生科技ETF</t>
  </si>
  <si>
    <t>华夏恒生中国ETF</t>
  </si>
  <si>
    <t>嘉实恒生ETF</t>
  </si>
  <si>
    <t>博时医疗ETF</t>
  </si>
  <si>
    <t>SZ164206</t>
  </si>
  <si>
    <t>天弘添利债C</t>
  </si>
  <si>
    <t>债券型</t>
  </si>
  <si>
    <t>其他型</t>
  </si>
  <si>
    <t>SH501300</t>
  </si>
  <si>
    <t>海富通美元债</t>
  </si>
  <si>
    <t>大成添益E</t>
  </si>
  <si>
    <t>货币型</t>
  </si>
  <si>
    <t>海富通10年地债ETF</t>
  </si>
  <si>
    <t>华夏恒生香港ETF</t>
  </si>
  <si>
    <t>海富通5年地债ETF</t>
  </si>
  <si>
    <t>SZ161010</t>
  </si>
  <si>
    <t>富国天丰</t>
  </si>
  <si>
    <t>博时恒生科技ETF</t>
  </si>
  <si>
    <t>华安225ETF</t>
  </si>
  <si>
    <t>鹏华5年地债ETF</t>
  </si>
  <si>
    <t>国泰10年国债ETF</t>
  </si>
  <si>
    <t>平安5-10年国债ETF</t>
  </si>
  <si>
    <t>鹏华0-4年地债ETF</t>
  </si>
  <si>
    <t>海富通可转债ETF</t>
  </si>
  <si>
    <t>华夏恒生ETF</t>
  </si>
  <si>
    <t>华泰恒生科技ETF</t>
  </si>
  <si>
    <t>易方达恒生科技ETF</t>
  </si>
  <si>
    <t>汇添富快钱A</t>
  </si>
  <si>
    <t>华安恒生科技ETF</t>
  </si>
  <si>
    <t>诺安纯债A</t>
  </si>
  <si>
    <t>华夏225ETF</t>
  </si>
  <si>
    <t>国泰国债ETF</t>
  </si>
  <si>
    <t>易方达黄金ETF</t>
  </si>
  <si>
    <t>黄金</t>
  </si>
  <si>
    <t>华安黄金易ETF</t>
  </si>
  <si>
    <t>华夏恒生科技ETF</t>
  </si>
  <si>
    <t>博时黄金ETF</t>
  </si>
  <si>
    <t>国泰黄金ETF</t>
  </si>
  <si>
    <t>华安石油A</t>
  </si>
  <si>
    <t>SH511600</t>
  </si>
  <si>
    <t>华安日日鑫H</t>
  </si>
  <si>
    <t>广发美国石油A</t>
  </si>
  <si>
    <t>华夏互联网ETF</t>
  </si>
  <si>
    <t>易方达恒生ETF</t>
  </si>
  <si>
    <t>前海黄金ETF</t>
  </si>
  <si>
    <t>海富通城投ETF</t>
  </si>
  <si>
    <t>易方达225ETF</t>
  </si>
  <si>
    <t>华夏沪港通ETF</t>
  </si>
  <si>
    <t>南方恒生ETF</t>
  </si>
  <si>
    <t>富国上海金ETF</t>
  </si>
  <si>
    <t>易方达原油A</t>
  </si>
  <si>
    <t>华宝香港A</t>
  </si>
  <si>
    <t>南方原油A</t>
  </si>
  <si>
    <t>华夏黄金ETF</t>
  </si>
  <si>
    <t>SZ161119</t>
  </si>
  <si>
    <t>易方达综债A</t>
  </si>
  <si>
    <t>SZ161115</t>
  </si>
  <si>
    <t>易方达岁丰</t>
  </si>
  <si>
    <t>博时中国教育ETF</t>
  </si>
  <si>
    <t>银华恒生</t>
  </si>
  <si>
    <t>SZ160618</t>
  </si>
  <si>
    <t>鹏华丰泽</t>
  </si>
  <si>
    <t>SZ160513</t>
  </si>
  <si>
    <t>博时稳健A</t>
  </si>
  <si>
    <t>平安中债ETF</t>
  </si>
  <si>
    <t>易方达互联50ETF</t>
  </si>
  <si>
    <t>SH511670</t>
  </si>
  <si>
    <t>华泰资管货币A</t>
  </si>
  <si>
    <t>SH511900</t>
  </si>
  <si>
    <t>富国收益宝H</t>
  </si>
  <si>
    <t>工银黄金ETF</t>
  </si>
  <si>
    <t>SZ161716</t>
  </si>
  <si>
    <t>招商双债C</t>
  </si>
  <si>
    <t>SH511650</t>
  </si>
  <si>
    <t>华夏快线ETF</t>
  </si>
  <si>
    <t>海富通中证ETF</t>
  </si>
  <si>
    <t>华安法国ETF</t>
  </si>
  <si>
    <t>招商财富宝E</t>
  </si>
  <si>
    <t>华安德国30ETF</t>
  </si>
  <si>
    <t>银华日利A</t>
  </si>
  <si>
    <t>SZ164705</t>
  </si>
  <si>
    <t>汇添富恒生A</t>
  </si>
  <si>
    <t>南方理财金H</t>
  </si>
  <si>
    <t>平安交易货币E</t>
  </si>
  <si>
    <t>银华新经济ETF</t>
  </si>
  <si>
    <t>招商快线A</t>
  </si>
  <si>
    <t>建信添益H</t>
  </si>
  <si>
    <t>华宝添益A</t>
  </si>
  <si>
    <t>易方达保证金A</t>
  </si>
  <si>
    <t>SH511620</t>
  </si>
  <si>
    <t>国泰瞬利A</t>
  </si>
  <si>
    <t>SH511920</t>
  </si>
  <si>
    <t>广发货币E</t>
  </si>
  <si>
    <t>SH511800</t>
  </si>
  <si>
    <t>易方达货币E</t>
  </si>
  <si>
    <t>SH511860</t>
  </si>
  <si>
    <t>博时保证金ETF</t>
  </si>
  <si>
    <t>华夏纳指100ETF</t>
  </si>
  <si>
    <t>博时标普500ETF</t>
  </si>
  <si>
    <t>SH511830</t>
  </si>
  <si>
    <t>华泰交易货币A</t>
  </si>
  <si>
    <t>SZ161226</t>
  </si>
  <si>
    <t>国投白银</t>
  </si>
  <si>
    <t>SZ161125</t>
  </si>
  <si>
    <t>易方达标普500A</t>
  </si>
  <si>
    <t>SZ160140</t>
  </si>
  <si>
    <t>南方美国REITA</t>
  </si>
  <si>
    <t>广发纳指100ETF</t>
  </si>
  <si>
    <t>国泰纳指100ETF</t>
  </si>
  <si>
    <t>工银印度</t>
  </si>
  <si>
    <t>易方达标普信息A</t>
  </si>
  <si>
    <t>SZ161116</t>
  </si>
  <si>
    <t>易方达黄金A</t>
  </si>
  <si>
    <t>易方达标普生物A</t>
  </si>
  <si>
    <t>易方达纳指A</t>
  </si>
  <si>
    <t>嘉实恒生科技ETF</t>
  </si>
  <si>
    <t>嘉实互联网30ETF</t>
  </si>
  <si>
    <t>当前价</t>
  </si>
  <si>
    <t>无锡转债</t>
  </si>
  <si>
    <t>国泰转债</t>
  </si>
  <si>
    <t>旺能转债</t>
  </si>
  <si>
    <t>洪城转债</t>
  </si>
  <si>
    <t>苏银转债</t>
  </si>
  <si>
    <t>龙净转债</t>
  </si>
  <si>
    <t>南银转债</t>
  </si>
  <si>
    <t>正邦转债</t>
  </si>
  <si>
    <t>张行转债</t>
  </si>
  <si>
    <t>建工转债</t>
  </si>
  <si>
    <t>中钢转债</t>
  </si>
  <si>
    <t>通22转债</t>
  </si>
  <si>
    <t>成银转债</t>
  </si>
  <si>
    <t>杭银转债</t>
  </si>
  <si>
    <t>大秦转债</t>
  </si>
  <si>
    <t>科伦转债</t>
  </si>
  <si>
    <t>江银转债</t>
  </si>
  <si>
    <t>光大转债</t>
  </si>
  <si>
    <t>苏租转债</t>
  </si>
  <si>
    <t>牧原转债</t>
  </si>
  <si>
    <t>北港转债</t>
  </si>
  <si>
    <t>中环转2</t>
  </si>
  <si>
    <t>美诺转债</t>
  </si>
  <si>
    <t>温氏转债</t>
  </si>
  <si>
    <t>希望转2</t>
  </si>
  <si>
    <t>现代转债</t>
  </si>
  <si>
    <t>苏农转债</t>
  </si>
  <si>
    <t>本钢转债</t>
  </si>
  <si>
    <t>南航转债</t>
  </si>
  <si>
    <t>中金转债</t>
  </si>
  <si>
    <t>贵广转债</t>
  </si>
  <si>
    <t>招路转债</t>
  </si>
  <si>
    <t>鹰19转债</t>
  </si>
  <si>
    <t>中银转债</t>
  </si>
  <si>
    <t>中装转2</t>
  </si>
  <si>
    <t>精工转债</t>
  </si>
  <si>
    <t>晶科转债</t>
  </si>
  <si>
    <t>山鹰转债</t>
  </si>
  <si>
    <t>苏行转债</t>
  </si>
  <si>
    <t>鸿路转债</t>
  </si>
  <si>
    <t>长汽转债</t>
  </si>
  <si>
    <t>友发转债</t>
  </si>
  <si>
    <t>隆22转债</t>
  </si>
  <si>
    <t>鲁泰转债</t>
  </si>
  <si>
    <t>核建转债</t>
  </si>
  <si>
    <t>洽洽转债</t>
  </si>
  <si>
    <t>恒逸转债</t>
  </si>
  <si>
    <t>旗滨转债</t>
  </si>
  <si>
    <t>禾丰转债</t>
  </si>
  <si>
    <t>青农转债</t>
  </si>
  <si>
    <t>国君转债</t>
  </si>
  <si>
    <t>兴业转债</t>
  </si>
  <si>
    <t>长信转债</t>
  </si>
  <si>
    <t>长证转债</t>
  </si>
  <si>
    <t>上22转债</t>
  </si>
  <si>
    <t>药石转债</t>
  </si>
  <si>
    <t>冀东转债</t>
  </si>
  <si>
    <t>绿动转债</t>
  </si>
  <si>
    <t>景20转债</t>
  </si>
  <si>
    <t>华友转债</t>
  </si>
  <si>
    <t>紫银转债</t>
  </si>
  <si>
    <t>裕兴转债</t>
  </si>
  <si>
    <t>广汇转债</t>
  </si>
  <si>
    <t>重银转债</t>
  </si>
  <si>
    <t>中特转债</t>
  </si>
  <si>
    <t>海澜转债</t>
  </si>
  <si>
    <t>亨通转债</t>
  </si>
  <si>
    <t>帝欧转债</t>
  </si>
  <si>
    <t>敖东转债</t>
  </si>
  <si>
    <t>巨星转债</t>
  </si>
  <si>
    <t>艾迪转债</t>
  </si>
  <si>
    <t>三花转债</t>
  </si>
  <si>
    <t>麒麟转债</t>
  </si>
  <si>
    <t>华安转债</t>
  </si>
  <si>
    <t>中信转债</t>
  </si>
  <si>
    <t>金田转债</t>
  </si>
  <si>
    <t>捷捷转债</t>
  </si>
  <si>
    <t>升21转债</t>
  </si>
  <si>
    <t>凤21转债</t>
  </si>
  <si>
    <t>宏发转债</t>
  </si>
  <si>
    <t>国投转债</t>
  </si>
  <si>
    <t>财通转债</t>
  </si>
  <si>
    <t>上银转债</t>
  </si>
  <si>
    <t>环旭转债</t>
  </si>
  <si>
    <t>垒知转债</t>
  </si>
  <si>
    <t>永东转2</t>
  </si>
  <si>
    <t>闻泰转债</t>
  </si>
  <si>
    <t>烽火转债</t>
  </si>
  <si>
    <t>韦尔转债</t>
  </si>
  <si>
    <t>浦发转债</t>
  </si>
  <si>
    <t>杭叉转债</t>
  </si>
  <si>
    <t>盈峰转债</t>
  </si>
  <si>
    <t>乐普转2</t>
  </si>
  <si>
    <t>首华转债</t>
  </si>
  <si>
    <t>崇达转2</t>
  </si>
  <si>
    <t>大族转债</t>
  </si>
  <si>
    <t>华海转债</t>
  </si>
  <si>
    <t>康泰转2</t>
  </si>
  <si>
    <t>科沃转债</t>
  </si>
  <si>
    <t>立讯转债</t>
  </si>
  <si>
    <t>蓝帆转债</t>
  </si>
  <si>
    <t>蒙娜转债</t>
  </si>
  <si>
    <t>鹤21转债</t>
  </si>
  <si>
    <t>大参转债</t>
  </si>
  <si>
    <t>西子转债</t>
  </si>
  <si>
    <t>百润转债</t>
  </si>
  <si>
    <t>仙乐转债</t>
  </si>
  <si>
    <t>家悦转债</t>
  </si>
  <si>
    <t>城地转债</t>
  </si>
  <si>
    <t>亚药转债</t>
  </si>
  <si>
    <t>华体转债</t>
  </si>
  <si>
    <t>永吉转债</t>
  </si>
  <si>
    <t>乐歌转债</t>
  </si>
  <si>
    <t>泰林转债</t>
  </si>
  <si>
    <t>横河转债</t>
  </si>
  <si>
    <t>蓝盾转债</t>
  </si>
  <si>
    <t>转债代码</t>
  </si>
  <si>
    <t>转债名称</t>
  </si>
  <si>
    <t>双低值</t>
  </si>
  <si>
    <t>剩余规模</t>
  </si>
  <si>
    <t>最新低溢价可转债排名</t>
    <phoneticPr fontId="2" type="noConversion"/>
  </si>
  <si>
    <t>注：点击更新前请先点击更新《可转债实时数据》</t>
    <phoneticPr fontId="2" type="noConversion"/>
  </si>
  <si>
    <t>最新双低可转债排名</t>
    <phoneticPr fontId="2" type="noConversion"/>
  </si>
  <si>
    <t>SZ180801</t>
  </si>
  <si>
    <t>注：点击更新前请先点击更新《可转债实时数据》</t>
    <phoneticPr fontId="2" type="noConversion"/>
  </si>
  <si>
    <t>涨跌幅</t>
  </si>
  <si>
    <t>转股价</t>
  </si>
  <si>
    <t>转股价值</t>
  </si>
  <si>
    <t>到期时间</t>
  </si>
  <si>
    <t>剩余年限</t>
  </si>
  <si>
    <t>成交金额</t>
  </si>
  <si>
    <t>换手率</t>
  </si>
  <si>
    <t>税前收益</t>
  </si>
  <si>
    <t>最高价</t>
  </si>
  <si>
    <t>最低价</t>
  </si>
  <si>
    <t>振幅</t>
  </si>
  <si>
    <t>雪球组合“wb动量LOF封基ETF”ZH3040077</t>
    <phoneticPr fontId="2" type="noConversion"/>
  </si>
  <si>
    <t>雪球组合“wbb境外-债基投资”ZH3044957</t>
  </si>
  <si>
    <t>雪球组合“wbb双低可转债”ZH2982722</t>
    <phoneticPr fontId="2" type="noConversion"/>
  </si>
  <si>
    <t>联系作者</t>
  </si>
  <si>
    <t>3. 分别点击《低溢价可转债轮动》和《双低可转债轮动》里面的“点击更新”按钮，如果有其他任何自定义排名也可以手动更新”最新VIP可转债排名“。</t>
  </si>
  <si>
    <t>1. 安装Python3：https://www.python.org/ftp/python/3.8.7/python-3.8.7-amd64.exe</t>
  </si>
  <si>
    <t>2. 打开cmd窗口输入：pip install xlwings pandas requests pysnowball browser-cookie3</t>
  </si>
  <si>
    <t xml:space="preserve">1. 这里以"低溢价可转债策略"、"双低可转债策略"为例子，我做了2个轮动的sheet表格：《低溢价可转债轮动》和《双低可转债轮动》。 </t>
  </si>
  <si>
    <t xml:space="preserve">2. 点击《可转债实时数据》里面的“点击更新”按钮。 </t>
  </si>
  <si>
    <t>大家可以将这两个sheet作为壳子，替换成任何你们自己的轮动品种，比如小市值低价股票策略、低估股票策略、A/H轮动等等。</t>
  </si>
  <si>
    <t>如果想讨论该tool的用法或者新需求，以及量化轮动策略等相关的内容，可以加入用户交流群，共同学习和进步！</t>
  </si>
  <si>
    <t>5天净值增长率</t>
  </si>
  <si>
    <t>10天净值增长率</t>
  </si>
  <si>
    <t>更新时间:2022-06-24__19-50-52</t>
    <phoneticPr fontId="2" type="noConversion"/>
  </si>
  <si>
    <t>使用前准备</t>
  </si>
  <si>
    <t>3. 启用Microsoft Office（不要使用WPS）的Excel中的xlwings宏：</t>
  </si>
  <si>
    <t xml:space="preserve">   (1)、命令行安装加载项：xlwings addin install。</t>
  </si>
  <si>
    <t xml:space="preserve">   (2)、在excel中启用加载项： 文件&gt;选项&gt;信任中心&gt;信任中心设置&gt;宏设置 中，选择“启用所有并勾选”并勾选“对VBA对象模型的信任访问”。 </t>
  </si>
  <si>
    <t>4. 使用电脑浏览器Chrome/Firefox/Opera/Edge/Chromium访问任意一个雪球网站以便获取token，不需要登录雪球账号。</t>
  </si>
  <si>
    <t>注1：如遇到如下报错就代表token过期了：</t>
  </si>
  <si>
    <t>Exception: b'{"error_description":"\xe9\x81\x87","error_uri":"/v5/stock/quote.json","error_data":null,"error_code":"400016"}'。</t>
  </si>
  <si>
    <t xml:space="preserve">由于我们在Python调用雪球API前需要设置xq_a_token，但它大约只有20天的有效期，之前都是使用F12各种查找xq_a_token然后复制粘贴到我们的Python程序， </t>
  </si>
  <si>
    <t>搜索发现可以使用browser-cookie3自动化获取电脑浏览器已缓存的cookies（当然浏览器的cookies肯定也会过期，我们只需要坚持每20天左右使用电脑浏览器访问任意一个雪球网站即可刷新电脑浏览器的cookies）。</t>
  </si>
  <si>
    <t>注2：作为一个Android程序员，从2022.2月份开始边学边练第一次写Python项目进行量化投资，语法格式肯定不完美，勿喷，仅仅是为了解放调仓的苦恼而写的小玩意，分享出来仅用于学习研究，不可用于商业用途！</t>
  </si>
  <si>
    <t xml:space="preserve"> (一)、使用Python+Excel可视化你的持仓和最新排名的差异，解决买什么卖什么的烦恼</t>
  </si>
  <si>
    <t>4. 从券商PC端软件导出最新的低溢价可转债持仓和双低可转债持仓的Excel表格，并分别更新到“我的低溢价可转债持仓”、“我的双低可转债持仓”，这时候就可以看到需要轮动的结果了。</t>
  </si>
  <si>
    <t>注3：这里依赖的是Excel自带的各种公式，忽然发现Excel解放手脚的强大了吧？神不神奇惊不惊喜，意不意外?</t>
  </si>
  <si>
    <t>注4：每个sheet页我都做了双排名（即自定义的”最新VIP可转债排名“），满足用户自定义的需求。</t>
  </si>
  <si>
    <t>注5：这里的2个sheet页仅是2个可转债的例子，填充了持仓和最新排名。用户可以将它应用于任何的“依据各种因子进行排名的量化轮动策略”。</t>
  </si>
  <si>
    <t>1. 点击“点击更新”按钮，即可更新这2个策略的最新的排名数据，</t>
  </si>
  <si>
    <t>2. 从券商PC端软件导出我的持仓放在左侧列表，即可看到目前持仓排名了。</t>
  </si>
  <si>
    <t>(二)、关于《20天净值增长率和溢价率轮动LOF、ETF和封基》和《20天净值增长率和溢价率轮动债券和境外基金》</t>
    <phoneticPr fontId="2" type="noConversion"/>
  </si>
  <si>
    <t>赛伍转债!</t>
  </si>
  <si>
    <t>湖盐转债!</t>
  </si>
  <si>
    <t>伯特转债!</t>
  </si>
  <si>
    <t>鹏辉转债</t>
  </si>
  <si>
    <t>荣晟转债!</t>
  </si>
  <si>
    <t>交科转债!</t>
  </si>
  <si>
    <t>中矿转债!</t>
  </si>
  <si>
    <t>海兰转债!</t>
  </si>
  <si>
    <t>利尔转债!</t>
  </si>
  <si>
    <t>洪涛转债!</t>
  </si>
  <si>
    <t>华统转债!</t>
  </si>
  <si>
    <t>石英转债!</t>
  </si>
  <si>
    <t>创维转债!</t>
  </si>
  <si>
    <t>傲农转债!</t>
  </si>
  <si>
    <t>靖远转债!</t>
  </si>
  <si>
    <t>鼎胜转债!</t>
  </si>
  <si>
    <t>万顺转2!</t>
  </si>
  <si>
    <t>齐翔转2!</t>
  </si>
  <si>
    <t>天壕转债!</t>
  </si>
  <si>
    <t>川恒转债!</t>
  </si>
  <si>
    <t>文灿转债!</t>
  </si>
  <si>
    <t>明泰转债!</t>
  </si>
  <si>
    <t>金诚转债!</t>
  </si>
  <si>
    <t>川投转债!</t>
  </si>
  <si>
    <t>精达转债!</t>
  </si>
  <si>
    <t>湖广转债!</t>
  </si>
  <si>
    <t>万顺转债!</t>
  </si>
  <si>
    <t>恩捷转债!</t>
  </si>
  <si>
    <t>台华转债!</t>
  </si>
  <si>
    <t>太阳转债!</t>
  </si>
  <si>
    <t>金禾转债!</t>
  </si>
  <si>
    <t>三角转债!</t>
  </si>
  <si>
    <t>寿仙转债!</t>
  </si>
  <si>
    <t>天能转债!</t>
  </si>
  <si>
    <t>斯莱转债!</t>
  </si>
  <si>
    <t>飞凯转债!</t>
  </si>
  <si>
    <t>艾华转债!</t>
  </si>
  <si>
    <t>苏试转债!</t>
  </si>
  <si>
    <t>润建转债!</t>
  </si>
  <si>
    <t>伊力转债!</t>
  </si>
  <si>
    <t>华通转债!</t>
  </si>
  <si>
    <t>华钰转债!</t>
  </si>
  <si>
    <t>节能转债!</t>
  </si>
  <si>
    <t>福能转债!</t>
  </si>
  <si>
    <t>火炬转债!</t>
  </si>
  <si>
    <t>楚江转债!</t>
  </si>
  <si>
    <t>蓝晓转债!</t>
  </si>
  <si>
    <t>国微转债!</t>
  </si>
  <si>
    <t>一品转债!</t>
  </si>
  <si>
    <t>鸿达转债!</t>
  </si>
  <si>
    <t>君禾转债!</t>
  </si>
  <si>
    <t>贵轮转债</t>
  </si>
  <si>
    <t>天铁转债!</t>
  </si>
  <si>
    <t>美锦转债</t>
  </si>
  <si>
    <t>嘉元转债!</t>
  </si>
  <si>
    <t>小康转债!</t>
  </si>
  <si>
    <t>飞鹿转债!</t>
  </si>
  <si>
    <t>湘佳转债</t>
  </si>
  <si>
    <t>中辰转债</t>
  </si>
  <si>
    <t>华锋转债!</t>
  </si>
  <si>
    <t>洁美转债!</t>
  </si>
  <si>
    <t>福莱转债</t>
  </si>
  <si>
    <t>晶瑞转债!</t>
  </si>
  <si>
    <t>联创转债!</t>
  </si>
  <si>
    <t>太极转债!</t>
  </si>
  <si>
    <t>新天转债!</t>
  </si>
  <si>
    <t>天康转债!</t>
  </si>
  <si>
    <t>昌红转债</t>
  </si>
  <si>
    <t>通光转债!</t>
  </si>
  <si>
    <t>更新时间:2022-06-24__20-14-53</t>
    <phoneticPr fontId="2" type="noConversion"/>
  </si>
  <si>
    <t>更新时间:2022-06-24__20-16-14</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</si>
</sst>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76" formatCode="0.00_ "/>
    <numFmt numFmtId="177" formatCode="[$-F400]h:mm:ss\ AM/PM"/>
    <numFmt numFmtId="178" formatCode="0.00_);[Red]\(0.00\)"/>
  </numFmts>
  <fonts count="18" x14ac:knownFonts="1">
    <font>
      <sz val="12"/>
      <color theme="1"/>
      <name val="宋体"/>
      <family val="2"/>
      <scheme val="minor"/>
    </font>
    <font>
      <b/>
      <sz val="12"/>
      <color theme="1"/>
      <name val="宋体"/>
      <family val="2"/>
      <scheme val="minor"/>
    </font>
    <font>
      <sz val="9"/>
      <name val="宋体"/>
      <family val="3"/>
      <charset val="134"/>
      <scheme val="minor"/>
    </font>
    <font>
      <sz val="11"/>
      <color theme="1"/>
      <name val="宋体"/>
      <family val="2"/>
      <scheme val="minor"/>
    </font>
    <font>
      <b/>
      <sz val="12"/>
      <color theme="1"/>
      <name val="宋体"/>
      <family val="3"/>
      <charset val="134"/>
      <scheme val="minor"/>
    </font>
    <font>
      <b/>
      <sz val="12"/>
      <color theme="0"/>
      <name val="宋体"/>
      <family val="3"/>
      <charset val="134"/>
      <scheme val="minor"/>
    </font>
    <font>
      <sz val="12"/>
      <color theme="1"/>
      <name val="宋体"/>
      <family val="3"/>
      <charset val="134"/>
      <scheme val="minor"/>
    </font>
    <font>
      <sz val="12"/>
      <color rgb="FFFFFF00"/>
      <name val="宋体"/>
      <family val="2"/>
      <scheme val="minor"/>
    </font>
    <font>
      <sz val="12"/>
      <color rgb="FFFFFF00"/>
      <name val="宋体"/>
      <family val="3"/>
      <charset val="134"/>
      <scheme val="minor"/>
    </font>
    <font>
      <b/>
      <sz val="12"/>
      <color rgb="FFFFFF00"/>
      <name val="宋体"/>
      <family val="3"/>
      <charset val="134"/>
      <scheme val="minor"/>
    </font>
    <font>
      <sz val="11"/>
      <color rgb="FFFFFF00"/>
      <name val="宋体"/>
      <family val="3"/>
      <charset val="134"/>
      <scheme val="minor"/>
    </font>
    <font>
      <b/>
      <sz val="11"/>
      <color theme="1"/>
      <name val="宋体"/>
      <family val="3"/>
      <charset val="134"/>
      <scheme val="minor"/>
    </font>
    <font>
      <b/>
      <u/>
      <sz val="14"/>
      <color rgb="FF993300"/>
      <name val="宋体"/>
      <family val="3"/>
      <charset val="134"/>
    </font>
    <font>
      <sz val="12"/>
      <color theme="1"/>
      <name val="宋体"/>
      <family val="2"/>
      <scheme val="minor"/>
    </font>
    <font>
      <sz val="11"/>
      <color indexed="8"/>
      <name val="宋体"/>
      <family val="3"/>
      <charset val="134"/>
    </font>
    <font>
      <sz val="12"/>
      <name val="宋体"/>
      <family val="3"/>
      <charset val="134"/>
    </font>
    <font>
      <sz val="12"/>
      <name val="宋体"/>
      <family val="3"/>
      <charset val="134"/>
      <scheme val="minor"/>
    </font>
    <font>
      <u/>
      <sz val="12"/>
      <color theme="10"/>
      <name val="宋体"/>
      <family val="2"/>
      <scheme val="minor"/>
    </font>
  </fonts>
  <fills count="8">
    <fill>
      <patternFill patternType="none"/>
    </fill>
    <fill>
      <patternFill patternType="gray125"/>
    </fill>
    <fill>
      <patternFill patternType="solid">
        <fgColor rgb="FFFFFF00"/>
        <bgColor indexed="64"/>
      </patternFill>
    </fill>
    <fill>
      <patternFill patternType="solid">
        <fgColor theme="5"/>
        <bgColor theme="5"/>
      </patternFill>
    </fill>
    <fill>
      <patternFill patternType="solid">
        <fgColor theme="4" tint="0.59999389629810485"/>
        <bgColor theme="4" tint="0.59999389629810485"/>
      </patternFill>
    </fill>
    <fill>
      <patternFill patternType="solid">
        <fgColor theme="1"/>
        <bgColor indexed="64"/>
      </patternFill>
    </fill>
    <fill>
      <patternFill patternType="solid">
        <fgColor theme="2" tint="-0.89999084444715716"/>
        <bgColor indexed="64"/>
      </patternFill>
    </fill>
    <fill>
      <patternFill patternType="solid">
        <fgColor rgb="FF92D050"/>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6">
    <xf numFmtId="0" fontId="0" fillId="0" borderId="0"/>
    <xf numFmtId="0" fontId="3" fillId="0" borderId="0"/>
    <xf numFmtId="9" fontId="3" fillId="0" borderId="0" applyFont="0" applyFill="0" applyBorder="0" applyAlignment="0" applyProtection="0">
      <alignment vertical="center"/>
    </xf>
    <xf numFmtId="9" fontId="13" fillId="0" borderId="0" applyFont="0" applyFill="0" applyBorder="0" applyAlignment="0" applyProtection="0">
      <alignment vertical="center"/>
    </xf>
    <xf numFmtId="177" fontId="14" fillId="0" borderId="0">
      <alignment vertical="center"/>
    </xf>
    <xf numFmtId="0" fontId="17" fillId="0" borderId="0" applyNumberFormat="0" applyFill="0" applyBorder="0" applyAlignment="0" applyProtection="0"/>
  </cellStyleXfs>
  <cellXfs count="60">
    <xf numFmtId="0" fontId="0" fillId="0" borderId="0" xfId="0"/>
    <xf numFmtId="0" fontId="0" fillId="0" borderId="0" xfId="0" applyAlignment="1">
      <alignment vertical="center"/>
    </xf>
    <xf numFmtId="0" fontId="1" fillId="0" borderId="0" xfId="0" applyFont="1" applyAlignment="1">
      <alignment vertical="center"/>
    </xf>
    <xf numFmtId="0" fontId="3" fillId="0" borderId="0" xfId="1"/>
    <xf numFmtId="0" fontId="5" fillId="3" borderId="1" xfId="0" applyFont="1" applyFill="1" applyBorder="1"/>
    <xf numFmtId="0" fontId="4" fillId="4" borderId="1" xfId="0" applyFont="1" applyFill="1" applyBorder="1"/>
    <xf numFmtId="0" fontId="4" fillId="0" borderId="0" xfId="1" applyFont="1"/>
    <xf numFmtId="0" fontId="6" fillId="0" borderId="0" xfId="1" applyFont="1"/>
    <xf numFmtId="0" fontId="6" fillId="2" borderId="0" xfId="1" applyFont="1" applyFill="1"/>
    <xf numFmtId="0" fontId="0" fillId="2" borderId="0" xfId="0" applyFill="1"/>
    <xf numFmtId="49" fontId="0" fillId="0" borderId="0" xfId="0" applyNumberFormat="1"/>
    <xf numFmtId="0" fontId="7" fillId="5" borderId="0" xfId="0" applyFont="1" applyFill="1"/>
    <xf numFmtId="0" fontId="6" fillId="0" borderId="0" xfId="1" applyFont="1" applyFill="1" applyBorder="1"/>
    <xf numFmtId="0" fontId="4" fillId="0" borderId="0" xfId="0" applyFont="1" applyFill="1" applyBorder="1"/>
    <xf numFmtId="0" fontId="5" fillId="3" borderId="0" xfId="0" applyFont="1" applyFill="1" applyBorder="1"/>
    <xf numFmtId="0" fontId="4" fillId="4" borderId="0" xfId="0" applyFont="1" applyFill="1" applyBorder="1"/>
    <xf numFmtId="0" fontId="6" fillId="0" borderId="0" xfId="1" applyFont="1" applyBorder="1"/>
    <xf numFmtId="0" fontId="8" fillId="5" borderId="0" xfId="1" applyFont="1" applyFill="1"/>
    <xf numFmtId="0" fontId="9" fillId="5" borderId="0" xfId="1" applyFont="1" applyFill="1"/>
    <xf numFmtId="0" fontId="10" fillId="5" borderId="0" xfId="1" applyFont="1" applyFill="1"/>
    <xf numFmtId="0" fontId="0" fillId="0" borderId="0" xfId="0" applyNumberFormat="1"/>
    <xf numFmtId="176" fontId="0" fillId="0" borderId="0" xfId="0" applyNumberFormat="1"/>
    <xf numFmtId="0" fontId="4" fillId="0" borderId="0" xfId="0" applyFont="1" applyAlignment="1">
      <alignment vertical="top" wrapText="1"/>
    </xf>
    <xf numFmtId="0" fontId="11" fillId="0" borderId="1" xfId="0" applyFont="1" applyBorder="1" applyAlignment="1">
      <alignment horizontal="center" vertical="top" wrapText="1"/>
    </xf>
    <xf numFmtId="0" fontId="9" fillId="5" borderId="0" xfId="0" applyFont="1" applyFill="1" applyAlignment="1">
      <alignment vertical="top" wrapText="1"/>
    </xf>
    <xf numFmtId="0" fontId="11" fillId="0" borderId="1" xfId="0" applyNumberFormat="1" applyFont="1" applyBorder="1" applyAlignment="1">
      <alignment horizontal="center" vertical="top" wrapText="1"/>
    </xf>
    <xf numFmtId="176" fontId="11" fillId="0" borderId="1" xfId="0" applyNumberFormat="1" applyFont="1" applyBorder="1" applyAlignment="1">
      <alignment horizontal="center" vertical="top" wrapText="1"/>
    </xf>
    <xf numFmtId="0" fontId="11" fillId="0" borderId="0" xfId="0" applyFont="1" applyBorder="1" applyAlignment="1">
      <alignment horizontal="center" vertical="top" wrapText="1"/>
    </xf>
    <xf numFmtId="0" fontId="11" fillId="2" borderId="0" xfId="0" applyFont="1" applyFill="1" applyBorder="1" applyAlignment="1">
      <alignment horizontal="center" vertical="top" wrapText="1"/>
    </xf>
    <xf numFmtId="0" fontId="4" fillId="2" borderId="0" xfId="0" applyFont="1" applyFill="1" applyAlignment="1">
      <alignment vertical="top"/>
    </xf>
    <xf numFmtId="0" fontId="0" fillId="0" borderId="0" xfId="0" applyBorder="1"/>
    <xf numFmtId="0" fontId="8" fillId="6" borderId="0" xfId="0" applyFont="1" applyFill="1" applyBorder="1"/>
    <xf numFmtId="0" fontId="0" fillId="2" borderId="0" xfId="0" applyFill="1" applyBorder="1"/>
    <xf numFmtId="0" fontId="6" fillId="0" borderId="0" xfId="1" applyNumberFormat="1" applyFont="1"/>
    <xf numFmtId="0" fontId="4" fillId="0" borderId="0" xfId="1" applyNumberFormat="1" applyFont="1"/>
    <xf numFmtId="176" fontId="4" fillId="0" borderId="0" xfId="1" applyNumberFormat="1" applyFont="1"/>
    <xf numFmtId="176" fontId="6" fillId="0" borderId="0" xfId="1" applyNumberFormat="1" applyFont="1"/>
    <xf numFmtId="0" fontId="4" fillId="7" borderId="0" xfId="1" applyFont="1" applyFill="1"/>
    <xf numFmtId="0" fontId="4" fillId="7" borderId="0" xfId="1" applyNumberFormat="1" applyFont="1" applyFill="1"/>
    <xf numFmtId="176" fontId="4" fillId="7" borderId="0" xfId="1" applyNumberFormat="1" applyFont="1" applyFill="1"/>
    <xf numFmtId="0" fontId="16" fillId="2" borderId="0" xfId="0" applyFont="1" applyFill="1" applyBorder="1"/>
    <xf numFmtId="0" fontId="16" fillId="6" borderId="0" xfId="0" applyFont="1" applyFill="1" applyBorder="1"/>
    <xf numFmtId="0" fontId="15" fillId="2" borderId="0" xfId="4" applyNumberFormat="1" applyFont="1" applyFill="1" applyBorder="1" applyAlignment="1">
      <alignment horizontal="center" vertical="center" wrapText="1"/>
    </xf>
    <xf numFmtId="0" fontId="15" fillId="2" borderId="0" xfId="4" applyNumberFormat="1" applyFont="1" applyFill="1" applyBorder="1" applyAlignment="1">
      <alignment horizontal="center" vertical="center"/>
    </xf>
    <xf numFmtId="176" fontId="15" fillId="2" borderId="0" xfId="4" applyNumberFormat="1" applyFont="1" applyFill="1" applyBorder="1" applyAlignment="1">
      <alignment horizontal="center" vertical="center" wrapText="1"/>
    </xf>
    <xf numFmtId="0" fontId="15" fillId="2" borderId="0" xfId="3" applyNumberFormat="1" applyFont="1" applyFill="1" applyBorder="1" applyAlignment="1">
      <alignment horizontal="center" vertical="center"/>
    </xf>
    <xf numFmtId="178" fontId="15" fillId="2" borderId="0" xfId="4" applyNumberFormat="1" applyFont="1" applyFill="1" applyBorder="1" applyAlignment="1">
      <alignment horizontal="center" vertical="center" wrapText="1"/>
    </xf>
    <xf numFmtId="176" fontId="16" fillId="2" borderId="0" xfId="0" applyNumberFormat="1" applyFont="1" applyFill="1" applyBorder="1"/>
    <xf numFmtId="176" fontId="15" fillId="2" borderId="0" xfId="3" applyNumberFormat="1" applyFont="1" applyFill="1" applyBorder="1" applyAlignment="1">
      <alignment horizontal="center" vertical="center"/>
    </xf>
    <xf numFmtId="10" fontId="15" fillId="2" borderId="0" xfId="4" applyNumberFormat="1" applyFont="1" applyFill="1" applyBorder="1" applyAlignment="1">
      <alignment horizontal="center" vertical="center" wrapText="1"/>
    </xf>
    <xf numFmtId="10" fontId="15" fillId="2" borderId="0" xfId="3" applyNumberFormat="1" applyFont="1" applyFill="1" applyBorder="1" applyAlignment="1">
      <alignment horizontal="center" vertical="center"/>
    </xf>
    <xf numFmtId="178" fontId="0" fillId="0" borderId="0" xfId="0" applyNumberFormat="1" applyBorder="1"/>
    <xf numFmtId="14" fontId="0" fillId="0" borderId="0" xfId="0" applyNumberFormat="1" applyBorder="1"/>
    <xf numFmtId="176" fontId="0" fillId="0" borderId="0" xfId="0" applyNumberFormat="1" applyBorder="1"/>
    <xf numFmtId="10" fontId="0" fillId="0" borderId="0" xfId="0" applyNumberFormat="1" applyBorder="1"/>
    <xf numFmtId="0" fontId="17" fillId="0" borderId="0" xfId="5"/>
    <xf numFmtId="0" fontId="17" fillId="0" borderId="0" xfId="5" applyAlignment="1">
      <alignment vertical="top"/>
    </xf>
    <xf numFmtId="0" fontId="4" fillId="0" borderId="0" xfId="0" applyFont="1"/>
    <xf numFmtId="0" fontId="6" fillId="0" borderId="0" xfId="0" applyFont="1"/>
    <xf numFmtId="0" fontId="0" fillId="0" borderId="0" xfId="0" applyFont="1"/>
  </cellXfs>
  <cellStyles count="6">
    <cellStyle name="百分比" xfId="3" builtinId="5"/>
    <cellStyle name="百分比 2" xfId="2"/>
    <cellStyle name="常规" xfId="0" builtinId="0"/>
    <cellStyle name="常规 2" xfId="1"/>
    <cellStyle name="常规 4" xfId="4"/>
    <cellStyle name="超链接" xfId="5" builtinId="8"/>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2</xdr:row>
      <xdr:rowOff>0</xdr:rowOff>
    </xdr:from>
    <xdr:to>
      <xdr:col>4</xdr:col>
      <xdr:colOff>495300</xdr:colOff>
      <xdr:row>19</xdr:row>
      <xdr:rowOff>95250</xdr:rowOff>
    </xdr:to>
    <xdr:pic>
      <xdr:nvPicPr>
        <xdr:cNvPr id="2" name="图片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361950"/>
          <a:ext cx="3238500" cy="31718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209550</xdr:colOff>
          <xdr:row>2</xdr:row>
          <xdr:rowOff>47625</xdr:rowOff>
        </xdr:from>
        <xdr:to>
          <xdr:col>20</xdr:col>
          <xdr:colOff>514350</xdr:colOff>
          <xdr:row>4</xdr:row>
          <xdr:rowOff>142875</xdr:rowOff>
        </xdr:to>
        <xdr:sp macro="" textlink="">
          <xdr:nvSpPr>
            <xdr:cNvPr id="8193" name="Button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485775</xdr:colOff>
          <xdr:row>2</xdr:row>
          <xdr:rowOff>123825</xdr:rowOff>
        </xdr:from>
        <xdr:to>
          <xdr:col>14</xdr:col>
          <xdr:colOff>485775</xdr:colOff>
          <xdr:row>5</xdr:row>
          <xdr:rowOff>38100</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590550</xdr:colOff>
          <xdr:row>2</xdr:row>
          <xdr:rowOff>76200</xdr:rowOff>
        </xdr:from>
        <xdr:to>
          <xdr:col>15</xdr:col>
          <xdr:colOff>638175</xdr:colOff>
          <xdr:row>4</xdr:row>
          <xdr:rowOff>171450</xdr:rowOff>
        </xdr:to>
        <xdr:sp macro="" textlink="">
          <xdr:nvSpPr>
            <xdr:cNvPr id="15361" name="Button 1" hidden="1">
              <a:extLst>
                <a:ext uri="{63B3BB69-23CF-44E3-9099-C40C66FF867C}">
                  <a14:compatExt spid="_x0000_s1536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123825</xdr:colOff>
          <xdr:row>1</xdr:row>
          <xdr:rowOff>123825</xdr:rowOff>
        </xdr:from>
        <xdr:to>
          <xdr:col>20</xdr:col>
          <xdr:colOff>542925</xdr:colOff>
          <xdr:row>4</xdr:row>
          <xdr:rowOff>57150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171450</xdr:colOff>
          <xdr:row>1</xdr:row>
          <xdr:rowOff>133350</xdr:rowOff>
        </xdr:from>
        <xdr:to>
          <xdr:col>20</xdr:col>
          <xdr:colOff>495300</xdr:colOff>
          <xdr:row>4</xdr:row>
          <xdr:rowOff>123825</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hyperlink" Target="https://xueqiu.com/P/ZH2982722" TargetMode="Externa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3.bin"/><Relationship Id="rId1" Type="http://schemas.openxmlformats.org/officeDocument/2006/relationships/hyperlink" Target="https://www.jisilu.cn/question/450710" TargetMode="External"/><Relationship Id="rId5" Type="http://schemas.openxmlformats.org/officeDocument/2006/relationships/ctrlProp" Target="../ctrlProps/ctrlProp4.xml"/><Relationship Id="rId4"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hyperlink" Target="https://www.jisilu.cn/question/449421" TargetMode="External"/><Relationship Id="rId5" Type="http://schemas.openxmlformats.org/officeDocument/2006/relationships/ctrlProp" Target="../ctrlProps/ctrlProp5.xml"/><Relationship Id="rId4"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FFFF00"/>
  </sheetPr>
  <dimension ref="A1:J55"/>
  <sheetViews>
    <sheetView topLeftCell="A25" workbookViewId="0">
      <selection activeCell="H12" sqref="H12"/>
    </sheetView>
  </sheetViews>
  <sheetFormatPr defaultRowHeight="14.25" x14ac:dyDescent="0.15"/>
  <sheetData>
    <row r="1" spans="1:10" x14ac:dyDescent="0.15">
      <c r="A1" s="57" t="s">
        <v>1950</v>
      </c>
    </row>
    <row r="2" spans="1:10" s="59" customFormat="1" x14ac:dyDescent="0.15">
      <c r="A2" s="58" t="s">
        <v>1957</v>
      </c>
      <c r="B2" s="58"/>
      <c r="C2" s="58"/>
      <c r="D2" s="58"/>
      <c r="E2" s="58"/>
      <c r="F2" s="58"/>
      <c r="G2" s="58"/>
      <c r="H2" s="58"/>
      <c r="I2" s="58"/>
      <c r="J2" s="58"/>
    </row>
    <row r="23" spans="1:1" s="57" customFormat="1" x14ac:dyDescent="0.15">
      <c r="A23" s="57" t="s">
        <v>1961</v>
      </c>
    </row>
    <row r="24" spans="1:1" x14ac:dyDescent="0.15">
      <c r="A24" s="58" t="s">
        <v>1952</v>
      </c>
    </row>
    <row r="25" spans="1:1" x14ac:dyDescent="0.15">
      <c r="A25" t="s">
        <v>1953</v>
      </c>
    </row>
    <row r="26" spans="1:1" x14ac:dyDescent="0.15">
      <c r="A26" t="s">
        <v>1962</v>
      </c>
    </row>
    <row r="27" spans="1:1" x14ac:dyDescent="0.15">
      <c r="A27" t="s">
        <v>1963</v>
      </c>
    </row>
    <row r="28" spans="1:1" x14ac:dyDescent="0.15">
      <c r="A28" t="s">
        <v>1964</v>
      </c>
    </row>
    <row r="29" spans="1:1" x14ac:dyDescent="0.15">
      <c r="A29" t="s">
        <v>1965</v>
      </c>
    </row>
    <row r="31" spans="1:1" x14ac:dyDescent="0.15">
      <c r="A31" t="s">
        <v>1966</v>
      </c>
    </row>
    <row r="32" spans="1:1" x14ac:dyDescent="0.15">
      <c r="A32" t="s">
        <v>1967</v>
      </c>
    </row>
    <row r="33" spans="1:1" x14ac:dyDescent="0.15">
      <c r="A33" t="s">
        <v>1968</v>
      </c>
    </row>
    <row r="34" spans="1:1" x14ac:dyDescent="0.15">
      <c r="A34" t="s">
        <v>1969</v>
      </c>
    </row>
    <row r="36" spans="1:1" x14ac:dyDescent="0.15">
      <c r="A36" t="s">
        <v>1970</v>
      </c>
    </row>
    <row r="37" spans="1:1" s="57" customFormat="1" x14ac:dyDescent="0.15"/>
    <row r="39" spans="1:1" s="57" customFormat="1" x14ac:dyDescent="0.15">
      <c r="A39" s="57" t="s">
        <v>1971</v>
      </c>
    </row>
    <row r="40" spans="1:1" x14ac:dyDescent="0.15">
      <c r="A40" t="s">
        <v>1954</v>
      </c>
    </row>
    <row r="41" spans="1:1" x14ac:dyDescent="0.15">
      <c r="A41" t="s">
        <v>1955</v>
      </c>
    </row>
    <row r="42" spans="1:1" x14ac:dyDescent="0.15">
      <c r="A42" t="s">
        <v>1951</v>
      </c>
    </row>
    <row r="43" spans="1:1" x14ac:dyDescent="0.15">
      <c r="A43" t="s">
        <v>1972</v>
      </c>
    </row>
    <row r="45" spans="1:1" x14ac:dyDescent="0.15">
      <c r="A45" t="s">
        <v>1973</v>
      </c>
    </row>
    <row r="47" spans="1:1" x14ac:dyDescent="0.15">
      <c r="A47" t="s">
        <v>1974</v>
      </c>
    </row>
    <row r="49" spans="1:1" x14ac:dyDescent="0.15">
      <c r="A49" t="s">
        <v>1975</v>
      </c>
    </row>
    <row r="50" spans="1:1" x14ac:dyDescent="0.15">
      <c r="A50" t="s">
        <v>1956</v>
      </c>
    </row>
    <row r="53" spans="1:1" s="57" customFormat="1" x14ac:dyDescent="0.15">
      <c r="A53" s="57" t="s">
        <v>1978</v>
      </c>
    </row>
    <row r="54" spans="1:1" x14ac:dyDescent="0.15">
      <c r="A54" t="s">
        <v>1976</v>
      </c>
    </row>
    <row r="55" spans="1:1" x14ac:dyDescent="0.15">
      <c r="A55" t="s">
        <v>1977</v>
      </c>
    </row>
  </sheetData>
  <phoneticPr fontId="2" type="noConversion"/>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U415"/>
  <sheetViews>
    <sheetView workbookViewId="0">
      <pane ySplit="1" topLeftCell="A2" activePane="bottomLeft" state="frozen"/>
      <selection pane="bottomLeft" activeCell="S21" sqref="S21"/>
    </sheetView>
  </sheetViews>
  <sheetFormatPr defaultRowHeight="14.25" x14ac:dyDescent="0.15"/>
  <cols>
    <col min="1" max="1" width="5.75" style="31" customWidth="1"/>
    <col min="2" max="3" width="10.75" style="30" customWidth="1"/>
    <col min="4" max="6" width="9" style="30"/>
    <col min="7" max="7" width="10.75" style="30" customWidth="1"/>
    <col min="8" max="8" width="9" style="30"/>
    <col min="9" max="9" width="9.5" style="51" bestFit="1" customWidth="1"/>
    <col min="10" max="10" width="11.125" style="30" customWidth="1"/>
    <col min="11" max="12" width="10.75" style="53" customWidth="1"/>
    <col min="13" max="13" width="11.625" style="53" bestFit="1" customWidth="1"/>
    <col min="14" max="14" width="9" style="54" customWidth="1"/>
    <col min="15" max="15" width="10.75" style="53" customWidth="1"/>
    <col min="16" max="17" width="9" style="30"/>
    <col min="18" max="18" width="9" style="54"/>
    <col min="19" max="16384" width="9" style="30"/>
  </cols>
  <sheetData>
    <row r="1" spans="1:21" s="40" customFormat="1" x14ac:dyDescent="0.15">
      <c r="A1" s="41"/>
      <c r="B1" s="42" t="s">
        <v>1927</v>
      </c>
      <c r="C1" s="43" t="s">
        <v>1928</v>
      </c>
      <c r="D1" s="44" t="s">
        <v>1810</v>
      </c>
      <c r="E1" s="45" t="s">
        <v>1936</v>
      </c>
      <c r="F1" s="40" t="s">
        <v>1937</v>
      </c>
      <c r="G1" s="40" t="s">
        <v>1938</v>
      </c>
      <c r="H1" s="44" t="s">
        <v>35</v>
      </c>
      <c r="I1" s="46" t="s">
        <v>1929</v>
      </c>
      <c r="J1" s="40" t="s">
        <v>1939</v>
      </c>
      <c r="K1" s="47" t="s">
        <v>1940</v>
      </c>
      <c r="L1" s="48" t="s">
        <v>1930</v>
      </c>
      <c r="M1" s="44" t="s">
        <v>1941</v>
      </c>
      <c r="N1" s="49" t="s">
        <v>1942</v>
      </c>
      <c r="O1" s="47" t="s">
        <v>1943</v>
      </c>
      <c r="P1" s="44" t="s">
        <v>1944</v>
      </c>
      <c r="Q1" s="44" t="s">
        <v>1945</v>
      </c>
      <c r="R1" s="50" t="s">
        <v>1946</v>
      </c>
    </row>
    <row r="2" spans="1:21" x14ac:dyDescent="0.15">
      <c r="A2" s="31">
        <v>1</v>
      </c>
      <c r="B2" s="30">
        <v>113630</v>
      </c>
      <c r="C2" s="30" t="s">
        <v>1979</v>
      </c>
      <c r="D2" s="30">
        <v>149.38</v>
      </c>
      <c r="E2" s="30">
        <v>5.3</v>
      </c>
      <c r="F2" s="30">
        <v>19.079999999999998</v>
      </c>
      <c r="G2" s="30">
        <v>152.94</v>
      </c>
      <c r="H2" s="30">
        <v>-2.33</v>
      </c>
      <c r="I2" s="51">
        <v>147.04999999999998</v>
      </c>
      <c r="J2" s="52">
        <v>46687</v>
      </c>
      <c r="K2" s="53">
        <v>5.3419999999999996</v>
      </c>
      <c r="L2" s="53">
        <v>6.9934399999999997</v>
      </c>
      <c r="M2" s="53">
        <v>176708.39259999999</v>
      </c>
      <c r="N2" s="54">
        <v>1.6915072676137302</v>
      </c>
      <c r="O2" s="53">
        <v>-4.0110999999999999</v>
      </c>
      <c r="P2" s="30">
        <v>155</v>
      </c>
      <c r="Q2" s="30">
        <v>143.66</v>
      </c>
      <c r="R2" s="54">
        <v>7.8936377558123369E-2</v>
      </c>
    </row>
    <row r="3" spans="1:21" x14ac:dyDescent="0.15">
      <c r="A3" s="31">
        <v>2</v>
      </c>
      <c r="B3" s="30">
        <v>110071</v>
      </c>
      <c r="C3" s="30" t="s">
        <v>1980</v>
      </c>
      <c r="D3" s="30">
        <v>133.32</v>
      </c>
      <c r="E3" s="30">
        <v>0.45</v>
      </c>
      <c r="F3" s="30">
        <v>5.69</v>
      </c>
      <c r="G3" s="30">
        <v>133.91999999999999</v>
      </c>
      <c r="H3" s="30">
        <v>-0.45</v>
      </c>
      <c r="I3" s="51">
        <v>132.87</v>
      </c>
      <c r="J3" s="52">
        <v>46213</v>
      </c>
      <c r="K3" s="53">
        <v>4.0439999999999996</v>
      </c>
      <c r="L3" s="53">
        <v>2.9503200000000001</v>
      </c>
      <c r="M3" s="53">
        <v>9606.6617999999999</v>
      </c>
      <c r="N3" s="54">
        <v>0.24423509726714965</v>
      </c>
      <c r="O3" s="53">
        <v>-3.6835</v>
      </c>
      <c r="P3" s="30">
        <v>135.32</v>
      </c>
      <c r="Q3" s="30">
        <v>132.66</v>
      </c>
      <c r="R3" s="54">
        <v>2.0051258857228981E-2</v>
      </c>
      <c r="T3" s="32"/>
      <c r="U3" s="32"/>
    </row>
    <row r="4" spans="1:21" x14ac:dyDescent="0.15">
      <c r="A4" s="31">
        <v>3</v>
      </c>
      <c r="B4" s="30">
        <v>113626</v>
      </c>
      <c r="C4" s="30" t="s">
        <v>1981</v>
      </c>
      <c r="D4" s="30">
        <v>239.41</v>
      </c>
      <c r="E4" s="30">
        <v>1.53</v>
      </c>
      <c r="F4" s="30">
        <v>35.880000000000003</v>
      </c>
      <c r="G4" s="30">
        <v>240.38</v>
      </c>
      <c r="H4" s="30">
        <v>-0.4</v>
      </c>
      <c r="I4" s="51">
        <v>239.01</v>
      </c>
      <c r="J4" s="52">
        <v>46567</v>
      </c>
      <c r="K4" s="53">
        <v>5.0140000000000002</v>
      </c>
      <c r="L4" s="53">
        <v>9.0144699999999993</v>
      </c>
      <c r="M4" s="53">
        <v>140898.18369999999</v>
      </c>
      <c r="N4" s="54">
        <v>0.65286428377796613</v>
      </c>
      <c r="O4" s="53">
        <v>-12.8908</v>
      </c>
      <c r="P4" s="30">
        <v>258.98</v>
      </c>
      <c r="Q4" s="30">
        <v>231.36</v>
      </c>
      <c r="R4" s="54">
        <v>0.11938105117565699</v>
      </c>
      <c r="T4" s="32"/>
      <c r="U4" s="32"/>
    </row>
    <row r="5" spans="1:21" x14ac:dyDescent="0.15">
      <c r="A5" s="31">
        <v>4</v>
      </c>
      <c r="B5" s="30">
        <v>123070</v>
      </c>
      <c r="C5" s="30" t="s">
        <v>1982</v>
      </c>
      <c r="D5" s="30">
        <v>307.5</v>
      </c>
      <c r="E5" s="30">
        <v>-0.26</v>
      </c>
      <c r="F5" s="30">
        <v>20.03</v>
      </c>
      <c r="G5" s="30">
        <v>308.54000000000002</v>
      </c>
      <c r="H5" s="30">
        <v>-0.34</v>
      </c>
      <c r="I5" s="51">
        <v>307.16000000000003</v>
      </c>
      <c r="J5" s="52">
        <v>46315</v>
      </c>
      <c r="K5" s="53">
        <v>4.3230000000000004</v>
      </c>
      <c r="L5" s="53">
        <v>3.7212149999999999</v>
      </c>
      <c r="M5" s="53">
        <v>151585.2172753</v>
      </c>
      <c r="N5" s="54">
        <v>1.3247287678347999</v>
      </c>
      <c r="O5" s="53">
        <v>-20.647200000000002</v>
      </c>
      <c r="P5" s="30">
        <v>312.87099999999998</v>
      </c>
      <c r="Q5" s="30">
        <v>300.3</v>
      </c>
      <c r="R5" s="54">
        <v>4.1861471861471759E-2</v>
      </c>
      <c r="T5" s="32"/>
      <c r="U5" s="32"/>
    </row>
    <row r="6" spans="1:21" x14ac:dyDescent="0.15">
      <c r="A6" s="31">
        <v>5</v>
      </c>
      <c r="B6" s="30">
        <v>113541</v>
      </c>
      <c r="C6" s="30" t="s">
        <v>1983</v>
      </c>
      <c r="D6" s="30">
        <v>129.82</v>
      </c>
      <c r="E6" s="30">
        <v>0.77</v>
      </c>
      <c r="F6" s="30">
        <v>10.49</v>
      </c>
      <c r="G6" s="30">
        <v>130.22</v>
      </c>
      <c r="H6" s="30">
        <v>-0.31</v>
      </c>
      <c r="I6" s="51">
        <v>129.51</v>
      </c>
      <c r="J6" s="52">
        <v>45861</v>
      </c>
      <c r="K6" s="53">
        <v>3.0790000000000002</v>
      </c>
      <c r="L6" s="53">
        <v>0.90873999999999999</v>
      </c>
      <c r="M6" s="53">
        <v>9225.7512000000006</v>
      </c>
      <c r="N6" s="54">
        <v>0.78202473321548516</v>
      </c>
      <c r="O6" s="53">
        <v>-4.1326000000000001</v>
      </c>
      <c r="P6" s="30">
        <v>131.16999999999999</v>
      </c>
      <c r="Q6" s="30">
        <v>128.22</v>
      </c>
      <c r="R6" s="54">
        <v>2.3007331149586561E-2</v>
      </c>
      <c r="T6" s="30" t="s">
        <v>2048</v>
      </c>
    </row>
    <row r="7" spans="1:21" x14ac:dyDescent="0.15">
      <c r="A7" s="31">
        <v>6</v>
      </c>
      <c r="B7" s="30">
        <v>128107</v>
      </c>
      <c r="C7" s="30" t="s">
        <v>1984</v>
      </c>
      <c r="D7" s="30">
        <v>130.04</v>
      </c>
      <c r="E7" s="30">
        <v>-2.12</v>
      </c>
      <c r="F7" s="30">
        <v>5.08</v>
      </c>
      <c r="G7" s="30">
        <v>130.31</v>
      </c>
      <c r="H7" s="30">
        <v>-0.21</v>
      </c>
      <c r="I7" s="51">
        <v>129.82999999999998</v>
      </c>
      <c r="J7" s="52">
        <v>46134</v>
      </c>
      <c r="K7" s="53">
        <v>3.827</v>
      </c>
      <c r="L7" s="53">
        <v>2.1411120000000001</v>
      </c>
      <c r="M7" s="53">
        <v>10062.913368000001</v>
      </c>
      <c r="N7" s="54">
        <v>0.36141601040711924</v>
      </c>
      <c r="O7" s="53">
        <v>-3.3693</v>
      </c>
      <c r="P7" s="30">
        <v>133.30000000000001</v>
      </c>
      <c r="Q7" s="30">
        <v>130</v>
      </c>
      <c r="R7" s="54">
        <v>2.5384615384615471E-2</v>
      </c>
    </row>
    <row r="8" spans="1:21" x14ac:dyDescent="0.15">
      <c r="A8" s="31">
        <v>7</v>
      </c>
      <c r="B8" s="30">
        <v>128111</v>
      </c>
      <c r="C8" s="30" t="s">
        <v>1985</v>
      </c>
      <c r="D8" s="30">
        <v>740.49199999999996</v>
      </c>
      <c r="E8" s="30">
        <v>-0.61</v>
      </c>
      <c r="F8" s="30">
        <v>10.96</v>
      </c>
      <c r="G8" s="30">
        <v>740.24</v>
      </c>
      <c r="H8" s="30">
        <v>0.03</v>
      </c>
      <c r="I8" s="51">
        <v>740.52199999999993</v>
      </c>
      <c r="J8" s="52">
        <v>46184</v>
      </c>
      <c r="K8" s="53">
        <v>3.964</v>
      </c>
      <c r="L8" s="53">
        <v>1.163057</v>
      </c>
      <c r="M8" s="53">
        <v>96796.068893499993</v>
      </c>
      <c r="N8" s="54">
        <v>1.1239224587288403</v>
      </c>
      <c r="O8" s="53">
        <v>-36.710700000000003</v>
      </c>
      <c r="P8" s="30">
        <v>750.78300000000002</v>
      </c>
      <c r="Q8" s="30">
        <v>729</v>
      </c>
      <c r="R8" s="54">
        <v>2.9880658436214014E-2</v>
      </c>
    </row>
    <row r="9" spans="1:21" x14ac:dyDescent="0.15">
      <c r="A9" s="31">
        <v>8</v>
      </c>
      <c r="B9" s="30">
        <v>123086</v>
      </c>
      <c r="C9" s="30" t="s">
        <v>1986</v>
      </c>
      <c r="D9" s="30">
        <v>187.72399999999999</v>
      </c>
      <c r="E9" s="30">
        <v>1.58</v>
      </c>
      <c r="F9" s="30">
        <v>7.27</v>
      </c>
      <c r="G9" s="30">
        <v>187.62</v>
      </c>
      <c r="H9" s="30">
        <v>0.06</v>
      </c>
      <c r="I9" s="51">
        <v>187.78399999999999</v>
      </c>
      <c r="J9" s="52">
        <v>46367</v>
      </c>
      <c r="K9" s="53">
        <v>4.4660000000000002</v>
      </c>
      <c r="L9" s="53">
        <v>3.9345339999999993</v>
      </c>
      <c r="M9" s="53">
        <v>57217.301088300002</v>
      </c>
      <c r="N9" s="54">
        <v>0.77466559174936833</v>
      </c>
      <c r="O9" s="53">
        <v>-9.1584000000000003</v>
      </c>
      <c r="P9" s="30">
        <v>191.8</v>
      </c>
      <c r="Q9" s="30">
        <v>184.55799999999999</v>
      </c>
      <c r="R9" s="54">
        <v>3.9239697005819411E-2</v>
      </c>
    </row>
    <row r="10" spans="1:21" x14ac:dyDescent="0.15">
      <c r="A10" s="31">
        <v>9</v>
      </c>
      <c r="B10" s="30">
        <v>127040</v>
      </c>
      <c r="C10" s="30" t="s">
        <v>1812</v>
      </c>
      <c r="D10" s="30">
        <v>132.58600000000001</v>
      </c>
      <c r="E10" s="30">
        <v>3.16</v>
      </c>
      <c r="F10" s="30">
        <v>8.77</v>
      </c>
      <c r="G10" s="30">
        <v>132.38</v>
      </c>
      <c r="H10" s="30">
        <v>0.16</v>
      </c>
      <c r="I10" s="51">
        <v>132.74600000000001</v>
      </c>
      <c r="J10" s="52">
        <v>46575</v>
      </c>
      <c r="K10" s="53">
        <v>5.0359999999999996</v>
      </c>
      <c r="L10" s="53">
        <v>40.151668999999998</v>
      </c>
      <c r="M10" s="53">
        <v>38204.11922</v>
      </c>
      <c r="N10" s="54">
        <v>7.1764377269634555E-2</v>
      </c>
      <c r="O10" s="53">
        <v>-3.2578</v>
      </c>
      <c r="P10" s="30">
        <v>133.30000000000001</v>
      </c>
      <c r="Q10" s="30">
        <v>129</v>
      </c>
      <c r="R10" s="54">
        <v>3.3333333333333423E-2</v>
      </c>
    </row>
    <row r="11" spans="1:21" x14ac:dyDescent="0.15">
      <c r="A11" s="31">
        <v>10</v>
      </c>
      <c r="B11" s="30">
        <v>128046</v>
      </c>
      <c r="C11" s="30" t="s">
        <v>1987</v>
      </c>
      <c r="D11" s="30">
        <v>183.81700000000001</v>
      </c>
      <c r="E11" s="30">
        <v>0.13</v>
      </c>
      <c r="F11" s="30">
        <v>12.8</v>
      </c>
      <c r="G11" s="30">
        <v>183.52</v>
      </c>
      <c r="H11" s="30">
        <v>0.16</v>
      </c>
      <c r="I11" s="51">
        <v>183.977</v>
      </c>
      <c r="J11" s="52">
        <v>45582</v>
      </c>
      <c r="K11" s="53">
        <v>2.3149999999999999</v>
      </c>
      <c r="L11" s="53">
        <v>7.1903059999999996</v>
      </c>
      <c r="M11" s="53">
        <v>11709.450703</v>
      </c>
      <c r="N11" s="54">
        <v>8.8593829675397015E-2</v>
      </c>
      <c r="O11" s="53">
        <v>-19.7422</v>
      </c>
      <c r="P11" s="30">
        <v>187.018</v>
      </c>
      <c r="Q11" s="30">
        <v>182.55500000000001</v>
      </c>
      <c r="R11" s="54">
        <v>2.444742680288129E-2</v>
      </c>
    </row>
    <row r="12" spans="1:21" x14ac:dyDescent="0.15">
      <c r="A12" s="31">
        <v>11</v>
      </c>
      <c r="B12" s="30">
        <v>128013</v>
      </c>
      <c r="C12" s="30" t="s">
        <v>1988</v>
      </c>
      <c r="D12" s="30">
        <v>110.5</v>
      </c>
      <c r="E12" s="30">
        <v>0.91</v>
      </c>
      <c r="F12" s="30">
        <v>2.31</v>
      </c>
      <c r="G12" s="30">
        <v>109.96</v>
      </c>
      <c r="H12" s="30">
        <v>0.49</v>
      </c>
      <c r="I12" s="51">
        <v>110.99</v>
      </c>
      <c r="J12" s="52">
        <v>44771</v>
      </c>
      <c r="K12" s="53">
        <v>9.2999999999999999E-2</v>
      </c>
      <c r="L12" s="53">
        <v>7.4863169999999997</v>
      </c>
      <c r="M12" s="53">
        <v>26546.493686000002</v>
      </c>
      <c r="N12" s="54">
        <v>0.32090514182641938</v>
      </c>
      <c r="O12" s="53">
        <v>-21.231000000000002</v>
      </c>
      <c r="P12" s="30">
        <v>111.04</v>
      </c>
      <c r="Q12" s="30">
        <v>109.331</v>
      </c>
      <c r="R12" s="54">
        <v>1.5631431158591828E-2</v>
      </c>
    </row>
    <row r="13" spans="1:21" x14ac:dyDescent="0.15">
      <c r="A13" s="31">
        <v>12</v>
      </c>
      <c r="B13" s="30">
        <v>128106</v>
      </c>
      <c r="C13" s="30" t="s">
        <v>1989</v>
      </c>
      <c r="D13" s="30">
        <v>204</v>
      </c>
      <c r="E13" s="30">
        <v>1.49</v>
      </c>
      <c r="F13" s="30">
        <v>9.3699999999999992</v>
      </c>
      <c r="G13" s="30">
        <v>202.24</v>
      </c>
      <c r="H13" s="30">
        <v>0.87</v>
      </c>
      <c r="I13" s="51">
        <v>204.87</v>
      </c>
      <c r="J13" s="52">
        <v>46122</v>
      </c>
      <c r="K13" s="53">
        <v>3.7949999999999999</v>
      </c>
      <c r="L13" s="53">
        <v>2.8916430000000002</v>
      </c>
      <c r="M13" s="53">
        <v>70278.498781200004</v>
      </c>
      <c r="N13" s="54">
        <v>1.1913726729263685</v>
      </c>
      <c r="O13" s="53">
        <v>-14.759600000000001</v>
      </c>
      <c r="P13" s="30">
        <v>208.26599999999999</v>
      </c>
      <c r="Q13" s="30">
        <v>199.27099999999999</v>
      </c>
      <c r="R13" s="54">
        <v>4.5139533599971922E-2</v>
      </c>
    </row>
    <row r="14" spans="1:21" x14ac:dyDescent="0.15">
      <c r="A14" s="31">
        <v>13</v>
      </c>
      <c r="B14" s="30">
        <v>113548</v>
      </c>
      <c r="C14" s="30" t="s">
        <v>1990</v>
      </c>
      <c r="D14" s="30">
        <v>864.2</v>
      </c>
      <c r="E14" s="30">
        <v>3.17</v>
      </c>
      <c r="F14" s="30">
        <v>14.69</v>
      </c>
      <c r="G14" s="30">
        <v>856.64</v>
      </c>
      <c r="H14" s="30">
        <v>0.88</v>
      </c>
      <c r="I14" s="51">
        <v>865.08</v>
      </c>
      <c r="J14" s="52">
        <v>45958</v>
      </c>
      <c r="K14" s="53">
        <v>3.3450000000000002</v>
      </c>
      <c r="L14" s="53">
        <v>0.71060000000000001</v>
      </c>
      <c r="M14" s="53">
        <v>315880.41749999998</v>
      </c>
      <c r="N14" s="54">
        <v>5.1437900997054999</v>
      </c>
      <c r="O14" s="53">
        <v>-44.5227</v>
      </c>
      <c r="P14" s="30">
        <v>936.39</v>
      </c>
      <c r="Q14" s="30">
        <v>835</v>
      </c>
      <c r="R14" s="54">
        <v>0.12142514970059878</v>
      </c>
    </row>
    <row r="15" spans="1:21" x14ac:dyDescent="0.15">
      <c r="A15" s="31">
        <v>14</v>
      </c>
      <c r="B15" s="30">
        <v>127013</v>
      </c>
      <c r="C15" s="30" t="s">
        <v>1991</v>
      </c>
      <c r="D15" s="30">
        <v>144.39099999999999</v>
      </c>
      <c r="E15" s="30">
        <v>-4.49</v>
      </c>
      <c r="F15" s="30">
        <v>11.19</v>
      </c>
      <c r="G15" s="30">
        <v>142.97999999999999</v>
      </c>
      <c r="H15" s="30">
        <v>0.99</v>
      </c>
      <c r="I15" s="51">
        <v>145.381</v>
      </c>
      <c r="J15" s="52">
        <v>45762</v>
      </c>
      <c r="K15" s="53">
        <v>2.8079999999999998</v>
      </c>
      <c r="L15" s="53">
        <v>1.0176700000000001</v>
      </c>
      <c r="M15" s="53">
        <v>25785.7600131</v>
      </c>
      <c r="N15" s="54">
        <v>1.7548210692535062</v>
      </c>
      <c r="O15" s="53">
        <v>-7.5077999999999996</v>
      </c>
      <c r="P15" s="30">
        <v>152.499</v>
      </c>
      <c r="Q15" s="30">
        <v>141.48599999999999</v>
      </c>
      <c r="R15" s="54">
        <v>7.7838089987702003E-2</v>
      </c>
    </row>
    <row r="16" spans="1:21" x14ac:dyDescent="0.15">
      <c r="A16" s="31">
        <v>15</v>
      </c>
      <c r="B16" s="30">
        <v>113620</v>
      </c>
      <c r="C16" s="30" t="s">
        <v>1992</v>
      </c>
      <c r="D16" s="30">
        <v>151.69</v>
      </c>
      <c r="E16" s="30">
        <v>-1.98</v>
      </c>
      <c r="F16" s="30">
        <v>14.11</v>
      </c>
      <c r="G16" s="30">
        <v>149.96</v>
      </c>
      <c r="H16" s="30">
        <v>1.1499999999999999</v>
      </c>
      <c r="I16" s="51">
        <v>152.84</v>
      </c>
      <c r="J16" s="52">
        <v>46456</v>
      </c>
      <c r="K16" s="53">
        <v>4.71</v>
      </c>
      <c r="L16" s="53">
        <v>8.4636899999999997</v>
      </c>
      <c r="M16" s="53">
        <v>47079.827299999997</v>
      </c>
      <c r="N16" s="54">
        <v>0.36670612310506279</v>
      </c>
      <c r="O16" s="53">
        <v>-4.7930999999999999</v>
      </c>
      <c r="P16" s="30">
        <v>157.87</v>
      </c>
      <c r="Q16" s="30">
        <v>151.15</v>
      </c>
      <c r="R16" s="54">
        <v>4.4459146543169029E-2</v>
      </c>
    </row>
    <row r="17" spans="1:18" x14ac:dyDescent="0.15">
      <c r="A17" s="31">
        <v>16</v>
      </c>
      <c r="B17" s="30">
        <v>127027</v>
      </c>
      <c r="C17" s="30" t="s">
        <v>1993</v>
      </c>
      <c r="D17" s="30">
        <v>141.43799999999999</v>
      </c>
      <c r="E17" s="30">
        <v>-0.21</v>
      </c>
      <c r="F17" s="30">
        <v>3.08</v>
      </c>
      <c r="G17" s="30">
        <v>139.61000000000001</v>
      </c>
      <c r="H17" s="30">
        <v>1.31</v>
      </c>
      <c r="I17" s="51">
        <v>142.74799999999999</v>
      </c>
      <c r="J17" s="52">
        <v>46366</v>
      </c>
      <c r="K17" s="53">
        <v>4.4630000000000001</v>
      </c>
      <c r="L17" s="53">
        <v>19.473997000000001</v>
      </c>
      <c r="M17" s="53">
        <v>13932.463468</v>
      </c>
      <c r="N17" s="54">
        <v>5.0583247446408706E-2</v>
      </c>
      <c r="O17" s="53">
        <v>-4.6314000000000002</v>
      </c>
      <c r="P17" s="30">
        <v>144.22800000000001</v>
      </c>
      <c r="Q17" s="30">
        <v>140.80699999999999</v>
      </c>
      <c r="R17" s="54">
        <v>2.4295667118822365E-2</v>
      </c>
    </row>
    <row r="18" spans="1:18" x14ac:dyDescent="0.15">
      <c r="A18" s="31">
        <v>17</v>
      </c>
      <c r="B18" s="30">
        <v>110085</v>
      </c>
      <c r="C18" s="30" t="s">
        <v>1822</v>
      </c>
      <c r="D18" s="30">
        <v>153.33000000000001</v>
      </c>
      <c r="E18" s="30">
        <v>3.42</v>
      </c>
      <c r="F18" s="30">
        <v>38.36</v>
      </c>
      <c r="G18" s="30">
        <v>151.09</v>
      </c>
      <c r="H18" s="30">
        <v>1.48</v>
      </c>
      <c r="I18" s="51">
        <v>154.81</v>
      </c>
      <c r="J18" s="52">
        <v>46807</v>
      </c>
      <c r="K18" s="53">
        <v>5.6710000000000003</v>
      </c>
      <c r="L18" s="53">
        <v>120</v>
      </c>
      <c r="M18" s="53">
        <v>115275.21430000001</v>
      </c>
      <c r="N18" s="54">
        <v>6.2650934965977526E-2</v>
      </c>
      <c r="O18" s="53">
        <v>-5.2310999999999996</v>
      </c>
      <c r="P18" s="30">
        <v>154.38999999999999</v>
      </c>
      <c r="Q18" s="30">
        <v>148.30000000000001</v>
      </c>
      <c r="R18" s="54">
        <v>4.1065407956844061E-2</v>
      </c>
    </row>
    <row r="19" spans="1:18" x14ac:dyDescent="0.15">
      <c r="A19" s="31">
        <v>18</v>
      </c>
      <c r="B19" s="30">
        <v>113534</v>
      </c>
      <c r="C19" s="30" t="s">
        <v>1994</v>
      </c>
      <c r="D19" s="30">
        <v>307.99</v>
      </c>
      <c r="E19" s="30">
        <v>-1.29</v>
      </c>
      <c r="F19" s="30">
        <v>15.18</v>
      </c>
      <c r="G19" s="30">
        <v>302.37</v>
      </c>
      <c r="H19" s="30">
        <v>1.86</v>
      </c>
      <c r="I19" s="51">
        <v>309.85000000000002</v>
      </c>
      <c r="J19" s="52">
        <v>45756</v>
      </c>
      <c r="K19" s="53">
        <v>2.7919999999999998</v>
      </c>
      <c r="L19" s="53">
        <v>4.03714</v>
      </c>
      <c r="M19" s="53">
        <v>107367.7892</v>
      </c>
      <c r="N19" s="54">
        <v>0.863502471117092</v>
      </c>
      <c r="O19" s="53">
        <v>-30.3751</v>
      </c>
      <c r="P19" s="30">
        <v>323</v>
      </c>
      <c r="Q19" s="30">
        <v>300.31</v>
      </c>
      <c r="R19" s="54">
        <v>7.5555259565116037E-2</v>
      </c>
    </row>
    <row r="20" spans="1:18" x14ac:dyDescent="0.15">
      <c r="A20" s="31">
        <v>19</v>
      </c>
      <c r="B20" s="30">
        <v>113599</v>
      </c>
      <c r="C20" s="30" t="s">
        <v>63</v>
      </c>
      <c r="D20" s="30">
        <v>129.62</v>
      </c>
      <c r="E20" s="30">
        <v>1.07</v>
      </c>
      <c r="F20" s="30">
        <v>12.73</v>
      </c>
      <c r="G20" s="30">
        <v>125.84</v>
      </c>
      <c r="H20" s="30">
        <v>3</v>
      </c>
      <c r="I20" s="51">
        <v>132.62</v>
      </c>
      <c r="J20" s="52">
        <v>46239</v>
      </c>
      <c r="K20" s="53">
        <v>4.1150000000000002</v>
      </c>
      <c r="L20" s="53">
        <v>7.0939500000000004</v>
      </c>
      <c r="M20" s="53">
        <v>6620.4831999999997</v>
      </c>
      <c r="N20" s="54">
        <v>7.1999511126374593E-2</v>
      </c>
      <c r="O20" s="53">
        <v>-0.77839999999999998</v>
      </c>
      <c r="P20" s="30">
        <v>129.85</v>
      </c>
      <c r="Q20" s="30">
        <v>128.19999999999999</v>
      </c>
      <c r="R20" s="54">
        <v>1.2870514820592869E-2</v>
      </c>
    </row>
    <row r="21" spans="1:18" x14ac:dyDescent="0.15">
      <c r="A21" s="31">
        <v>20</v>
      </c>
      <c r="B21" s="30">
        <v>123085</v>
      </c>
      <c r="C21" s="30" t="s">
        <v>1995</v>
      </c>
      <c r="D21" s="30">
        <v>156.59</v>
      </c>
      <c r="E21" s="30">
        <v>5.09</v>
      </c>
      <c r="F21" s="30">
        <v>6.2</v>
      </c>
      <c r="G21" s="30">
        <v>151.61000000000001</v>
      </c>
      <c r="H21" s="30">
        <v>3.28</v>
      </c>
      <c r="I21" s="51">
        <v>159.87</v>
      </c>
      <c r="J21" s="52">
        <v>46367</v>
      </c>
      <c r="K21" s="53">
        <v>4.4660000000000002</v>
      </c>
      <c r="L21" s="53">
        <v>8.4948669999999993</v>
      </c>
      <c r="M21" s="53">
        <v>28139.589920999999</v>
      </c>
      <c r="N21" s="54">
        <v>0.21154226804917178</v>
      </c>
      <c r="O21" s="53">
        <v>-7.1871999999999998</v>
      </c>
      <c r="P21" s="30">
        <v>157.999</v>
      </c>
      <c r="Q21" s="30">
        <v>149.4</v>
      </c>
      <c r="R21" s="54">
        <v>5.755689424364116E-2</v>
      </c>
    </row>
    <row r="22" spans="1:18" x14ac:dyDescent="0.15">
      <c r="A22" s="31">
        <v>21</v>
      </c>
      <c r="B22" s="30">
        <v>123057</v>
      </c>
      <c r="C22" s="30" t="s">
        <v>792</v>
      </c>
      <c r="D22" s="30">
        <v>184.90199999999999</v>
      </c>
      <c r="E22" s="30">
        <v>9.09</v>
      </c>
      <c r="F22" s="30">
        <v>9.5</v>
      </c>
      <c r="G22" s="30">
        <v>178.84</v>
      </c>
      <c r="H22" s="30">
        <v>3.39</v>
      </c>
      <c r="I22" s="51">
        <v>188.29199999999997</v>
      </c>
      <c r="J22" s="52">
        <v>46204</v>
      </c>
      <c r="K22" s="53">
        <v>4.0190000000000001</v>
      </c>
      <c r="L22" s="53">
        <v>2.0650419999999996</v>
      </c>
      <c r="M22" s="53">
        <v>428509.46625289996</v>
      </c>
      <c r="N22" s="54">
        <v>11.222507974013707</v>
      </c>
      <c r="O22" s="53">
        <v>-10.824400000000001</v>
      </c>
      <c r="P22" s="30">
        <v>198.9</v>
      </c>
      <c r="Q22" s="30">
        <v>168</v>
      </c>
      <c r="R22" s="54">
        <v>0.18392857142857147</v>
      </c>
    </row>
    <row r="23" spans="1:18" x14ac:dyDescent="0.15">
      <c r="A23" s="31">
        <v>22</v>
      </c>
      <c r="B23" s="30">
        <v>128128</v>
      </c>
      <c r="C23" s="30" t="s">
        <v>1996</v>
      </c>
      <c r="D23" s="30">
        <v>145.44</v>
      </c>
      <c r="E23" s="30">
        <v>-1.41</v>
      </c>
      <c r="F23" s="30">
        <v>5.69</v>
      </c>
      <c r="G23" s="30">
        <v>140.6</v>
      </c>
      <c r="H23" s="30">
        <v>3.44</v>
      </c>
      <c r="I23" s="51">
        <v>148.88</v>
      </c>
      <c r="J23" s="52">
        <v>46254</v>
      </c>
      <c r="K23" s="53">
        <v>4.1559999999999997</v>
      </c>
      <c r="L23" s="53">
        <v>6.8042189999999998</v>
      </c>
      <c r="M23" s="53">
        <v>111306.02335599999</v>
      </c>
      <c r="N23" s="54">
        <v>1.1247513360704757</v>
      </c>
      <c r="O23" s="53">
        <v>-5.5993000000000004</v>
      </c>
      <c r="P23" s="30">
        <v>169.47300000000001</v>
      </c>
      <c r="Q23" s="30">
        <v>144.45099999999999</v>
      </c>
      <c r="R23" s="54">
        <v>0.1732213691840141</v>
      </c>
    </row>
    <row r="24" spans="1:18" x14ac:dyDescent="0.15">
      <c r="A24" s="31">
        <v>23</v>
      </c>
      <c r="B24" s="30">
        <v>123092</v>
      </c>
      <c r="C24" s="30" t="s">
        <v>1997</v>
      </c>
      <c r="D24" s="30">
        <v>211.43799999999999</v>
      </c>
      <c r="E24" s="30">
        <v>-1.2</v>
      </c>
      <c r="F24" s="30">
        <v>5.14</v>
      </c>
      <c r="G24" s="30">
        <v>203.89</v>
      </c>
      <c r="H24" s="30">
        <v>3.7</v>
      </c>
      <c r="I24" s="51">
        <v>215.13799999999998</v>
      </c>
      <c r="J24" s="52">
        <v>46380</v>
      </c>
      <c r="K24" s="53">
        <v>4.5010000000000003</v>
      </c>
      <c r="L24" s="53">
        <v>4.1420300000000001</v>
      </c>
      <c r="M24" s="53">
        <v>7378.0289439999997</v>
      </c>
      <c r="N24" s="54">
        <v>8.4244987930965937E-2</v>
      </c>
      <c r="O24" s="53">
        <v>-11.856999999999999</v>
      </c>
      <c r="P24" s="30">
        <v>215.79599999999999</v>
      </c>
      <c r="Q24" s="30">
        <v>210.81100000000001</v>
      </c>
      <c r="R24" s="54">
        <v>2.3646773650331267E-2</v>
      </c>
    </row>
    <row r="25" spans="1:18" x14ac:dyDescent="0.15">
      <c r="A25" s="31">
        <v>24</v>
      </c>
      <c r="B25" s="30">
        <v>110068</v>
      </c>
      <c r="C25" s="30" t="s">
        <v>1816</v>
      </c>
      <c r="D25" s="30">
        <v>136.77000000000001</v>
      </c>
      <c r="E25" s="30">
        <v>1.5</v>
      </c>
      <c r="F25" s="30">
        <v>10.55</v>
      </c>
      <c r="G25" s="30">
        <v>131.75</v>
      </c>
      <c r="H25" s="30">
        <v>3.81</v>
      </c>
      <c r="I25" s="51">
        <v>140.58000000000001</v>
      </c>
      <c r="J25" s="52">
        <v>46105</v>
      </c>
      <c r="K25" s="53">
        <v>3.7480000000000002</v>
      </c>
      <c r="L25" s="53">
        <v>19.995090000000001</v>
      </c>
      <c r="M25" s="53">
        <v>13895.084500000001</v>
      </c>
      <c r="N25" s="54">
        <v>5.0809741101523045E-2</v>
      </c>
      <c r="O25" s="53">
        <v>-4.7526999999999999</v>
      </c>
      <c r="P25" s="30">
        <v>138</v>
      </c>
      <c r="Q25" s="30">
        <v>134.22</v>
      </c>
      <c r="R25" s="54">
        <v>2.816271792579348E-2</v>
      </c>
    </row>
    <row r="26" spans="1:18" x14ac:dyDescent="0.15">
      <c r="A26" s="31">
        <v>25</v>
      </c>
      <c r="B26" s="30">
        <v>127043</v>
      </c>
      <c r="C26" s="30" t="s">
        <v>1998</v>
      </c>
      <c r="D26" s="30">
        <v>166.93</v>
      </c>
      <c r="E26" s="30">
        <v>-0.46</v>
      </c>
      <c r="F26" s="30">
        <v>20.7</v>
      </c>
      <c r="G26" s="30">
        <v>159.37</v>
      </c>
      <c r="H26" s="30">
        <v>4.74</v>
      </c>
      <c r="I26" s="51">
        <v>171.67000000000002</v>
      </c>
      <c r="J26" s="52">
        <v>46611</v>
      </c>
      <c r="K26" s="53">
        <v>5.1340000000000003</v>
      </c>
      <c r="L26" s="53">
        <v>10.448228</v>
      </c>
      <c r="M26" s="53">
        <v>35721.2355761</v>
      </c>
      <c r="N26" s="54">
        <v>0.2048091890282763</v>
      </c>
      <c r="O26" s="53">
        <v>-6.1860999999999997</v>
      </c>
      <c r="P26" s="30">
        <v>170.38</v>
      </c>
      <c r="Q26" s="30">
        <v>165.001</v>
      </c>
      <c r="R26" s="54">
        <v>3.2599802425439792E-2</v>
      </c>
    </row>
    <row r="27" spans="1:18" x14ac:dyDescent="0.15">
      <c r="A27" s="31">
        <v>26</v>
      </c>
      <c r="B27" s="30">
        <v>113537</v>
      </c>
      <c r="C27" s="30" t="s">
        <v>1999</v>
      </c>
      <c r="D27" s="30">
        <v>328.14</v>
      </c>
      <c r="E27" s="30">
        <v>-3.4</v>
      </c>
      <c r="F27" s="30">
        <v>19.28</v>
      </c>
      <c r="G27" s="30">
        <v>312.5</v>
      </c>
      <c r="H27" s="30">
        <v>5</v>
      </c>
      <c r="I27" s="51">
        <v>333.14</v>
      </c>
      <c r="J27" s="52">
        <v>45818</v>
      </c>
      <c r="K27" s="53">
        <v>2.9620000000000002</v>
      </c>
      <c r="L27" s="53">
        <v>1.40378</v>
      </c>
      <c r="M27" s="53">
        <v>198517.42989999999</v>
      </c>
      <c r="N27" s="54">
        <v>4.3096343053582755</v>
      </c>
      <c r="O27" s="53">
        <v>-29.2256</v>
      </c>
      <c r="P27" s="30">
        <v>340.5</v>
      </c>
      <c r="Q27" s="30">
        <v>323.27999999999997</v>
      </c>
      <c r="R27" s="54">
        <v>5.3266518188567279E-2</v>
      </c>
    </row>
    <row r="28" spans="1:18" x14ac:dyDescent="0.15">
      <c r="A28" s="31">
        <v>27</v>
      </c>
      <c r="B28" s="30">
        <v>123107</v>
      </c>
      <c r="C28" s="30" t="s">
        <v>1834</v>
      </c>
      <c r="D28" s="30">
        <v>132.16200000000001</v>
      </c>
      <c r="E28" s="30">
        <v>-0.26</v>
      </c>
      <c r="F28" s="30">
        <v>17.48</v>
      </c>
      <c r="G28" s="30">
        <v>125.46</v>
      </c>
      <c r="H28" s="30">
        <v>5.34</v>
      </c>
      <c r="I28" s="51">
        <v>137.50200000000001</v>
      </c>
      <c r="J28" s="52">
        <v>46475</v>
      </c>
      <c r="K28" s="53">
        <v>4.7619999999999996</v>
      </c>
      <c r="L28" s="53">
        <v>92.961128000000002</v>
      </c>
      <c r="M28" s="53">
        <v>26196.6498469</v>
      </c>
      <c r="N28" s="54">
        <v>2.1322482575387228E-2</v>
      </c>
      <c r="O28" s="53">
        <v>-3.3275000000000001</v>
      </c>
      <c r="P28" s="30">
        <v>134.69999999999999</v>
      </c>
      <c r="Q28" s="30">
        <v>130.6</v>
      </c>
      <c r="R28" s="54">
        <v>3.1393568147013738E-2</v>
      </c>
    </row>
    <row r="29" spans="1:18" x14ac:dyDescent="0.15">
      <c r="A29" s="31">
        <v>28</v>
      </c>
      <c r="B29" s="30">
        <v>128114</v>
      </c>
      <c r="C29" s="30" t="s">
        <v>1818</v>
      </c>
      <c r="D29" s="30">
        <v>108.72799999999999</v>
      </c>
      <c r="E29" s="30">
        <v>-0.48</v>
      </c>
      <c r="F29" s="30">
        <v>6.08</v>
      </c>
      <c r="G29" s="30">
        <v>103.12</v>
      </c>
      <c r="H29" s="30">
        <v>5.44</v>
      </c>
      <c r="I29" s="51">
        <v>114.16799999999999</v>
      </c>
      <c r="J29" s="52">
        <v>46190</v>
      </c>
      <c r="K29" s="53">
        <v>3.9809999999999999</v>
      </c>
      <c r="L29" s="53">
        <v>15.936507999999998</v>
      </c>
      <c r="M29" s="53">
        <v>25425.9318251</v>
      </c>
      <c r="N29" s="54">
        <v>0.14673790477479134</v>
      </c>
      <c r="O29" s="53">
        <v>1.2848999999999999</v>
      </c>
      <c r="P29" s="30">
        <v>110.5</v>
      </c>
      <c r="Q29" s="30">
        <v>108.35</v>
      </c>
      <c r="R29" s="54">
        <v>1.9843101061375226E-2</v>
      </c>
    </row>
    <row r="30" spans="1:18" x14ac:dyDescent="0.15">
      <c r="A30" s="31">
        <v>29</v>
      </c>
      <c r="B30" s="30">
        <v>123083</v>
      </c>
      <c r="C30" s="30" t="s">
        <v>113</v>
      </c>
      <c r="D30" s="30">
        <v>187.738</v>
      </c>
      <c r="E30" s="30">
        <v>2.44</v>
      </c>
      <c r="F30" s="30">
        <v>15.27</v>
      </c>
      <c r="G30" s="30">
        <v>176.56</v>
      </c>
      <c r="H30" s="30">
        <v>6.33</v>
      </c>
      <c r="I30" s="51">
        <v>194.06800000000001</v>
      </c>
      <c r="J30" s="52">
        <v>46365</v>
      </c>
      <c r="K30" s="53">
        <v>4.46</v>
      </c>
      <c r="L30" s="53">
        <v>5.4829610000000004</v>
      </c>
      <c r="M30" s="53">
        <v>36186.982870499996</v>
      </c>
      <c r="N30" s="54">
        <v>0.35154832344756326</v>
      </c>
      <c r="O30" s="53">
        <v>-10.603300000000001</v>
      </c>
      <c r="P30" s="30">
        <v>196.29599999999999</v>
      </c>
      <c r="Q30" s="30">
        <v>181.60300000000001</v>
      </c>
      <c r="R30" s="54">
        <v>8.0907253734795043E-2</v>
      </c>
    </row>
    <row r="31" spans="1:18" x14ac:dyDescent="0.15">
      <c r="A31" s="31">
        <v>30</v>
      </c>
      <c r="B31" s="30">
        <v>123137</v>
      </c>
      <c r="C31" s="30" t="s">
        <v>783</v>
      </c>
      <c r="D31" s="30">
        <v>144.6</v>
      </c>
      <c r="E31" s="30">
        <v>1.64</v>
      </c>
      <c r="F31" s="30">
        <v>151.35</v>
      </c>
      <c r="G31" s="30">
        <v>134.85</v>
      </c>
      <c r="H31" s="30">
        <v>7.23</v>
      </c>
      <c r="I31" s="51">
        <v>151.82999999999998</v>
      </c>
      <c r="J31" s="52">
        <v>46793</v>
      </c>
      <c r="K31" s="53">
        <v>5.633</v>
      </c>
      <c r="L31" s="53">
        <v>8.9700000000000006</v>
      </c>
      <c r="M31" s="53">
        <v>36406.101072400001</v>
      </c>
      <c r="N31" s="54">
        <v>0.28068127099861073</v>
      </c>
      <c r="O31" s="53">
        <v>-3.5695999999999999</v>
      </c>
      <c r="P31" s="30">
        <v>145.19</v>
      </c>
      <c r="Q31" s="30">
        <v>141.375</v>
      </c>
      <c r="R31" s="54">
        <v>2.6984969053934556E-2</v>
      </c>
    </row>
    <row r="32" spans="1:18" x14ac:dyDescent="0.15">
      <c r="A32" s="31">
        <v>31</v>
      </c>
      <c r="B32" s="30">
        <v>128081</v>
      </c>
      <c r="C32" s="30" t="s">
        <v>92</v>
      </c>
      <c r="D32" s="30">
        <v>126.35299999999999</v>
      </c>
      <c r="E32" s="30">
        <v>0.67</v>
      </c>
      <c r="F32" s="30">
        <v>9.69</v>
      </c>
      <c r="G32" s="30">
        <v>117.75</v>
      </c>
      <c r="H32" s="30">
        <v>7.31</v>
      </c>
      <c r="I32" s="51">
        <v>133.66299999999998</v>
      </c>
      <c r="J32" s="52">
        <v>45982</v>
      </c>
      <c r="K32" s="53">
        <v>3.411</v>
      </c>
      <c r="L32" s="53">
        <v>30.054890999999994</v>
      </c>
      <c r="M32" s="53">
        <v>8113.384239</v>
      </c>
      <c r="N32" s="54">
        <v>2.136492285437112E-2</v>
      </c>
      <c r="O32" s="53">
        <v>-2.9504999999999999</v>
      </c>
      <c r="P32" s="30">
        <v>127.23699999999999</v>
      </c>
      <c r="Q32" s="30">
        <v>125.949</v>
      </c>
      <c r="R32" s="54">
        <v>1.0226361463767054E-2</v>
      </c>
    </row>
    <row r="33" spans="1:18" x14ac:dyDescent="0.15">
      <c r="A33" s="31">
        <v>32</v>
      </c>
      <c r="B33" s="30">
        <v>127045</v>
      </c>
      <c r="C33" s="30" t="s">
        <v>1830</v>
      </c>
      <c r="D33" s="30">
        <v>129.30000000000001</v>
      </c>
      <c r="E33" s="30">
        <v>-0.53</v>
      </c>
      <c r="F33" s="30">
        <v>47.46</v>
      </c>
      <c r="G33" s="30">
        <v>119.89</v>
      </c>
      <c r="H33" s="30">
        <v>7.85</v>
      </c>
      <c r="I33" s="51">
        <v>137.15</v>
      </c>
      <c r="J33" s="52">
        <v>46615</v>
      </c>
      <c r="K33" s="53">
        <v>5.1449999999999996</v>
      </c>
      <c r="L33" s="53">
        <v>95.473647</v>
      </c>
      <c r="M33" s="53">
        <v>26248.804933700001</v>
      </c>
      <c r="N33" s="54">
        <v>2.1263144866964574E-2</v>
      </c>
      <c r="O33" s="53">
        <v>-2.9472999999999998</v>
      </c>
      <c r="P33" s="30">
        <v>130.4</v>
      </c>
      <c r="Q33" s="30">
        <v>128.88</v>
      </c>
      <c r="R33" s="54">
        <v>1.1793916821849862E-2</v>
      </c>
    </row>
    <row r="34" spans="1:18" x14ac:dyDescent="0.15">
      <c r="A34" s="31">
        <v>33</v>
      </c>
      <c r="B34" s="30">
        <v>113025</v>
      </c>
      <c r="C34" s="30" t="s">
        <v>2000</v>
      </c>
      <c r="D34" s="30">
        <v>319.60000000000002</v>
      </c>
      <c r="E34" s="30">
        <v>1.91</v>
      </c>
      <c r="F34" s="30">
        <v>7.66</v>
      </c>
      <c r="G34" s="30">
        <v>295.3</v>
      </c>
      <c r="H34" s="30">
        <v>8.23</v>
      </c>
      <c r="I34" s="51">
        <v>327.83000000000004</v>
      </c>
      <c r="J34" s="52">
        <v>45757</v>
      </c>
      <c r="K34" s="53">
        <v>2.7949999999999999</v>
      </c>
      <c r="L34" s="53">
        <v>10.147880000000001</v>
      </c>
      <c r="M34" s="53">
        <v>37058.189899999998</v>
      </c>
      <c r="N34" s="54">
        <v>0.11426207559259474</v>
      </c>
      <c r="O34" s="53">
        <v>-31.242899999999999</v>
      </c>
      <c r="P34" s="30">
        <v>328.06</v>
      </c>
      <c r="Q34" s="30">
        <v>312.12</v>
      </c>
      <c r="R34" s="54">
        <v>5.1070101243111614E-2</v>
      </c>
    </row>
    <row r="35" spans="1:18" x14ac:dyDescent="0.15">
      <c r="A35" s="31">
        <v>34</v>
      </c>
      <c r="B35" s="30">
        <v>110077</v>
      </c>
      <c r="C35" s="30" t="s">
        <v>1814</v>
      </c>
      <c r="D35" s="30">
        <v>130.21</v>
      </c>
      <c r="E35" s="30">
        <v>1.5</v>
      </c>
      <c r="F35" s="30">
        <v>6.71</v>
      </c>
      <c r="G35" s="30">
        <v>119.97</v>
      </c>
      <c r="H35" s="30">
        <v>8.5399999999999991</v>
      </c>
      <c r="I35" s="51">
        <v>138.75</v>
      </c>
      <c r="J35" s="52">
        <v>46346</v>
      </c>
      <c r="K35" s="53">
        <v>4.4080000000000004</v>
      </c>
      <c r="L35" s="53">
        <v>17.676639999999999</v>
      </c>
      <c r="M35" s="53">
        <v>4596.6148999999996</v>
      </c>
      <c r="N35" s="54">
        <v>1.9970735712303171E-2</v>
      </c>
      <c r="O35" s="53">
        <v>-3.1432000000000002</v>
      </c>
      <c r="P35" s="30">
        <v>130.62</v>
      </c>
      <c r="Q35" s="30">
        <v>128.32</v>
      </c>
      <c r="R35" s="54">
        <v>1.7923940149626026E-2</v>
      </c>
    </row>
    <row r="36" spans="1:18" x14ac:dyDescent="0.15">
      <c r="A36" s="31">
        <v>35</v>
      </c>
      <c r="B36" s="30">
        <v>128139</v>
      </c>
      <c r="C36" s="30" t="s">
        <v>163</v>
      </c>
      <c r="D36" s="30">
        <v>143.06299999999999</v>
      </c>
      <c r="E36" s="30">
        <v>3</v>
      </c>
      <c r="F36" s="30">
        <v>26.25</v>
      </c>
      <c r="G36" s="30">
        <v>131.81</v>
      </c>
      <c r="H36" s="30">
        <v>8.5399999999999991</v>
      </c>
      <c r="I36" s="51">
        <v>151.60299999999998</v>
      </c>
      <c r="J36" s="52">
        <v>46357</v>
      </c>
      <c r="K36" s="53">
        <v>4.4379999999999997</v>
      </c>
      <c r="L36" s="53">
        <v>6.4690849999999998</v>
      </c>
      <c r="M36" s="53">
        <v>27264.910488200003</v>
      </c>
      <c r="N36" s="54">
        <v>0.29460077893632758</v>
      </c>
      <c r="O36" s="53">
        <v>-3.8462999999999998</v>
      </c>
      <c r="P36" s="30">
        <v>146.63300000000001</v>
      </c>
      <c r="Q36" s="30">
        <v>139.94999999999999</v>
      </c>
      <c r="R36" s="54">
        <v>4.7752768846016591E-2</v>
      </c>
    </row>
    <row r="37" spans="1:18" x14ac:dyDescent="0.15">
      <c r="A37" s="31">
        <v>36</v>
      </c>
      <c r="B37" s="30">
        <v>123121</v>
      </c>
      <c r="C37" s="30" t="s">
        <v>234</v>
      </c>
      <c r="D37" s="30">
        <v>167.49</v>
      </c>
      <c r="E37" s="30">
        <v>4.1100000000000003</v>
      </c>
      <c r="F37" s="30">
        <v>119.68</v>
      </c>
      <c r="G37" s="30">
        <v>154.16</v>
      </c>
      <c r="H37" s="30">
        <v>8.65</v>
      </c>
      <c r="I37" s="51">
        <v>176.14000000000001</v>
      </c>
      <c r="J37" s="52">
        <v>46604</v>
      </c>
      <c r="K37" s="53">
        <v>5.1150000000000002</v>
      </c>
      <c r="L37" s="53">
        <v>8.3948689999999999</v>
      </c>
      <c r="M37" s="53">
        <v>66184.359362500007</v>
      </c>
      <c r="N37" s="54">
        <v>0.47070906639039517</v>
      </c>
      <c r="O37" s="53">
        <v>-6.2713999999999999</v>
      </c>
      <c r="P37" s="30">
        <v>177.34700000000001</v>
      </c>
      <c r="Q37" s="30">
        <v>161.68</v>
      </c>
      <c r="R37" s="54">
        <v>9.6901286491835728E-2</v>
      </c>
    </row>
    <row r="38" spans="1:18" x14ac:dyDescent="0.15">
      <c r="A38" s="31">
        <v>37</v>
      </c>
      <c r="B38" s="30">
        <v>113615</v>
      </c>
      <c r="C38" s="30" t="s">
        <v>2001</v>
      </c>
      <c r="D38" s="30">
        <v>167.35</v>
      </c>
      <c r="E38" s="30">
        <v>-2.0299999999999998</v>
      </c>
      <c r="F38" s="30">
        <v>12.65</v>
      </c>
      <c r="G38" s="30">
        <v>153.99</v>
      </c>
      <c r="H38" s="30">
        <v>8.68</v>
      </c>
      <c r="I38" s="51">
        <v>176.03</v>
      </c>
      <c r="J38" s="52">
        <v>46379</v>
      </c>
      <c r="K38" s="53">
        <v>4.4989999999999997</v>
      </c>
      <c r="L38" s="53">
        <v>8.4798799999999996</v>
      </c>
      <c r="M38" s="53">
        <v>9621.4300999999996</v>
      </c>
      <c r="N38" s="54">
        <v>6.7799143236124196E-2</v>
      </c>
      <c r="O38" s="53">
        <v>-7.7923999999999998</v>
      </c>
      <c r="P38" s="30">
        <v>171.49</v>
      </c>
      <c r="Q38" s="30">
        <v>166.51</v>
      </c>
      <c r="R38" s="54">
        <v>2.9908113626809313E-2</v>
      </c>
    </row>
    <row r="39" spans="1:18" x14ac:dyDescent="0.15">
      <c r="A39" s="31">
        <v>38</v>
      </c>
      <c r="B39" s="30">
        <v>110061</v>
      </c>
      <c r="C39" s="30" t="s">
        <v>2002</v>
      </c>
      <c r="D39" s="30">
        <v>140.66999999999999</v>
      </c>
      <c r="E39" s="30">
        <v>1.01</v>
      </c>
      <c r="F39" s="30">
        <v>9.1999999999999993</v>
      </c>
      <c r="G39" s="30">
        <v>128.80000000000001</v>
      </c>
      <c r="H39" s="30">
        <v>9.2200000000000006</v>
      </c>
      <c r="I39" s="51">
        <v>149.88999999999999</v>
      </c>
      <c r="J39" s="52">
        <v>45972</v>
      </c>
      <c r="K39" s="53">
        <v>3.3839999999999999</v>
      </c>
      <c r="L39" s="53">
        <v>39.615589999999997</v>
      </c>
      <c r="M39" s="53">
        <v>8342.7697000000007</v>
      </c>
      <c r="N39" s="54">
        <v>1.4970718332920878E-2</v>
      </c>
      <c r="O39" s="53">
        <v>-7.0625</v>
      </c>
      <c r="P39" s="30">
        <v>141.38999999999999</v>
      </c>
      <c r="Q39" s="30">
        <v>139.28</v>
      </c>
      <c r="R39" s="54">
        <v>1.5149339460080307E-2</v>
      </c>
    </row>
    <row r="40" spans="1:18" x14ac:dyDescent="0.15">
      <c r="A40" s="31">
        <v>39</v>
      </c>
      <c r="B40" s="30">
        <v>110074</v>
      </c>
      <c r="C40" s="30" t="s">
        <v>2003</v>
      </c>
      <c r="D40" s="30">
        <v>178.78</v>
      </c>
      <c r="E40" s="30">
        <v>2.44</v>
      </c>
      <c r="F40" s="30">
        <v>3.7</v>
      </c>
      <c r="G40" s="30">
        <v>163.51</v>
      </c>
      <c r="H40" s="30">
        <v>9.34</v>
      </c>
      <c r="I40" s="51">
        <v>188.12</v>
      </c>
      <c r="J40" s="52">
        <v>46253</v>
      </c>
      <c r="K40" s="53">
        <v>4.1529999999999996</v>
      </c>
      <c r="L40" s="53">
        <v>5.0956400000000004</v>
      </c>
      <c r="M40" s="53">
        <v>80933.968699999998</v>
      </c>
      <c r="N40" s="54">
        <v>0.88840944298211078</v>
      </c>
      <c r="O40" s="53">
        <v>-9.8907000000000007</v>
      </c>
      <c r="P40" s="30">
        <v>183</v>
      </c>
      <c r="Q40" s="30">
        <v>172.44</v>
      </c>
      <c r="R40" s="54">
        <v>6.1238691718858748E-2</v>
      </c>
    </row>
    <row r="41" spans="1:18" x14ac:dyDescent="0.15">
      <c r="A41" s="31">
        <v>40</v>
      </c>
      <c r="B41" s="30">
        <v>123089</v>
      </c>
      <c r="C41" s="30" t="s">
        <v>795</v>
      </c>
      <c r="D41" s="30">
        <v>144.79</v>
      </c>
      <c r="E41" s="30">
        <v>0.13</v>
      </c>
      <c r="F41" s="30">
        <v>5.63</v>
      </c>
      <c r="G41" s="30">
        <v>132.15</v>
      </c>
      <c r="H41" s="30">
        <v>9.56</v>
      </c>
      <c r="I41" s="51">
        <v>154.35</v>
      </c>
      <c r="J41" s="52">
        <v>46377</v>
      </c>
      <c r="K41" s="53">
        <v>4.4930000000000003</v>
      </c>
      <c r="L41" s="53">
        <v>3.062408</v>
      </c>
      <c r="M41" s="53">
        <v>6742.5697650000002</v>
      </c>
      <c r="N41" s="54">
        <v>0.15206309655244313</v>
      </c>
      <c r="O41" s="53">
        <v>-4.0606999999999998</v>
      </c>
      <c r="P41" s="30">
        <v>146.5</v>
      </c>
      <c r="Q41" s="30">
        <v>144.202</v>
      </c>
      <c r="R41" s="54">
        <v>1.5935978696550685E-2</v>
      </c>
    </row>
    <row r="42" spans="1:18" x14ac:dyDescent="0.15">
      <c r="A42" s="31">
        <v>41</v>
      </c>
      <c r="B42" s="30">
        <v>127007</v>
      </c>
      <c r="C42" s="30" t="s">
        <v>2004</v>
      </c>
      <c r="D42" s="30">
        <v>168.19900000000001</v>
      </c>
      <c r="E42" s="30">
        <v>0.22</v>
      </c>
      <c r="F42" s="30">
        <v>5.58</v>
      </c>
      <c r="G42" s="30">
        <v>153.22999999999999</v>
      </c>
      <c r="H42" s="30">
        <v>9.77</v>
      </c>
      <c r="I42" s="51">
        <v>177.96900000000002</v>
      </c>
      <c r="J42" s="52">
        <v>45471</v>
      </c>
      <c r="K42" s="53">
        <v>2.0110000000000001</v>
      </c>
      <c r="L42" s="53">
        <v>3.6970450000000001</v>
      </c>
      <c r="M42" s="53">
        <v>102022.6103935</v>
      </c>
      <c r="N42" s="54">
        <v>1.6406588485920355</v>
      </c>
      <c r="O42" s="53">
        <v>-18.850300000000001</v>
      </c>
      <c r="P42" s="30">
        <v>171.66</v>
      </c>
      <c r="Q42" s="30">
        <v>167.6</v>
      </c>
      <c r="R42" s="54">
        <v>2.4224343675417676E-2</v>
      </c>
    </row>
    <row r="43" spans="1:18" x14ac:dyDescent="0.15">
      <c r="A43" s="31">
        <v>42</v>
      </c>
      <c r="B43" s="30">
        <v>128130</v>
      </c>
      <c r="C43" s="30" t="s">
        <v>105</v>
      </c>
      <c r="D43" s="30">
        <v>121.839</v>
      </c>
      <c r="E43" s="30">
        <v>0.64</v>
      </c>
      <c r="F43" s="30">
        <v>3.4</v>
      </c>
      <c r="G43" s="30">
        <v>110.88</v>
      </c>
      <c r="H43" s="30">
        <v>9.8800000000000008</v>
      </c>
      <c r="I43" s="51">
        <v>131.71899999999999</v>
      </c>
      <c r="J43" s="52">
        <v>46265</v>
      </c>
      <c r="K43" s="53">
        <v>4.1859999999999999</v>
      </c>
      <c r="L43" s="53">
        <v>9.9868059999999996</v>
      </c>
      <c r="M43" s="53">
        <v>2634.6688184</v>
      </c>
      <c r="N43" s="54">
        <v>2.1652751524331035E-2</v>
      </c>
      <c r="O43" s="53">
        <v>-1.4392</v>
      </c>
      <c r="P43" s="30">
        <v>122.99</v>
      </c>
      <c r="Q43" s="30">
        <v>121.66</v>
      </c>
      <c r="R43" s="54">
        <v>1.0932105868814716E-2</v>
      </c>
    </row>
    <row r="44" spans="1:18" x14ac:dyDescent="0.15">
      <c r="A44" s="31">
        <v>43</v>
      </c>
      <c r="B44" s="30">
        <v>123012</v>
      </c>
      <c r="C44" s="30" t="s">
        <v>2005</v>
      </c>
      <c r="D44" s="30">
        <v>196</v>
      </c>
      <c r="E44" s="30">
        <v>3.13</v>
      </c>
      <c r="F44" s="30">
        <v>5.27</v>
      </c>
      <c r="G44" s="30">
        <v>178.37</v>
      </c>
      <c r="H44" s="30">
        <v>9.8800000000000008</v>
      </c>
      <c r="I44" s="51">
        <v>205.88</v>
      </c>
      <c r="J44" s="52">
        <v>45493</v>
      </c>
      <c r="K44" s="53">
        <v>2.0710000000000002</v>
      </c>
      <c r="L44" s="53">
        <v>1.2237709999999999</v>
      </c>
      <c r="M44" s="53">
        <v>178110.00483230001</v>
      </c>
      <c r="N44" s="54">
        <v>7.4256091576815457</v>
      </c>
      <c r="O44" s="53">
        <v>-24.910599999999999</v>
      </c>
      <c r="P44" s="30">
        <v>205.45500000000001</v>
      </c>
      <c r="Q44" s="30">
        <v>191.65</v>
      </c>
      <c r="R44" s="54">
        <v>7.2032350639186046E-2</v>
      </c>
    </row>
    <row r="45" spans="1:18" x14ac:dyDescent="0.15">
      <c r="A45" s="31">
        <v>44</v>
      </c>
      <c r="B45" s="30">
        <v>123063</v>
      </c>
      <c r="C45" s="30" t="s">
        <v>91</v>
      </c>
      <c r="D45" s="30">
        <v>130.86099999999999</v>
      </c>
      <c r="E45" s="30">
        <v>7.0000000000000007E-2</v>
      </c>
      <c r="F45" s="30">
        <v>4.72</v>
      </c>
      <c r="G45" s="30">
        <v>119.07</v>
      </c>
      <c r="H45" s="30">
        <v>9.9</v>
      </c>
      <c r="I45" s="51">
        <v>140.761</v>
      </c>
      <c r="J45" s="52">
        <v>46231</v>
      </c>
      <c r="K45" s="53">
        <v>4.093</v>
      </c>
      <c r="L45" s="53">
        <v>6.3456489999999999</v>
      </c>
      <c r="M45" s="53">
        <v>2505.8955087999998</v>
      </c>
      <c r="N45" s="54">
        <v>3.0177042669864887E-2</v>
      </c>
      <c r="O45" s="53">
        <v>-0.92200000000000004</v>
      </c>
      <c r="P45" s="30">
        <v>131.18100000000001</v>
      </c>
      <c r="Q45" s="30">
        <v>129.9</v>
      </c>
      <c r="R45" s="54">
        <v>9.8614318706697918E-3</v>
      </c>
    </row>
    <row r="46" spans="1:18" x14ac:dyDescent="0.15">
      <c r="A46" s="31">
        <v>45</v>
      </c>
      <c r="B46" s="30">
        <v>128095</v>
      </c>
      <c r="C46" s="30" t="s">
        <v>2006</v>
      </c>
      <c r="D46" s="30">
        <v>445.7</v>
      </c>
      <c r="E46" s="30">
        <v>0.09</v>
      </c>
      <c r="F46" s="30">
        <v>64.62</v>
      </c>
      <c r="G46" s="30">
        <v>405.25</v>
      </c>
      <c r="H46" s="30">
        <v>9.98</v>
      </c>
      <c r="I46" s="51">
        <v>455.68</v>
      </c>
      <c r="J46" s="52">
        <v>46064</v>
      </c>
      <c r="K46" s="53">
        <v>3.6360000000000001</v>
      </c>
      <c r="L46" s="53">
        <v>4.5394249999999996</v>
      </c>
      <c r="M46" s="53">
        <v>26826.0423228</v>
      </c>
      <c r="N46" s="54">
        <v>0.13259071917067164</v>
      </c>
      <c r="O46" s="53">
        <v>-31.5443</v>
      </c>
      <c r="P46" s="30">
        <v>456.767</v>
      </c>
      <c r="Q46" s="30">
        <v>438.00799999999998</v>
      </c>
      <c r="R46" s="54">
        <v>4.2827984876988585E-2</v>
      </c>
    </row>
    <row r="47" spans="1:18" x14ac:dyDescent="0.15">
      <c r="A47" s="31">
        <v>46</v>
      </c>
      <c r="B47" s="30">
        <v>113525</v>
      </c>
      <c r="C47" s="30" t="s">
        <v>2007</v>
      </c>
      <c r="D47" s="30">
        <v>184.84</v>
      </c>
      <c r="E47" s="30">
        <v>0.3</v>
      </c>
      <c r="F47" s="30">
        <v>7.78</v>
      </c>
      <c r="G47" s="30">
        <v>167.74</v>
      </c>
      <c r="H47" s="30">
        <v>10.19</v>
      </c>
      <c r="I47" s="51">
        <v>195.03</v>
      </c>
      <c r="J47" s="52">
        <v>45643</v>
      </c>
      <c r="K47" s="53">
        <v>2.4820000000000002</v>
      </c>
      <c r="L47" s="53">
        <v>1.8535699999999999</v>
      </c>
      <c r="M47" s="53">
        <v>15491.5191</v>
      </c>
      <c r="N47" s="54">
        <v>0.45215678810965904</v>
      </c>
      <c r="O47" s="53">
        <v>-18.118500000000001</v>
      </c>
      <c r="P47" s="30">
        <v>185.63</v>
      </c>
      <c r="Q47" s="30">
        <v>182.02</v>
      </c>
      <c r="R47" s="54">
        <v>1.9832985386221212E-2</v>
      </c>
    </row>
    <row r="48" spans="1:18" x14ac:dyDescent="0.15">
      <c r="A48" s="31">
        <v>47</v>
      </c>
      <c r="B48" s="30">
        <v>123120</v>
      </c>
      <c r="C48" s="30" t="s">
        <v>236</v>
      </c>
      <c r="D48" s="30">
        <v>142.65799999999999</v>
      </c>
      <c r="E48" s="30">
        <v>1.91</v>
      </c>
      <c r="F48" s="30">
        <v>7.73</v>
      </c>
      <c r="G48" s="30">
        <v>129.37</v>
      </c>
      <c r="H48" s="30">
        <v>10.27</v>
      </c>
      <c r="I48" s="51">
        <v>152.928</v>
      </c>
      <c r="J48" s="52">
        <v>46598</v>
      </c>
      <c r="K48" s="53">
        <v>5.0990000000000002</v>
      </c>
      <c r="L48" s="53">
        <v>7.9850760000000003</v>
      </c>
      <c r="M48" s="53">
        <v>178930.3305833</v>
      </c>
      <c r="N48" s="54">
        <v>1.57075618763501</v>
      </c>
      <c r="O48" s="53">
        <v>-3.2263999999999999</v>
      </c>
      <c r="P48" s="30">
        <v>153.78399999999999</v>
      </c>
      <c r="Q48" s="30">
        <v>141</v>
      </c>
      <c r="R48" s="54">
        <v>9.0666666666666604E-2</v>
      </c>
    </row>
    <row r="49" spans="1:18" x14ac:dyDescent="0.15">
      <c r="A49" s="31">
        <v>48</v>
      </c>
      <c r="B49" s="30">
        <v>128141</v>
      </c>
      <c r="C49" s="30" t="s">
        <v>1813</v>
      </c>
      <c r="D49" s="30">
        <v>134.5</v>
      </c>
      <c r="E49" s="30">
        <v>1.1299999999999999</v>
      </c>
      <c r="F49" s="30">
        <v>15.67</v>
      </c>
      <c r="G49" s="30">
        <v>121.83</v>
      </c>
      <c r="H49" s="30">
        <v>10.4</v>
      </c>
      <c r="I49" s="51">
        <v>144.9</v>
      </c>
      <c r="J49" s="52">
        <v>46373</v>
      </c>
      <c r="K49" s="53">
        <v>4.4820000000000002</v>
      </c>
      <c r="L49" s="53">
        <v>12.701738000000001</v>
      </c>
      <c r="M49" s="53">
        <v>6721.9361942000005</v>
      </c>
      <c r="N49" s="54">
        <v>3.9346757723014901E-2</v>
      </c>
      <c r="O49" s="53">
        <v>-3.5329000000000002</v>
      </c>
      <c r="P49" s="30">
        <v>134.5</v>
      </c>
      <c r="Q49" s="30">
        <v>132.369</v>
      </c>
      <c r="R49" s="54">
        <v>1.6098935551375322E-2</v>
      </c>
    </row>
    <row r="50" spans="1:18" x14ac:dyDescent="0.15">
      <c r="A50" s="31">
        <v>49</v>
      </c>
      <c r="B50" s="30">
        <v>123097</v>
      </c>
      <c r="C50" s="30" t="s">
        <v>125</v>
      </c>
      <c r="D50" s="30">
        <v>136.99</v>
      </c>
      <c r="E50" s="30">
        <v>1.17</v>
      </c>
      <c r="F50" s="30">
        <v>9.2799999999999994</v>
      </c>
      <c r="G50" s="30">
        <v>124.03</v>
      </c>
      <c r="H50" s="30">
        <v>10.45</v>
      </c>
      <c r="I50" s="51">
        <v>147.44</v>
      </c>
      <c r="J50" s="52">
        <v>46414</v>
      </c>
      <c r="K50" s="53">
        <v>4.5949999999999998</v>
      </c>
      <c r="L50" s="53">
        <v>2.9987979999999999</v>
      </c>
      <c r="M50" s="53">
        <v>32735.007651</v>
      </c>
      <c r="N50" s="54">
        <v>0.79684961760176309</v>
      </c>
      <c r="O50" s="53">
        <v>-2.7037</v>
      </c>
      <c r="P50" s="30">
        <v>139.80000000000001</v>
      </c>
      <c r="Q50" s="30">
        <v>133.33000000000001</v>
      </c>
      <c r="R50" s="54">
        <v>4.8526213155328873E-2</v>
      </c>
    </row>
    <row r="51" spans="1:18" x14ac:dyDescent="0.15">
      <c r="A51" s="31">
        <v>50</v>
      </c>
      <c r="B51" s="30">
        <v>128119</v>
      </c>
      <c r="C51" s="30" t="s">
        <v>243</v>
      </c>
      <c r="D51" s="30">
        <v>128.29900000000001</v>
      </c>
      <c r="E51" s="30">
        <v>1.24</v>
      </c>
      <c r="F51" s="30">
        <v>9.2799999999999994</v>
      </c>
      <c r="G51" s="30">
        <v>116.16</v>
      </c>
      <c r="H51" s="30">
        <v>10.45</v>
      </c>
      <c r="I51" s="51">
        <v>138.749</v>
      </c>
      <c r="J51" s="52">
        <v>46216</v>
      </c>
      <c r="K51" s="53">
        <v>4.0519999999999996</v>
      </c>
      <c r="L51" s="53">
        <v>9.4607620000000008</v>
      </c>
      <c r="M51" s="53">
        <v>2775.044852</v>
      </c>
      <c r="N51" s="54">
        <v>2.2862336793155833E-2</v>
      </c>
      <c r="O51" s="53">
        <v>-1.6902999999999999</v>
      </c>
      <c r="P51" s="30">
        <v>128.74700000000001</v>
      </c>
      <c r="Q51" s="30">
        <v>126.81</v>
      </c>
      <c r="R51" s="54">
        <v>1.5274820597744751E-2</v>
      </c>
    </row>
    <row r="52" spans="1:18" x14ac:dyDescent="0.15">
      <c r="A52" s="31">
        <v>51</v>
      </c>
      <c r="B52" s="30">
        <v>128021</v>
      </c>
      <c r="C52" s="30" t="s">
        <v>51</v>
      </c>
      <c r="D52" s="30">
        <v>139.6</v>
      </c>
      <c r="E52" s="30">
        <v>-0.09</v>
      </c>
      <c r="F52" s="30">
        <v>5.19</v>
      </c>
      <c r="G52" s="30">
        <v>125.82</v>
      </c>
      <c r="H52" s="30">
        <v>10.95</v>
      </c>
      <c r="I52" s="51">
        <v>150.54999999999998</v>
      </c>
      <c r="J52" s="52">
        <v>45258</v>
      </c>
      <c r="K52" s="53">
        <v>1.427</v>
      </c>
      <c r="L52" s="53">
        <v>2.6517419999999996</v>
      </c>
      <c r="M52" s="53">
        <v>5540.1109900000001</v>
      </c>
      <c r="N52" s="54">
        <v>0.1496586350063025</v>
      </c>
      <c r="O52" s="53">
        <v>-16.8353</v>
      </c>
      <c r="P52" s="30">
        <v>140.911</v>
      </c>
      <c r="Q52" s="30">
        <v>139.00200000000001</v>
      </c>
      <c r="R52" s="54">
        <v>1.373361534366406E-2</v>
      </c>
    </row>
    <row r="53" spans="1:18" x14ac:dyDescent="0.15">
      <c r="A53" s="31">
        <v>52</v>
      </c>
      <c r="B53" s="30">
        <v>128029</v>
      </c>
      <c r="C53" s="30" t="s">
        <v>2008</v>
      </c>
      <c r="D53" s="30">
        <v>157.59100000000001</v>
      </c>
      <c r="E53" s="30">
        <v>-0.04</v>
      </c>
      <c r="F53" s="30">
        <v>8.4499999999999993</v>
      </c>
      <c r="G53" s="30">
        <v>142.01</v>
      </c>
      <c r="H53" s="30">
        <v>10.97</v>
      </c>
      <c r="I53" s="51">
        <v>168.56100000000001</v>
      </c>
      <c r="J53" s="52">
        <v>44917</v>
      </c>
      <c r="K53" s="53">
        <v>0.49299999999999999</v>
      </c>
      <c r="L53" s="53">
        <v>9.0857469999999996</v>
      </c>
      <c r="M53" s="53">
        <v>2347.4150629999999</v>
      </c>
      <c r="N53" s="54">
        <v>1.6394487174425317E-2</v>
      </c>
      <c r="O53" s="53">
        <v>-55.053699999999999</v>
      </c>
      <c r="P53" s="30">
        <v>159.88999999999999</v>
      </c>
      <c r="Q53" s="30">
        <v>157.4</v>
      </c>
      <c r="R53" s="54">
        <v>1.5819567979669508E-2</v>
      </c>
    </row>
    <row r="54" spans="1:18" x14ac:dyDescent="0.15">
      <c r="A54" s="31">
        <v>53</v>
      </c>
      <c r="B54" s="30">
        <v>128048</v>
      </c>
      <c r="C54" s="30" t="s">
        <v>1819</v>
      </c>
      <c r="D54" s="30">
        <v>124.5</v>
      </c>
      <c r="E54" s="30">
        <v>0.4</v>
      </c>
      <c r="F54" s="30">
        <v>4.53</v>
      </c>
      <c r="G54" s="30">
        <v>112.14</v>
      </c>
      <c r="H54" s="30">
        <v>11.02</v>
      </c>
      <c r="I54" s="51">
        <v>135.52000000000001</v>
      </c>
      <c r="J54" s="52">
        <v>45608</v>
      </c>
      <c r="K54" s="53">
        <v>2.3860000000000001</v>
      </c>
      <c r="L54" s="53">
        <v>24.970395</v>
      </c>
      <c r="M54" s="53">
        <v>3487.422243</v>
      </c>
      <c r="N54" s="54">
        <v>1.121785363769945E-2</v>
      </c>
      <c r="O54" s="53">
        <v>-4.2977999999999996</v>
      </c>
      <c r="P54" s="30">
        <v>124.78700000000001</v>
      </c>
      <c r="Q54" s="30">
        <v>123.896</v>
      </c>
      <c r="R54" s="54">
        <v>7.1915154645832416E-3</v>
      </c>
    </row>
    <row r="55" spans="1:18" x14ac:dyDescent="0.15">
      <c r="A55" s="31">
        <v>54</v>
      </c>
      <c r="B55" s="30">
        <v>110084</v>
      </c>
      <c r="C55" s="30" t="s">
        <v>273</v>
      </c>
      <c r="D55" s="30">
        <v>122.63</v>
      </c>
      <c r="E55" s="30">
        <v>-0.16</v>
      </c>
      <c r="F55" s="30">
        <v>7.18</v>
      </c>
      <c r="G55" s="30">
        <v>110.45</v>
      </c>
      <c r="H55" s="30">
        <v>11.03</v>
      </c>
      <c r="I55" s="51">
        <v>133.66</v>
      </c>
      <c r="J55" s="52">
        <v>46748</v>
      </c>
      <c r="K55" s="53">
        <v>5.51</v>
      </c>
      <c r="L55" s="53">
        <v>10</v>
      </c>
      <c r="M55" s="53">
        <v>11140.390600000001</v>
      </c>
      <c r="N55" s="54">
        <v>9.0845556552230297E-2</v>
      </c>
      <c r="O55" s="53">
        <v>-1.1633</v>
      </c>
      <c r="P55" s="30">
        <v>123.25</v>
      </c>
      <c r="Q55" s="30">
        <v>122.53</v>
      </c>
      <c r="R55" s="54">
        <v>5.876111972578135E-3</v>
      </c>
    </row>
    <row r="56" spans="1:18" x14ac:dyDescent="0.15">
      <c r="A56" s="31">
        <v>55</v>
      </c>
      <c r="B56" s="30">
        <v>128017</v>
      </c>
      <c r="C56" s="30" t="s">
        <v>2009</v>
      </c>
      <c r="D56" s="30">
        <v>205.822</v>
      </c>
      <c r="E56" s="30">
        <v>1.78</v>
      </c>
      <c r="F56" s="30">
        <v>21.33</v>
      </c>
      <c r="G56" s="30">
        <v>185.19</v>
      </c>
      <c r="H56" s="30">
        <v>11.14</v>
      </c>
      <c r="I56" s="51">
        <v>216.96199999999999</v>
      </c>
      <c r="J56" s="52">
        <v>45231</v>
      </c>
      <c r="K56" s="53">
        <v>1.353</v>
      </c>
      <c r="L56" s="53">
        <v>5.5181570000000004</v>
      </c>
      <c r="M56" s="53">
        <v>6728.8283849999998</v>
      </c>
      <c r="N56" s="54">
        <v>5.9245259403695336E-2</v>
      </c>
      <c r="O56" s="53">
        <v>-38.3003</v>
      </c>
      <c r="P56" s="30">
        <v>206.517</v>
      </c>
      <c r="Q56" s="30">
        <v>201.22399999999999</v>
      </c>
      <c r="R56" s="54">
        <v>2.6304019401264294E-2</v>
      </c>
    </row>
    <row r="57" spans="1:18" x14ac:dyDescent="0.15">
      <c r="A57" s="31">
        <v>56</v>
      </c>
      <c r="B57" s="30">
        <v>123114</v>
      </c>
      <c r="C57" s="30" t="s">
        <v>2010</v>
      </c>
      <c r="D57" s="30">
        <v>167</v>
      </c>
      <c r="E57" s="30">
        <v>3.98</v>
      </c>
      <c r="F57" s="30">
        <v>31.82</v>
      </c>
      <c r="G57" s="30">
        <v>150.09</v>
      </c>
      <c r="H57" s="30">
        <v>11.27</v>
      </c>
      <c r="I57" s="51">
        <v>178.27</v>
      </c>
      <c r="J57" s="52">
        <v>46532</v>
      </c>
      <c r="K57" s="53">
        <v>4.9180000000000001</v>
      </c>
      <c r="L57" s="53">
        <v>9.0088969999999993</v>
      </c>
      <c r="M57" s="53">
        <v>63586.517864400004</v>
      </c>
      <c r="N57" s="54">
        <v>0.42264618188263808</v>
      </c>
      <c r="O57" s="53">
        <v>-6.5082000000000004</v>
      </c>
      <c r="P57" s="30">
        <v>169.69900000000001</v>
      </c>
      <c r="Q57" s="30">
        <v>161.02099999999999</v>
      </c>
      <c r="R57" s="54">
        <v>5.3893591519118787E-2</v>
      </c>
    </row>
    <row r="58" spans="1:18" x14ac:dyDescent="0.15">
      <c r="A58" s="31">
        <v>57</v>
      </c>
      <c r="B58" s="30">
        <v>113585</v>
      </c>
      <c r="C58" s="30" t="s">
        <v>2011</v>
      </c>
      <c r="D58" s="30">
        <v>195.45</v>
      </c>
      <c r="E58" s="30">
        <v>0.8</v>
      </c>
      <c r="F58" s="30">
        <v>21.64</v>
      </c>
      <c r="G58" s="30">
        <v>175.55</v>
      </c>
      <c r="H58" s="30">
        <v>11.34</v>
      </c>
      <c r="I58" s="51">
        <v>206.79</v>
      </c>
      <c r="J58" s="52">
        <v>46182</v>
      </c>
      <c r="K58" s="53">
        <v>3.9590000000000001</v>
      </c>
      <c r="L58" s="53">
        <v>1.00257</v>
      </c>
      <c r="M58" s="53">
        <v>8566.009</v>
      </c>
      <c r="N58" s="54">
        <v>0.43714764847639093</v>
      </c>
      <c r="O58" s="53">
        <v>-12.420299999999999</v>
      </c>
      <c r="P58" s="30">
        <v>199</v>
      </c>
      <c r="Q58" s="30">
        <v>193.9</v>
      </c>
      <c r="R58" s="54">
        <v>2.6302217637957679E-2</v>
      </c>
    </row>
    <row r="59" spans="1:18" x14ac:dyDescent="0.15">
      <c r="A59" s="31">
        <v>58</v>
      </c>
      <c r="B59" s="30">
        <v>123073</v>
      </c>
      <c r="C59" s="30" t="s">
        <v>794</v>
      </c>
      <c r="D59" s="30">
        <v>180.3</v>
      </c>
      <c r="E59" s="30">
        <v>-0.11</v>
      </c>
      <c r="F59" s="30">
        <v>14.82</v>
      </c>
      <c r="G59" s="30">
        <v>161.27000000000001</v>
      </c>
      <c r="H59" s="30">
        <v>11.8</v>
      </c>
      <c r="I59" s="51">
        <v>192.10000000000002</v>
      </c>
      <c r="J59" s="52">
        <v>46321</v>
      </c>
      <c r="K59" s="53">
        <v>4.34</v>
      </c>
      <c r="L59" s="53">
        <v>2.5517129999999999</v>
      </c>
      <c r="M59" s="53">
        <v>48276.539073400003</v>
      </c>
      <c r="N59" s="54">
        <v>1.0493215092351937</v>
      </c>
      <c r="O59" s="53">
        <v>-8.7928999999999995</v>
      </c>
      <c r="P59" s="30">
        <v>184.37299999999999</v>
      </c>
      <c r="Q59" s="30">
        <v>179.71299999999999</v>
      </c>
      <c r="R59" s="54">
        <v>2.5930233205165996E-2</v>
      </c>
    </row>
    <row r="60" spans="1:18" x14ac:dyDescent="0.15">
      <c r="A60" s="31">
        <v>59</v>
      </c>
      <c r="B60" s="30">
        <v>123071</v>
      </c>
      <c r="C60" s="30" t="s">
        <v>2012</v>
      </c>
      <c r="D60" s="30">
        <v>173.48400000000001</v>
      </c>
      <c r="E60" s="30">
        <v>3.88</v>
      </c>
      <c r="F60" s="30">
        <v>7.76</v>
      </c>
      <c r="G60" s="30">
        <v>155.03</v>
      </c>
      <c r="H60" s="30">
        <v>11.9</v>
      </c>
      <c r="I60" s="51">
        <v>185.38400000000001</v>
      </c>
      <c r="J60" s="52">
        <v>46316</v>
      </c>
      <c r="K60" s="53">
        <v>4.3259999999999996</v>
      </c>
      <c r="L60" s="53">
        <v>6.9423729999999999</v>
      </c>
      <c r="M60" s="53">
        <v>298314.05395089998</v>
      </c>
      <c r="N60" s="54">
        <v>2.4768878522851678</v>
      </c>
      <c r="O60" s="53">
        <v>-8.1902000000000008</v>
      </c>
      <c r="P60" s="30">
        <v>185.221</v>
      </c>
      <c r="Q60" s="30">
        <v>166.12</v>
      </c>
      <c r="R60" s="54">
        <v>0.11498314471466409</v>
      </c>
    </row>
    <row r="61" spans="1:18" x14ac:dyDescent="0.15">
      <c r="A61" s="31">
        <v>60</v>
      </c>
      <c r="B61" s="30">
        <v>113050</v>
      </c>
      <c r="C61" s="30" t="s">
        <v>1817</v>
      </c>
      <c r="D61" s="30">
        <v>123.16</v>
      </c>
      <c r="E61" s="30">
        <v>0.24</v>
      </c>
      <c r="F61" s="30">
        <v>9.64</v>
      </c>
      <c r="G61" s="30">
        <v>109.85</v>
      </c>
      <c r="H61" s="30">
        <v>12.12</v>
      </c>
      <c r="I61" s="51">
        <v>135.28</v>
      </c>
      <c r="J61" s="52">
        <v>46553</v>
      </c>
      <c r="K61" s="53">
        <v>4.9749999999999996</v>
      </c>
      <c r="L61" s="53">
        <v>169.83005</v>
      </c>
      <c r="M61" s="53">
        <v>20430.850900000001</v>
      </c>
      <c r="N61" s="54">
        <v>9.7679232089744484E-3</v>
      </c>
      <c r="O61" s="53">
        <v>-2.0951</v>
      </c>
      <c r="P61" s="30">
        <v>123.52</v>
      </c>
      <c r="Q61" s="30">
        <v>122.5</v>
      </c>
      <c r="R61" s="54">
        <v>8.3265306122448663E-3</v>
      </c>
    </row>
    <row r="62" spans="1:18" x14ac:dyDescent="0.15">
      <c r="A62" s="31">
        <v>61</v>
      </c>
      <c r="B62" s="30">
        <v>110053</v>
      </c>
      <c r="C62" s="30" t="s">
        <v>1815</v>
      </c>
      <c r="D62" s="30">
        <v>122.64</v>
      </c>
      <c r="E62" s="30">
        <v>-0.21</v>
      </c>
      <c r="F62" s="30">
        <v>5.97</v>
      </c>
      <c r="G62" s="30">
        <v>109.38</v>
      </c>
      <c r="H62" s="30">
        <v>12.12</v>
      </c>
      <c r="I62" s="51">
        <v>134.76</v>
      </c>
      <c r="J62" s="52">
        <v>45730</v>
      </c>
      <c r="K62" s="53">
        <v>2.7210000000000001</v>
      </c>
      <c r="L62" s="53">
        <v>199.99203</v>
      </c>
      <c r="M62" s="53">
        <v>19487.204600000001</v>
      </c>
      <c r="N62" s="54">
        <v>7.9451978131322015E-3</v>
      </c>
      <c r="O62" s="53">
        <v>-1.821</v>
      </c>
      <c r="P62" s="30">
        <v>123.88</v>
      </c>
      <c r="Q62" s="30">
        <v>122.42</v>
      </c>
      <c r="R62" s="54">
        <v>1.1926155856886079E-2</v>
      </c>
    </row>
    <row r="63" spans="1:18" x14ac:dyDescent="0.15">
      <c r="A63" s="31">
        <v>62</v>
      </c>
      <c r="B63" s="30">
        <v>123067</v>
      </c>
      <c r="C63" s="30" t="s">
        <v>2013</v>
      </c>
      <c r="D63" s="30">
        <v>201</v>
      </c>
      <c r="E63" s="30">
        <v>0.5</v>
      </c>
      <c r="F63" s="30">
        <v>9.31</v>
      </c>
      <c r="G63" s="30">
        <v>179.05</v>
      </c>
      <c r="H63" s="30">
        <v>12.26</v>
      </c>
      <c r="I63" s="51">
        <v>213.26</v>
      </c>
      <c r="J63" s="52">
        <v>46282</v>
      </c>
      <c r="K63" s="53">
        <v>4.2329999999999997</v>
      </c>
      <c r="L63" s="53">
        <v>2.3973879999999999</v>
      </c>
      <c r="M63" s="53">
        <v>133818.72458000001</v>
      </c>
      <c r="N63" s="54">
        <v>2.7770423431896409</v>
      </c>
      <c r="O63" s="53">
        <v>-11.5412</v>
      </c>
      <c r="P63" s="30">
        <v>211.911</v>
      </c>
      <c r="Q63" s="30">
        <v>197.57</v>
      </c>
      <c r="R63" s="54">
        <v>7.258693121425322E-2</v>
      </c>
    </row>
    <row r="64" spans="1:18" x14ac:dyDescent="0.15">
      <c r="A64" s="31">
        <v>63</v>
      </c>
      <c r="B64" s="30">
        <v>113039</v>
      </c>
      <c r="C64" s="30" t="s">
        <v>45</v>
      </c>
      <c r="D64" s="30">
        <v>139.76</v>
      </c>
      <c r="E64" s="30">
        <v>0.46</v>
      </c>
      <c r="F64" s="30">
        <v>3.36</v>
      </c>
      <c r="G64" s="30">
        <v>124.4</v>
      </c>
      <c r="H64" s="30">
        <v>12.35</v>
      </c>
      <c r="I64" s="51">
        <v>152.10999999999999</v>
      </c>
      <c r="J64" s="52">
        <v>46258</v>
      </c>
      <c r="K64" s="53">
        <v>4.1669999999999998</v>
      </c>
      <c r="L64" s="53">
        <v>2.88409</v>
      </c>
      <c r="M64" s="53">
        <v>2390.1100999999999</v>
      </c>
      <c r="N64" s="54">
        <v>5.9296110425988389E-2</v>
      </c>
      <c r="O64" s="53">
        <v>-5.1071</v>
      </c>
      <c r="P64" s="30">
        <v>140.97</v>
      </c>
      <c r="Q64" s="30">
        <v>139.15</v>
      </c>
      <c r="R64" s="54">
        <v>1.3079410707869157E-2</v>
      </c>
    </row>
    <row r="65" spans="1:18" x14ac:dyDescent="0.15">
      <c r="A65" s="31">
        <v>64</v>
      </c>
      <c r="B65" s="30">
        <v>128087</v>
      </c>
      <c r="C65" s="30" t="s">
        <v>120</v>
      </c>
      <c r="D65" s="30">
        <v>123.85</v>
      </c>
      <c r="E65" s="30">
        <v>1.85</v>
      </c>
      <c r="F65" s="30">
        <v>4.16</v>
      </c>
      <c r="G65" s="30">
        <v>110.1</v>
      </c>
      <c r="H65" s="30">
        <v>12.49</v>
      </c>
      <c r="I65" s="51">
        <v>136.34</v>
      </c>
      <c r="J65" s="52">
        <v>46008</v>
      </c>
      <c r="K65" s="53">
        <v>3.4820000000000002</v>
      </c>
      <c r="L65" s="53">
        <v>6.4940579999999999</v>
      </c>
      <c r="M65" s="53">
        <v>6824.0167642000006</v>
      </c>
      <c r="N65" s="54">
        <v>8.4845323726153832E-2</v>
      </c>
      <c r="O65" s="53">
        <v>-2.8239999999999998</v>
      </c>
      <c r="P65" s="30">
        <v>124.167</v>
      </c>
      <c r="Q65" s="30">
        <v>121.34099999999999</v>
      </c>
      <c r="R65" s="54">
        <v>2.3289737186936055E-2</v>
      </c>
    </row>
    <row r="66" spans="1:18" x14ac:dyDescent="0.15">
      <c r="A66" s="31">
        <v>65</v>
      </c>
      <c r="B66" s="30">
        <v>113642</v>
      </c>
      <c r="C66" s="30" t="s">
        <v>1865</v>
      </c>
      <c r="D66" s="30">
        <v>150.38999999999999</v>
      </c>
      <c r="E66" s="30">
        <v>1.88</v>
      </c>
      <c r="F66" s="30">
        <v>102.61</v>
      </c>
      <c r="G66" s="30">
        <v>133.03</v>
      </c>
      <c r="H66" s="30">
        <v>13.05</v>
      </c>
      <c r="I66" s="51">
        <v>163.44</v>
      </c>
      <c r="J66" s="52">
        <v>46813</v>
      </c>
      <c r="K66" s="53">
        <v>5.6879999999999997</v>
      </c>
      <c r="L66" s="53">
        <v>24.7</v>
      </c>
      <c r="M66" s="53">
        <v>20024.950799999999</v>
      </c>
      <c r="N66" s="54">
        <v>5.3908288651934116E-2</v>
      </c>
      <c r="O66" s="53">
        <v>-4.37</v>
      </c>
      <c r="P66" s="30">
        <v>152.80000000000001</v>
      </c>
      <c r="Q66" s="30">
        <v>147.32</v>
      </c>
      <c r="R66" s="54">
        <v>3.7197936464838571E-2</v>
      </c>
    </row>
    <row r="67" spans="1:18" x14ac:dyDescent="0.15">
      <c r="A67" s="31">
        <v>66</v>
      </c>
      <c r="B67" s="30">
        <v>110038</v>
      </c>
      <c r="C67" s="30" t="s">
        <v>101</v>
      </c>
      <c r="D67" s="30">
        <v>146.69</v>
      </c>
      <c r="E67" s="30">
        <v>4.01</v>
      </c>
      <c r="F67" s="30">
        <v>22.72</v>
      </c>
      <c r="G67" s="30">
        <v>129.58000000000001</v>
      </c>
      <c r="H67" s="30">
        <v>13.2</v>
      </c>
      <c r="I67" s="51">
        <v>159.88999999999999</v>
      </c>
      <c r="J67" s="52">
        <v>44878</v>
      </c>
      <c r="K67" s="53">
        <v>0.38600000000000001</v>
      </c>
      <c r="L67" s="53">
        <v>6.30199</v>
      </c>
      <c r="M67" s="53">
        <v>20867.7598</v>
      </c>
      <c r="N67" s="54">
        <v>0.22573432927030687</v>
      </c>
      <c r="O67" s="53">
        <v>-56.616199999999999</v>
      </c>
      <c r="P67" s="30">
        <v>155</v>
      </c>
      <c r="Q67" s="30">
        <v>140.97</v>
      </c>
      <c r="R67" s="54">
        <v>9.952472157196568E-2</v>
      </c>
    </row>
    <row r="68" spans="1:18" x14ac:dyDescent="0.15">
      <c r="A68" s="31">
        <v>67</v>
      </c>
      <c r="B68" s="30">
        <v>113055</v>
      </c>
      <c r="C68" s="30" t="s">
        <v>1823</v>
      </c>
      <c r="D68" s="30">
        <v>127.62</v>
      </c>
      <c r="E68" s="30">
        <v>0.14000000000000001</v>
      </c>
      <c r="F68" s="30">
        <v>14.53</v>
      </c>
      <c r="G68" s="30">
        <v>112.53</v>
      </c>
      <c r="H68" s="30">
        <v>13.41</v>
      </c>
      <c r="I68" s="51">
        <v>141.03</v>
      </c>
      <c r="J68" s="52">
        <v>46815</v>
      </c>
      <c r="K68" s="53">
        <v>5.6929999999999996</v>
      </c>
      <c r="L68" s="53">
        <v>80</v>
      </c>
      <c r="M68" s="53">
        <v>6274.4423999999999</v>
      </c>
      <c r="N68" s="54">
        <v>6.145629995298542E-3</v>
      </c>
      <c r="O68" s="53">
        <v>-2.4211999999999998</v>
      </c>
      <c r="P68" s="30">
        <v>128.15</v>
      </c>
      <c r="Q68" s="30">
        <v>126.4</v>
      </c>
      <c r="R68" s="54">
        <v>1.3844936708860759E-2</v>
      </c>
    </row>
    <row r="69" spans="1:18" x14ac:dyDescent="0.15">
      <c r="A69" s="31">
        <v>68</v>
      </c>
      <c r="B69" s="30">
        <v>123105</v>
      </c>
      <c r="C69" s="30" t="s">
        <v>231</v>
      </c>
      <c r="D69" s="30">
        <v>129.75</v>
      </c>
      <c r="E69" s="30">
        <v>0.03</v>
      </c>
      <c r="F69" s="30">
        <v>9.91</v>
      </c>
      <c r="G69" s="30">
        <v>114.33</v>
      </c>
      <c r="H69" s="30">
        <v>13.49</v>
      </c>
      <c r="I69" s="51">
        <v>143.24</v>
      </c>
      <c r="J69" s="52">
        <v>46465</v>
      </c>
      <c r="K69" s="53">
        <v>4.734</v>
      </c>
      <c r="L69" s="53">
        <v>7.9986300000000004</v>
      </c>
      <c r="M69" s="53">
        <v>9729.9910141</v>
      </c>
      <c r="N69" s="54">
        <v>9.3753926401322032E-2</v>
      </c>
      <c r="O69" s="53">
        <v>-1.5439000000000001</v>
      </c>
      <c r="P69" s="30">
        <v>133.46600000000001</v>
      </c>
      <c r="Q69" s="30">
        <v>129.501</v>
      </c>
      <c r="R69" s="54">
        <v>3.0617524189002428E-2</v>
      </c>
    </row>
    <row r="70" spans="1:18" x14ac:dyDescent="0.15">
      <c r="A70" s="31">
        <v>69</v>
      </c>
      <c r="B70" s="30">
        <v>123078</v>
      </c>
      <c r="C70" s="30" t="s">
        <v>2014</v>
      </c>
      <c r="D70" s="30">
        <v>166.76599999999999</v>
      </c>
      <c r="E70" s="30">
        <v>4.62</v>
      </c>
      <c r="F70" s="30">
        <v>15.49</v>
      </c>
      <c r="G70" s="30">
        <v>146.80000000000001</v>
      </c>
      <c r="H70" s="30">
        <v>13.6</v>
      </c>
      <c r="I70" s="51">
        <v>180.36599999999999</v>
      </c>
      <c r="J70" s="52">
        <v>46353</v>
      </c>
      <c r="K70" s="53">
        <v>4.4269999999999996</v>
      </c>
      <c r="L70" s="53">
        <v>6.1840270000000004</v>
      </c>
      <c r="M70" s="53">
        <v>39051.092815899996</v>
      </c>
      <c r="N70" s="54">
        <v>0.37866424801727588</v>
      </c>
      <c r="O70" s="53">
        <v>-8.2072000000000003</v>
      </c>
      <c r="P70" s="30">
        <v>169.99799999999999</v>
      </c>
      <c r="Q70" s="30">
        <v>159.24199999999999</v>
      </c>
      <c r="R70" s="54">
        <v>6.7544994411022227E-2</v>
      </c>
    </row>
    <row r="71" spans="1:18" x14ac:dyDescent="0.15">
      <c r="A71" s="31">
        <v>70</v>
      </c>
      <c r="B71" s="30">
        <v>127049</v>
      </c>
      <c r="C71" s="30" t="s">
        <v>1835</v>
      </c>
      <c r="D71" s="30">
        <v>124.205</v>
      </c>
      <c r="E71" s="30">
        <v>0.56999999999999995</v>
      </c>
      <c r="F71" s="30">
        <v>14.45</v>
      </c>
      <c r="G71" s="30">
        <v>109.2</v>
      </c>
      <c r="H71" s="30">
        <v>13.74</v>
      </c>
      <c r="I71" s="51">
        <v>137.94499999999999</v>
      </c>
      <c r="J71" s="52">
        <v>46693</v>
      </c>
      <c r="K71" s="53">
        <v>5.359</v>
      </c>
      <c r="L71" s="53">
        <v>81.493176000000005</v>
      </c>
      <c r="M71" s="53">
        <v>24473.097291599999</v>
      </c>
      <c r="N71" s="54">
        <v>2.4178458774123546E-2</v>
      </c>
      <c r="O71" s="53">
        <v>-2.0718000000000001</v>
      </c>
      <c r="P71" s="30">
        <v>124.4</v>
      </c>
      <c r="Q71" s="30">
        <v>123.05</v>
      </c>
      <c r="R71" s="54">
        <v>1.0971149939049237E-2</v>
      </c>
    </row>
    <row r="72" spans="1:18" x14ac:dyDescent="0.15">
      <c r="A72" s="31">
        <v>71</v>
      </c>
      <c r="B72" s="30">
        <v>127058</v>
      </c>
      <c r="C72" s="30" t="s">
        <v>1826</v>
      </c>
      <c r="D72" s="30">
        <v>132.44999999999999</v>
      </c>
      <c r="E72" s="30">
        <v>2.11</v>
      </c>
      <c r="F72" s="30">
        <v>16.690000000000001</v>
      </c>
      <c r="G72" s="30">
        <v>116.36</v>
      </c>
      <c r="H72" s="30">
        <v>13.83</v>
      </c>
      <c r="I72" s="51">
        <v>146.28</v>
      </c>
      <c r="J72" s="52">
        <v>46830</v>
      </c>
      <c r="K72" s="53">
        <v>5.734</v>
      </c>
      <c r="L72" s="53">
        <v>30</v>
      </c>
      <c r="M72" s="53">
        <v>4415.0564773999995</v>
      </c>
      <c r="N72" s="54">
        <v>1.1111253246256449E-2</v>
      </c>
      <c r="O72" s="53">
        <v>-2.8441000000000001</v>
      </c>
      <c r="P72" s="30">
        <v>132.77000000000001</v>
      </c>
      <c r="Q72" s="30">
        <v>129.44</v>
      </c>
      <c r="R72" s="54">
        <v>2.5726205191594659E-2</v>
      </c>
    </row>
    <row r="73" spans="1:18" x14ac:dyDescent="0.15">
      <c r="A73" s="31">
        <v>72</v>
      </c>
      <c r="B73" s="30">
        <v>123091</v>
      </c>
      <c r="C73" s="30" t="s">
        <v>241</v>
      </c>
      <c r="D73" s="30">
        <v>136.59700000000001</v>
      </c>
      <c r="E73" s="30">
        <v>3.19</v>
      </c>
      <c r="F73" s="30">
        <v>15.99</v>
      </c>
      <c r="G73" s="30">
        <v>119.95</v>
      </c>
      <c r="H73" s="30">
        <v>13.88</v>
      </c>
      <c r="I73" s="51">
        <v>150.477</v>
      </c>
      <c r="J73" s="52">
        <v>46379</v>
      </c>
      <c r="K73" s="53">
        <v>4.4989999999999997</v>
      </c>
      <c r="L73" s="53">
        <v>5.4975870000000002</v>
      </c>
      <c r="M73" s="53">
        <v>11011.1773115</v>
      </c>
      <c r="N73" s="54">
        <v>0.14662920636046051</v>
      </c>
      <c r="O73" s="53">
        <v>-3.6513</v>
      </c>
      <c r="P73" s="30">
        <v>138.9</v>
      </c>
      <c r="Q73" s="30">
        <v>132.03299999999999</v>
      </c>
      <c r="R73" s="54">
        <v>5.2009724841517037E-2</v>
      </c>
    </row>
    <row r="74" spans="1:18" x14ac:dyDescent="0.15">
      <c r="A74" s="31">
        <v>73</v>
      </c>
      <c r="B74" s="30">
        <v>110079</v>
      </c>
      <c r="C74" s="30" t="s">
        <v>1824</v>
      </c>
      <c r="D74" s="30">
        <v>122.87</v>
      </c>
      <c r="E74" s="30">
        <v>0.62</v>
      </c>
      <c r="F74" s="30">
        <v>12.99</v>
      </c>
      <c r="G74" s="30">
        <v>107.47</v>
      </c>
      <c r="H74" s="30">
        <v>14.33</v>
      </c>
      <c r="I74" s="51">
        <v>137.20000000000002</v>
      </c>
      <c r="J74" s="52">
        <v>46475</v>
      </c>
      <c r="K74" s="53">
        <v>4.7619999999999996</v>
      </c>
      <c r="L74" s="53">
        <v>149.99047999999999</v>
      </c>
      <c r="M74" s="53">
        <v>9841.4609999999993</v>
      </c>
      <c r="N74" s="54">
        <v>5.3401077802386777E-3</v>
      </c>
      <c r="O74" s="53">
        <v>-1.9171</v>
      </c>
      <c r="P74" s="30">
        <v>123.15</v>
      </c>
      <c r="Q74" s="30">
        <v>121.85</v>
      </c>
      <c r="R74" s="54">
        <v>1.0668855149774406E-2</v>
      </c>
    </row>
    <row r="75" spans="1:18" x14ac:dyDescent="0.15">
      <c r="A75" s="31">
        <v>74</v>
      </c>
      <c r="B75" s="30">
        <v>113504</v>
      </c>
      <c r="C75" s="30" t="s">
        <v>2015</v>
      </c>
      <c r="D75" s="30">
        <v>154.15</v>
      </c>
      <c r="E75" s="30">
        <v>1.39</v>
      </c>
      <c r="F75" s="30">
        <v>20.51</v>
      </c>
      <c r="G75" s="30">
        <v>134.62</v>
      </c>
      <c r="H75" s="30">
        <v>14.51</v>
      </c>
      <c r="I75" s="51">
        <v>168.66</v>
      </c>
      <c r="J75" s="52">
        <v>45353</v>
      </c>
      <c r="K75" s="53">
        <v>1.6879999999999999</v>
      </c>
      <c r="L75" s="53">
        <v>4.6275899999999996</v>
      </c>
      <c r="M75" s="53">
        <v>7687.3014000000003</v>
      </c>
      <c r="N75" s="54">
        <v>0.10776444734390984</v>
      </c>
      <c r="O75" s="53">
        <v>-19.223299999999998</v>
      </c>
      <c r="P75" s="30">
        <v>158.19999999999999</v>
      </c>
      <c r="Q75" s="30">
        <v>152.04</v>
      </c>
      <c r="R75" s="54">
        <v>4.0515653775322263E-2</v>
      </c>
    </row>
    <row r="76" spans="1:18" x14ac:dyDescent="0.15">
      <c r="A76" s="31">
        <v>75</v>
      </c>
      <c r="B76" s="30">
        <v>113570</v>
      </c>
      <c r="C76" s="30" t="s">
        <v>42</v>
      </c>
      <c r="D76" s="30">
        <v>128.4</v>
      </c>
      <c r="E76" s="30">
        <v>0.65</v>
      </c>
      <c r="F76" s="30">
        <v>11.09</v>
      </c>
      <c r="G76" s="30">
        <v>111.9</v>
      </c>
      <c r="H76" s="30">
        <v>14.75</v>
      </c>
      <c r="I76" s="51">
        <v>143.15</v>
      </c>
      <c r="J76" s="52">
        <v>46092</v>
      </c>
      <c r="K76" s="53">
        <v>3.7120000000000002</v>
      </c>
      <c r="L76" s="53">
        <v>2.7993100000000002</v>
      </c>
      <c r="M76" s="53">
        <v>2012.1396999999999</v>
      </c>
      <c r="N76" s="54">
        <v>5.5981187998809349E-2</v>
      </c>
      <c r="O76" s="53">
        <v>-3.1375000000000002</v>
      </c>
      <c r="P76" s="30">
        <v>128.63</v>
      </c>
      <c r="Q76" s="30">
        <v>127.6</v>
      </c>
      <c r="R76" s="54">
        <v>8.0721003134796333E-3</v>
      </c>
    </row>
    <row r="77" spans="1:18" x14ac:dyDescent="0.15">
      <c r="A77" s="31">
        <v>76</v>
      </c>
      <c r="B77" s="30">
        <v>127029</v>
      </c>
      <c r="C77" s="30" t="s">
        <v>1821</v>
      </c>
      <c r="D77" s="30">
        <v>125.8</v>
      </c>
      <c r="E77" s="30">
        <v>0.52</v>
      </c>
      <c r="F77" s="30">
        <v>5.64</v>
      </c>
      <c r="G77" s="30">
        <v>109.4</v>
      </c>
      <c r="H77" s="30">
        <v>14.99</v>
      </c>
      <c r="I77" s="51">
        <v>140.79</v>
      </c>
      <c r="J77" s="52">
        <v>46465</v>
      </c>
      <c r="K77" s="53">
        <v>4.734</v>
      </c>
      <c r="L77" s="53">
        <v>8.1911360000000002</v>
      </c>
      <c r="M77" s="53">
        <v>3585.7722866999998</v>
      </c>
      <c r="N77" s="54">
        <v>3.4798292039462789E-2</v>
      </c>
      <c r="O77" s="53">
        <v>-1.4874000000000001</v>
      </c>
      <c r="P77" s="30">
        <v>126.1</v>
      </c>
      <c r="Q77" s="30">
        <v>125.01</v>
      </c>
      <c r="R77" s="54">
        <v>8.7193024558034488E-3</v>
      </c>
    </row>
    <row r="78" spans="1:18" x14ac:dyDescent="0.15">
      <c r="A78" s="31">
        <v>77</v>
      </c>
      <c r="B78" s="30">
        <v>113591</v>
      </c>
      <c r="C78" s="30" t="s">
        <v>41</v>
      </c>
      <c r="D78" s="30">
        <v>120.07</v>
      </c>
      <c r="E78" s="30">
        <v>0.27</v>
      </c>
      <c r="F78" s="30">
        <v>8.74</v>
      </c>
      <c r="G78" s="30">
        <v>104.35</v>
      </c>
      <c r="H78" s="30">
        <v>15.06</v>
      </c>
      <c r="I78" s="51">
        <v>135.13</v>
      </c>
      <c r="J78" s="52">
        <v>46204</v>
      </c>
      <c r="K78" s="53">
        <v>4.0190000000000001</v>
      </c>
      <c r="L78" s="53">
        <v>4.7749800000000002</v>
      </c>
      <c r="M78" s="53">
        <v>2228.7366999999999</v>
      </c>
      <c r="N78" s="54">
        <v>3.8873415203468605E-2</v>
      </c>
      <c r="O78" s="53">
        <v>0.34379999999999999</v>
      </c>
      <c r="P78" s="30">
        <v>120.37</v>
      </c>
      <c r="Q78" s="30">
        <v>119.59</v>
      </c>
      <c r="R78" s="54">
        <v>6.5222844719458242E-3</v>
      </c>
    </row>
    <row r="79" spans="1:18" x14ac:dyDescent="0.15">
      <c r="A79" s="31">
        <v>78</v>
      </c>
      <c r="B79" s="30">
        <v>128083</v>
      </c>
      <c r="C79" s="30" t="s">
        <v>188</v>
      </c>
      <c r="D79" s="30">
        <v>120.5</v>
      </c>
      <c r="E79" s="30">
        <v>0.25</v>
      </c>
      <c r="F79" s="30">
        <v>6.65</v>
      </c>
      <c r="G79" s="30">
        <v>104.66</v>
      </c>
      <c r="H79" s="30">
        <v>15.13</v>
      </c>
      <c r="I79" s="51">
        <v>135.63</v>
      </c>
      <c r="J79" s="52">
        <v>46003</v>
      </c>
      <c r="K79" s="53">
        <v>3.468</v>
      </c>
      <c r="L79" s="53">
        <v>8.7687390000000001</v>
      </c>
      <c r="M79" s="53">
        <v>1868.8951782000001</v>
      </c>
      <c r="N79" s="54">
        <v>1.768726786545588E-2</v>
      </c>
      <c r="O79" s="53">
        <v>-1.5398000000000001</v>
      </c>
      <c r="P79" s="30">
        <v>121.943</v>
      </c>
      <c r="Q79" s="30">
        <v>120.202</v>
      </c>
      <c r="R79" s="54">
        <v>1.4483952014109579E-2</v>
      </c>
    </row>
    <row r="80" spans="1:18" x14ac:dyDescent="0.15">
      <c r="A80" s="31">
        <v>79</v>
      </c>
      <c r="B80" s="30">
        <v>123023</v>
      </c>
      <c r="C80" s="30" t="s">
        <v>206</v>
      </c>
      <c r="D80" s="30">
        <v>120.20699999999999</v>
      </c>
      <c r="E80" s="30">
        <v>0.8</v>
      </c>
      <c r="F80" s="30">
        <v>4.58</v>
      </c>
      <c r="G80" s="30">
        <v>104.15</v>
      </c>
      <c r="H80" s="30">
        <v>15.42</v>
      </c>
      <c r="I80" s="51">
        <v>135.62699999999998</v>
      </c>
      <c r="J80" s="52">
        <v>45736</v>
      </c>
      <c r="K80" s="53">
        <v>2.7370000000000001</v>
      </c>
      <c r="L80" s="53">
        <v>5.2936360000000002</v>
      </c>
      <c r="M80" s="53">
        <v>1397.1059439999999</v>
      </c>
      <c r="N80" s="54">
        <v>2.1955609942942877E-2</v>
      </c>
      <c r="O80" s="53">
        <v>-2.1694</v>
      </c>
      <c r="P80" s="30">
        <v>120.5</v>
      </c>
      <c r="Q80" s="30">
        <v>119.001</v>
      </c>
      <c r="R80" s="54">
        <v>1.2596532802245319E-2</v>
      </c>
    </row>
    <row r="81" spans="1:18" x14ac:dyDescent="0.15">
      <c r="A81" s="31">
        <v>80</v>
      </c>
      <c r="B81" s="30">
        <v>113637</v>
      </c>
      <c r="C81" s="30" t="s">
        <v>270</v>
      </c>
      <c r="D81" s="30">
        <v>143.19</v>
      </c>
      <c r="E81" s="30">
        <v>3.69</v>
      </c>
      <c r="F81" s="30">
        <v>12.75</v>
      </c>
      <c r="G81" s="30">
        <v>123.53</v>
      </c>
      <c r="H81" s="30">
        <v>15.92</v>
      </c>
      <c r="I81" s="51">
        <v>159.10999999999999</v>
      </c>
      <c r="J81" s="52">
        <v>46743</v>
      </c>
      <c r="K81" s="53">
        <v>5.4960000000000004</v>
      </c>
      <c r="L81" s="53">
        <v>8</v>
      </c>
      <c r="M81" s="53">
        <v>127861.9365</v>
      </c>
      <c r="N81" s="54">
        <v>1.1161912188351142</v>
      </c>
      <c r="O81" s="53">
        <v>-3.0720999999999998</v>
      </c>
      <c r="P81" s="30">
        <v>151.66</v>
      </c>
      <c r="Q81" s="30">
        <v>138.22999999999999</v>
      </c>
      <c r="R81" s="54">
        <v>9.7156912392389549E-2</v>
      </c>
    </row>
    <row r="82" spans="1:18" x14ac:dyDescent="0.15">
      <c r="A82" s="31">
        <v>81</v>
      </c>
      <c r="B82" s="30">
        <v>128034</v>
      </c>
      <c r="C82" s="30" t="s">
        <v>1827</v>
      </c>
      <c r="D82" s="30">
        <v>119</v>
      </c>
      <c r="E82" s="30">
        <v>7.0000000000000007E-2</v>
      </c>
      <c r="F82" s="30">
        <v>4.1399999999999997</v>
      </c>
      <c r="G82" s="30">
        <v>102.66</v>
      </c>
      <c r="H82" s="30">
        <v>15.92</v>
      </c>
      <c r="I82" s="51">
        <v>134.91999999999999</v>
      </c>
      <c r="J82" s="52">
        <v>45317</v>
      </c>
      <c r="K82" s="53">
        <v>1.589</v>
      </c>
      <c r="L82" s="53">
        <v>17.579694</v>
      </c>
      <c r="M82" s="53">
        <v>3394.3399205999999</v>
      </c>
      <c r="N82" s="54">
        <v>1.6225461534763685E-2</v>
      </c>
      <c r="O82" s="53">
        <v>-6.3402000000000003</v>
      </c>
      <c r="P82" s="30">
        <v>119.5</v>
      </c>
      <c r="Q82" s="30">
        <v>118.90900000000001</v>
      </c>
      <c r="R82" s="54">
        <v>4.9701872860758558E-3</v>
      </c>
    </row>
    <row r="83" spans="1:18" x14ac:dyDescent="0.15">
      <c r="A83" s="31">
        <v>82</v>
      </c>
      <c r="B83" s="30">
        <v>123060</v>
      </c>
      <c r="C83" s="30" t="s">
        <v>2016</v>
      </c>
      <c r="D83" s="30">
        <v>187.98500000000001</v>
      </c>
      <c r="E83" s="30">
        <v>1.83</v>
      </c>
      <c r="F83" s="30">
        <v>14.54</v>
      </c>
      <c r="G83" s="30">
        <v>162.1</v>
      </c>
      <c r="H83" s="30">
        <v>15.97</v>
      </c>
      <c r="I83" s="51">
        <v>203.95500000000001</v>
      </c>
      <c r="J83" s="52">
        <v>46224</v>
      </c>
      <c r="K83" s="53">
        <v>4.0739999999999998</v>
      </c>
      <c r="L83" s="53">
        <v>3.0963069999999999</v>
      </c>
      <c r="M83" s="53">
        <v>7155.2005709999994</v>
      </c>
      <c r="N83" s="54">
        <v>0.12292907136160539</v>
      </c>
      <c r="O83" s="53">
        <v>-11.1494</v>
      </c>
      <c r="P83" s="30">
        <v>188.88</v>
      </c>
      <c r="Q83" s="30">
        <v>184.30099999999999</v>
      </c>
      <c r="R83" s="54">
        <v>2.4845226016136691E-2</v>
      </c>
    </row>
    <row r="84" spans="1:18" x14ac:dyDescent="0.15">
      <c r="A84" s="31">
        <v>83</v>
      </c>
      <c r="B84" s="30">
        <v>123123</v>
      </c>
      <c r="C84" s="30" t="s">
        <v>193</v>
      </c>
      <c r="D84" s="30">
        <v>137.703</v>
      </c>
      <c r="E84" s="30">
        <v>2.76</v>
      </c>
      <c r="F84" s="30">
        <v>51.41</v>
      </c>
      <c r="G84" s="30">
        <v>118.6</v>
      </c>
      <c r="H84" s="30">
        <v>16.11</v>
      </c>
      <c r="I84" s="51">
        <v>153.81299999999999</v>
      </c>
      <c r="J84" s="52">
        <v>46611</v>
      </c>
      <c r="K84" s="53">
        <v>5.1340000000000003</v>
      </c>
      <c r="L84" s="53">
        <v>5.1604000000000001</v>
      </c>
      <c r="M84" s="53">
        <v>18420.918127299999</v>
      </c>
      <c r="N84" s="54">
        <v>0.25922954873948739</v>
      </c>
      <c r="O84" s="53">
        <v>-2.4605999999999999</v>
      </c>
      <c r="P84" s="30">
        <v>139.80000000000001</v>
      </c>
      <c r="Q84" s="30">
        <v>133.96100000000001</v>
      </c>
      <c r="R84" s="54">
        <v>4.3587312725345419E-2</v>
      </c>
    </row>
    <row r="85" spans="1:18" x14ac:dyDescent="0.15">
      <c r="A85" s="31">
        <v>84</v>
      </c>
      <c r="B85" s="30">
        <v>128140</v>
      </c>
      <c r="C85" s="30" t="s">
        <v>2017</v>
      </c>
      <c r="D85" s="30">
        <v>160.9</v>
      </c>
      <c r="E85" s="30">
        <v>0.56000000000000005</v>
      </c>
      <c r="F85" s="30">
        <v>26.4</v>
      </c>
      <c r="G85" s="30">
        <v>138.44999999999999</v>
      </c>
      <c r="H85" s="30">
        <v>16.22</v>
      </c>
      <c r="I85" s="51">
        <v>177.12</v>
      </c>
      <c r="J85" s="52">
        <v>46363</v>
      </c>
      <c r="K85" s="53">
        <v>4.4550000000000001</v>
      </c>
      <c r="L85" s="53">
        <v>10.896400999999999</v>
      </c>
      <c r="M85" s="53">
        <v>4879.9998750000004</v>
      </c>
      <c r="N85" s="54">
        <v>2.7834324713454813E-2</v>
      </c>
      <c r="O85" s="53">
        <v>-7.4050000000000002</v>
      </c>
      <c r="P85" s="30">
        <v>163.9</v>
      </c>
      <c r="Q85" s="30">
        <v>157.571</v>
      </c>
      <c r="R85" s="54">
        <v>4.0166020397154348E-2</v>
      </c>
    </row>
    <row r="86" spans="1:18" x14ac:dyDescent="0.15">
      <c r="A86" s="31">
        <v>85</v>
      </c>
      <c r="B86" s="30">
        <v>110083</v>
      </c>
      <c r="C86" s="30" t="s">
        <v>1829</v>
      </c>
      <c r="D86" s="30">
        <v>118.72</v>
      </c>
      <c r="E86" s="30">
        <v>-0.84</v>
      </c>
      <c r="F86" s="30">
        <v>5.07</v>
      </c>
      <c r="G86" s="30">
        <v>101.97</v>
      </c>
      <c r="H86" s="30">
        <v>16.43</v>
      </c>
      <c r="I86" s="51">
        <v>135.15</v>
      </c>
      <c r="J86" s="52">
        <v>46702</v>
      </c>
      <c r="K86" s="53">
        <v>5.3840000000000003</v>
      </c>
      <c r="L86" s="53">
        <v>49.982370000000003</v>
      </c>
      <c r="M86" s="53">
        <v>2643.683</v>
      </c>
      <c r="N86" s="54">
        <v>4.4552147766547768E-3</v>
      </c>
      <c r="O86" s="53">
        <v>-1.3398000000000001</v>
      </c>
      <c r="P86" s="30">
        <v>120.69</v>
      </c>
      <c r="Q86" s="30">
        <v>118.46</v>
      </c>
      <c r="R86" s="54">
        <v>1.8824919804153337E-2</v>
      </c>
    </row>
    <row r="87" spans="1:18" x14ac:dyDescent="0.15">
      <c r="A87" s="31">
        <v>86</v>
      </c>
      <c r="B87" s="30">
        <v>110055</v>
      </c>
      <c r="C87" s="30" t="s">
        <v>2018</v>
      </c>
      <c r="D87" s="30">
        <v>213.44</v>
      </c>
      <c r="E87" s="30">
        <v>0.76</v>
      </c>
      <c r="F87" s="30">
        <v>16.41</v>
      </c>
      <c r="G87" s="30">
        <v>183.24</v>
      </c>
      <c r="H87" s="30">
        <v>16.48</v>
      </c>
      <c r="I87" s="51">
        <v>229.92</v>
      </c>
      <c r="J87" s="52">
        <v>45731</v>
      </c>
      <c r="K87" s="53">
        <v>2.7229999999999999</v>
      </c>
      <c r="L87" s="53">
        <v>2.4349500000000002</v>
      </c>
      <c r="M87" s="53">
        <v>72734.380999999994</v>
      </c>
      <c r="N87" s="54">
        <v>1.3995031722418836</v>
      </c>
      <c r="O87" s="53">
        <v>-20.973199999999999</v>
      </c>
      <c r="P87" s="30">
        <v>218.9</v>
      </c>
      <c r="Q87" s="30">
        <v>211.67</v>
      </c>
      <c r="R87" s="54">
        <v>3.4156942410355828E-2</v>
      </c>
    </row>
    <row r="88" spans="1:18" x14ac:dyDescent="0.15">
      <c r="A88" s="31">
        <v>87</v>
      </c>
      <c r="B88" s="30">
        <v>128040</v>
      </c>
      <c r="C88" s="30" t="s">
        <v>2019</v>
      </c>
      <c r="D88" s="30">
        <v>162.34899999999999</v>
      </c>
      <c r="E88" s="30">
        <v>-1.61</v>
      </c>
      <c r="F88" s="30">
        <v>9.73</v>
      </c>
      <c r="G88" s="30">
        <v>139.36000000000001</v>
      </c>
      <c r="H88" s="30">
        <v>16.5</v>
      </c>
      <c r="I88" s="51">
        <v>178.84899999999999</v>
      </c>
      <c r="J88" s="52">
        <v>45457</v>
      </c>
      <c r="K88" s="53">
        <v>1.9730000000000001</v>
      </c>
      <c r="L88" s="53">
        <v>2.0052819999999998</v>
      </c>
      <c r="M88" s="53">
        <v>25754.869089</v>
      </c>
      <c r="N88" s="54">
        <v>0.79110526223478306</v>
      </c>
      <c r="O88" s="53">
        <v>-18.0853</v>
      </c>
      <c r="P88" s="30">
        <v>165</v>
      </c>
      <c r="Q88" s="30">
        <v>161.40100000000001</v>
      </c>
      <c r="R88" s="54">
        <v>2.2298498770143862E-2</v>
      </c>
    </row>
    <row r="89" spans="1:18" x14ac:dyDescent="0.15">
      <c r="A89" s="31">
        <v>88</v>
      </c>
      <c r="B89" s="30">
        <v>113027</v>
      </c>
      <c r="C89" s="30" t="s">
        <v>2020</v>
      </c>
      <c r="D89" s="30">
        <v>172.28</v>
      </c>
      <c r="E89" s="30">
        <v>-0.74</v>
      </c>
      <c r="F89" s="30">
        <v>10.17</v>
      </c>
      <c r="G89" s="30">
        <v>147.49</v>
      </c>
      <c r="H89" s="30">
        <v>16.809999999999999</v>
      </c>
      <c r="I89" s="51">
        <v>189.09</v>
      </c>
      <c r="J89" s="52">
        <v>45822</v>
      </c>
      <c r="K89" s="53">
        <v>2.9729999999999999</v>
      </c>
      <c r="L89" s="53">
        <v>2.3872</v>
      </c>
      <c r="M89" s="53">
        <v>36215.066200000001</v>
      </c>
      <c r="N89" s="54">
        <v>0.88057350583811733</v>
      </c>
      <c r="O89" s="53">
        <v>-13.296200000000001</v>
      </c>
      <c r="P89" s="30">
        <v>174.87</v>
      </c>
      <c r="Q89" s="30">
        <v>171.68</v>
      </c>
      <c r="R89" s="54">
        <v>1.8581081081081068E-2</v>
      </c>
    </row>
    <row r="90" spans="1:18" x14ac:dyDescent="0.15">
      <c r="A90" s="31">
        <v>89</v>
      </c>
      <c r="B90" s="30">
        <v>123127</v>
      </c>
      <c r="C90" s="30" t="s">
        <v>114</v>
      </c>
      <c r="D90" s="30">
        <v>127.339</v>
      </c>
      <c r="E90" s="30">
        <v>-0.03</v>
      </c>
      <c r="F90" s="30">
        <v>37</v>
      </c>
      <c r="G90" s="30">
        <v>108.89</v>
      </c>
      <c r="H90" s="30">
        <v>16.940000000000001</v>
      </c>
      <c r="I90" s="51">
        <v>144.279</v>
      </c>
      <c r="J90" s="52">
        <v>46689</v>
      </c>
      <c r="K90" s="53">
        <v>5.3479999999999999</v>
      </c>
      <c r="L90" s="53">
        <v>3.9997019999999992</v>
      </c>
      <c r="M90" s="53">
        <v>9563.427625100001</v>
      </c>
      <c r="N90" s="54">
        <v>0.1877692645917873</v>
      </c>
      <c r="O90" s="53">
        <v>-1.7330000000000001</v>
      </c>
      <c r="P90" s="30">
        <v>128.19</v>
      </c>
      <c r="Q90" s="30">
        <v>126.911</v>
      </c>
      <c r="R90" s="54">
        <v>1.007792862714813E-2</v>
      </c>
    </row>
    <row r="91" spans="1:18" x14ac:dyDescent="0.15">
      <c r="A91" s="31">
        <v>90</v>
      </c>
      <c r="B91" s="30">
        <v>127036</v>
      </c>
      <c r="C91" s="30" t="s">
        <v>1882</v>
      </c>
      <c r="D91" s="30">
        <v>137.30000000000001</v>
      </c>
      <c r="E91" s="30">
        <v>-1.93</v>
      </c>
      <c r="F91" s="30">
        <v>21.4</v>
      </c>
      <c r="G91" s="30">
        <v>117.29</v>
      </c>
      <c r="H91" s="30">
        <v>17.059999999999999</v>
      </c>
      <c r="I91" s="51">
        <v>154.36000000000001</v>
      </c>
      <c r="J91" s="52">
        <v>46539</v>
      </c>
      <c r="K91" s="53">
        <v>4.9370000000000003</v>
      </c>
      <c r="L91" s="53">
        <v>29.991821999999996</v>
      </c>
      <c r="M91" s="53">
        <v>16019.743638299999</v>
      </c>
      <c r="N91" s="54">
        <v>3.8902917725612357E-2</v>
      </c>
      <c r="O91" s="53">
        <v>-3.694</v>
      </c>
      <c r="P91" s="30">
        <v>141.12299999999999</v>
      </c>
      <c r="Q91" s="30">
        <v>136.423</v>
      </c>
      <c r="R91" s="54">
        <v>3.4451668706889517E-2</v>
      </c>
    </row>
    <row r="92" spans="1:18" x14ac:dyDescent="0.15">
      <c r="A92" s="31">
        <v>91</v>
      </c>
      <c r="B92" s="30">
        <v>123080</v>
      </c>
      <c r="C92" s="30" t="s">
        <v>54</v>
      </c>
      <c r="D92" s="30">
        <v>129.721</v>
      </c>
      <c r="E92" s="30">
        <v>0.71</v>
      </c>
      <c r="F92" s="30">
        <v>11.53</v>
      </c>
      <c r="G92" s="30">
        <v>110.75</v>
      </c>
      <c r="H92" s="30">
        <v>17.13</v>
      </c>
      <c r="I92" s="51">
        <v>146.851</v>
      </c>
      <c r="J92" s="52">
        <v>46358</v>
      </c>
      <c r="K92" s="53">
        <v>4.4409999999999998</v>
      </c>
      <c r="L92" s="53">
        <v>2.4344640000000002</v>
      </c>
      <c r="M92" s="53">
        <v>899.72078599999998</v>
      </c>
      <c r="N92" s="54">
        <v>2.8490108902536893E-2</v>
      </c>
      <c r="O92" s="53">
        <v>-0.66759999999999997</v>
      </c>
      <c r="P92" s="30">
        <v>130</v>
      </c>
      <c r="Q92" s="30">
        <v>129.203</v>
      </c>
      <c r="R92" s="54">
        <v>6.1685874167008272E-3</v>
      </c>
    </row>
    <row r="93" spans="1:18" x14ac:dyDescent="0.15">
      <c r="A93" s="31">
        <v>92</v>
      </c>
      <c r="B93" s="30">
        <v>113051</v>
      </c>
      <c r="C93" s="30" t="s">
        <v>2021</v>
      </c>
      <c r="D93" s="30">
        <v>140.41999999999999</v>
      </c>
      <c r="E93" s="30">
        <v>1.34</v>
      </c>
      <c r="F93" s="30">
        <v>4</v>
      </c>
      <c r="G93" s="30">
        <v>119.75</v>
      </c>
      <c r="H93" s="30">
        <v>17.260000000000002</v>
      </c>
      <c r="I93" s="51">
        <v>157.67999999999998</v>
      </c>
      <c r="J93" s="52">
        <v>46559</v>
      </c>
      <c r="K93" s="53">
        <v>4.992</v>
      </c>
      <c r="L93" s="53">
        <v>29.990480000000002</v>
      </c>
      <c r="M93" s="53">
        <v>9010.0138999999999</v>
      </c>
      <c r="N93" s="54">
        <v>2.1395038658654233E-2</v>
      </c>
      <c r="O93" s="53">
        <v>-4.0918999999999999</v>
      </c>
      <c r="P93" s="30">
        <v>142.22999999999999</v>
      </c>
      <c r="Q93" s="30">
        <v>139</v>
      </c>
      <c r="R93" s="54">
        <v>2.3237410071942372E-2</v>
      </c>
    </row>
    <row r="94" spans="1:18" x14ac:dyDescent="0.15">
      <c r="A94" s="31">
        <v>93</v>
      </c>
      <c r="B94" s="30">
        <v>113618</v>
      </c>
      <c r="C94" s="30" t="s">
        <v>1833</v>
      </c>
      <c r="D94" s="30">
        <v>140.61000000000001</v>
      </c>
      <c r="E94" s="30">
        <v>0.85</v>
      </c>
      <c r="F94" s="30">
        <v>26.51</v>
      </c>
      <c r="G94" s="30">
        <v>119.73</v>
      </c>
      <c r="H94" s="30">
        <v>17.440000000000001</v>
      </c>
      <c r="I94" s="51">
        <v>158.05000000000001</v>
      </c>
      <c r="J94" s="52">
        <v>46401</v>
      </c>
      <c r="K94" s="53">
        <v>4.5590000000000002</v>
      </c>
      <c r="L94" s="53">
        <v>4.7701500000000001</v>
      </c>
      <c r="M94" s="53">
        <v>27308.3567</v>
      </c>
      <c r="N94" s="54">
        <v>0.4071433285316825</v>
      </c>
      <c r="O94" s="53">
        <v>-4.4095000000000004</v>
      </c>
      <c r="P94" s="30">
        <v>141.33000000000001</v>
      </c>
      <c r="Q94" s="30">
        <v>139.51</v>
      </c>
      <c r="R94" s="54">
        <v>1.3045659809332821E-2</v>
      </c>
    </row>
    <row r="95" spans="1:18" x14ac:dyDescent="0.15">
      <c r="A95" s="31">
        <v>94</v>
      </c>
      <c r="B95" s="30">
        <v>110048</v>
      </c>
      <c r="C95" s="30" t="s">
        <v>2022</v>
      </c>
      <c r="D95" s="30">
        <v>202.36</v>
      </c>
      <c r="E95" s="30">
        <v>1.1000000000000001</v>
      </c>
      <c r="F95" s="30">
        <v>7.85</v>
      </c>
      <c r="G95" s="30">
        <v>171.97</v>
      </c>
      <c r="H95" s="30">
        <v>17.670000000000002</v>
      </c>
      <c r="I95" s="51">
        <v>220.03000000000003</v>
      </c>
      <c r="J95" s="52">
        <v>45633</v>
      </c>
      <c r="K95" s="53">
        <v>2.4550000000000001</v>
      </c>
      <c r="L95" s="53">
        <v>12.761810000000001</v>
      </c>
      <c r="M95" s="53">
        <v>18365.779500000001</v>
      </c>
      <c r="N95" s="54">
        <v>7.1116835031210926E-2</v>
      </c>
      <c r="O95" s="53">
        <v>-21.584</v>
      </c>
      <c r="P95" s="30">
        <v>205.29</v>
      </c>
      <c r="Q95" s="30">
        <v>198.3</v>
      </c>
      <c r="R95" s="54">
        <v>3.5249621785173879E-2</v>
      </c>
    </row>
    <row r="96" spans="1:18" x14ac:dyDescent="0.15">
      <c r="A96" s="31">
        <v>95</v>
      </c>
      <c r="B96" s="30">
        <v>113011</v>
      </c>
      <c r="C96" s="30" t="s">
        <v>1828</v>
      </c>
      <c r="D96" s="30">
        <v>106.85</v>
      </c>
      <c r="E96" s="30">
        <v>0.17</v>
      </c>
      <c r="F96" s="30">
        <v>3.55</v>
      </c>
      <c r="G96" s="30">
        <v>90.42</v>
      </c>
      <c r="H96" s="30">
        <v>18.170000000000002</v>
      </c>
      <c r="I96" s="51">
        <v>125.02</v>
      </c>
      <c r="J96" s="52">
        <v>45002</v>
      </c>
      <c r="K96" s="53">
        <v>0.72599999999999998</v>
      </c>
      <c r="L96" s="53">
        <v>241.98864</v>
      </c>
      <c r="M96" s="53">
        <v>13555.167100000001</v>
      </c>
      <c r="N96" s="54">
        <v>5.242462956311496E-3</v>
      </c>
      <c r="O96" s="53">
        <v>-2.3681000000000001</v>
      </c>
      <c r="P96" s="30">
        <v>107.15</v>
      </c>
      <c r="Q96" s="30">
        <v>106.65</v>
      </c>
      <c r="R96" s="54">
        <v>4.6882325363338017E-3</v>
      </c>
    </row>
    <row r="97" spans="1:18" x14ac:dyDescent="0.15">
      <c r="A97" s="31">
        <v>96</v>
      </c>
      <c r="B97" s="30">
        <v>127030</v>
      </c>
      <c r="C97" s="30" t="s">
        <v>780</v>
      </c>
      <c r="D97" s="30">
        <v>164.29300000000001</v>
      </c>
      <c r="E97" s="30">
        <v>5.32</v>
      </c>
      <c r="F97" s="30">
        <v>13.38</v>
      </c>
      <c r="G97" s="30">
        <v>138.86000000000001</v>
      </c>
      <c r="H97" s="30">
        <v>18.32</v>
      </c>
      <c r="I97" s="51">
        <v>182.613</v>
      </c>
      <c r="J97" s="52">
        <v>46468</v>
      </c>
      <c r="K97" s="53">
        <v>4.742</v>
      </c>
      <c r="L97" s="53">
        <v>49.981890999999997</v>
      </c>
      <c r="M97" s="53">
        <v>89809.584801900011</v>
      </c>
      <c r="N97" s="54">
        <v>0.10936817006483049</v>
      </c>
      <c r="O97" s="53">
        <v>-7.8103999999999996</v>
      </c>
      <c r="P97" s="30">
        <v>175</v>
      </c>
      <c r="Q97" s="30">
        <v>155.5</v>
      </c>
      <c r="R97" s="54">
        <v>0.12540192926045016</v>
      </c>
    </row>
    <row r="98" spans="1:18" x14ac:dyDescent="0.15">
      <c r="A98" s="31">
        <v>97</v>
      </c>
      <c r="B98" s="30">
        <v>123084</v>
      </c>
      <c r="C98" s="30" t="s">
        <v>112</v>
      </c>
      <c r="D98" s="30">
        <v>171.804</v>
      </c>
      <c r="E98" s="30">
        <v>-2.33</v>
      </c>
      <c r="F98" s="30">
        <v>9.01</v>
      </c>
      <c r="G98" s="30">
        <v>145.06</v>
      </c>
      <c r="H98" s="30">
        <v>18.440000000000001</v>
      </c>
      <c r="I98" s="51">
        <v>190.244</v>
      </c>
      <c r="J98" s="52">
        <v>46366</v>
      </c>
      <c r="K98" s="53">
        <v>4.4630000000000001</v>
      </c>
      <c r="L98" s="53">
        <v>2.5406900000000001</v>
      </c>
      <c r="M98" s="53">
        <v>639503.607709</v>
      </c>
      <c r="N98" s="54">
        <v>14.650689007721454</v>
      </c>
      <c r="O98" s="53">
        <v>-7.6407999999999996</v>
      </c>
      <c r="P98" s="30">
        <v>199.46600000000001</v>
      </c>
      <c r="Q98" s="30">
        <v>170.417</v>
      </c>
      <c r="R98" s="54">
        <v>0.17045834629174322</v>
      </c>
    </row>
    <row r="99" spans="1:18" x14ac:dyDescent="0.15">
      <c r="A99" s="31">
        <v>98</v>
      </c>
      <c r="B99" s="30">
        <v>123103</v>
      </c>
      <c r="C99" s="30" t="s">
        <v>815</v>
      </c>
      <c r="D99" s="30">
        <v>146.75</v>
      </c>
      <c r="E99" s="30">
        <v>-1.32</v>
      </c>
      <c r="F99" s="30">
        <v>47.33</v>
      </c>
      <c r="G99" s="30">
        <v>123.77</v>
      </c>
      <c r="H99" s="30">
        <v>18.57</v>
      </c>
      <c r="I99" s="51">
        <v>165.32</v>
      </c>
      <c r="J99" s="52">
        <v>46458</v>
      </c>
      <c r="K99" s="53">
        <v>4.7149999999999999</v>
      </c>
      <c r="L99" s="53">
        <v>2.4949330000000005</v>
      </c>
      <c r="M99" s="53">
        <v>3667.1975630000002</v>
      </c>
      <c r="N99" s="54">
        <v>0.10016069053937394</v>
      </c>
      <c r="O99" s="53">
        <v>-4.1056999999999997</v>
      </c>
      <c r="P99" s="30">
        <v>149.72999999999999</v>
      </c>
      <c r="Q99" s="30">
        <v>145.833</v>
      </c>
      <c r="R99" s="54">
        <v>2.672234679393547E-2</v>
      </c>
    </row>
    <row r="100" spans="1:18" x14ac:dyDescent="0.15">
      <c r="A100" s="31">
        <v>99</v>
      </c>
      <c r="B100" s="30">
        <v>110070</v>
      </c>
      <c r="C100" s="30" t="s">
        <v>89</v>
      </c>
      <c r="D100" s="30">
        <v>127.77</v>
      </c>
      <c r="E100" s="30">
        <v>-2.99</v>
      </c>
      <c r="F100" s="30">
        <v>2.59</v>
      </c>
      <c r="G100" s="30">
        <v>107.72</v>
      </c>
      <c r="H100" s="30">
        <v>18.61</v>
      </c>
      <c r="I100" s="51">
        <v>146.38</v>
      </c>
      <c r="J100" s="52">
        <v>46125</v>
      </c>
      <c r="K100" s="53">
        <v>3.8029999999999999</v>
      </c>
      <c r="L100" s="53">
        <v>2.17056</v>
      </c>
      <c r="M100" s="53">
        <v>38963.794399999999</v>
      </c>
      <c r="N100" s="54">
        <v>1.404948978433866</v>
      </c>
      <c r="O100" s="53">
        <v>-2.3975</v>
      </c>
      <c r="P100" s="30">
        <v>130.82</v>
      </c>
      <c r="Q100" s="30">
        <v>127.11</v>
      </c>
      <c r="R100" s="54">
        <v>2.9187318070962108E-2</v>
      </c>
    </row>
    <row r="101" spans="1:18" x14ac:dyDescent="0.15">
      <c r="A101" s="31">
        <v>100</v>
      </c>
      <c r="B101" s="30">
        <v>113582</v>
      </c>
      <c r="C101" s="30" t="s">
        <v>2023</v>
      </c>
      <c r="D101" s="30">
        <v>223.64</v>
      </c>
      <c r="E101" s="30">
        <v>6.09</v>
      </c>
      <c r="F101" s="30">
        <v>24.51</v>
      </c>
      <c r="G101" s="30">
        <v>188.49</v>
      </c>
      <c r="H101" s="30">
        <v>18.649999999999999</v>
      </c>
      <c r="I101" s="51">
        <v>242.29</v>
      </c>
      <c r="J101" s="52">
        <v>46169</v>
      </c>
      <c r="K101" s="53">
        <v>3.923</v>
      </c>
      <c r="L101" s="53">
        <v>4.17692</v>
      </c>
      <c r="M101" s="53">
        <v>387776.54570000002</v>
      </c>
      <c r="N101" s="54">
        <v>4.1512214016151132</v>
      </c>
      <c r="O101" s="53">
        <v>-15.9284</v>
      </c>
      <c r="P101" s="30">
        <v>245</v>
      </c>
      <c r="Q101" s="30">
        <v>212.65</v>
      </c>
      <c r="R101" s="54">
        <v>0.15212790971079235</v>
      </c>
    </row>
    <row r="102" spans="1:18" x14ac:dyDescent="0.15">
      <c r="A102" s="31">
        <v>101</v>
      </c>
      <c r="B102" s="30">
        <v>127020</v>
      </c>
      <c r="C102" s="30" t="s">
        <v>1840</v>
      </c>
      <c r="D102" s="30">
        <v>116.876</v>
      </c>
      <c r="E102" s="30">
        <v>0.15</v>
      </c>
      <c r="F102" s="30">
        <v>4.54</v>
      </c>
      <c r="G102" s="30">
        <v>98.46</v>
      </c>
      <c r="H102" s="30">
        <v>18.7</v>
      </c>
      <c r="I102" s="51">
        <v>135.57599999999999</v>
      </c>
      <c r="J102" s="52">
        <v>46223</v>
      </c>
      <c r="K102" s="53">
        <v>4.0709999999999997</v>
      </c>
      <c r="L102" s="53">
        <v>30.227959000000006</v>
      </c>
      <c r="M102" s="53">
        <v>11376.367353900001</v>
      </c>
      <c r="N102" s="54">
        <v>3.2201006248129237E-2</v>
      </c>
      <c r="O102" s="53">
        <v>-0.72760000000000002</v>
      </c>
      <c r="P102" s="30">
        <v>117.40600000000001</v>
      </c>
      <c r="Q102" s="30">
        <v>116.267</v>
      </c>
      <c r="R102" s="54">
        <v>9.7964168680709923E-3</v>
      </c>
    </row>
    <row r="103" spans="1:18" x14ac:dyDescent="0.15">
      <c r="A103" s="31">
        <v>102</v>
      </c>
      <c r="B103" s="30">
        <v>110043</v>
      </c>
      <c r="C103" s="30" t="s">
        <v>1811</v>
      </c>
      <c r="D103" s="30">
        <v>116.83</v>
      </c>
      <c r="E103" s="30">
        <v>-0.05</v>
      </c>
      <c r="F103" s="30">
        <v>5.61</v>
      </c>
      <c r="G103" s="30">
        <v>98.4</v>
      </c>
      <c r="H103" s="30">
        <v>18.73</v>
      </c>
      <c r="I103" s="51">
        <v>135.56</v>
      </c>
      <c r="J103" s="52">
        <v>45321</v>
      </c>
      <c r="K103" s="53">
        <v>1.6</v>
      </c>
      <c r="L103" s="53">
        <v>29.2134</v>
      </c>
      <c r="M103" s="53">
        <v>3812.5635000000002</v>
      </c>
      <c r="N103" s="54">
        <v>1.1170705537118715E-2</v>
      </c>
      <c r="O103" s="53">
        <v>-5.2080000000000002</v>
      </c>
      <c r="P103" s="30">
        <v>117.23</v>
      </c>
      <c r="Q103" s="30">
        <v>116.6</v>
      </c>
      <c r="R103" s="54">
        <v>5.4030874785592599E-3</v>
      </c>
    </row>
    <row r="104" spans="1:18" x14ac:dyDescent="0.15">
      <c r="A104" s="31">
        <v>103</v>
      </c>
      <c r="B104" s="30">
        <v>123045</v>
      </c>
      <c r="C104" s="30" t="s">
        <v>108</v>
      </c>
      <c r="D104" s="30">
        <v>154.613</v>
      </c>
      <c r="E104" s="30">
        <v>-2.0699999999999998</v>
      </c>
      <c r="F104" s="30">
        <v>19.329999999999998</v>
      </c>
      <c r="G104" s="30">
        <v>130.11000000000001</v>
      </c>
      <c r="H104" s="30">
        <v>18.829999999999998</v>
      </c>
      <c r="I104" s="51">
        <v>173.44299999999998</v>
      </c>
      <c r="J104" s="52">
        <v>46093</v>
      </c>
      <c r="K104" s="53">
        <v>3.7149999999999999</v>
      </c>
      <c r="L104" s="53">
        <v>1.6599440000000001</v>
      </c>
      <c r="M104" s="53">
        <v>248029.28208330003</v>
      </c>
      <c r="N104" s="54">
        <v>9.6641466664833295</v>
      </c>
      <c r="O104" s="53">
        <v>-7.1045999999999996</v>
      </c>
      <c r="P104" s="30">
        <v>167.309</v>
      </c>
      <c r="Q104" s="30">
        <v>149.31800000000001</v>
      </c>
      <c r="R104" s="54">
        <v>0.12048781794559252</v>
      </c>
    </row>
    <row r="105" spans="1:18" x14ac:dyDescent="0.15">
      <c r="A105" s="31">
        <v>104</v>
      </c>
      <c r="B105" s="30">
        <v>110080</v>
      </c>
      <c r="C105" s="30" t="s">
        <v>229</v>
      </c>
      <c r="D105" s="30">
        <v>116.18</v>
      </c>
      <c r="E105" s="30">
        <v>0.46</v>
      </c>
      <c r="F105" s="30">
        <v>6.05</v>
      </c>
      <c r="G105" s="30">
        <v>97.69</v>
      </c>
      <c r="H105" s="30">
        <v>18.93</v>
      </c>
      <c r="I105" s="51">
        <v>135.11000000000001</v>
      </c>
      <c r="J105" s="52">
        <v>46489</v>
      </c>
      <c r="K105" s="53">
        <v>4.8</v>
      </c>
      <c r="L105" s="53">
        <v>15.49118</v>
      </c>
      <c r="M105" s="53">
        <v>2721.0758999999998</v>
      </c>
      <c r="N105" s="54">
        <v>1.5119059754571805E-2</v>
      </c>
      <c r="O105" s="53">
        <v>-0.253</v>
      </c>
      <c r="P105" s="30">
        <v>116.26</v>
      </c>
      <c r="Q105" s="30">
        <v>115.38</v>
      </c>
      <c r="R105" s="54">
        <v>7.6269717455365723E-3</v>
      </c>
    </row>
    <row r="106" spans="1:18" x14ac:dyDescent="0.15">
      <c r="A106" s="31">
        <v>105</v>
      </c>
      <c r="B106" s="30">
        <v>113634</v>
      </c>
      <c r="C106" s="30" t="s">
        <v>249</v>
      </c>
      <c r="D106" s="30">
        <v>133.80000000000001</v>
      </c>
      <c r="E106" s="30">
        <v>1.1100000000000001</v>
      </c>
      <c r="F106" s="30">
        <v>139.37</v>
      </c>
      <c r="G106" s="30">
        <v>112.48</v>
      </c>
      <c r="H106" s="30">
        <v>18.95</v>
      </c>
      <c r="I106" s="51">
        <v>152.75</v>
      </c>
      <c r="J106" s="52">
        <v>46729</v>
      </c>
      <c r="K106" s="53">
        <v>5.4580000000000002</v>
      </c>
      <c r="L106" s="53">
        <v>7.5144200000000003</v>
      </c>
      <c r="M106" s="53">
        <v>4454.8969999999999</v>
      </c>
      <c r="N106" s="54">
        <v>4.4308402138661947E-2</v>
      </c>
      <c r="O106" s="53">
        <v>-1.9919</v>
      </c>
      <c r="P106" s="30">
        <v>134.05000000000001</v>
      </c>
      <c r="Q106" s="30">
        <v>132.46</v>
      </c>
      <c r="R106" s="54">
        <v>1.2003623735467336E-2</v>
      </c>
    </row>
    <row r="107" spans="1:18" x14ac:dyDescent="0.15">
      <c r="A107" s="31">
        <v>106</v>
      </c>
      <c r="B107" s="30">
        <v>110075</v>
      </c>
      <c r="C107" s="30" t="s">
        <v>1839</v>
      </c>
      <c r="D107" s="30">
        <v>130.63</v>
      </c>
      <c r="E107" s="30">
        <v>1.1599999999999999</v>
      </c>
      <c r="F107" s="30">
        <v>6.24</v>
      </c>
      <c r="G107" s="30">
        <v>109.78</v>
      </c>
      <c r="H107" s="30">
        <v>18.989999999999998</v>
      </c>
      <c r="I107" s="51">
        <v>149.62</v>
      </c>
      <c r="J107" s="52">
        <v>46310</v>
      </c>
      <c r="K107" s="53">
        <v>4.3099999999999996</v>
      </c>
      <c r="L107" s="53">
        <v>58.964379999999998</v>
      </c>
      <c r="M107" s="53">
        <v>12303.3703</v>
      </c>
      <c r="N107" s="54">
        <v>1.5973181707812031E-2</v>
      </c>
      <c r="O107" s="53">
        <v>-3.9992999999999999</v>
      </c>
      <c r="P107" s="30">
        <v>131.47999999999999</v>
      </c>
      <c r="Q107" s="30">
        <v>128.52000000000001</v>
      </c>
      <c r="R107" s="54">
        <v>2.3031434796140518E-2</v>
      </c>
    </row>
    <row r="108" spans="1:18" x14ac:dyDescent="0.15">
      <c r="A108" s="31">
        <v>107</v>
      </c>
      <c r="B108" s="30">
        <v>128066</v>
      </c>
      <c r="C108" s="30" t="s">
        <v>98</v>
      </c>
      <c r="D108" s="30">
        <v>117.5</v>
      </c>
      <c r="E108" s="30">
        <v>0.43</v>
      </c>
      <c r="F108" s="30">
        <v>9.27</v>
      </c>
      <c r="G108" s="30">
        <v>98.6</v>
      </c>
      <c r="H108" s="30">
        <v>19.170000000000002</v>
      </c>
      <c r="I108" s="51">
        <v>136.67000000000002</v>
      </c>
      <c r="J108" s="52">
        <v>45764</v>
      </c>
      <c r="K108" s="53">
        <v>2.8140000000000001</v>
      </c>
      <c r="L108" s="53">
        <v>4.610582</v>
      </c>
      <c r="M108" s="53">
        <v>3238.8880410000002</v>
      </c>
      <c r="N108" s="54">
        <v>5.9786388365406631E-2</v>
      </c>
      <c r="O108" s="53">
        <v>-0.61709999999999998</v>
      </c>
      <c r="P108" s="30">
        <v>117.8</v>
      </c>
      <c r="Q108" s="30">
        <v>117</v>
      </c>
      <c r="R108" s="54">
        <v>6.8376068376068133E-3</v>
      </c>
    </row>
    <row r="109" spans="1:18" x14ac:dyDescent="0.15">
      <c r="A109" s="31">
        <v>108</v>
      </c>
      <c r="B109" s="30">
        <v>113044</v>
      </c>
      <c r="C109" s="30" t="s">
        <v>1825</v>
      </c>
      <c r="D109" s="30">
        <v>108.88</v>
      </c>
      <c r="E109" s="30">
        <v>0.15</v>
      </c>
      <c r="F109" s="30">
        <v>7.18</v>
      </c>
      <c r="G109" s="30">
        <v>91.36</v>
      </c>
      <c r="H109" s="30">
        <v>19.18</v>
      </c>
      <c r="I109" s="51">
        <v>128.06</v>
      </c>
      <c r="J109" s="52">
        <v>46370</v>
      </c>
      <c r="K109" s="53">
        <v>4.4740000000000002</v>
      </c>
      <c r="L109" s="53">
        <v>319.98989999999998</v>
      </c>
      <c r="M109" s="53">
        <v>21487.378000000001</v>
      </c>
      <c r="N109" s="54">
        <v>6.1673563259937395E-3</v>
      </c>
      <c r="O109" s="53">
        <v>1.0350999999999999</v>
      </c>
      <c r="P109" s="30">
        <v>109.18</v>
      </c>
      <c r="Q109" s="30">
        <v>108.8</v>
      </c>
      <c r="R109" s="54">
        <v>3.4926470588236185E-3</v>
      </c>
    </row>
    <row r="110" spans="1:18" x14ac:dyDescent="0.15">
      <c r="A110" s="31">
        <v>109</v>
      </c>
      <c r="B110" s="30">
        <v>128022</v>
      </c>
      <c r="C110" s="30" t="s">
        <v>158</v>
      </c>
      <c r="D110" s="30">
        <v>126</v>
      </c>
      <c r="E110" s="30">
        <v>4.29</v>
      </c>
      <c r="F110" s="30">
        <v>5.95</v>
      </c>
      <c r="G110" s="30">
        <v>105.55</v>
      </c>
      <c r="H110" s="30">
        <v>19.37</v>
      </c>
      <c r="I110" s="51">
        <v>145.37</v>
      </c>
      <c r="J110" s="52">
        <v>45261</v>
      </c>
      <c r="K110" s="53">
        <v>1.4359999999999999</v>
      </c>
      <c r="L110" s="53">
        <v>4.5522299999999998</v>
      </c>
      <c r="M110" s="53">
        <v>36810.087454100001</v>
      </c>
      <c r="N110" s="54">
        <v>0.64175920641754902</v>
      </c>
      <c r="O110" s="53">
        <v>-10.543799999999999</v>
      </c>
      <c r="P110" s="30">
        <v>126</v>
      </c>
      <c r="Q110" s="30">
        <v>120.62</v>
      </c>
      <c r="R110" s="54">
        <v>4.4602885093682598E-2</v>
      </c>
    </row>
    <row r="111" spans="1:18" x14ac:dyDescent="0.15">
      <c r="A111" s="31">
        <v>110</v>
      </c>
      <c r="B111" s="30">
        <v>128133</v>
      </c>
      <c r="C111" s="30" t="s">
        <v>223</v>
      </c>
      <c r="D111" s="30">
        <v>125.773</v>
      </c>
      <c r="E111" s="30">
        <v>-0.02</v>
      </c>
      <c r="F111" s="30">
        <v>24.78</v>
      </c>
      <c r="G111" s="30">
        <v>104.84</v>
      </c>
      <c r="H111" s="30">
        <v>19.97</v>
      </c>
      <c r="I111" s="51">
        <v>145.74299999999999</v>
      </c>
      <c r="J111" s="52">
        <v>46287</v>
      </c>
      <c r="K111" s="53">
        <v>4.2469999999999999</v>
      </c>
      <c r="L111" s="53">
        <v>7.9943039999999987</v>
      </c>
      <c r="M111" s="53">
        <v>622.53406799999993</v>
      </c>
      <c r="N111" s="54">
        <v>6.1914881181889857E-3</v>
      </c>
      <c r="O111" s="53">
        <v>-1.7417</v>
      </c>
      <c r="P111" s="30">
        <v>126.39</v>
      </c>
      <c r="Q111" s="30">
        <v>124.76</v>
      </c>
      <c r="R111" s="54">
        <v>1.3065084963129171E-2</v>
      </c>
    </row>
    <row r="112" spans="1:18" x14ac:dyDescent="0.15">
      <c r="A112" s="31">
        <v>111</v>
      </c>
      <c r="B112" s="30">
        <v>128121</v>
      </c>
      <c r="C112" s="30" t="s">
        <v>47</v>
      </c>
      <c r="D112" s="30">
        <v>125.801</v>
      </c>
      <c r="E112" s="30">
        <v>1.29</v>
      </c>
      <c r="F112" s="30">
        <v>19.86</v>
      </c>
      <c r="G112" s="30">
        <v>104.68</v>
      </c>
      <c r="H112" s="30">
        <v>20.18</v>
      </c>
      <c r="I112" s="51">
        <v>145.98099999999999</v>
      </c>
      <c r="J112" s="52">
        <v>46220</v>
      </c>
      <c r="K112" s="53">
        <v>4.0629999999999997</v>
      </c>
      <c r="L112" s="53">
        <v>6.6985929999999989</v>
      </c>
      <c r="M112" s="53">
        <v>1662.0029029999998</v>
      </c>
      <c r="N112" s="54">
        <v>1.972259666824366E-2</v>
      </c>
      <c r="O112" s="53">
        <v>-2.6829999999999998</v>
      </c>
      <c r="P112" s="30">
        <v>125.999</v>
      </c>
      <c r="Q112" s="30">
        <v>124.176</v>
      </c>
      <c r="R112" s="54">
        <v>1.4680775673237931E-2</v>
      </c>
    </row>
    <row r="113" spans="1:18" x14ac:dyDescent="0.15">
      <c r="A113" s="31">
        <v>112</v>
      </c>
      <c r="B113" s="30">
        <v>128073</v>
      </c>
      <c r="C113" s="30" t="s">
        <v>97</v>
      </c>
      <c r="D113" s="30">
        <v>129.124</v>
      </c>
      <c r="E113" s="30">
        <v>2.77</v>
      </c>
      <c r="F113" s="30">
        <v>5.55</v>
      </c>
      <c r="G113" s="30">
        <v>107.39</v>
      </c>
      <c r="H113" s="30">
        <v>20.239999999999998</v>
      </c>
      <c r="I113" s="51">
        <v>149.364</v>
      </c>
      <c r="J113" s="52">
        <v>45526</v>
      </c>
      <c r="K113" s="53">
        <v>2.1619999999999999</v>
      </c>
      <c r="L113" s="53">
        <v>2.9874589999999999</v>
      </c>
      <c r="M113" s="53">
        <v>17025.0798258</v>
      </c>
      <c r="N113" s="54">
        <v>0.44134705399169866</v>
      </c>
      <c r="O113" s="53">
        <v>-5.4741999999999997</v>
      </c>
      <c r="P113" s="30">
        <v>131.15100000000001</v>
      </c>
      <c r="Q113" s="30">
        <v>125.648</v>
      </c>
      <c r="R113" s="54">
        <v>4.3796956577104404E-2</v>
      </c>
    </row>
    <row r="114" spans="1:18" x14ac:dyDescent="0.15">
      <c r="A114" s="31">
        <v>113</v>
      </c>
      <c r="B114" s="30">
        <v>128042</v>
      </c>
      <c r="C114" s="30" t="s">
        <v>204</v>
      </c>
      <c r="D114" s="30">
        <v>122.42100000000001</v>
      </c>
      <c r="E114" s="30">
        <v>0.59</v>
      </c>
      <c r="F114" s="30">
        <v>10.08</v>
      </c>
      <c r="G114" s="30">
        <v>101.79</v>
      </c>
      <c r="H114" s="30">
        <v>20.27</v>
      </c>
      <c r="I114" s="51">
        <v>142.691</v>
      </c>
      <c r="J114" s="52">
        <v>45503</v>
      </c>
      <c r="K114" s="53">
        <v>2.0990000000000002</v>
      </c>
      <c r="L114" s="53">
        <v>4.1551119999999999</v>
      </c>
      <c r="M114" s="53">
        <v>3739.6621197999998</v>
      </c>
      <c r="N114" s="54">
        <v>7.3518004074203655E-2</v>
      </c>
      <c r="O114" s="53">
        <v>-2.8664000000000001</v>
      </c>
      <c r="P114" s="30">
        <v>123.08499999999999</v>
      </c>
      <c r="Q114" s="30">
        <v>121.544</v>
      </c>
      <c r="R114" s="54">
        <v>1.2678536167972066E-2</v>
      </c>
    </row>
    <row r="115" spans="1:18" x14ac:dyDescent="0.15">
      <c r="A115" s="31">
        <v>114</v>
      </c>
      <c r="B115" s="30">
        <v>113629</v>
      </c>
      <c r="C115" s="30" t="s">
        <v>80</v>
      </c>
      <c r="D115" s="30">
        <v>142.66999999999999</v>
      </c>
      <c r="E115" s="30">
        <v>1.06</v>
      </c>
      <c r="F115" s="30">
        <v>23.03</v>
      </c>
      <c r="G115" s="30">
        <v>118.58</v>
      </c>
      <c r="H115" s="30">
        <v>20.32</v>
      </c>
      <c r="I115" s="51">
        <v>162.98999999999998</v>
      </c>
      <c r="J115" s="52">
        <v>46644</v>
      </c>
      <c r="K115" s="53">
        <v>5.2249999999999996</v>
      </c>
      <c r="L115" s="53">
        <v>6.19693</v>
      </c>
      <c r="M115" s="53">
        <v>37931.186800000003</v>
      </c>
      <c r="N115" s="54">
        <v>0.42902952403305517</v>
      </c>
      <c r="O115" s="53">
        <v>-3.1631999999999998</v>
      </c>
      <c r="P115" s="30">
        <v>143.6</v>
      </c>
      <c r="Q115" s="30">
        <v>140.54</v>
      </c>
      <c r="R115" s="54">
        <v>2.1773160666002579E-2</v>
      </c>
    </row>
    <row r="116" spans="1:18" x14ac:dyDescent="0.15">
      <c r="A116" s="31">
        <v>115</v>
      </c>
      <c r="B116" s="30">
        <v>128109</v>
      </c>
      <c r="C116" s="30" t="s">
        <v>2024</v>
      </c>
      <c r="D116" s="30">
        <v>134.9</v>
      </c>
      <c r="E116" s="30">
        <v>3.61</v>
      </c>
      <c r="F116" s="30">
        <v>8.3800000000000008</v>
      </c>
      <c r="G116" s="30">
        <v>112.05</v>
      </c>
      <c r="H116" s="30">
        <v>20.39</v>
      </c>
      <c r="I116" s="51">
        <v>155.29000000000002</v>
      </c>
      <c r="J116" s="52">
        <v>46177</v>
      </c>
      <c r="K116" s="53">
        <v>3.9449999999999998</v>
      </c>
      <c r="L116" s="53">
        <v>18.225546000000001</v>
      </c>
      <c r="M116" s="53">
        <v>15525.581413600001</v>
      </c>
      <c r="N116" s="54">
        <v>6.3147385703598777E-2</v>
      </c>
      <c r="O116" s="53">
        <v>-4.1780999999999997</v>
      </c>
      <c r="P116" s="30">
        <v>137.56</v>
      </c>
      <c r="Q116" s="30">
        <v>129.72200000000001</v>
      </c>
      <c r="R116" s="54">
        <v>6.0421516782041544E-2</v>
      </c>
    </row>
    <row r="117" spans="1:18" x14ac:dyDescent="0.15">
      <c r="A117" s="31">
        <v>116</v>
      </c>
      <c r="B117" s="30">
        <v>113053</v>
      </c>
      <c r="C117" s="30" t="s">
        <v>1853</v>
      </c>
      <c r="D117" s="30">
        <v>131.69999999999999</v>
      </c>
      <c r="E117" s="30">
        <v>1.45</v>
      </c>
      <c r="F117" s="30">
        <v>58.85</v>
      </c>
      <c r="G117" s="30">
        <v>109.35</v>
      </c>
      <c r="H117" s="30">
        <v>20.440000000000001</v>
      </c>
      <c r="I117" s="51">
        <v>152.13999999999999</v>
      </c>
      <c r="J117" s="52">
        <v>46757</v>
      </c>
      <c r="K117" s="53">
        <v>5.5339999999999998</v>
      </c>
      <c r="L117" s="53">
        <v>70</v>
      </c>
      <c r="M117" s="53">
        <v>40164.3298</v>
      </c>
      <c r="N117" s="54">
        <v>4.3566905087319675E-2</v>
      </c>
      <c r="O117" s="53">
        <v>-3.0516999999999999</v>
      </c>
      <c r="P117" s="30">
        <v>132.76</v>
      </c>
      <c r="Q117" s="30">
        <v>131.04</v>
      </c>
      <c r="R117" s="54">
        <v>1.3125763125763117E-2</v>
      </c>
    </row>
    <row r="118" spans="1:18" x14ac:dyDescent="0.15">
      <c r="A118" s="31">
        <v>117</v>
      </c>
      <c r="B118" s="30">
        <v>123110</v>
      </c>
      <c r="C118" s="30" t="s">
        <v>106</v>
      </c>
      <c r="D118" s="30">
        <v>135.6</v>
      </c>
      <c r="E118" s="30">
        <v>0.64</v>
      </c>
      <c r="F118" s="30">
        <v>18.7</v>
      </c>
      <c r="G118" s="30">
        <v>112.35</v>
      </c>
      <c r="H118" s="30">
        <v>20.69</v>
      </c>
      <c r="I118" s="51">
        <v>156.29</v>
      </c>
      <c r="J118" s="52">
        <v>46478</v>
      </c>
      <c r="K118" s="53">
        <v>4.7699999999999996</v>
      </c>
      <c r="L118" s="53">
        <v>2.6979579999999999</v>
      </c>
      <c r="M118" s="53">
        <v>12900.240670900001</v>
      </c>
      <c r="N118" s="54">
        <v>0.35261675023101324</v>
      </c>
      <c r="O118" s="53">
        <v>-2.4066999999999998</v>
      </c>
      <c r="P118" s="30">
        <v>137.69999999999999</v>
      </c>
      <c r="Q118" s="30">
        <v>133.9</v>
      </c>
      <c r="R118" s="54">
        <v>2.8379387602688447E-2</v>
      </c>
    </row>
    <row r="119" spans="1:18" x14ac:dyDescent="0.15">
      <c r="A119" s="31">
        <v>118</v>
      </c>
      <c r="B119" s="30">
        <v>123027</v>
      </c>
      <c r="C119" s="30" t="s">
        <v>2025</v>
      </c>
      <c r="D119" s="30">
        <v>367.5</v>
      </c>
      <c r="E119" s="30">
        <v>2.8</v>
      </c>
      <c r="F119" s="30">
        <v>19.07</v>
      </c>
      <c r="G119" s="30">
        <v>303.88</v>
      </c>
      <c r="H119" s="30">
        <v>20.94</v>
      </c>
      <c r="I119" s="51">
        <v>388.44</v>
      </c>
      <c r="J119" s="52">
        <v>45819</v>
      </c>
      <c r="K119" s="53">
        <v>2.964</v>
      </c>
      <c r="L119" s="53">
        <v>1.0667800000000001</v>
      </c>
      <c r="M119" s="53">
        <v>197119.41813199999</v>
      </c>
      <c r="N119" s="54">
        <v>5.0280223576245024</v>
      </c>
      <c r="O119" s="53">
        <v>-32.279000000000003</v>
      </c>
      <c r="P119" s="30">
        <v>389.31599999999997</v>
      </c>
      <c r="Q119" s="30">
        <v>356.9</v>
      </c>
      <c r="R119" s="54">
        <v>9.0826562062202298E-2</v>
      </c>
    </row>
    <row r="120" spans="1:18" x14ac:dyDescent="0.15">
      <c r="A120" s="31">
        <v>119</v>
      </c>
      <c r="B120" s="30">
        <v>123144</v>
      </c>
      <c r="C120" s="30" t="s">
        <v>1872</v>
      </c>
      <c r="D120" s="30">
        <v>131.15100000000001</v>
      </c>
      <c r="E120" s="30">
        <v>3.11</v>
      </c>
      <c r="F120" s="30">
        <v>13.97</v>
      </c>
      <c r="G120" s="30">
        <v>108.38</v>
      </c>
      <c r="H120" s="30">
        <v>21.01</v>
      </c>
      <c r="I120" s="51">
        <v>152.161</v>
      </c>
      <c r="J120" s="52">
        <v>46854</v>
      </c>
      <c r="K120" s="53">
        <v>5.8</v>
      </c>
      <c r="L120" s="53">
        <v>6</v>
      </c>
      <c r="M120" s="53">
        <v>8335.003831</v>
      </c>
      <c r="N120" s="54">
        <v>0.10592121334695631</v>
      </c>
      <c r="O120" s="53">
        <v>-1.5013000000000001</v>
      </c>
      <c r="P120" s="30">
        <v>131.626</v>
      </c>
      <c r="Q120" s="30">
        <v>126.94</v>
      </c>
      <c r="R120" s="54">
        <v>3.691507798960144E-2</v>
      </c>
    </row>
    <row r="121" spans="1:18" x14ac:dyDescent="0.15">
      <c r="A121" s="31">
        <v>120</v>
      </c>
      <c r="B121" s="30">
        <v>128075</v>
      </c>
      <c r="C121" s="30" t="s">
        <v>124</v>
      </c>
      <c r="D121" s="30">
        <v>122.649</v>
      </c>
      <c r="E121" s="30">
        <v>0.45</v>
      </c>
      <c r="F121" s="30">
        <v>5.29</v>
      </c>
      <c r="G121" s="30">
        <v>101.32</v>
      </c>
      <c r="H121" s="30">
        <v>21.05</v>
      </c>
      <c r="I121" s="51">
        <v>143.69900000000001</v>
      </c>
      <c r="J121" s="52">
        <v>45923</v>
      </c>
      <c r="K121" s="53">
        <v>3.2490000000000001</v>
      </c>
      <c r="L121" s="53">
        <v>5.4374609999999999</v>
      </c>
      <c r="M121" s="53">
        <v>8262.310989399999</v>
      </c>
      <c r="N121" s="54">
        <v>0.12389146001313493</v>
      </c>
      <c r="O121" s="53">
        <v>-2.1890000000000001</v>
      </c>
      <c r="P121" s="30">
        <v>124.018</v>
      </c>
      <c r="Q121" s="30">
        <v>121.779</v>
      </c>
      <c r="R121" s="54">
        <v>1.8385764376452462E-2</v>
      </c>
    </row>
    <row r="122" spans="1:18" x14ac:dyDescent="0.15">
      <c r="A122" s="31">
        <v>121</v>
      </c>
      <c r="B122" s="30">
        <v>127038</v>
      </c>
      <c r="C122" s="30" t="s">
        <v>2026</v>
      </c>
      <c r="D122" s="30">
        <v>162</v>
      </c>
      <c r="E122" s="30">
        <v>-1.1000000000000001</v>
      </c>
      <c r="F122" s="30">
        <v>137.78</v>
      </c>
      <c r="G122" s="30">
        <v>133.80000000000001</v>
      </c>
      <c r="H122" s="30">
        <v>21.08</v>
      </c>
      <c r="I122" s="51">
        <v>183.07999999999998</v>
      </c>
      <c r="J122" s="52">
        <v>46548</v>
      </c>
      <c r="K122" s="53">
        <v>4.9619999999999997</v>
      </c>
      <c r="L122" s="53">
        <v>14.938231999999999</v>
      </c>
      <c r="M122" s="53">
        <v>30332.5414126</v>
      </c>
      <c r="N122" s="54">
        <v>0.12534141252748049</v>
      </c>
      <c r="O122" s="53">
        <v>-6.8727999999999998</v>
      </c>
      <c r="P122" s="30">
        <v>164.85</v>
      </c>
      <c r="Q122" s="30">
        <v>158.72200000000001</v>
      </c>
      <c r="R122" s="54">
        <v>3.8608384470961717E-2</v>
      </c>
    </row>
    <row r="123" spans="1:18" x14ac:dyDescent="0.15">
      <c r="A123" s="31">
        <v>122</v>
      </c>
      <c r="B123" s="30">
        <v>118001</v>
      </c>
      <c r="C123" s="30" t="s">
        <v>240</v>
      </c>
      <c r="D123" s="30">
        <v>137.19</v>
      </c>
      <c r="E123" s="30">
        <v>0.39</v>
      </c>
      <c r="F123" s="30">
        <v>270.29000000000002</v>
      </c>
      <c r="G123" s="30">
        <v>113.21</v>
      </c>
      <c r="H123" s="30">
        <v>21.18</v>
      </c>
      <c r="I123" s="51">
        <v>158.37</v>
      </c>
      <c r="J123" s="52">
        <v>46591</v>
      </c>
      <c r="K123" s="53">
        <v>5.0789999999999997</v>
      </c>
      <c r="L123" s="53">
        <v>5.9983599999999999</v>
      </c>
      <c r="M123" s="53">
        <v>5315.1130999999996</v>
      </c>
      <c r="N123" s="54">
        <v>6.4588846305455222E-2</v>
      </c>
      <c r="O123" s="53">
        <v>-2.4009</v>
      </c>
      <c r="P123" s="30">
        <v>138.44999999999999</v>
      </c>
      <c r="Q123" s="30">
        <v>136.04</v>
      </c>
      <c r="R123" s="54">
        <v>1.771537783004996E-2</v>
      </c>
    </row>
    <row r="124" spans="1:18" x14ac:dyDescent="0.15">
      <c r="A124" s="31">
        <v>123</v>
      </c>
      <c r="B124" s="30">
        <v>123112</v>
      </c>
      <c r="C124" s="30" t="s">
        <v>126</v>
      </c>
      <c r="D124" s="30">
        <v>133.69999999999999</v>
      </c>
      <c r="E124" s="30">
        <v>0.77</v>
      </c>
      <c r="F124" s="30">
        <v>8.73</v>
      </c>
      <c r="G124" s="30">
        <v>110.31</v>
      </c>
      <c r="H124" s="30">
        <v>21.2</v>
      </c>
      <c r="I124" s="51">
        <v>154.89999999999998</v>
      </c>
      <c r="J124" s="52">
        <v>46485</v>
      </c>
      <c r="K124" s="53">
        <v>4.7889999999999997</v>
      </c>
      <c r="L124" s="53">
        <v>2.4541909999999998</v>
      </c>
      <c r="M124" s="53">
        <v>7220.2567577999998</v>
      </c>
      <c r="N124" s="54">
        <v>0.22004569444149241</v>
      </c>
      <c r="O124" s="53">
        <v>-1.5905</v>
      </c>
      <c r="P124" s="30">
        <v>135.161</v>
      </c>
      <c r="Q124" s="30">
        <v>133</v>
      </c>
      <c r="R124" s="54">
        <v>1.624812030075189E-2</v>
      </c>
    </row>
    <row r="125" spans="1:18" x14ac:dyDescent="0.15">
      <c r="A125" s="31">
        <v>124</v>
      </c>
      <c r="B125" s="30">
        <v>111000</v>
      </c>
      <c r="C125" s="30" t="s">
        <v>84</v>
      </c>
      <c r="D125" s="30">
        <v>132.5</v>
      </c>
      <c r="E125" s="30">
        <v>1.82</v>
      </c>
      <c r="F125" s="30">
        <v>19.86</v>
      </c>
      <c r="G125" s="30">
        <v>108.91</v>
      </c>
      <c r="H125" s="30">
        <v>21.66</v>
      </c>
      <c r="I125" s="51">
        <v>154.16</v>
      </c>
      <c r="J125" s="52">
        <v>46531</v>
      </c>
      <c r="K125" s="53">
        <v>4.915</v>
      </c>
      <c r="L125" s="53">
        <v>9.9947199999999992</v>
      </c>
      <c r="M125" s="53">
        <v>7120.7183999999997</v>
      </c>
      <c r="N125" s="54">
        <v>5.3769661324575606E-2</v>
      </c>
      <c r="O125" s="53">
        <v>-2.0124</v>
      </c>
      <c r="P125" s="30">
        <v>134.78</v>
      </c>
      <c r="Q125" s="30">
        <v>129.83000000000001</v>
      </c>
      <c r="R125" s="54">
        <v>3.8126781175383102E-2</v>
      </c>
    </row>
    <row r="126" spans="1:18" x14ac:dyDescent="0.15">
      <c r="A126" s="31">
        <v>125</v>
      </c>
      <c r="B126" s="30">
        <v>113598</v>
      </c>
      <c r="C126" s="30" t="s">
        <v>100</v>
      </c>
      <c r="D126" s="30">
        <v>127.69</v>
      </c>
      <c r="E126" s="30">
        <v>0.16</v>
      </c>
      <c r="F126" s="30">
        <v>9.6999999999999993</v>
      </c>
      <c r="G126" s="30">
        <v>104.95</v>
      </c>
      <c r="H126" s="30">
        <v>21.67</v>
      </c>
      <c r="I126" s="51">
        <v>149.36000000000001</v>
      </c>
      <c r="J126" s="52">
        <v>46234</v>
      </c>
      <c r="K126" s="53">
        <v>4.101</v>
      </c>
      <c r="L126" s="53">
        <v>2.7526000000000002</v>
      </c>
      <c r="M126" s="53">
        <v>1555.1514</v>
      </c>
      <c r="N126" s="54">
        <v>4.424586431207278E-2</v>
      </c>
      <c r="O126" s="53">
        <v>-1.3741000000000001</v>
      </c>
      <c r="P126" s="30">
        <v>129.02000000000001</v>
      </c>
      <c r="Q126" s="30">
        <v>127.49</v>
      </c>
      <c r="R126" s="54">
        <v>1.2000941250294262E-2</v>
      </c>
    </row>
    <row r="127" spans="1:18" x14ac:dyDescent="0.15">
      <c r="A127" s="31">
        <v>126</v>
      </c>
      <c r="B127" s="30">
        <v>123098</v>
      </c>
      <c r="C127" s="30" t="s">
        <v>2027</v>
      </c>
      <c r="D127" s="30">
        <v>132.6</v>
      </c>
      <c r="E127" s="30">
        <v>2.66</v>
      </c>
      <c r="F127" s="30">
        <v>25.28</v>
      </c>
      <c r="G127" s="30">
        <v>108.82</v>
      </c>
      <c r="H127" s="30">
        <v>21.85</v>
      </c>
      <c r="I127" s="51">
        <v>154.44999999999999</v>
      </c>
      <c r="J127" s="52">
        <v>46415</v>
      </c>
      <c r="K127" s="53">
        <v>4.5970000000000004</v>
      </c>
      <c r="L127" s="53">
        <v>4.2360870000000004</v>
      </c>
      <c r="M127" s="53">
        <v>8016.4709231000006</v>
      </c>
      <c r="N127" s="54">
        <v>0.14271671036039213</v>
      </c>
      <c r="O127" s="53">
        <v>-1.5451999999999999</v>
      </c>
      <c r="P127" s="30">
        <v>133.52099999999999</v>
      </c>
      <c r="Q127" s="30">
        <v>129.38900000000001</v>
      </c>
      <c r="R127" s="54">
        <v>3.193470851463398E-2</v>
      </c>
    </row>
    <row r="128" spans="1:18" x14ac:dyDescent="0.15">
      <c r="A128" s="31">
        <v>127</v>
      </c>
      <c r="B128" s="30">
        <v>113033</v>
      </c>
      <c r="C128" s="30" t="s">
        <v>90</v>
      </c>
      <c r="D128" s="30">
        <v>108.54</v>
      </c>
      <c r="E128" s="30">
        <v>0</v>
      </c>
      <c r="F128" s="30">
        <v>7.01</v>
      </c>
      <c r="G128" s="30">
        <v>89.02</v>
      </c>
      <c r="H128" s="30">
        <v>21.93</v>
      </c>
      <c r="I128" s="51">
        <v>130.47</v>
      </c>
      <c r="J128" s="52">
        <v>46113</v>
      </c>
      <c r="K128" s="53">
        <v>3.77</v>
      </c>
      <c r="L128" s="53">
        <v>17.99794</v>
      </c>
      <c r="M128" s="53">
        <v>1066.7927999999999</v>
      </c>
      <c r="N128" s="54">
        <v>5.4609406797457355E-3</v>
      </c>
      <c r="O128" s="53">
        <v>1.4059999999999999</v>
      </c>
      <c r="P128" s="30">
        <v>108.75</v>
      </c>
      <c r="Q128" s="30">
        <v>108.48</v>
      </c>
      <c r="R128" s="54">
        <v>2.4889380530973082E-3</v>
      </c>
    </row>
    <row r="129" spans="1:18" x14ac:dyDescent="0.15">
      <c r="A129" s="31">
        <v>128</v>
      </c>
      <c r="B129" s="30">
        <v>128025</v>
      </c>
      <c r="C129" s="30" t="s">
        <v>50</v>
      </c>
      <c r="D129" s="30">
        <v>132.07499999999999</v>
      </c>
      <c r="E129" s="30">
        <v>0.28000000000000003</v>
      </c>
      <c r="F129" s="30">
        <v>13.15</v>
      </c>
      <c r="G129" s="30">
        <v>108.29</v>
      </c>
      <c r="H129" s="30">
        <v>21.96</v>
      </c>
      <c r="I129" s="51">
        <v>154.035</v>
      </c>
      <c r="J129" s="52">
        <v>45266</v>
      </c>
      <c r="K129" s="53">
        <v>1.4490000000000001</v>
      </c>
      <c r="L129" s="53">
        <v>2.976604</v>
      </c>
      <c r="M129" s="53">
        <v>7166.1042349999998</v>
      </c>
      <c r="N129" s="54">
        <v>0.18228101597899735</v>
      </c>
      <c r="O129" s="53">
        <v>-13.330399999999999</v>
      </c>
      <c r="P129" s="30">
        <v>133.44</v>
      </c>
      <c r="Q129" s="30">
        <v>131.69999999999999</v>
      </c>
      <c r="R129" s="54">
        <v>1.3211845102505764E-2</v>
      </c>
    </row>
    <row r="130" spans="1:18" x14ac:dyDescent="0.15">
      <c r="A130" s="31">
        <v>129</v>
      </c>
      <c r="B130" s="30">
        <v>127037</v>
      </c>
      <c r="C130" s="30" t="s">
        <v>230</v>
      </c>
      <c r="D130" s="30">
        <v>145.93299999999999</v>
      </c>
      <c r="E130" s="30">
        <v>8.93</v>
      </c>
      <c r="F130" s="30">
        <v>10.77</v>
      </c>
      <c r="G130" s="30">
        <v>119.59</v>
      </c>
      <c r="H130" s="30">
        <v>22.03</v>
      </c>
      <c r="I130" s="51">
        <v>167.96299999999999</v>
      </c>
      <c r="J130" s="52">
        <v>46545</v>
      </c>
      <c r="K130" s="53">
        <v>4.9530000000000003</v>
      </c>
      <c r="L130" s="53">
        <v>6.9967829999999998</v>
      </c>
      <c r="M130" s="53">
        <v>420024.38717840001</v>
      </c>
      <c r="N130" s="54">
        <v>4.1136050412416898</v>
      </c>
      <c r="O130" s="53">
        <v>-4.8022999999999998</v>
      </c>
      <c r="P130" s="30">
        <v>150.57900000000001</v>
      </c>
      <c r="Q130" s="30">
        <v>140.529</v>
      </c>
      <c r="R130" s="54">
        <v>7.1515487906410866E-2</v>
      </c>
    </row>
    <row r="131" spans="1:18" x14ac:dyDescent="0.15">
      <c r="A131" s="31">
        <v>130</v>
      </c>
      <c r="B131" s="30">
        <v>123146</v>
      </c>
      <c r="C131" s="30" t="s">
        <v>1832</v>
      </c>
      <c r="D131" s="30">
        <v>116.1</v>
      </c>
      <c r="E131" s="30">
        <v>0.23</v>
      </c>
      <c r="F131" s="30">
        <v>7.47</v>
      </c>
      <c r="G131" s="30">
        <v>94.78</v>
      </c>
      <c r="H131" s="30">
        <v>22.49</v>
      </c>
      <c r="I131" s="51">
        <v>138.59</v>
      </c>
      <c r="J131" s="52">
        <v>46879</v>
      </c>
      <c r="K131" s="53">
        <v>5.8680000000000003</v>
      </c>
      <c r="L131" s="53">
        <v>8.64</v>
      </c>
      <c r="M131" s="53">
        <v>2173.4760800999998</v>
      </c>
      <c r="N131" s="54">
        <v>2.1667504865896255E-2</v>
      </c>
      <c r="O131" s="53">
        <v>0.71950000000000003</v>
      </c>
      <c r="P131" s="30">
        <v>116.15</v>
      </c>
      <c r="Q131" s="30">
        <v>115.83499999999999</v>
      </c>
      <c r="R131" s="54">
        <v>2.7193853325852457E-3</v>
      </c>
    </row>
    <row r="132" spans="1:18" x14ac:dyDescent="0.15">
      <c r="A132" s="31">
        <v>131</v>
      </c>
      <c r="B132" s="30">
        <v>127028</v>
      </c>
      <c r="C132" s="30" t="s">
        <v>62</v>
      </c>
      <c r="D132" s="30">
        <v>120.05</v>
      </c>
      <c r="E132" s="30">
        <v>0.56999999999999995</v>
      </c>
      <c r="F132" s="30">
        <v>10.85</v>
      </c>
      <c r="G132" s="30">
        <v>97.97</v>
      </c>
      <c r="H132" s="30">
        <v>22.54</v>
      </c>
      <c r="I132" s="51">
        <v>142.59</v>
      </c>
      <c r="J132" s="52">
        <v>46392</v>
      </c>
      <c r="K132" s="53">
        <v>4.5339999999999998</v>
      </c>
      <c r="L132" s="53">
        <v>5.982475</v>
      </c>
      <c r="M132" s="53">
        <v>2784.8341298</v>
      </c>
      <c r="N132" s="54">
        <v>3.8775399054776644E-2</v>
      </c>
      <c r="O132" s="53">
        <v>-1.3895999999999999</v>
      </c>
      <c r="P132" s="30">
        <v>120.4</v>
      </c>
      <c r="Q132" s="30">
        <v>119.36799999999999</v>
      </c>
      <c r="R132" s="54">
        <v>8.6455331412104638E-3</v>
      </c>
    </row>
    <row r="133" spans="1:18" x14ac:dyDescent="0.15">
      <c r="A133" s="31">
        <v>132</v>
      </c>
      <c r="B133" s="30">
        <v>128085</v>
      </c>
      <c r="C133" s="30" t="s">
        <v>2028</v>
      </c>
      <c r="D133" s="30">
        <v>119.547</v>
      </c>
      <c r="E133" s="30">
        <v>1.27</v>
      </c>
      <c r="F133" s="30">
        <v>3.91</v>
      </c>
      <c r="G133" s="30">
        <v>97.44</v>
      </c>
      <c r="H133" s="30">
        <v>22.69</v>
      </c>
      <c r="I133" s="51">
        <v>142.23699999999999</v>
      </c>
      <c r="J133" s="52">
        <v>46007</v>
      </c>
      <c r="K133" s="53">
        <v>3.4790000000000001</v>
      </c>
      <c r="L133" s="53">
        <v>3.3736280000000001</v>
      </c>
      <c r="M133" s="53">
        <v>4717.3033753</v>
      </c>
      <c r="N133" s="54">
        <v>0.11696554062859923</v>
      </c>
      <c r="O133" s="53">
        <v>1.0323</v>
      </c>
      <c r="P133" s="30">
        <v>119.666</v>
      </c>
      <c r="Q133" s="30">
        <v>118.083</v>
      </c>
      <c r="R133" s="54">
        <v>1.3405824716512948E-2</v>
      </c>
    </row>
    <row r="134" spans="1:18" x14ac:dyDescent="0.15">
      <c r="A134" s="31">
        <v>133</v>
      </c>
      <c r="B134" s="30">
        <v>113567</v>
      </c>
      <c r="C134" s="30" t="s">
        <v>2029</v>
      </c>
      <c r="D134" s="30">
        <v>134.59</v>
      </c>
      <c r="E134" s="30">
        <v>-7.0000000000000007E-2</v>
      </c>
      <c r="F134" s="30">
        <v>7.45</v>
      </c>
      <c r="G134" s="30">
        <v>109.66</v>
      </c>
      <c r="H134" s="30">
        <v>22.73</v>
      </c>
      <c r="I134" s="51">
        <v>157.32</v>
      </c>
      <c r="J134" s="52">
        <v>46085</v>
      </c>
      <c r="K134" s="53">
        <v>3.6930000000000001</v>
      </c>
      <c r="L134" s="53">
        <v>1.9354</v>
      </c>
      <c r="M134" s="53">
        <v>2516.6361000000002</v>
      </c>
      <c r="N134" s="54">
        <v>9.6613294607899983E-2</v>
      </c>
      <c r="O134" s="53">
        <v>-3.5663999999999998</v>
      </c>
      <c r="P134" s="30">
        <v>135.80000000000001</v>
      </c>
      <c r="Q134" s="30">
        <v>134.30000000000001</v>
      </c>
      <c r="R134" s="54">
        <v>1.1169024571854057E-2</v>
      </c>
    </row>
    <row r="135" spans="1:18" x14ac:dyDescent="0.15">
      <c r="A135" s="31">
        <v>134</v>
      </c>
      <c r="B135" s="30">
        <v>128145</v>
      </c>
      <c r="C135" s="30" t="s">
        <v>104</v>
      </c>
      <c r="D135" s="30">
        <v>137</v>
      </c>
      <c r="E135" s="30">
        <v>7.36</v>
      </c>
      <c r="F135" s="30">
        <v>10.43</v>
      </c>
      <c r="G135" s="30">
        <v>111.6</v>
      </c>
      <c r="H135" s="30">
        <v>22.76</v>
      </c>
      <c r="I135" s="51">
        <v>159.76</v>
      </c>
      <c r="J135" s="52">
        <v>46468</v>
      </c>
      <c r="K135" s="53">
        <v>4.742</v>
      </c>
      <c r="L135" s="53">
        <v>3.7962730000000007</v>
      </c>
      <c r="M135" s="53">
        <v>464590.34507089999</v>
      </c>
      <c r="N135" s="54">
        <v>8.9328939251138451</v>
      </c>
      <c r="O135" s="53">
        <v>-3.6696</v>
      </c>
      <c r="P135" s="30">
        <v>157.999</v>
      </c>
      <c r="Q135" s="30">
        <v>132.18700000000001</v>
      </c>
      <c r="R135" s="54">
        <v>0.1952688237118626</v>
      </c>
    </row>
    <row r="136" spans="1:18" x14ac:dyDescent="0.15">
      <c r="A136" s="31">
        <v>135</v>
      </c>
      <c r="B136" s="30">
        <v>110057</v>
      </c>
      <c r="C136" s="30" t="s">
        <v>1836</v>
      </c>
      <c r="D136" s="30">
        <v>115.36</v>
      </c>
      <c r="E136" s="30">
        <v>0.45</v>
      </c>
      <c r="F136" s="30">
        <v>9.7899999999999991</v>
      </c>
      <c r="G136" s="30">
        <v>93.87</v>
      </c>
      <c r="H136" s="30">
        <v>22.89</v>
      </c>
      <c r="I136" s="51">
        <v>138.25</v>
      </c>
      <c r="J136" s="52">
        <v>45748</v>
      </c>
      <c r="K136" s="53">
        <v>2.77</v>
      </c>
      <c r="L136" s="53">
        <v>16.155080000000002</v>
      </c>
      <c r="M136" s="53">
        <v>2028.2195999999999</v>
      </c>
      <c r="N136" s="54">
        <v>1.0883049760721254E-2</v>
      </c>
      <c r="O136" s="53">
        <v>-1.9577</v>
      </c>
      <c r="P136" s="30">
        <v>115.65</v>
      </c>
      <c r="Q136" s="30">
        <v>114.65</v>
      </c>
      <c r="R136" s="54">
        <v>8.7221979938944608E-3</v>
      </c>
    </row>
    <row r="137" spans="1:18" x14ac:dyDescent="0.15">
      <c r="A137" s="31">
        <v>136</v>
      </c>
      <c r="B137" s="30">
        <v>113641</v>
      </c>
      <c r="C137" s="30" t="s">
        <v>1870</v>
      </c>
      <c r="D137" s="30">
        <v>130.41</v>
      </c>
      <c r="E137" s="30">
        <v>0.02</v>
      </c>
      <c r="F137" s="30">
        <v>84.58</v>
      </c>
      <c r="G137" s="30">
        <v>105.95</v>
      </c>
      <c r="H137" s="30">
        <v>23.09</v>
      </c>
      <c r="I137" s="51">
        <v>153.5</v>
      </c>
      <c r="J137" s="52">
        <v>46807</v>
      </c>
      <c r="K137" s="53">
        <v>5.6710000000000003</v>
      </c>
      <c r="L137" s="53">
        <v>76</v>
      </c>
      <c r="M137" s="53">
        <v>20333.0249</v>
      </c>
      <c r="N137" s="54">
        <v>2.0515282671251397E-2</v>
      </c>
      <c r="O137" s="53">
        <v>-2.6059000000000001</v>
      </c>
      <c r="P137" s="30">
        <v>131.11000000000001</v>
      </c>
      <c r="Q137" s="30">
        <v>129.08000000000001</v>
      </c>
      <c r="R137" s="54">
        <v>1.5726681127982655E-2</v>
      </c>
    </row>
    <row r="138" spans="1:18" x14ac:dyDescent="0.15">
      <c r="A138" s="31">
        <v>137</v>
      </c>
      <c r="B138" s="30">
        <v>113545</v>
      </c>
      <c r="C138" s="30" t="s">
        <v>85</v>
      </c>
      <c r="D138" s="30">
        <v>126.64</v>
      </c>
      <c r="E138" s="30">
        <v>1.1100000000000001</v>
      </c>
      <c r="F138" s="30">
        <v>10.43</v>
      </c>
      <c r="G138" s="30">
        <v>102.78</v>
      </c>
      <c r="H138" s="30">
        <v>23.21</v>
      </c>
      <c r="I138" s="51">
        <v>149.85</v>
      </c>
      <c r="J138" s="52">
        <v>45944</v>
      </c>
      <c r="K138" s="53">
        <v>3.3069999999999999</v>
      </c>
      <c r="L138" s="53">
        <v>9.8657599999999999</v>
      </c>
      <c r="M138" s="53">
        <v>3756.5785999999998</v>
      </c>
      <c r="N138" s="54">
        <v>3.006706468569004E-2</v>
      </c>
      <c r="O138" s="53">
        <v>-3.1114000000000002</v>
      </c>
      <c r="P138" s="30">
        <v>127</v>
      </c>
      <c r="Q138" s="30">
        <v>125</v>
      </c>
      <c r="R138" s="54">
        <v>1.6E-2</v>
      </c>
    </row>
    <row r="139" spans="1:18" x14ac:dyDescent="0.15">
      <c r="A139" s="31">
        <v>138</v>
      </c>
      <c r="B139" s="30">
        <v>127063</v>
      </c>
      <c r="C139" s="30" t="s">
        <v>2030</v>
      </c>
      <c r="D139" s="30">
        <v>127.89</v>
      </c>
      <c r="E139" s="30">
        <v>1.75</v>
      </c>
      <c r="F139" s="30">
        <v>4.5999999999999996</v>
      </c>
      <c r="G139" s="30">
        <v>103.7</v>
      </c>
      <c r="H139" s="30">
        <v>23.33</v>
      </c>
      <c r="I139" s="51">
        <v>151.22</v>
      </c>
      <c r="J139" s="52">
        <v>46865</v>
      </c>
      <c r="K139" s="53">
        <v>5.83</v>
      </c>
      <c r="L139" s="53">
        <v>18</v>
      </c>
      <c r="M139" s="53">
        <v>14227.0723643</v>
      </c>
      <c r="N139" s="54">
        <v>6.1802557598543889E-2</v>
      </c>
      <c r="O139" s="53">
        <v>-1.8199000000000001</v>
      </c>
      <c r="P139" s="30">
        <v>128.249</v>
      </c>
      <c r="Q139" s="30">
        <v>125</v>
      </c>
      <c r="R139" s="54">
        <v>2.5991999999999963E-2</v>
      </c>
    </row>
    <row r="140" spans="1:18" x14ac:dyDescent="0.15">
      <c r="A140" s="31">
        <v>139</v>
      </c>
      <c r="B140" s="30">
        <v>113017</v>
      </c>
      <c r="C140" s="30" t="s">
        <v>109</v>
      </c>
      <c r="D140" s="30">
        <v>114.91</v>
      </c>
      <c r="E140" s="30">
        <v>0.35</v>
      </c>
      <c r="F140" s="30">
        <v>2.23</v>
      </c>
      <c r="G140" s="30">
        <v>92.83</v>
      </c>
      <c r="H140" s="30">
        <v>23.79</v>
      </c>
      <c r="I140" s="51">
        <v>138.69999999999999</v>
      </c>
      <c r="J140" s="52">
        <v>45287</v>
      </c>
      <c r="K140" s="53">
        <v>1.5069999999999999</v>
      </c>
      <c r="L140" s="53">
        <v>11.34999</v>
      </c>
      <c r="M140" s="53">
        <v>5654.6945999999998</v>
      </c>
      <c r="N140" s="54">
        <v>4.3356663208281139E-2</v>
      </c>
      <c r="O140" s="53">
        <v>-4.3581000000000003</v>
      </c>
      <c r="P140" s="30">
        <v>115.29</v>
      </c>
      <c r="Q140" s="30">
        <v>114.08</v>
      </c>
      <c r="R140" s="54">
        <v>1.0606591865357713E-2</v>
      </c>
    </row>
    <row r="141" spans="1:18" x14ac:dyDescent="0.15">
      <c r="A141" s="31">
        <v>140</v>
      </c>
      <c r="B141" s="30">
        <v>113640</v>
      </c>
      <c r="C141" s="30" t="s">
        <v>781</v>
      </c>
      <c r="D141" s="30">
        <v>123.98</v>
      </c>
      <c r="E141" s="30">
        <v>-7.0000000000000007E-2</v>
      </c>
      <c r="F141" s="30">
        <v>19.71</v>
      </c>
      <c r="G141" s="30">
        <v>100.15</v>
      </c>
      <c r="H141" s="30">
        <v>23.79</v>
      </c>
      <c r="I141" s="51">
        <v>147.77000000000001</v>
      </c>
      <c r="J141" s="52">
        <v>46799</v>
      </c>
      <c r="K141" s="53">
        <v>5.649</v>
      </c>
      <c r="L141" s="53">
        <v>9.5721100000000003</v>
      </c>
      <c r="M141" s="53">
        <v>423.97359999999998</v>
      </c>
      <c r="N141" s="54">
        <v>3.5725597584560179E-3</v>
      </c>
      <c r="O141" s="53">
        <v>-0.51170000000000004</v>
      </c>
      <c r="P141" s="30">
        <v>124.71</v>
      </c>
      <c r="Q141" s="30">
        <v>123.74</v>
      </c>
      <c r="R141" s="54">
        <v>7.8390172943268062E-3</v>
      </c>
    </row>
    <row r="142" spans="1:18" x14ac:dyDescent="0.15">
      <c r="A142" s="31">
        <v>141</v>
      </c>
      <c r="B142" s="30">
        <v>113516</v>
      </c>
      <c r="C142" s="30" t="s">
        <v>1837</v>
      </c>
      <c r="D142" s="30">
        <v>118.1</v>
      </c>
      <c r="E142" s="30">
        <v>0.87</v>
      </c>
      <c r="F142" s="30">
        <v>5.21</v>
      </c>
      <c r="G142" s="30">
        <v>95.39</v>
      </c>
      <c r="H142" s="30">
        <v>23.81</v>
      </c>
      <c r="I142" s="51">
        <v>141.91</v>
      </c>
      <c r="J142" s="52">
        <v>45506</v>
      </c>
      <c r="K142" s="53">
        <v>2.1070000000000002</v>
      </c>
      <c r="L142" s="53">
        <v>12.886039999999999</v>
      </c>
      <c r="M142" s="53">
        <v>1636.6192000000001</v>
      </c>
      <c r="N142" s="54">
        <v>1.0754203964565234E-2</v>
      </c>
      <c r="O142" s="53">
        <v>-1.9865999999999999</v>
      </c>
      <c r="P142" s="30">
        <v>118.63</v>
      </c>
      <c r="Q142" s="30">
        <v>117.04</v>
      </c>
      <c r="R142" s="54">
        <v>1.3585099111414808E-2</v>
      </c>
    </row>
    <row r="143" spans="1:18" x14ac:dyDescent="0.15">
      <c r="A143" s="31">
        <v>142</v>
      </c>
      <c r="B143" s="30">
        <v>113631</v>
      </c>
      <c r="C143" s="30" t="s">
        <v>221</v>
      </c>
      <c r="D143" s="30">
        <v>113.82</v>
      </c>
      <c r="E143" s="30">
        <v>0.56999999999999995</v>
      </c>
      <c r="F143" s="30">
        <v>11.12</v>
      </c>
      <c r="G143" s="30">
        <v>91.64</v>
      </c>
      <c r="H143" s="30">
        <v>24.2</v>
      </c>
      <c r="I143" s="51">
        <v>138.01999999999998</v>
      </c>
      <c r="J143" s="52">
        <v>46699</v>
      </c>
      <c r="K143" s="53">
        <v>5.375</v>
      </c>
      <c r="L143" s="53">
        <v>9.2997599999999991</v>
      </c>
      <c r="M143" s="53">
        <v>4309.3194000000003</v>
      </c>
      <c r="N143" s="54">
        <v>4.0711617958487045E-2</v>
      </c>
      <c r="O143" s="53">
        <v>0.1125</v>
      </c>
      <c r="P143" s="30">
        <v>114.31</v>
      </c>
      <c r="Q143" s="30">
        <v>113.29</v>
      </c>
      <c r="R143" s="54">
        <v>9.003442492717768E-3</v>
      </c>
    </row>
    <row r="144" spans="1:18" x14ac:dyDescent="0.15">
      <c r="A144" s="31">
        <v>143</v>
      </c>
      <c r="B144" s="30">
        <v>128100</v>
      </c>
      <c r="C144" s="30" t="s">
        <v>48</v>
      </c>
      <c r="D144" s="30">
        <v>98.599000000000004</v>
      </c>
      <c r="E144" s="30">
        <v>0</v>
      </c>
      <c r="F144" s="30">
        <v>1.6</v>
      </c>
      <c r="G144" s="30">
        <v>79.38</v>
      </c>
      <c r="H144" s="30">
        <v>24.21</v>
      </c>
      <c r="I144" s="51">
        <v>122.809</v>
      </c>
      <c r="J144" s="52">
        <v>46093</v>
      </c>
      <c r="K144" s="53">
        <v>3.7149999999999999</v>
      </c>
      <c r="L144" s="53">
        <v>7.981973</v>
      </c>
      <c r="M144" s="53">
        <v>2192.8643569999999</v>
      </c>
      <c r="N144" s="54">
        <v>2.7863072426859044E-2</v>
      </c>
      <c r="O144" s="53">
        <v>4.6307999999999998</v>
      </c>
      <c r="P144" s="30">
        <v>98.85</v>
      </c>
      <c r="Q144" s="30">
        <v>98.347999999999999</v>
      </c>
      <c r="R144" s="54">
        <v>5.1043234229470385E-3</v>
      </c>
    </row>
    <row r="145" spans="1:18" x14ac:dyDescent="0.15">
      <c r="A145" s="31">
        <v>144</v>
      </c>
      <c r="B145" s="30">
        <v>123046</v>
      </c>
      <c r="C145" s="30" t="s">
        <v>2031</v>
      </c>
      <c r="D145" s="30">
        <v>344.5</v>
      </c>
      <c r="E145" s="30">
        <v>11.04</v>
      </c>
      <c r="F145" s="30">
        <v>6.74</v>
      </c>
      <c r="G145" s="30">
        <v>275.82</v>
      </c>
      <c r="H145" s="30">
        <v>24.9</v>
      </c>
      <c r="I145" s="51">
        <v>369.4</v>
      </c>
      <c r="J145" s="52">
        <v>46100</v>
      </c>
      <c r="K145" s="53">
        <v>3.734</v>
      </c>
      <c r="L145" s="53">
        <v>0.58544499999999999</v>
      </c>
      <c r="M145" s="53">
        <v>444476.39661499998</v>
      </c>
      <c r="N145" s="54">
        <v>22.038060741285939</v>
      </c>
      <c r="O145" s="53">
        <v>-25.422599999999999</v>
      </c>
      <c r="P145" s="30">
        <v>366.17899999999997</v>
      </c>
      <c r="Q145" s="30">
        <v>307.423</v>
      </c>
      <c r="R145" s="54">
        <v>0.19112428152740676</v>
      </c>
    </row>
    <row r="146" spans="1:18" x14ac:dyDescent="0.15">
      <c r="A146" s="31">
        <v>145</v>
      </c>
      <c r="B146" s="30">
        <v>113049</v>
      </c>
      <c r="C146" s="30" t="s">
        <v>1851</v>
      </c>
      <c r="D146" s="30">
        <v>131.78</v>
      </c>
      <c r="E146" s="30">
        <v>1.07</v>
      </c>
      <c r="F146" s="30">
        <v>37.89</v>
      </c>
      <c r="G146" s="30">
        <v>105.33</v>
      </c>
      <c r="H146" s="30">
        <v>25.11</v>
      </c>
      <c r="I146" s="51">
        <v>156.88999999999999</v>
      </c>
      <c r="J146" s="52">
        <v>46548</v>
      </c>
      <c r="K146" s="53">
        <v>4.9619999999999997</v>
      </c>
      <c r="L146" s="53">
        <v>34.956710000000001</v>
      </c>
      <c r="M146" s="53">
        <v>23750.576799999999</v>
      </c>
      <c r="N146" s="54">
        <v>5.1557767815537545E-2</v>
      </c>
      <c r="O146" s="53">
        <v>-3.5604</v>
      </c>
      <c r="P146" s="30">
        <v>132.88</v>
      </c>
      <c r="Q146" s="30">
        <v>129.69</v>
      </c>
      <c r="R146" s="54">
        <v>2.4597116200169619E-2</v>
      </c>
    </row>
    <row r="147" spans="1:18" x14ac:dyDescent="0.15">
      <c r="A147" s="31">
        <v>146</v>
      </c>
      <c r="B147" s="30">
        <v>127061</v>
      </c>
      <c r="C147" s="30" t="s">
        <v>2032</v>
      </c>
      <c r="D147" s="30">
        <v>118.20099999999999</v>
      </c>
      <c r="E147" s="30">
        <v>0.26</v>
      </c>
      <c r="F147" s="30">
        <v>13.01</v>
      </c>
      <c r="G147" s="30">
        <v>94.47</v>
      </c>
      <c r="H147" s="30">
        <v>25.12</v>
      </c>
      <c r="I147" s="51">
        <v>143.321</v>
      </c>
      <c r="J147" s="52">
        <v>46863</v>
      </c>
      <c r="K147" s="53">
        <v>5.8250000000000002</v>
      </c>
      <c r="L147" s="53">
        <v>35.9</v>
      </c>
      <c r="M147" s="53">
        <v>17467.0143599</v>
      </c>
      <c r="N147" s="54">
        <v>4.1162626458321E-2</v>
      </c>
      <c r="O147" s="53">
        <v>0.78169999999999995</v>
      </c>
      <c r="P147" s="30">
        <v>118.6</v>
      </c>
      <c r="Q147" s="30">
        <v>117.565</v>
      </c>
      <c r="R147" s="54">
        <v>8.8036405392761165E-3</v>
      </c>
    </row>
    <row r="148" spans="1:18" x14ac:dyDescent="0.15">
      <c r="A148" s="31">
        <v>147</v>
      </c>
      <c r="B148" s="30">
        <v>123100</v>
      </c>
      <c r="C148" s="30" t="s">
        <v>103</v>
      </c>
      <c r="D148" s="30">
        <v>125.5</v>
      </c>
      <c r="E148" s="30">
        <v>3.04</v>
      </c>
      <c r="F148" s="30">
        <v>11.61</v>
      </c>
      <c r="G148" s="30">
        <v>100.09</v>
      </c>
      <c r="H148" s="30">
        <v>25.39</v>
      </c>
      <c r="I148" s="51">
        <v>150.88999999999999</v>
      </c>
      <c r="J148" s="52">
        <v>46427</v>
      </c>
      <c r="K148" s="53">
        <v>4.63</v>
      </c>
      <c r="L148" s="53">
        <v>3.7985269999999995</v>
      </c>
      <c r="M148" s="53">
        <v>11894.941754000001</v>
      </c>
      <c r="N148" s="54">
        <v>0.24951885923798922</v>
      </c>
      <c r="O148" s="53">
        <v>-1.5125</v>
      </c>
      <c r="P148" s="30">
        <v>126.44</v>
      </c>
      <c r="Q148" s="30">
        <v>121.59</v>
      </c>
      <c r="R148" s="54">
        <v>3.9888148696438801E-2</v>
      </c>
    </row>
    <row r="149" spans="1:18" x14ac:dyDescent="0.15">
      <c r="A149" s="31">
        <v>148</v>
      </c>
      <c r="B149" s="30">
        <v>113057</v>
      </c>
      <c r="C149" s="30" t="s">
        <v>1844</v>
      </c>
      <c r="D149" s="30">
        <v>118.51</v>
      </c>
      <c r="E149" s="30">
        <v>0.48</v>
      </c>
      <c r="F149" s="30">
        <v>10.24</v>
      </c>
      <c r="G149" s="30">
        <v>94.34</v>
      </c>
      <c r="H149" s="30">
        <v>25.62</v>
      </c>
      <c r="I149" s="51">
        <v>144.13</v>
      </c>
      <c r="J149" s="52">
        <v>46836</v>
      </c>
      <c r="K149" s="53">
        <v>5.7510000000000003</v>
      </c>
      <c r="L149" s="53">
        <v>78</v>
      </c>
      <c r="M149" s="53">
        <v>27975.5638</v>
      </c>
      <c r="N149" s="54">
        <v>3.0264203388657016E-2</v>
      </c>
      <c r="O149" s="53">
        <v>-1.3032999999999999</v>
      </c>
      <c r="P149" s="30">
        <v>119.26</v>
      </c>
      <c r="Q149" s="30">
        <v>117.91</v>
      </c>
      <c r="R149" s="54">
        <v>1.1449410567381975E-2</v>
      </c>
    </row>
    <row r="150" spans="1:18" x14ac:dyDescent="0.15">
      <c r="A150" s="31">
        <v>149</v>
      </c>
      <c r="B150" s="30">
        <v>123129</v>
      </c>
      <c r="C150" s="30" t="s">
        <v>244</v>
      </c>
      <c r="D150" s="30">
        <v>115.15600000000001</v>
      </c>
      <c r="E150" s="30">
        <v>0.4</v>
      </c>
      <c r="F150" s="30">
        <v>8</v>
      </c>
      <c r="G150" s="30">
        <v>91.63</v>
      </c>
      <c r="H150" s="30">
        <v>25.67</v>
      </c>
      <c r="I150" s="51">
        <v>140.82600000000002</v>
      </c>
      <c r="J150" s="52">
        <v>46695</v>
      </c>
      <c r="K150" s="53">
        <v>5.3639999999999999</v>
      </c>
      <c r="L150" s="53">
        <v>5.9999149999999997</v>
      </c>
      <c r="M150" s="53">
        <v>2179.1729458999998</v>
      </c>
      <c r="N150" s="54">
        <v>3.153987949613405E-2</v>
      </c>
      <c r="O150" s="53">
        <v>0.43259999999999998</v>
      </c>
      <c r="P150" s="30">
        <v>115.18</v>
      </c>
      <c r="Q150" s="30">
        <v>114.51</v>
      </c>
      <c r="R150" s="54">
        <v>5.8510173783949144E-3</v>
      </c>
    </row>
    <row r="151" spans="1:18" x14ac:dyDescent="0.15">
      <c r="A151" s="31">
        <v>150</v>
      </c>
      <c r="B151" s="30">
        <v>127018</v>
      </c>
      <c r="C151" s="30" t="s">
        <v>1838</v>
      </c>
      <c r="D151" s="30">
        <v>116.63</v>
      </c>
      <c r="E151" s="30">
        <v>-0.38</v>
      </c>
      <c r="F151" s="30">
        <v>3.95</v>
      </c>
      <c r="G151" s="30">
        <v>92.66</v>
      </c>
      <c r="H151" s="30">
        <v>25.87</v>
      </c>
      <c r="I151" s="51">
        <v>142.5</v>
      </c>
      <c r="J151" s="52">
        <v>46202</v>
      </c>
      <c r="K151" s="53">
        <v>4.0140000000000002</v>
      </c>
      <c r="L151" s="53">
        <v>56.310654</v>
      </c>
      <c r="M151" s="53">
        <v>7623.0305995000008</v>
      </c>
      <c r="N151" s="54">
        <v>1.1607182585462084E-2</v>
      </c>
      <c r="O151" s="53">
        <v>2.4281000000000001</v>
      </c>
      <c r="P151" s="30">
        <v>117.5</v>
      </c>
      <c r="Q151" s="30">
        <v>116.473</v>
      </c>
      <c r="R151" s="54">
        <v>8.8174941832012653E-3</v>
      </c>
    </row>
    <row r="152" spans="1:18" x14ac:dyDescent="0.15">
      <c r="A152" s="31">
        <v>151</v>
      </c>
      <c r="B152" s="30">
        <v>118000</v>
      </c>
      <c r="C152" s="30" t="s">
        <v>2033</v>
      </c>
      <c r="D152" s="30">
        <v>147.51</v>
      </c>
      <c r="E152" s="30">
        <v>3.85</v>
      </c>
      <c r="F152" s="30">
        <v>78.03</v>
      </c>
      <c r="G152" s="30">
        <v>116.15</v>
      </c>
      <c r="H152" s="30">
        <v>27</v>
      </c>
      <c r="I152" s="51">
        <v>174.51</v>
      </c>
      <c r="J152" s="52">
        <v>46441</v>
      </c>
      <c r="K152" s="53">
        <v>4.6680000000000001</v>
      </c>
      <c r="L152" s="53">
        <v>9.7853200000000005</v>
      </c>
      <c r="M152" s="53">
        <v>18936.084599999998</v>
      </c>
      <c r="N152" s="54">
        <v>0.1311878726721237</v>
      </c>
      <c r="O152" s="53">
        <v>-4.2975000000000003</v>
      </c>
      <c r="P152" s="30">
        <v>148.96</v>
      </c>
      <c r="Q152" s="30">
        <v>143</v>
      </c>
      <c r="R152" s="54">
        <v>4.1678321678321736E-2</v>
      </c>
    </row>
    <row r="153" spans="1:18" x14ac:dyDescent="0.15">
      <c r="A153" s="31">
        <v>152</v>
      </c>
      <c r="B153" s="30">
        <v>111002</v>
      </c>
      <c r="C153" s="30" t="s">
        <v>246</v>
      </c>
      <c r="D153" s="30">
        <v>140.65</v>
      </c>
      <c r="E153" s="30">
        <v>3.43</v>
      </c>
      <c r="F153" s="30">
        <v>18.2</v>
      </c>
      <c r="G153" s="30">
        <v>110.66</v>
      </c>
      <c r="H153" s="30">
        <v>27.1</v>
      </c>
      <c r="I153" s="51">
        <v>167.75</v>
      </c>
      <c r="J153" s="52">
        <v>46729</v>
      </c>
      <c r="K153" s="53">
        <v>5.4580000000000002</v>
      </c>
      <c r="L153" s="53">
        <v>6.6998300000000004</v>
      </c>
      <c r="M153" s="53">
        <v>91500.0726</v>
      </c>
      <c r="N153" s="54">
        <v>0.97099706907207994</v>
      </c>
      <c r="O153" s="53">
        <v>-3.3559999999999999</v>
      </c>
      <c r="P153" s="30">
        <v>149.5</v>
      </c>
      <c r="Q153" s="30">
        <v>135.80000000000001</v>
      </c>
      <c r="R153" s="54">
        <v>0.10088365243004409</v>
      </c>
    </row>
    <row r="154" spans="1:18" x14ac:dyDescent="0.15">
      <c r="A154" s="31">
        <v>153</v>
      </c>
      <c r="B154" s="30">
        <v>127039</v>
      </c>
      <c r="C154" s="30" t="s">
        <v>1831</v>
      </c>
      <c r="D154" s="30">
        <v>121.2</v>
      </c>
      <c r="E154" s="30">
        <v>0.32</v>
      </c>
      <c r="F154" s="30">
        <v>8.17</v>
      </c>
      <c r="G154" s="30">
        <v>95.35</v>
      </c>
      <c r="H154" s="30">
        <v>27.11</v>
      </c>
      <c r="I154" s="51">
        <v>148.31</v>
      </c>
      <c r="J154" s="52">
        <v>46567</v>
      </c>
      <c r="K154" s="53">
        <v>5.0140000000000002</v>
      </c>
      <c r="L154" s="53">
        <v>17.631454000000002</v>
      </c>
      <c r="M154" s="53">
        <v>1710.507507</v>
      </c>
      <c r="N154" s="54">
        <v>8.0045005038009084E-3</v>
      </c>
      <c r="O154" s="53">
        <v>-1.413</v>
      </c>
      <c r="P154" s="30">
        <v>121.56</v>
      </c>
      <c r="Q154" s="30">
        <v>120.6</v>
      </c>
      <c r="R154" s="54">
        <v>7.9601990049751915E-3</v>
      </c>
    </row>
    <row r="155" spans="1:18" x14ac:dyDescent="0.15">
      <c r="A155" s="31">
        <v>154</v>
      </c>
      <c r="B155" s="30">
        <v>127014</v>
      </c>
      <c r="C155" s="30" t="s">
        <v>228</v>
      </c>
      <c r="D155" s="30">
        <v>131.9</v>
      </c>
      <c r="E155" s="30">
        <v>0.21</v>
      </c>
      <c r="F155" s="30">
        <v>7.86</v>
      </c>
      <c r="G155" s="30">
        <v>103.69</v>
      </c>
      <c r="H155" s="30">
        <v>27.21</v>
      </c>
      <c r="I155" s="51">
        <v>159.11000000000001</v>
      </c>
      <c r="J155" s="52">
        <v>45954</v>
      </c>
      <c r="K155" s="53">
        <v>3.3340000000000001</v>
      </c>
      <c r="L155" s="53">
        <v>5.3444160000000007</v>
      </c>
      <c r="M155" s="53">
        <v>2737.021843</v>
      </c>
      <c r="N155" s="54">
        <v>3.8826944263535307E-2</v>
      </c>
      <c r="O155" s="53">
        <v>-4.2830000000000004</v>
      </c>
      <c r="P155" s="30">
        <v>132.4</v>
      </c>
      <c r="Q155" s="30">
        <v>131.5</v>
      </c>
      <c r="R155" s="54">
        <v>6.8441064638783706E-3</v>
      </c>
    </row>
    <row r="156" spans="1:18" x14ac:dyDescent="0.15">
      <c r="A156" s="31">
        <v>155</v>
      </c>
      <c r="B156" s="30">
        <v>110063</v>
      </c>
      <c r="C156" s="30" t="s">
        <v>1843</v>
      </c>
      <c r="D156" s="30">
        <v>111.5</v>
      </c>
      <c r="E156" s="30">
        <v>-0.28000000000000003</v>
      </c>
      <c r="F156" s="30">
        <v>3.15</v>
      </c>
      <c r="G156" s="30">
        <v>87.62</v>
      </c>
      <c r="H156" s="30">
        <v>27.25</v>
      </c>
      <c r="I156" s="51">
        <v>138.75</v>
      </c>
      <c r="J156" s="52">
        <v>46004</v>
      </c>
      <c r="K156" s="53">
        <v>3.4710000000000001</v>
      </c>
      <c r="L156" s="53">
        <v>18.444659999999999</v>
      </c>
      <c r="M156" s="53">
        <v>7841.1620999999996</v>
      </c>
      <c r="N156" s="54">
        <v>3.8127199832805887E-2</v>
      </c>
      <c r="O156" s="53">
        <v>1.0143</v>
      </c>
      <c r="P156" s="30">
        <v>112.5</v>
      </c>
      <c r="Q156" s="30">
        <v>111.26</v>
      </c>
      <c r="R156" s="54">
        <v>1.1145065612079766E-2</v>
      </c>
    </row>
    <row r="157" spans="1:18" x14ac:dyDescent="0.15">
      <c r="A157" s="31">
        <v>156</v>
      </c>
      <c r="B157" s="30">
        <v>113016</v>
      </c>
      <c r="C157" s="30" t="s">
        <v>2034</v>
      </c>
      <c r="D157" s="30">
        <v>638.28</v>
      </c>
      <c r="E157" s="30">
        <v>8.2899999999999991</v>
      </c>
      <c r="F157" s="30">
        <v>16.96</v>
      </c>
      <c r="G157" s="30">
        <v>501.53</v>
      </c>
      <c r="H157" s="30">
        <v>27.27</v>
      </c>
      <c r="I157" s="51">
        <v>665.55</v>
      </c>
      <c r="J157" s="52">
        <v>45236</v>
      </c>
      <c r="K157" s="53">
        <v>1.367</v>
      </c>
      <c r="L157" s="53">
        <v>2.0653700000000002</v>
      </c>
      <c r="M157" s="53">
        <v>1495575.9183</v>
      </c>
      <c r="N157" s="54">
        <v>11.344865793718803</v>
      </c>
      <c r="O157" s="53">
        <v>-72.943700000000007</v>
      </c>
      <c r="P157" s="30">
        <v>664.51</v>
      </c>
      <c r="Q157" s="30">
        <v>571.70000000000005</v>
      </c>
      <c r="R157" s="54">
        <v>0.16234038831555</v>
      </c>
    </row>
    <row r="158" spans="1:18" x14ac:dyDescent="0.15">
      <c r="A158" s="31">
        <v>157</v>
      </c>
      <c r="B158" s="30">
        <v>113048</v>
      </c>
      <c r="C158" s="30" t="s">
        <v>1847</v>
      </c>
      <c r="D158" s="30">
        <v>127.87</v>
      </c>
      <c r="E158" s="30">
        <v>-0.16</v>
      </c>
      <c r="F158" s="30">
        <v>5.46</v>
      </c>
      <c r="G158" s="30">
        <v>100.37</v>
      </c>
      <c r="H158" s="30">
        <v>27.4</v>
      </c>
      <c r="I158" s="51">
        <v>155.27000000000001</v>
      </c>
      <c r="J158" s="52">
        <v>46500</v>
      </c>
      <c r="K158" s="53">
        <v>4.83</v>
      </c>
      <c r="L158" s="53">
        <v>22.964970000000001</v>
      </c>
      <c r="M158" s="53">
        <v>8958.6746000000003</v>
      </c>
      <c r="N158" s="54">
        <v>3.0507682271444739E-2</v>
      </c>
      <c r="O158" s="53">
        <v>-1.8878999999999999</v>
      </c>
      <c r="P158" s="30">
        <v>129.30000000000001</v>
      </c>
      <c r="Q158" s="30">
        <v>127.43</v>
      </c>
      <c r="R158" s="54">
        <v>1.4674723377540645E-2</v>
      </c>
    </row>
    <row r="159" spans="1:18" x14ac:dyDescent="0.15">
      <c r="A159" s="31">
        <v>158</v>
      </c>
      <c r="B159" s="30">
        <v>123087</v>
      </c>
      <c r="C159" s="30" t="s">
        <v>72</v>
      </c>
      <c r="D159" s="30">
        <v>126.5</v>
      </c>
      <c r="E159" s="30">
        <v>0.84</v>
      </c>
      <c r="F159" s="30">
        <v>16.05</v>
      </c>
      <c r="G159" s="30">
        <v>99.25</v>
      </c>
      <c r="H159" s="30">
        <v>27.46</v>
      </c>
      <c r="I159" s="51">
        <v>153.96</v>
      </c>
      <c r="J159" s="52">
        <v>46371</v>
      </c>
      <c r="K159" s="53">
        <v>4.4770000000000003</v>
      </c>
      <c r="L159" s="53">
        <v>4.1892620000000003</v>
      </c>
      <c r="M159" s="53">
        <v>1413.9033225999999</v>
      </c>
      <c r="N159" s="54">
        <v>2.6680358890007059E-2</v>
      </c>
      <c r="O159" s="53">
        <v>-1.0462</v>
      </c>
      <c r="P159" s="30">
        <v>126.5</v>
      </c>
      <c r="Q159" s="30">
        <v>124.699</v>
      </c>
      <c r="R159" s="54">
        <v>1.4442778209929527E-2</v>
      </c>
    </row>
    <row r="160" spans="1:18" x14ac:dyDescent="0.15">
      <c r="A160" s="31">
        <v>159</v>
      </c>
      <c r="B160" s="30">
        <v>128037</v>
      </c>
      <c r="C160" s="30" t="s">
        <v>73</v>
      </c>
      <c r="D160" s="30">
        <v>114.666</v>
      </c>
      <c r="E160" s="30">
        <v>0.41</v>
      </c>
      <c r="F160" s="30">
        <v>3.1</v>
      </c>
      <c r="G160" s="30">
        <v>89.68</v>
      </c>
      <c r="H160" s="30">
        <v>27.86</v>
      </c>
      <c r="I160" s="51">
        <v>142.52600000000001</v>
      </c>
      <c r="J160" s="52">
        <v>45366</v>
      </c>
      <c r="K160" s="53">
        <v>1.7230000000000001</v>
      </c>
      <c r="L160" s="53">
        <v>6.0227360000000001</v>
      </c>
      <c r="M160" s="53">
        <v>1469.0349983999999</v>
      </c>
      <c r="N160" s="54">
        <v>2.12717711938041E-2</v>
      </c>
      <c r="O160" s="53">
        <v>-2.5043000000000002</v>
      </c>
      <c r="P160" s="30">
        <v>114.923</v>
      </c>
      <c r="Q160" s="30">
        <v>114.199</v>
      </c>
      <c r="R160" s="54">
        <v>6.3398103310887462E-3</v>
      </c>
    </row>
    <row r="161" spans="1:18" x14ac:dyDescent="0.15">
      <c r="A161" s="31">
        <v>160</v>
      </c>
      <c r="B161" s="30">
        <v>110052</v>
      </c>
      <c r="C161" s="30" t="s">
        <v>1841</v>
      </c>
      <c r="D161" s="30">
        <v>117.28</v>
      </c>
      <c r="E161" s="30">
        <v>0.66</v>
      </c>
      <c r="F161" s="30">
        <v>7.94</v>
      </c>
      <c r="G161" s="30">
        <v>91.69</v>
      </c>
      <c r="H161" s="30">
        <v>27.91</v>
      </c>
      <c r="I161" s="51">
        <v>145.19</v>
      </c>
      <c r="J161" s="52">
        <v>45721</v>
      </c>
      <c r="K161" s="53">
        <v>2.6960000000000002</v>
      </c>
      <c r="L161" s="53">
        <v>14.217739999999999</v>
      </c>
      <c r="M161" s="53">
        <v>13973.4707</v>
      </c>
      <c r="N161" s="54">
        <v>8.3801108481443246E-2</v>
      </c>
      <c r="O161" s="53">
        <v>-0.1867</v>
      </c>
      <c r="P161" s="30">
        <v>118.35</v>
      </c>
      <c r="Q161" s="30">
        <v>116.36</v>
      </c>
      <c r="R161" s="54">
        <v>1.7102096940529346E-2</v>
      </c>
    </row>
    <row r="162" spans="1:18" x14ac:dyDescent="0.15">
      <c r="A162" s="31">
        <v>161</v>
      </c>
      <c r="B162" s="30">
        <v>110064</v>
      </c>
      <c r="C162" s="30" t="s">
        <v>1820</v>
      </c>
      <c r="D162" s="30">
        <v>122.01</v>
      </c>
      <c r="E162" s="30">
        <v>0.08</v>
      </c>
      <c r="F162" s="30">
        <v>4.53</v>
      </c>
      <c r="G162" s="30">
        <v>95.36</v>
      </c>
      <c r="H162" s="30">
        <v>27.95</v>
      </c>
      <c r="I162" s="51">
        <v>149.96</v>
      </c>
      <c r="J162" s="52">
        <v>46011</v>
      </c>
      <c r="K162" s="53">
        <v>3.49</v>
      </c>
      <c r="L162" s="53">
        <v>12.645960000000001</v>
      </c>
      <c r="M162" s="53">
        <v>2971.3132000000001</v>
      </c>
      <c r="N162" s="54">
        <v>1.9257557417152734E-2</v>
      </c>
      <c r="O162" s="53">
        <v>-0.68130000000000002</v>
      </c>
      <c r="P162" s="30">
        <v>122.4</v>
      </c>
      <c r="Q162" s="30">
        <v>121.58</v>
      </c>
      <c r="R162" s="54">
        <v>6.7445303503866376E-3</v>
      </c>
    </row>
    <row r="163" spans="1:18" x14ac:dyDescent="0.15">
      <c r="A163" s="31">
        <v>162</v>
      </c>
      <c r="B163" s="30">
        <v>113648</v>
      </c>
      <c r="C163" s="30" t="s">
        <v>1880</v>
      </c>
      <c r="D163" s="30">
        <v>131.93</v>
      </c>
      <c r="E163" s="30">
        <v>0.87</v>
      </c>
      <c r="F163" s="30">
        <v>25.24</v>
      </c>
      <c r="G163" s="30">
        <v>103.09</v>
      </c>
      <c r="H163" s="30">
        <v>27.98</v>
      </c>
      <c r="I163" s="51">
        <v>159.91</v>
      </c>
      <c r="J163" s="52">
        <v>46868</v>
      </c>
      <c r="K163" s="53">
        <v>5.8380000000000001</v>
      </c>
      <c r="L163" s="53">
        <v>10</v>
      </c>
      <c r="M163" s="53">
        <v>15219.159900000001</v>
      </c>
      <c r="N163" s="54">
        <v>0.11535784052148866</v>
      </c>
      <c r="O163" s="53">
        <v>-1.8613999999999999</v>
      </c>
      <c r="P163" s="30">
        <v>133.68</v>
      </c>
      <c r="Q163" s="30">
        <v>130.41</v>
      </c>
      <c r="R163" s="54">
        <v>2.5074764205199065E-2</v>
      </c>
    </row>
    <row r="164" spans="1:18" x14ac:dyDescent="0.15">
      <c r="A164" s="31">
        <v>163</v>
      </c>
      <c r="B164" s="30">
        <v>123052</v>
      </c>
      <c r="C164" s="30" t="s">
        <v>2035</v>
      </c>
      <c r="D164" s="30">
        <v>148.5</v>
      </c>
      <c r="E164" s="30">
        <v>0.81</v>
      </c>
      <c r="F164" s="30">
        <v>7.05</v>
      </c>
      <c r="G164" s="30">
        <v>116.03</v>
      </c>
      <c r="H164" s="30">
        <v>27.98</v>
      </c>
      <c r="I164" s="51">
        <v>176.48</v>
      </c>
      <c r="J164" s="52">
        <v>46178</v>
      </c>
      <c r="K164" s="53">
        <v>3.948</v>
      </c>
      <c r="L164" s="53">
        <v>1.503663</v>
      </c>
      <c r="M164" s="53">
        <v>41402.951937999998</v>
      </c>
      <c r="N164" s="54">
        <v>1.8541904479810247</v>
      </c>
      <c r="O164" s="53">
        <v>-4.1597</v>
      </c>
      <c r="P164" s="30">
        <v>154.077</v>
      </c>
      <c r="Q164" s="30">
        <v>147.90600000000001</v>
      </c>
      <c r="R164" s="54">
        <v>4.1722445336903113E-2</v>
      </c>
    </row>
    <row r="165" spans="1:18" x14ac:dyDescent="0.15">
      <c r="A165" s="31">
        <v>164</v>
      </c>
      <c r="B165" s="30">
        <v>113502</v>
      </c>
      <c r="C165" s="30" t="s">
        <v>132</v>
      </c>
      <c r="D165" s="30">
        <v>138.96</v>
      </c>
      <c r="E165" s="30">
        <v>-1.22</v>
      </c>
      <c r="F165" s="30">
        <v>44.36</v>
      </c>
      <c r="G165" s="30">
        <v>108.16</v>
      </c>
      <c r="H165" s="30">
        <v>28.48</v>
      </c>
      <c r="I165" s="51">
        <v>167.44</v>
      </c>
      <c r="J165" s="52">
        <v>45240</v>
      </c>
      <c r="K165" s="53">
        <v>1.3779999999999999</v>
      </c>
      <c r="L165" s="53">
        <v>1.84249</v>
      </c>
      <c r="M165" s="53">
        <v>12070.6343</v>
      </c>
      <c r="N165" s="54">
        <v>0.47144946536815474</v>
      </c>
      <c r="O165" s="53">
        <v>-15.8401</v>
      </c>
      <c r="P165" s="30">
        <v>143.07</v>
      </c>
      <c r="Q165" s="30">
        <v>137.91</v>
      </c>
      <c r="R165" s="54">
        <v>3.7415705895148983E-2</v>
      </c>
    </row>
    <row r="166" spans="1:18" x14ac:dyDescent="0.15">
      <c r="A166" s="31">
        <v>165</v>
      </c>
      <c r="B166" s="30">
        <v>110047</v>
      </c>
      <c r="C166" s="30" t="s">
        <v>1848</v>
      </c>
      <c r="D166" s="30">
        <v>111.76</v>
      </c>
      <c r="E166" s="30">
        <v>-0.54</v>
      </c>
      <c r="F166" s="30">
        <v>3.19</v>
      </c>
      <c r="G166" s="30">
        <v>86.52</v>
      </c>
      <c r="H166" s="30">
        <v>29.17</v>
      </c>
      <c r="I166" s="51">
        <v>140.93</v>
      </c>
      <c r="J166" s="52">
        <v>45617</v>
      </c>
      <c r="K166" s="53">
        <v>2.411</v>
      </c>
      <c r="L166" s="53">
        <v>22.461279999999999</v>
      </c>
      <c r="M166" s="53">
        <v>9526.4377000000004</v>
      </c>
      <c r="N166" s="54">
        <v>3.7949812700122647E-2</v>
      </c>
      <c r="O166" s="53">
        <v>1.768</v>
      </c>
      <c r="P166" s="30">
        <v>112.7</v>
      </c>
      <c r="Q166" s="30">
        <v>111.66</v>
      </c>
      <c r="R166" s="54">
        <v>9.3139888948594509E-3</v>
      </c>
    </row>
    <row r="167" spans="1:18" x14ac:dyDescent="0.15">
      <c r="A167" s="31">
        <v>166</v>
      </c>
      <c r="B167" s="30">
        <v>127060</v>
      </c>
      <c r="C167" s="30" t="s">
        <v>2036</v>
      </c>
      <c r="D167" s="30">
        <v>128.80000000000001</v>
      </c>
      <c r="E167" s="30">
        <v>0.66</v>
      </c>
      <c r="F167" s="30">
        <v>42.56</v>
      </c>
      <c r="G167" s="30">
        <v>99.67</v>
      </c>
      <c r="H167" s="30">
        <v>29.23</v>
      </c>
      <c r="I167" s="51">
        <v>158.03</v>
      </c>
      <c r="J167" s="52">
        <v>46862</v>
      </c>
      <c r="K167" s="53">
        <v>5.8220000000000001</v>
      </c>
      <c r="L167" s="53">
        <v>6.4</v>
      </c>
      <c r="M167" s="53">
        <v>4439.5952355999998</v>
      </c>
      <c r="N167" s="54">
        <v>5.385766735733695E-2</v>
      </c>
      <c r="O167" s="53">
        <v>-2.0712999999999999</v>
      </c>
      <c r="P167" s="30">
        <v>129.24100000000001</v>
      </c>
      <c r="Q167" s="30">
        <v>127.96</v>
      </c>
      <c r="R167" s="54">
        <v>1.0010940919037356E-2</v>
      </c>
    </row>
    <row r="168" spans="1:18" x14ac:dyDescent="0.15">
      <c r="A168" s="31">
        <v>167</v>
      </c>
      <c r="B168" s="30">
        <v>127022</v>
      </c>
      <c r="C168" s="30" t="s">
        <v>1857</v>
      </c>
      <c r="D168" s="30">
        <v>124.3</v>
      </c>
      <c r="E168" s="30">
        <v>-0.16</v>
      </c>
      <c r="F168" s="30">
        <v>11.2</v>
      </c>
      <c r="G168" s="30">
        <v>96.07</v>
      </c>
      <c r="H168" s="30">
        <v>29.38</v>
      </c>
      <c r="I168" s="51">
        <v>153.68</v>
      </c>
      <c r="J168" s="52">
        <v>46311</v>
      </c>
      <c r="K168" s="53">
        <v>4.3120000000000003</v>
      </c>
      <c r="L168" s="53">
        <v>19.9983</v>
      </c>
      <c r="M168" s="53">
        <v>7469.5943533999998</v>
      </c>
      <c r="N168" s="54">
        <v>3.0049192771087876E-2</v>
      </c>
      <c r="O168" s="53">
        <v>-3.1059000000000001</v>
      </c>
      <c r="P168" s="30">
        <v>127.23</v>
      </c>
      <c r="Q168" s="30">
        <v>123.285</v>
      </c>
      <c r="R168" s="54">
        <v>3.1999026645577383E-2</v>
      </c>
    </row>
    <row r="169" spans="1:18" x14ac:dyDescent="0.15">
      <c r="A169" s="31">
        <v>168</v>
      </c>
      <c r="B169" s="30">
        <v>113609</v>
      </c>
      <c r="C169" s="30" t="s">
        <v>83</v>
      </c>
      <c r="D169" s="30">
        <v>113.9</v>
      </c>
      <c r="E169" s="30">
        <v>1.71</v>
      </c>
      <c r="F169" s="30">
        <v>16.38</v>
      </c>
      <c r="G169" s="30">
        <v>88.03</v>
      </c>
      <c r="H169" s="30">
        <v>29.39</v>
      </c>
      <c r="I169" s="51">
        <v>143.29000000000002</v>
      </c>
      <c r="J169" s="52">
        <v>46350</v>
      </c>
      <c r="K169" s="53">
        <v>4.4189999999999996</v>
      </c>
      <c r="L169" s="53">
        <v>7.3419100000000004</v>
      </c>
      <c r="M169" s="53">
        <v>6723.2073</v>
      </c>
      <c r="N169" s="54">
        <v>8.0397717961947474E-2</v>
      </c>
      <c r="O169" s="53">
        <v>1.2304999999999999</v>
      </c>
      <c r="P169" s="30">
        <v>114.05</v>
      </c>
      <c r="Q169" s="30">
        <v>112.4</v>
      </c>
      <c r="R169" s="54">
        <v>1.4679715302491026E-2</v>
      </c>
    </row>
    <row r="170" spans="1:18" x14ac:dyDescent="0.15">
      <c r="A170" s="31">
        <v>169</v>
      </c>
      <c r="B170" s="30">
        <v>111001</v>
      </c>
      <c r="C170" s="30" t="s">
        <v>220</v>
      </c>
      <c r="D170" s="30">
        <v>124.92</v>
      </c>
      <c r="E170" s="30">
        <v>2.5</v>
      </c>
      <c r="F170" s="30">
        <v>11.5</v>
      </c>
      <c r="G170" s="30">
        <v>96.52</v>
      </c>
      <c r="H170" s="30">
        <v>29.42</v>
      </c>
      <c r="I170" s="51">
        <v>154.34</v>
      </c>
      <c r="J170" s="52">
        <v>46699</v>
      </c>
      <c r="K170" s="53">
        <v>5.375</v>
      </c>
      <c r="L170" s="53">
        <v>5.9994699999999996</v>
      </c>
      <c r="M170" s="53">
        <v>7533.9976999999999</v>
      </c>
      <c r="N170" s="54">
        <v>0.10052651379444805</v>
      </c>
      <c r="O170" s="53">
        <v>-1.8647</v>
      </c>
      <c r="P170" s="30">
        <v>126.6</v>
      </c>
      <c r="Q170" s="30">
        <v>121.87</v>
      </c>
      <c r="R170" s="54">
        <v>3.8811848691228272E-2</v>
      </c>
    </row>
    <row r="171" spans="1:18" x14ac:dyDescent="0.15">
      <c r="A171" s="31">
        <v>170</v>
      </c>
      <c r="B171" s="30">
        <v>113549</v>
      </c>
      <c r="C171" s="30" t="s">
        <v>99</v>
      </c>
      <c r="D171" s="30">
        <v>116.97</v>
      </c>
      <c r="E171" s="30">
        <v>0.66</v>
      </c>
      <c r="F171" s="30">
        <v>9.06</v>
      </c>
      <c r="G171" s="30">
        <v>90.29</v>
      </c>
      <c r="H171" s="30">
        <v>29.55</v>
      </c>
      <c r="I171" s="51">
        <v>146.52000000000001</v>
      </c>
      <c r="J171" s="52">
        <v>45976</v>
      </c>
      <c r="K171" s="53">
        <v>3.395</v>
      </c>
      <c r="L171" s="53">
        <v>8.0473300000000005</v>
      </c>
      <c r="M171" s="53">
        <v>3451.2413000000001</v>
      </c>
      <c r="N171" s="54">
        <v>3.6664774980480395E-2</v>
      </c>
      <c r="O171" s="53">
        <v>-0.69110000000000005</v>
      </c>
      <c r="P171" s="30">
        <v>118.5</v>
      </c>
      <c r="Q171" s="30">
        <v>116.29</v>
      </c>
      <c r="R171" s="54">
        <v>1.9004213603921176E-2</v>
      </c>
    </row>
    <row r="172" spans="1:18" x14ac:dyDescent="0.15">
      <c r="A172" s="31">
        <v>171</v>
      </c>
      <c r="B172" s="30">
        <v>110056</v>
      </c>
      <c r="C172" s="30" t="s">
        <v>1877</v>
      </c>
      <c r="D172" s="30">
        <v>130.41999999999999</v>
      </c>
      <c r="E172" s="30">
        <v>0.98</v>
      </c>
      <c r="F172" s="30">
        <v>14.95</v>
      </c>
      <c r="G172" s="30">
        <v>100.6</v>
      </c>
      <c r="H172" s="30">
        <v>29.64</v>
      </c>
      <c r="I172" s="51">
        <v>160.06</v>
      </c>
      <c r="J172" s="52">
        <v>45735</v>
      </c>
      <c r="K172" s="53">
        <v>2.734</v>
      </c>
      <c r="L172" s="53">
        <v>17.100950000000001</v>
      </c>
      <c r="M172" s="53">
        <v>10893.004800000001</v>
      </c>
      <c r="N172" s="54">
        <v>4.8840855439982865E-2</v>
      </c>
      <c r="O172" s="53">
        <v>-5.0852000000000004</v>
      </c>
      <c r="P172" s="30">
        <v>132.94</v>
      </c>
      <c r="Q172" s="30">
        <v>128.9</v>
      </c>
      <c r="R172" s="54">
        <v>3.1342125678820727E-2</v>
      </c>
    </row>
    <row r="173" spans="1:18" x14ac:dyDescent="0.15">
      <c r="A173" s="31">
        <v>172</v>
      </c>
      <c r="B173" s="30">
        <v>128134</v>
      </c>
      <c r="C173" s="30" t="s">
        <v>1850</v>
      </c>
      <c r="D173" s="30">
        <v>127.42100000000001</v>
      </c>
      <c r="E173" s="30">
        <v>1.57</v>
      </c>
      <c r="F173" s="30">
        <v>33.22</v>
      </c>
      <c r="G173" s="30">
        <v>98.16</v>
      </c>
      <c r="H173" s="30">
        <v>29.81</v>
      </c>
      <c r="I173" s="51">
        <v>157.23099999999999</v>
      </c>
      <c r="J173" s="52">
        <v>46304</v>
      </c>
      <c r="K173" s="53">
        <v>4.2930000000000001</v>
      </c>
      <c r="L173" s="53">
        <v>15.728194999999999</v>
      </c>
      <c r="M173" s="53">
        <v>5711.6407289999997</v>
      </c>
      <c r="N173" s="54">
        <v>2.8499745891116139E-2</v>
      </c>
      <c r="O173" s="53">
        <v>-2.4453999999999998</v>
      </c>
      <c r="P173" s="30">
        <v>127.44</v>
      </c>
      <c r="Q173" s="30">
        <v>125.2</v>
      </c>
      <c r="R173" s="54">
        <v>1.7891373801916893E-2</v>
      </c>
    </row>
    <row r="174" spans="1:18" x14ac:dyDescent="0.15">
      <c r="A174" s="31">
        <v>173</v>
      </c>
      <c r="B174" s="30">
        <v>123130</v>
      </c>
      <c r="C174" s="30" t="s">
        <v>71</v>
      </c>
      <c r="D174" s="30">
        <v>145.01</v>
      </c>
      <c r="E174" s="30">
        <v>0.28000000000000003</v>
      </c>
      <c r="F174" s="30">
        <v>9.24</v>
      </c>
      <c r="G174" s="30">
        <v>111.69</v>
      </c>
      <c r="H174" s="30">
        <v>29.83</v>
      </c>
      <c r="I174" s="51">
        <v>174.83999999999997</v>
      </c>
      <c r="J174" s="52">
        <v>46702</v>
      </c>
      <c r="K174" s="53">
        <v>5.3840000000000003</v>
      </c>
      <c r="L174" s="53">
        <v>3.7559140000000002</v>
      </c>
      <c r="M174" s="53">
        <v>4338.3200174000003</v>
      </c>
      <c r="N174" s="54">
        <v>7.965407388966364E-2</v>
      </c>
      <c r="O174" s="53">
        <v>-3.9569000000000001</v>
      </c>
      <c r="P174" s="30">
        <v>145.68</v>
      </c>
      <c r="Q174" s="30">
        <v>144.6</v>
      </c>
      <c r="R174" s="54">
        <v>7.4688796680498796E-3</v>
      </c>
    </row>
    <row r="175" spans="1:18" x14ac:dyDescent="0.15">
      <c r="A175" s="31">
        <v>174</v>
      </c>
      <c r="B175" s="30">
        <v>123145</v>
      </c>
      <c r="C175" s="30" t="s">
        <v>1866</v>
      </c>
      <c r="D175" s="30">
        <v>133.881</v>
      </c>
      <c r="E175" s="30">
        <v>2.7</v>
      </c>
      <c r="F175" s="30">
        <v>92.88</v>
      </c>
      <c r="G175" s="30">
        <v>103.05</v>
      </c>
      <c r="H175" s="30">
        <v>29.92</v>
      </c>
      <c r="I175" s="51">
        <v>163.80099999999999</v>
      </c>
      <c r="J175" s="52">
        <v>46863</v>
      </c>
      <c r="K175" s="53">
        <v>5.8250000000000002</v>
      </c>
      <c r="L175" s="53">
        <v>11.5</v>
      </c>
      <c r="M175" s="53">
        <v>15340.373760600001</v>
      </c>
      <c r="N175" s="54">
        <v>9.963665825621261E-2</v>
      </c>
      <c r="O175" s="53">
        <v>-2.6021999999999998</v>
      </c>
      <c r="P175" s="30">
        <v>133.96700000000001</v>
      </c>
      <c r="Q175" s="30">
        <v>130.6</v>
      </c>
      <c r="R175" s="54">
        <v>2.578101071975512E-2</v>
      </c>
    </row>
    <row r="176" spans="1:18" x14ac:dyDescent="0.15">
      <c r="A176" s="31">
        <v>175</v>
      </c>
      <c r="B176" s="30">
        <v>118005</v>
      </c>
      <c r="C176" s="30" t="s">
        <v>784</v>
      </c>
      <c r="D176" s="30">
        <v>134.58000000000001</v>
      </c>
      <c r="E176" s="30">
        <v>2.37</v>
      </c>
      <c r="F176" s="30">
        <v>153.66999999999999</v>
      </c>
      <c r="G176" s="30">
        <v>103.4</v>
      </c>
      <c r="H176" s="30">
        <v>30.15</v>
      </c>
      <c r="I176" s="51">
        <v>164.73000000000002</v>
      </c>
      <c r="J176" s="52">
        <v>46779</v>
      </c>
      <c r="K176" s="53">
        <v>5.5949999999999998</v>
      </c>
      <c r="L176" s="53">
        <v>8.3000000000000007</v>
      </c>
      <c r="M176" s="53">
        <v>8220.6656000000003</v>
      </c>
      <c r="N176" s="54">
        <v>7.3595009552252691E-2</v>
      </c>
      <c r="O176" s="53">
        <v>-2.8014000000000001</v>
      </c>
      <c r="P176" s="30">
        <v>136.75</v>
      </c>
      <c r="Q176" s="30">
        <v>132.34</v>
      </c>
      <c r="R176" s="54">
        <v>3.3323258274142335E-2</v>
      </c>
    </row>
    <row r="177" spans="1:18" x14ac:dyDescent="0.15">
      <c r="A177" s="31">
        <v>176</v>
      </c>
      <c r="B177" s="30">
        <v>127035</v>
      </c>
      <c r="C177" s="30" t="s">
        <v>225</v>
      </c>
      <c r="D177" s="30">
        <v>116.935</v>
      </c>
      <c r="E177" s="30">
        <v>1.19</v>
      </c>
      <c r="F177" s="30">
        <v>4.43</v>
      </c>
      <c r="G177" s="30">
        <v>89.84</v>
      </c>
      <c r="H177" s="30">
        <v>30.16</v>
      </c>
      <c r="I177" s="51">
        <v>147.095</v>
      </c>
      <c r="J177" s="52">
        <v>46168</v>
      </c>
      <c r="K177" s="53">
        <v>3.9209999999999998</v>
      </c>
      <c r="L177" s="53">
        <v>6.2622609999999996</v>
      </c>
      <c r="M177" s="53">
        <v>1550.0549927</v>
      </c>
      <c r="N177" s="54">
        <v>2.1167590343735859E-2</v>
      </c>
      <c r="O177" s="53">
        <v>-0.63539999999999996</v>
      </c>
      <c r="P177" s="30">
        <v>117.096</v>
      </c>
      <c r="Q177" s="30">
        <v>115.58</v>
      </c>
      <c r="R177" s="54">
        <v>1.3116456134279333E-2</v>
      </c>
    </row>
    <row r="178" spans="1:18" x14ac:dyDescent="0.15">
      <c r="A178" s="31">
        <v>177</v>
      </c>
      <c r="B178" s="30">
        <v>123075</v>
      </c>
      <c r="C178" s="30" t="s">
        <v>70</v>
      </c>
      <c r="D178" s="30">
        <v>129.82300000000001</v>
      </c>
      <c r="E178" s="30">
        <v>-0.16</v>
      </c>
      <c r="F178" s="30">
        <v>23.56</v>
      </c>
      <c r="G178" s="30">
        <v>99.58</v>
      </c>
      <c r="H178" s="30">
        <v>30.37</v>
      </c>
      <c r="I178" s="51">
        <v>160.19300000000001</v>
      </c>
      <c r="J178" s="52">
        <v>46328</v>
      </c>
      <c r="K178" s="53">
        <v>4.359</v>
      </c>
      <c r="L178" s="53">
        <v>5.99613</v>
      </c>
      <c r="M178" s="53">
        <v>18178.5083438</v>
      </c>
      <c r="N178" s="54">
        <v>0.2335261734473961</v>
      </c>
      <c r="O178" s="53">
        <v>-2.7768999999999999</v>
      </c>
      <c r="P178" s="30">
        <v>132.59200000000001</v>
      </c>
      <c r="Q178" s="30">
        <v>128.22</v>
      </c>
      <c r="R178" s="54">
        <v>3.4097644673218019E-2</v>
      </c>
    </row>
    <row r="179" spans="1:18" x14ac:dyDescent="0.15">
      <c r="A179" s="31">
        <v>178</v>
      </c>
      <c r="B179" s="30">
        <v>113047</v>
      </c>
      <c r="C179" s="30" t="s">
        <v>1858</v>
      </c>
      <c r="D179" s="30">
        <v>132.99</v>
      </c>
      <c r="E179" s="30">
        <v>1.1200000000000001</v>
      </c>
      <c r="F179" s="30">
        <v>12</v>
      </c>
      <c r="G179" s="30">
        <v>102</v>
      </c>
      <c r="H179" s="30">
        <v>30.38</v>
      </c>
      <c r="I179" s="51">
        <v>163.37</v>
      </c>
      <c r="J179" s="52">
        <v>46486</v>
      </c>
      <c r="K179" s="53">
        <v>4.7919999999999998</v>
      </c>
      <c r="L179" s="53">
        <v>14.98734</v>
      </c>
      <c r="M179" s="53">
        <v>13044.6963</v>
      </c>
      <c r="N179" s="54">
        <v>6.5447102908655935E-2</v>
      </c>
      <c r="O179" s="53">
        <v>-3.2383999999999999</v>
      </c>
      <c r="P179" s="30">
        <v>135.5</v>
      </c>
      <c r="Q179" s="30">
        <v>131.52000000000001</v>
      </c>
      <c r="R179" s="54">
        <v>3.0261557177615493E-2</v>
      </c>
    </row>
    <row r="180" spans="1:18" x14ac:dyDescent="0.15">
      <c r="A180" s="31">
        <v>179</v>
      </c>
      <c r="B180" s="30">
        <v>127031</v>
      </c>
      <c r="C180" s="30" t="s">
        <v>186</v>
      </c>
      <c r="D180" s="30">
        <v>125.875</v>
      </c>
      <c r="E180" s="30">
        <v>0.89</v>
      </c>
      <c r="F180" s="30">
        <v>17.57</v>
      </c>
      <c r="G180" s="30">
        <v>96.36</v>
      </c>
      <c r="H180" s="30">
        <v>30.63</v>
      </c>
      <c r="I180" s="51">
        <v>156.505</v>
      </c>
      <c r="J180" s="52">
        <v>46471</v>
      </c>
      <c r="K180" s="53">
        <v>4.7510000000000003</v>
      </c>
      <c r="L180" s="53">
        <v>9.9994130000000006</v>
      </c>
      <c r="M180" s="53">
        <v>3158.4251006999998</v>
      </c>
      <c r="N180" s="54">
        <v>2.5093231468814325E-2</v>
      </c>
      <c r="O180" s="53">
        <v>-1.5891</v>
      </c>
      <c r="P180" s="30">
        <v>127.142</v>
      </c>
      <c r="Q180" s="30">
        <v>124.601</v>
      </c>
      <c r="R180" s="54">
        <v>2.0393094758469007E-2</v>
      </c>
    </row>
    <row r="181" spans="1:18" x14ac:dyDescent="0.15">
      <c r="A181" s="31">
        <v>180</v>
      </c>
      <c r="B181" s="30">
        <v>127012</v>
      </c>
      <c r="C181" s="30" t="s">
        <v>1842</v>
      </c>
      <c r="D181" s="30">
        <v>113.14</v>
      </c>
      <c r="E181" s="30">
        <v>0.03</v>
      </c>
      <c r="F181" s="30">
        <v>8.6300000000000008</v>
      </c>
      <c r="G181" s="30">
        <v>86.56</v>
      </c>
      <c r="H181" s="30">
        <v>30.71</v>
      </c>
      <c r="I181" s="51">
        <v>143.85</v>
      </c>
      <c r="J181" s="52">
        <v>45738</v>
      </c>
      <c r="K181" s="53">
        <v>2.742</v>
      </c>
      <c r="L181" s="53">
        <v>49.998221000000001</v>
      </c>
      <c r="M181" s="53">
        <v>5466.5405000000001</v>
      </c>
      <c r="N181" s="54">
        <v>9.6636644978460827E-3</v>
      </c>
      <c r="O181" s="53">
        <v>-1.9319</v>
      </c>
      <c r="P181" s="30">
        <v>113.35299999999999</v>
      </c>
      <c r="Q181" s="30">
        <v>113.01</v>
      </c>
      <c r="R181" s="54">
        <v>3.0351296345455209E-3</v>
      </c>
    </row>
    <row r="182" spans="1:18" x14ac:dyDescent="0.15">
      <c r="A182" s="31">
        <v>181</v>
      </c>
      <c r="B182" s="30">
        <v>123035</v>
      </c>
      <c r="C182" s="30" t="s">
        <v>123</v>
      </c>
      <c r="D182" s="30">
        <v>125.39</v>
      </c>
      <c r="E182" s="30">
        <v>0.55000000000000004</v>
      </c>
      <c r="F182" s="30">
        <v>6.91</v>
      </c>
      <c r="G182" s="30">
        <v>95.37</v>
      </c>
      <c r="H182" s="30">
        <v>31.48</v>
      </c>
      <c r="I182" s="51">
        <v>156.87</v>
      </c>
      <c r="J182" s="52">
        <v>45975</v>
      </c>
      <c r="K182" s="53">
        <v>3.3919999999999999</v>
      </c>
      <c r="L182" s="53">
        <v>7.9877429999999991</v>
      </c>
      <c r="M182" s="53">
        <v>2818.1850188999997</v>
      </c>
      <c r="N182" s="54">
        <v>2.8137306166765508E-2</v>
      </c>
      <c r="O182" s="53">
        <v>-2.7440000000000002</v>
      </c>
      <c r="P182" s="30">
        <v>126.155</v>
      </c>
      <c r="Q182" s="30">
        <v>124.53400000000001</v>
      </c>
      <c r="R182" s="54">
        <v>1.3016525607464588E-2</v>
      </c>
    </row>
    <row r="183" spans="1:18" x14ac:dyDescent="0.15">
      <c r="A183" s="31">
        <v>182</v>
      </c>
      <c r="B183" s="30">
        <v>111004</v>
      </c>
      <c r="C183" s="30" t="s">
        <v>813</v>
      </c>
      <c r="D183" s="30">
        <v>142.54</v>
      </c>
      <c r="E183" s="30">
        <v>0.47</v>
      </c>
      <c r="F183" s="30">
        <v>24.51</v>
      </c>
      <c r="G183" s="30">
        <v>108.24</v>
      </c>
      <c r="H183" s="30">
        <v>31.69</v>
      </c>
      <c r="I183" s="51">
        <v>174.23</v>
      </c>
      <c r="J183" s="52">
        <v>46842</v>
      </c>
      <c r="K183" s="53">
        <v>5.7670000000000003</v>
      </c>
      <c r="L183" s="53">
        <v>6.73</v>
      </c>
      <c r="M183" s="53">
        <v>18815.745699999999</v>
      </c>
      <c r="N183" s="54">
        <v>0.19614155594811269</v>
      </c>
      <c r="O183" s="53">
        <v>-2.8494999999999999</v>
      </c>
      <c r="P183" s="30">
        <v>144.31</v>
      </c>
      <c r="Q183" s="30">
        <v>139.11000000000001</v>
      </c>
      <c r="R183" s="54">
        <v>3.738049025950678E-2</v>
      </c>
    </row>
    <row r="184" spans="1:18" x14ac:dyDescent="0.15">
      <c r="A184" s="31">
        <v>183</v>
      </c>
      <c r="B184" s="30">
        <v>127059</v>
      </c>
      <c r="C184" s="30" t="s">
        <v>1896</v>
      </c>
      <c r="D184" s="30">
        <v>150</v>
      </c>
      <c r="E184" s="30">
        <v>-5.35</v>
      </c>
      <c r="F184" s="30">
        <v>8.65</v>
      </c>
      <c r="G184" s="30">
        <v>113.76</v>
      </c>
      <c r="H184" s="30">
        <v>31.86</v>
      </c>
      <c r="I184" s="51">
        <v>181.86</v>
      </c>
      <c r="J184" s="52">
        <v>46851</v>
      </c>
      <c r="K184" s="53">
        <v>5.7919999999999998</v>
      </c>
      <c r="L184" s="53">
        <v>3.8</v>
      </c>
      <c r="M184" s="53">
        <v>180669.7032662</v>
      </c>
      <c r="N184" s="54">
        <v>3.1696439169508768</v>
      </c>
      <c r="O184" s="53">
        <v>-3.7709999999999999</v>
      </c>
      <c r="P184" s="30">
        <v>164.178</v>
      </c>
      <c r="Q184" s="30">
        <v>150</v>
      </c>
      <c r="R184" s="54">
        <v>9.4519999999999979E-2</v>
      </c>
    </row>
    <row r="185" spans="1:18" x14ac:dyDescent="0.15">
      <c r="A185" s="31">
        <v>184</v>
      </c>
      <c r="B185" s="30">
        <v>123125</v>
      </c>
      <c r="C185" s="30" t="s">
        <v>222</v>
      </c>
      <c r="D185" s="30">
        <v>118.77200000000001</v>
      </c>
      <c r="E185" s="30">
        <v>2.4900000000000002</v>
      </c>
      <c r="F185" s="30">
        <v>17.61</v>
      </c>
      <c r="G185" s="30">
        <v>90.01</v>
      </c>
      <c r="H185" s="30">
        <v>31.95</v>
      </c>
      <c r="I185" s="51">
        <v>150.72200000000001</v>
      </c>
      <c r="J185" s="52">
        <v>46636</v>
      </c>
      <c r="K185" s="53">
        <v>5.2030000000000003</v>
      </c>
      <c r="L185" s="53">
        <v>8.9996899999999993</v>
      </c>
      <c r="M185" s="53">
        <v>13793.6672824</v>
      </c>
      <c r="N185" s="54">
        <v>0.12904409207905379</v>
      </c>
      <c r="O185" s="53">
        <v>-1.6073</v>
      </c>
      <c r="P185" s="30">
        <v>122.48699999999999</v>
      </c>
      <c r="Q185" s="30">
        <v>116.02200000000001</v>
      </c>
      <c r="R185" s="54">
        <v>5.5722190619020437E-2</v>
      </c>
    </row>
    <row r="186" spans="1:18" x14ac:dyDescent="0.15">
      <c r="A186" s="31">
        <v>185</v>
      </c>
      <c r="B186" s="30">
        <v>113505</v>
      </c>
      <c r="C186" s="30" t="s">
        <v>239</v>
      </c>
      <c r="D186" s="30">
        <v>118.91</v>
      </c>
      <c r="E186" s="30">
        <v>1.39</v>
      </c>
      <c r="F186" s="30">
        <v>7.03</v>
      </c>
      <c r="G186" s="30">
        <v>90.04</v>
      </c>
      <c r="H186" s="30">
        <v>32.06</v>
      </c>
      <c r="I186" s="51">
        <v>150.97</v>
      </c>
      <c r="J186" s="52">
        <v>45357</v>
      </c>
      <c r="K186" s="53">
        <v>1.6990000000000001</v>
      </c>
      <c r="L186" s="53">
        <v>7.4973799999999997</v>
      </c>
      <c r="M186" s="53">
        <v>2330.5113000000001</v>
      </c>
      <c r="N186" s="54">
        <v>2.6141067023029003E-2</v>
      </c>
      <c r="O186" s="53">
        <v>-4.6193999999999997</v>
      </c>
      <c r="P186" s="30">
        <v>119.45</v>
      </c>
      <c r="Q186" s="30">
        <v>117.32</v>
      </c>
      <c r="R186" s="54">
        <v>1.8155472212751534E-2</v>
      </c>
    </row>
    <row r="187" spans="1:18" x14ac:dyDescent="0.15">
      <c r="A187" s="31">
        <v>186</v>
      </c>
      <c r="B187" s="30">
        <v>128127</v>
      </c>
      <c r="C187" s="30" t="s">
        <v>215</v>
      </c>
      <c r="D187" s="30">
        <v>110.5</v>
      </c>
      <c r="E187" s="30">
        <v>-0.05</v>
      </c>
      <c r="F187" s="30">
        <v>4.88</v>
      </c>
      <c r="G187" s="30">
        <v>83.61</v>
      </c>
      <c r="H187" s="30">
        <v>32.159999999999997</v>
      </c>
      <c r="I187" s="51">
        <v>142.66</v>
      </c>
      <c r="J187" s="52">
        <v>46254</v>
      </c>
      <c r="K187" s="53">
        <v>4.1559999999999997</v>
      </c>
      <c r="L187" s="53">
        <v>9.4930299999999992</v>
      </c>
      <c r="M187" s="53">
        <v>1481.2313962999999</v>
      </c>
      <c r="N187" s="54">
        <v>1.4120685404227725E-2</v>
      </c>
      <c r="O187" s="53">
        <v>2.2197</v>
      </c>
      <c r="P187" s="30">
        <v>110.771</v>
      </c>
      <c r="Q187" s="30">
        <v>110.17700000000001</v>
      </c>
      <c r="R187" s="54">
        <v>5.3913248681666231E-3</v>
      </c>
    </row>
    <row r="188" spans="1:18" x14ac:dyDescent="0.15">
      <c r="A188" s="31">
        <v>187</v>
      </c>
      <c r="B188" s="30">
        <v>123147</v>
      </c>
      <c r="C188" s="30" t="s">
        <v>2037</v>
      </c>
      <c r="D188" s="30">
        <v>141.25</v>
      </c>
      <c r="E188" s="30">
        <v>7.41</v>
      </c>
      <c r="F188" s="30">
        <v>7.78</v>
      </c>
      <c r="G188" s="30">
        <v>106.81</v>
      </c>
      <c r="H188" s="30">
        <v>32.24</v>
      </c>
      <c r="I188" s="51">
        <v>173.49</v>
      </c>
      <c r="J188" s="52">
        <v>46904</v>
      </c>
      <c r="K188" s="53">
        <v>5.9370000000000003</v>
      </c>
      <c r="L188" s="53">
        <v>5.7053700000000003</v>
      </c>
      <c r="M188" s="53">
        <v>218894.42056100001</v>
      </c>
      <c r="N188" s="54">
        <v>2.7162042300871616</v>
      </c>
      <c r="O188" s="53">
        <v>-2.7336999999999998</v>
      </c>
      <c r="P188" s="30">
        <v>144.41</v>
      </c>
      <c r="Q188" s="30">
        <v>130.17699999999999</v>
      </c>
      <c r="R188" s="54">
        <v>0.1093357505550136</v>
      </c>
    </row>
    <row r="189" spans="1:18" x14ac:dyDescent="0.15">
      <c r="A189" s="31">
        <v>188</v>
      </c>
      <c r="B189" s="30">
        <v>127032</v>
      </c>
      <c r="C189" s="30" t="s">
        <v>1849</v>
      </c>
      <c r="D189" s="30">
        <v>111.994</v>
      </c>
      <c r="E189" s="30">
        <v>0.15</v>
      </c>
      <c r="F189" s="30">
        <v>7.11</v>
      </c>
      <c r="G189" s="30">
        <v>84.67</v>
      </c>
      <c r="H189" s="30">
        <v>32.270000000000003</v>
      </c>
      <c r="I189" s="51">
        <v>144.26400000000001</v>
      </c>
      <c r="J189" s="52">
        <v>46489</v>
      </c>
      <c r="K189" s="53">
        <v>4.8</v>
      </c>
      <c r="L189" s="53">
        <v>49.995671999999999</v>
      </c>
      <c r="M189" s="53">
        <v>5817.6785291000006</v>
      </c>
      <c r="N189" s="54">
        <v>1.0390167599955332E-2</v>
      </c>
      <c r="O189" s="53">
        <v>0.5444</v>
      </c>
      <c r="P189" s="30">
        <v>112.57</v>
      </c>
      <c r="Q189" s="30">
        <v>111.761</v>
      </c>
      <c r="R189" s="54">
        <v>7.2386610713933977E-3</v>
      </c>
    </row>
    <row r="190" spans="1:18" x14ac:dyDescent="0.15">
      <c r="A190" s="31">
        <v>189</v>
      </c>
      <c r="B190" s="30">
        <v>127050</v>
      </c>
      <c r="C190" s="30" t="s">
        <v>1883</v>
      </c>
      <c r="D190" s="30">
        <v>130.87</v>
      </c>
      <c r="E190" s="30">
        <v>0.59</v>
      </c>
      <c r="F190" s="30">
        <v>34.68</v>
      </c>
      <c r="G190" s="30">
        <v>98.93</v>
      </c>
      <c r="H190" s="30">
        <v>32.29</v>
      </c>
      <c r="I190" s="51">
        <v>163.16</v>
      </c>
      <c r="J190" s="52">
        <v>46702</v>
      </c>
      <c r="K190" s="53">
        <v>5.3840000000000003</v>
      </c>
      <c r="L190" s="53">
        <v>21.989072</v>
      </c>
      <c r="M190" s="53">
        <v>7853.5358755999996</v>
      </c>
      <c r="N190" s="54">
        <v>2.7290923261061899E-2</v>
      </c>
      <c r="O190" s="53">
        <v>-2.3975</v>
      </c>
      <c r="P190" s="30">
        <v>130.9</v>
      </c>
      <c r="Q190" s="30">
        <v>129.51</v>
      </c>
      <c r="R190" s="54">
        <v>1.0732761948884371E-2</v>
      </c>
    </row>
    <row r="191" spans="1:18" x14ac:dyDescent="0.15">
      <c r="A191" s="31">
        <v>190</v>
      </c>
      <c r="B191" s="30">
        <v>113532</v>
      </c>
      <c r="C191" s="30" t="s">
        <v>199</v>
      </c>
      <c r="D191" s="30">
        <v>114.47</v>
      </c>
      <c r="E191" s="30">
        <v>0.09</v>
      </c>
      <c r="F191" s="30">
        <v>7.56</v>
      </c>
      <c r="G191" s="30">
        <v>86.51</v>
      </c>
      <c r="H191" s="30">
        <v>32.32</v>
      </c>
      <c r="I191" s="51">
        <v>146.79</v>
      </c>
      <c r="J191" s="52">
        <v>45749</v>
      </c>
      <c r="K191" s="53">
        <v>2.7730000000000001</v>
      </c>
      <c r="L191" s="53">
        <v>4.5855300000000003</v>
      </c>
      <c r="M191" s="53">
        <v>1450.5563</v>
      </c>
      <c r="N191" s="54">
        <v>2.7634611770533436E-2</v>
      </c>
      <c r="O191" s="53">
        <v>-1.0225</v>
      </c>
      <c r="P191" s="30">
        <v>114.98</v>
      </c>
      <c r="Q191" s="30">
        <v>114.37</v>
      </c>
      <c r="R191" s="54">
        <v>5.3335664947101458E-3</v>
      </c>
    </row>
    <row r="192" spans="1:18" x14ac:dyDescent="0.15">
      <c r="A192" s="31">
        <v>191</v>
      </c>
      <c r="B192" s="30">
        <v>127048</v>
      </c>
      <c r="C192" s="30" t="s">
        <v>218</v>
      </c>
      <c r="D192" s="30">
        <v>131.38999999999999</v>
      </c>
      <c r="E192" s="30">
        <v>-6.17</v>
      </c>
      <c r="F192" s="30">
        <v>16.77</v>
      </c>
      <c r="G192" s="30">
        <v>99.28</v>
      </c>
      <c r="H192" s="30">
        <v>32.340000000000003</v>
      </c>
      <c r="I192" s="51">
        <v>163.72999999999999</v>
      </c>
      <c r="J192" s="52">
        <v>46686</v>
      </c>
      <c r="K192" s="53">
        <v>5.34</v>
      </c>
      <c r="L192" s="53">
        <v>2.6995309999999999</v>
      </c>
      <c r="M192" s="53">
        <v>98993.251252000002</v>
      </c>
      <c r="N192" s="54">
        <v>2.7909686382870378</v>
      </c>
      <c r="O192" s="53">
        <v>-1.4561999999999999</v>
      </c>
      <c r="P192" s="30">
        <v>140.03</v>
      </c>
      <c r="Q192" s="30">
        <v>131</v>
      </c>
      <c r="R192" s="54">
        <v>6.8931297709923678E-2</v>
      </c>
    </row>
    <row r="193" spans="1:18" x14ac:dyDescent="0.15">
      <c r="A193" s="31">
        <v>192</v>
      </c>
      <c r="B193" s="30">
        <v>128082</v>
      </c>
      <c r="C193" s="30" t="s">
        <v>2038</v>
      </c>
      <c r="D193" s="30">
        <v>191.351</v>
      </c>
      <c r="E193" s="30">
        <v>-2.37</v>
      </c>
      <c r="F193" s="30">
        <v>9.1300000000000008</v>
      </c>
      <c r="G193" s="30">
        <v>144.58000000000001</v>
      </c>
      <c r="H193" s="30">
        <v>32.35</v>
      </c>
      <c r="I193" s="51">
        <v>223.70099999999999</v>
      </c>
      <c r="J193" s="52">
        <v>45995</v>
      </c>
      <c r="K193" s="53">
        <v>3.4470000000000001</v>
      </c>
      <c r="L193" s="53">
        <v>2.0326740000000001</v>
      </c>
      <c r="M193" s="53">
        <v>228593.826734</v>
      </c>
      <c r="N193" s="54">
        <v>5.8771399105916373</v>
      </c>
      <c r="O193" s="53">
        <v>-12.784000000000001</v>
      </c>
      <c r="P193" s="30">
        <v>205.03</v>
      </c>
      <c r="Q193" s="30">
        <v>190.2</v>
      </c>
      <c r="R193" s="54">
        <v>7.7970557308096808E-2</v>
      </c>
    </row>
    <row r="194" spans="1:18" x14ac:dyDescent="0.15">
      <c r="A194" s="31">
        <v>193</v>
      </c>
      <c r="B194" s="30">
        <v>123022</v>
      </c>
      <c r="C194" s="30" t="s">
        <v>1863</v>
      </c>
      <c r="D194" s="30">
        <v>159.97999999999999</v>
      </c>
      <c r="E194" s="30">
        <v>1.74</v>
      </c>
      <c r="F194" s="30">
        <v>6</v>
      </c>
      <c r="G194" s="30">
        <v>120.83</v>
      </c>
      <c r="H194" s="30">
        <v>32.4</v>
      </c>
      <c r="I194" s="51">
        <v>192.38</v>
      </c>
      <c r="J194" s="52">
        <v>45734</v>
      </c>
      <c r="K194" s="53">
        <v>2.7320000000000002</v>
      </c>
      <c r="L194" s="53">
        <v>2.5627759999999995</v>
      </c>
      <c r="M194" s="53">
        <v>22042.358624</v>
      </c>
      <c r="N194" s="54">
        <v>0.53762780728990056</v>
      </c>
      <c r="O194" s="53">
        <v>-12.012700000000001</v>
      </c>
      <c r="P194" s="30">
        <v>159.999</v>
      </c>
      <c r="Q194" s="30">
        <v>155.5</v>
      </c>
      <c r="R194" s="54">
        <v>2.8932475884244344E-2</v>
      </c>
    </row>
    <row r="195" spans="1:18" x14ac:dyDescent="0.15">
      <c r="A195" s="31">
        <v>194</v>
      </c>
      <c r="B195" s="30">
        <v>113619</v>
      </c>
      <c r="C195" s="30" t="s">
        <v>227</v>
      </c>
      <c r="D195" s="30">
        <v>126.41</v>
      </c>
      <c r="E195" s="30">
        <v>0.57999999999999996</v>
      </c>
      <c r="F195" s="30">
        <v>19.32</v>
      </c>
      <c r="G195" s="30">
        <v>95.39</v>
      </c>
      <c r="H195" s="30">
        <v>32.520000000000003</v>
      </c>
      <c r="I195" s="51">
        <v>158.93</v>
      </c>
      <c r="J195" s="52">
        <v>46407</v>
      </c>
      <c r="K195" s="53">
        <v>4.5750000000000002</v>
      </c>
      <c r="L195" s="53">
        <v>9.9967699999999997</v>
      </c>
      <c r="M195" s="53">
        <v>28302.8377</v>
      </c>
      <c r="N195" s="54">
        <v>0.22396948398337096</v>
      </c>
      <c r="O195" s="53">
        <v>-2.1031</v>
      </c>
      <c r="P195" s="30">
        <v>129.5</v>
      </c>
      <c r="Q195" s="30">
        <v>124.85</v>
      </c>
      <c r="R195" s="54">
        <v>3.7244693632358876E-2</v>
      </c>
    </row>
    <row r="196" spans="1:18" x14ac:dyDescent="0.15">
      <c r="A196" s="31">
        <v>195</v>
      </c>
      <c r="B196" s="30">
        <v>113636</v>
      </c>
      <c r="C196" s="30" t="s">
        <v>248</v>
      </c>
      <c r="D196" s="30">
        <v>125.66</v>
      </c>
      <c r="E196" s="30">
        <v>0.02</v>
      </c>
      <c r="F196" s="30">
        <v>36.049999999999997</v>
      </c>
      <c r="G196" s="30">
        <v>94.65</v>
      </c>
      <c r="H196" s="30">
        <v>32.76</v>
      </c>
      <c r="I196" s="51">
        <v>158.41999999999999</v>
      </c>
      <c r="J196" s="52">
        <v>46734</v>
      </c>
      <c r="K196" s="53">
        <v>5.4710000000000001</v>
      </c>
      <c r="L196" s="53">
        <v>9.9996799999999997</v>
      </c>
      <c r="M196" s="53">
        <v>585.03779999999995</v>
      </c>
      <c r="N196" s="54">
        <v>4.6558691851718752E-3</v>
      </c>
      <c r="O196" s="53">
        <v>-0.76100000000000001</v>
      </c>
      <c r="P196" s="30">
        <v>126.27</v>
      </c>
      <c r="Q196" s="30">
        <v>125.09</v>
      </c>
      <c r="R196" s="54">
        <v>9.4332080901750152E-3</v>
      </c>
    </row>
    <row r="197" spans="1:18" x14ac:dyDescent="0.15">
      <c r="A197" s="31">
        <v>196</v>
      </c>
      <c r="B197" s="30">
        <v>113602</v>
      </c>
      <c r="C197" s="30" t="s">
        <v>1869</v>
      </c>
      <c r="D197" s="30">
        <v>122.7</v>
      </c>
      <c r="E197" s="30">
        <v>2.25</v>
      </c>
      <c r="F197" s="30">
        <v>27.4</v>
      </c>
      <c r="G197" s="30">
        <v>92.34</v>
      </c>
      <c r="H197" s="30">
        <v>32.880000000000003</v>
      </c>
      <c r="I197" s="51">
        <v>155.58000000000001</v>
      </c>
      <c r="J197" s="52">
        <v>46258</v>
      </c>
      <c r="K197" s="53">
        <v>4.1669999999999998</v>
      </c>
      <c r="L197" s="53">
        <v>17.798739999999999</v>
      </c>
      <c r="M197" s="53">
        <v>8377.2860999999994</v>
      </c>
      <c r="N197" s="54">
        <v>3.8359198652431738E-2</v>
      </c>
      <c r="O197" s="53">
        <v>-2.0186999999999999</v>
      </c>
      <c r="P197" s="30">
        <v>123.45</v>
      </c>
      <c r="Q197" s="30">
        <v>119.81</v>
      </c>
      <c r="R197" s="54">
        <v>3.0381437275686509E-2</v>
      </c>
    </row>
    <row r="198" spans="1:18" x14ac:dyDescent="0.15">
      <c r="A198" s="31">
        <v>197</v>
      </c>
      <c r="B198" s="30">
        <v>113635</v>
      </c>
      <c r="C198" s="30" t="s">
        <v>1888</v>
      </c>
      <c r="D198" s="30">
        <v>128.19999999999999</v>
      </c>
      <c r="E198" s="30">
        <v>1.63</v>
      </c>
      <c r="F198" s="30">
        <v>33.04</v>
      </c>
      <c r="G198" s="30">
        <v>96.31</v>
      </c>
      <c r="H198" s="30">
        <v>33.11</v>
      </c>
      <c r="I198" s="51">
        <v>161.31</v>
      </c>
      <c r="J198" s="52">
        <v>46731</v>
      </c>
      <c r="K198" s="53">
        <v>5.4630000000000001</v>
      </c>
      <c r="L198" s="53">
        <v>13.498659999999999</v>
      </c>
      <c r="M198" s="53">
        <v>6971.8091999999997</v>
      </c>
      <c r="N198" s="54">
        <v>4.0287174468785839E-2</v>
      </c>
      <c r="O198" s="53">
        <v>-1.2827</v>
      </c>
      <c r="P198" s="30">
        <v>129.36000000000001</v>
      </c>
      <c r="Q198" s="30">
        <v>125.68</v>
      </c>
      <c r="R198" s="54">
        <v>2.9280712921705972E-2</v>
      </c>
    </row>
    <row r="199" spans="1:18" x14ac:dyDescent="0.15">
      <c r="A199" s="31">
        <v>198</v>
      </c>
      <c r="B199" s="30">
        <v>113647</v>
      </c>
      <c r="C199" s="30" t="s">
        <v>1859</v>
      </c>
      <c r="D199" s="30">
        <v>125.94</v>
      </c>
      <c r="E199" s="30">
        <v>0.21</v>
      </c>
      <c r="F199" s="30">
        <v>10.26</v>
      </c>
      <c r="G199" s="30">
        <v>94.54</v>
      </c>
      <c r="H199" s="30">
        <v>33.21</v>
      </c>
      <c r="I199" s="51">
        <v>159.15</v>
      </c>
      <c r="J199" s="52">
        <v>46865</v>
      </c>
      <c r="K199" s="53">
        <v>5.83</v>
      </c>
      <c r="L199" s="53">
        <v>15</v>
      </c>
      <c r="M199" s="53">
        <v>4696.7480999999998</v>
      </c>
      <c r="N199" s="54">
        <v>2.4862358265840878E-2</v>
      </c>
      <c r="O199" s="53">
        <v>-1.2603</v>
      </c>
      <c r="P199" s="30">
        <v>126.69</v>
      </c>
      <c r="Q199" s="30">
        <v>125.3</v>
      </c>
      <c r="R199" s="54">
        <v>1.1093375897845176E-2</v>
      </c>
    </row>
    <row r="200" spans="1:18" x14ac:dyDescent="0.15">
      <c r="A200" s="31">
        <v>199</v>
      </c>
      <c r="B200" s="30">
        <v>128135</v>
      </c>
      <c r="C200" s="30" t="s">
        <v>1856</v>
      </c>
      <c r="D200" s="30">
        <v>124.56</v>
      </c>
      <c r="E200" s="30">
        <v>0.7</v>
      </c>
      <c r="F200" s="30">
        <v>59.18</v>
      </c>
      <c r="G200" s="30">
        <v>93.36</v>
      </c>
      <c r="H200" s="30">
        <v>33.42</v>
      </c>
      <c r="I200" s="51">
        <v>157.98000000000002</v>
      </c>
      <c r="J200" s="52">
        <v>46315</v>
      </c>
      <c r="K200" s="53">
        <v>4.3230000000000004</v>
      </c>
      <c r="L200" s="53">
        <v>13.398632999999998</v>
      </c>
      <c r="M200" s="53">
        <v>1814.3455402</v>
      </c>
      <c r="N200" s="54">
        <v>1.0871285728203797E-2</v>
      </c>
      <c r="O200" s="53">
        <v>-0.89490000000000003</v>
      </c>
      <c r="P200" s="30">
        <v>125.9</v>
      </c>
      <c r="Q200" s="30">
        <v>123.05200000000001</v>
      </c>
      <c r="R200" s="54">
        <v>2.3144686799076802E-2</v>
      </c>
    </row>
    <row r="201" spans="1:18" x14ac:dyDescent="0.15">
      <c r="A201" s="31">
        <v>200</v>
      </c>
      <c r="B201" s="30">
        <v>128137</v>
      </c>
      <c r="C201" s="30" t="s">
        <v>2039</v>
      </c>
      <c r="D201" s="30">
        <v>129.102</v>
      </c>
      <c r="E201" s="30">
        <v>0.52</v>
      </c>
      <c r="F201" s="30">
        <v>27.43</v>
      </c>
      <c r="G201" s="30">
        <v>96.5</v>
      </c>
      <c r="H201" s="30">
        <v>33.78</v>
      </c>
      <c r="I201" s="51">
        <v>162.88200000000001</v>
      </c>
      <c r="J201" s="52">
        <v>46330</v>
      </c>
      <c r="K201" s="53">
        <v>4.3639999999999999</v>
      </c>
      <c r="L201" s="53">
        <v>5.9940730000000002</v>
      </c>
      <c r="M201" s="53">
        <v>2524.8144873000001</v>
      </c>
      <c r="N201" s="54">
        <v>3.2626799602875983E-2</v>
      </c>
      <c r="O201" s="53">
        <v>-2.2917999999999998</v>
      </c>
      <c r="P201" s="30">
        <v>131.19</v>
      </c>
      <c r="Q201" s="30">
        <v>128.1</v>
      </c>
      <c r="R201" s="54">
        <v>2.4121779859484806E-2</v>
      </c>
    </row>
    <row r="202" spans="1:18" x14ac:dyDescent="0.15">
      <c r="A202" s="31">
        <v>201</v>
      </c>
      <c r="B202" s="30">
        <v>128144</v>
      </c>
      <c r="C202" s="30" t="s">
        <v>224</v>
      </c>
      <c r="D202" s="30">
        <v>118.902</v>
      </c>
      <c r="E202" s="30">
        <v>1.27</v>
      </c>
      <c r="F202" s="30">
        <v>11.2</v>
      </c>
      <c r="G202" s="30">
        <v>88.57</v>
      </c>
      <c r="H202" s="30">
        <v>34.25</v>
      </c>
      <c r="I202" s="51">
        <v>153.15199999999999</v>
      </c>
      <c r="J202" s="52">
        <v>46447</v>
      </c>
      <c r="K202" s="53">
        <v>4.6849999999999996</v>
      </c>
      <c r="L202" s="53">
        <v>9.7941780000000005</v>
      </c>
      <c r="M202" s="53">
        <v>2446.1918407000003</v>
      </c>
      <c r="N202" s="54">
        <v>2.10055163092423E-2</v>
      </c>
      <c r="O202" s="53">
        <v>-0.94499999999999995</v>
      </c>
      <c r="P202" s="30">
        <v>119.367</v>
      </c>
      <c r="Q202" s="30">
        <v>117.401</v>
      </c>
      <c r="R202" s="54">
        <v>1.674602430984411E-2</v>
      </c>
    </row>
    <row r="203" spans="1:18" x14ac:dyDescent="0.15">
      <c r="A203" s="31">
        <v>202</v>
      </c>
      <c r="B203" s="30">
        <v>128044</v>
      </c>
      <c r="C203" s="30" t="s">
        <v>130</v>
      </c>
      <c r="D203" s="30">
        <v>114.294</v>
      </c>
      <c r="E203" s="30">
        <v>0.57999999999999996</v>
      </c>
      <c r="F203" s="30">
        <v>3.43</v>
      </c>
      <c r="G203" s="30">
        <v>85.13</v>
      </c>
      <c r="H203" s="30">
        <v>34.26</v>
      </c>
      <c r="I203" s="51">
        <v>148.554</v>
      </c>
      <c r="J203" s="52">
        <v>45518</v>
      </c>
      <c r="K203" s="53">
        <v>2.14</v>
      </c>
      <c r="L203" s="53">
        <v>6.5742089999999997</v>
      </c>
      <c r="M203" s="53">
        <v>3135.5019736999998</v>
      </c>
      <c r="N203" s="54">
        <v>4.1729207772385354E-2</v>
      </c>
      <c r="O203" s="53">
        <v>-1.68</v>
      </c>
      <c r="P203" s="30">
        <v>114.369</v>
      </c>
      <c r="Q203" s="30">
        <v>113.617</v>
      </c>
      <c r="R203" s="54">
        <v>6.6187278312223987E-3</v>
      </c>
    </row>
    <row r="204" spans="1:18" x14ac:dyDescent="0.15">
      <c r="A204" s="31">
        <v>203</v>
      </c>
      <c r="B204" s="30">
        <v>128090</v>
      </c>
      <c r="C204" s="30" t="s">
        <v>121</v>
      </c>
      <c r="D204" s="30">
        <v>139.4</v>
      </c>
      <c r="E204" s="30">
        <v>-1.55</v>
      </c>
      <c r="F204" s="30">
        <v>4.2300000000000004</v>
      </c>
      <c r="G204" s="30">
        <v>103.78</v>
      </c>
      <c r="H204" s="30">
        <v>34.32</v>
      </c>
      <c r="I204" s="51">
        <v>173.72</v>
      </c>
      <c r="J204" s="52">
        <v>46018</v>
      </c>
      <c r="K204" s="53">
        <v>3.51</v>
      </c>
      <c r="L204" s="53">
        <v>3.0994130000000002</v>
      </c>
      <c r="M204" s="53">
        <v>125543.12714360001</v>
      </c>
      <c r="N204" s="54">
        <v>2.9056996307776353</v>
      </c>
      <c r="O204" s="53">
        <v>-5.5949999999999998</v>
      </c>
      <c r="P204" s="30">
        <v>143.69999999999999</v>
      </c>
      <c r="Q204" s="30">
        <v>137.001</v>
      </c>
      <c r="R204" s="54">
        <v>4.8897453303260438E-2</v>
      </c>
    </row>
    <row r="205" spans="1:18" x14ac:dyDescent="0.15">
      <c r="A205" s="31">
        <v>204</v>
      </c>
      <c r="B205" s="30">
        <v>128129</v>
      </c>
      <c r="C205" s="30" t="s">
        <v>1860</v>
      </c>
      <c r="D205" s="30">
        <v>103.869</v>
      </c>
      <c r="E205" s="30">
        <v>0.06</v>
      </c>
      <c r="F205" s="30">
        <v>4.32</v>
      </c>
      <c r="G205" s="30">
        <v>77.08</v>
      </c>
      <c r="H205" s="30">
        <v>34.75</v>
      </c>
      <c r="I205" s="51">
        <v>138.619</v>
      </c>
      <c r="J205" s="52">
        <v>46259</v>
      </c>
      <c r="K205" s="53">
        <v>4.17</v>
      </c>
      <c r="L205" s="53">
        <v>49.997459999999997</v>
      </c>
      <c r="M205" s="53">
        <v>3509.5239472000003</v>
      </c>
      <c r="N205" s="54">
        <v>6.757939789684691E-3</v>
      </c>
      <c r="O205" s="53">
        <v>1.8554999999999999</v>
      </c>
      <c r="P205" s="30">
        <v>104.04900000000001</v>
      </c>
      <c r="Q205" s="30">
        <v>103.59</v>
      </c>
      <c r="R205" s="54">
        <v>4.4309296264118461E-3</v>
      </c>
    </row>
    <row r="206" spans="1:18" x14ac:dyDescent="0.15">
      <c r="A206" s="31">
        <v>205</v>
      </c>
      <c r="B206" s="30">
        <v>127042</v>
      </c>
      <c r="C206" s="30" t="s">
        <v>93</v>
      </c>
      <c r="D206" s="30">
        <v>112.8</v>
      </c>
      <c r="E206" s="30">
        <v>0.08</v>
      </c>
      <c r="F206" s="30">
        <v>4.8600000000000003</v>
      </c>
      <c r="G206" s="30">
        <v>83.54</v>
      </c>
      <c r="H206" s="30">
        <v>35.03</v>
      </c>
      <c r="I206" s="51">
        <v>147.82999999999998</v>
      </c>
      <c r="J206" s="52">
        <v>46608</v>
      </c>
      <c r="K206" s="53">
        <v>5.1260000000000003</v>
      </c>
      <c r="L206" s="53">
        <v>7.4982360000000003</v>
      </c>
      <c r="M206" s="53">
        <v>1233.2716788</v>
      </c>
      <c r="N206" s="54">
        <v>1.458110889525188E-2</v>
      </c>
      <c r="O206" s="53">
        <v>0.74639999999999995</v>
      </c>
      <c r="P206" s="30">
        <v>113.1</v>
      </c>
      <c r="Q206" s="30">
        <v>112.407</v>
      </c>
      <c r="R206" s="54">
        <v>6.1650964797565801E-3</v>
      </c>
    </row>
    <row r="207" spans="1:18" x14ac:dyDescent="0.15">
      <c r="A207" s="31">
        <v>206</v>
      </c>
      <c r="B207" s="30">
        <v>113030</v>
      </c>
      <c r="C207" s="30" t="s">
        <v>96</v>
      </c>
      <c r="D207" s="30">
        <v>127</v>
      </c>
      <c r="E207" s="30">
        <v>1.7</v>
      </c>
      <c r="F207" s="30">
        <v>4.96</v>
      </c>
      <c r="G207" s="30">
        <v>93.95</v>
      </c>
      <c r="H207" s="30">
        <v>35.18</v>
      </c>
      <c r="I207" s="51">
        <v>162.18</v>
      </c>
      <c r="J207" s="52">
        <v>46015</v>
      </c>
      <c r="K207" s="53">
        <v>3.5009999999999999</v>
      </c>
      <c r="L207" s="53">
        <v>2.9510800000000001</v>
      </c>
      <c r="M207" s="53">
        <v>9113.9894000000004</v>
      </c>
      <c r="N207" s="54">
        <v>0.24317773853298494</v>
      </c>
      <c r="O207" s="53">
        <v>-2.5270000000000001</v>
      </c>
      <c r="P207" s="30">
        <v>129.44</v>
      </c>
      <c r="Q207" s="30">
        <v>124.87</v>
      </c>
      <c r="R207" s="54">
        <v>3.6598061984463789E-2</v>
      </c>
    </row>
    <row r="208" spans="1:18" x14ac:dyDescent="0.15">
      <c r="A208" s="31">
        <v>207</v>
      </c>
      <c r="B208" s="30">
        <v>123077</v>
      </c>
      <c r="C208" s="30" t="s">
        <v>213</v>
      </c>
      <c r="D208" s="30">
        <v>125</v>
      </c>
      <c r="E208" s="30">
        <v>1.48</v>
      </c>
      <c r="F208" s="30">
        <v>9.69</v>
      </c>
      <c r="G208" s="30">
        <v>92.36</v>
      </c>
      <c r="H208" s="30">
        <v>35.340000000000003</v>
      </c>
      <c r="I208" s="51">
        <v>160.34</v>
      </c>
      <c r="J208" s="52">
        <v>46349</v>
      </c>
      <c r="K208" s="53">
        <v>4.4160000000000004</v>
      </c>
      <c r="L208" s="53">
        <v>9.3675669999999993</v>
      </c>
      <c r="M208" s="53">
        <v>2793.7311279999999</v>
      </c>
      <c r="N208" s="54">
        <v>2.3858755452723212E-2</v>
      </c>
      <c r="O208" s="53">
        <v>1.84E-2</v>
      </c>
      <c r="P208" s="30">
        <v>125.45</v>
      </c>
      <c r="Q208" s="30">
        <v>123.173</v>
      </c>
      <c r="R208" s="54">
        <v>1.8486194214641205E-2</v>
      </c>
    </row>
    <row r="209" spans="1:18" x14ac:dyDescent="0.15">
      <c r="A209" s="31">
        <v>208</v>
      </c>
      <c r="B209" s="30">
        <v>127053</v>
      </c>
      <c r="C209" s="30" t="s">
        <v>790</v>
      </c>
      <c r="D209" s="30">
        <v>121.206</v>
      </c>
      <c r="E209" s="30">
        <v>-1.98</v>
      </c>
      <c r="F209" s="30">
        <v>21.29</v>
      </c>
      <c r="G209" s="30">
        <v>89.48</v>
      </c>
      <c r="H209" s="30">
        <v>35.46</v>
      </c>
      <c r="I209" s="51">
        <v>156.666</v>
      </c>
      <c r="J209" s="52">
        <v>46776</v>
      </c>
      <c r="K209" s="53">
        <v>5.5860000000000003</v>
      </c>
      <c r="L209" s="53">
        <v>8.24</v>
      </c>
      <c r="M209" s="53">
        <v>7446.7377102</v>
      </c>
      <c r="N209" s="54">
        <v>7.4561515488995783E-2</v>
      </c>
      <c r="O209" s="53">
        <v>0.41620000000000001</v>
      </c>
      <c r="P209" s="30">
        <v>124.76300000000001</v>
      </c>
      <c r="Q209" s="30">
        <v>120.71</v>
      </c>
      <c r="R209" s="54">
        <v>3.3576339988402051E-2</v>
      </c>
    </row>
    <row r="210" spans="1:18" x14ac:dyDescent="0.15">
      <c r="A210" s="31">
        <v>209</v>
      </c>
      <c r="B210" s="30">
        <v>113059</v>
      </c>
      <c r="C210" s="30" t="s">
        <v>2040</v>
      </c>
      <c r="D210" s="30">
        <v>128.06</v>
      </c>
      <c r="E210" s="30">
        <v>0.99</v>
      </c>
      <c r="F210" s="30">
        <v>43.94</v>
      </c>
      <c r="G210" s="30">
        <v>94.13</v>
      </c>
      <c r="H210" s="30">
        <v>36.049999999999997</v>
      </c>
      <c r="I210" s="51">
        <v>164.11</v>
      </c>
      <c r="J210" s="52">
        <v>46893</v>
      </c>
      <c r="K210" s="53">
        <v>5.907</v>
      </c>
      <c r="L210" s="53">
        <v>40</v>
      </c>
      <c r="M210" s="53">
        <v>12308.587799999999</v>
      </c>
      <c r="N210" s="54">
        <v>2.4028946977979072E-2</v>
      </c>
      <c r="O210" s="53">
        <v>-1.5267999999999999</v>
      </c>
      <c r="P210" s="30">
        <v>128.55000000000001</v>
      </c>
      <c r="Q210" s="30">
        <v>126.12</v>
      </c>
      <c r="R210" s="54">
        <v>1.9267364414843061E-2</v>
      </c>
    </row>
    <row r="211" spans="1:18" x14ac:dyDescent="0.15">
      <c r="A211" s="31">
        <v>210</v>
      </c>
      <c r="B211" s="30">
        <v>113024</v>
      </c>
      <c r="C211" s="30" t="s">
        <v>1855</v>
      </c>
      <c r="D211" s="30">
        <v>117.37</v>
      </c>
      <c r="E211" s="30">
        <v>-0.69</v>
      </c>
      <c r="F211" s="30">
        <v>9.6999999999999993</v>
      </c>
      <c r="G211" s="30">
        <v>86.19</v>
      </c>
      <c r="H211" s="30">
        <v>36.18</v>
      </c>
      <c r="I211" s="51">
        <v>153.55000000000001</v>
      </c>
      <c r="J211" s="52">
        <v>45755</v>
      </c>
      <c r="K211" s="53">
        <v>2.7890000000000001</v>
      </c>
      <c r="L211" s="53">
        <v>29.953800000000001</v>
      </c>
      <c r="M211" s="53">
        <v>1723.5672999999999</v>
      </c>
      <c r="N211" s="54">
        <v>4.9025182118055156E-3</v>
      </c>
      <c r="O211" s="53">
        <v>-2.8839000000000001</v>
      </c>
      <c r="P211" s="30">
        <v>118.8</v>
      </c>
      <c r="Q211" s="30">
        <v>117.3</v>
      </c>
      <c r="R211" s="54">
        <v>1.278772378516624E-2</v>
      </c>
    </row>
    <row r="212" spans="1:18" x14ac:dyDescent="0.15">
      <c r="A212" s="31">
        <v>211</v>
      </c>
      <c r="B212" s="30">
        <v>128097</v>
      </c>
      <c r="C212" s="30" t="s">
        <v>110</v>
      </c>
      <c r="D212" s="30">
        <v>119.19</v>
      </c>
      <c r="E212" s="30">
        <v>0.86</v>
      </c>
      <c r="F212" s="30">
        <v>10.09</v>
      </c>
      <c r="G212" s="30">
        <v>87.51</v>
      </c>
      <c r="H212" s="30">
        <v>36.200000000000003</v>
      </c>
      <c r="I212" s="51">
        <v>155.38999999999999</v>
      </c>
      <c r="J212" s="52">
        <v>46078</v>
      </c>
      <c r="K212" s="53">
        <v>3.6739999999999999</v>
      </c>
      <c r="L212" s="53">
        <v>4.5856839999999996</v>
      </c>
      <c r="M212" s="53">
        <v>2133.5842171999998</v>
      </c>
      <c r="N212" s="54">
        <v>3.9036048252442654E-2</v>
      </c>
      <c r="O212" s="53">
        <v>-1.1539999999999999</v>
      </c>
      <c r="P212" s="30">
        <v>119.828</v>
      </c>
      <c r="Q212" s="30">
        <v>117.5</v>
      </c>
      <c r="R212" s="54">
        <v>1.9812765957446833E-2</v>
      </c>
    </row>
    <row r="213" spans="1:18" x14ac:dyDescent="0.15">
      <c r="A213" s="31">
        <v>212</v>
      </c>
      <c r="B213" s="30">
        <v>123031</v>
      </c>
      <c r="C213" s="30" t="s">
        <v>2041</v>
      </c>
      <c r="D213" s="30">
        <v>387.38600000000002</v>
      </c>
      <c r="E213" s="30">
        <v>4.01</v>
      </c>
      <c r="F213" s="30">
        <v>6.25</v>
      </c>
      <c r="G213" s="30">
        <v>284.32</v>
      </c>
      <c r="H213" s="30">
        <v>36.25</v>
      </c>
      <c r="I213" s="51">
        <v>423.63600000000002</v>
      </c>
      <c r="J213" s="52">
        <v>45898</v>
      </c>
      <c r="K213" s="53">
        <v>3.181</v>
      </c>
      <c r="L213" s="53">
        <v>0.52995999999999999</v>
      </c>
      <c r="M213" s="53">
        <v>65752.172114000001</v>
      </c>
      <c r="N213" s="54">
        <v>3.2027503802523536</v>
      </c>
      <c r="O213" s="53">
        <v>-32.047699999999999</v>
      </c>
      <c r="P213" s="30">
        <v>389.35</v>
      </c>
      <c r="Q213" s="30">
        <v>371.8</v>
      </c>
      <c r="R213" s="54">
        <v>4.7202797202797235E-2</v>
      </c>
    </row>
    <row r="214" spans="1:18" x14ac:dyDescent="0.15">
      <c r="A214" s="31">
        <v>213</v>
      </c>
      <c r="B214" s="30">
        <v>123082</v>
      </c>
      <c r="C214" s="30" t="s">
        <v>75</v>
      </c>
      <c r="D214" s="30">
        <v>116.2</v>
      </c>
      <c r="E214" s="30">
        <v>0.41</v>
      </c>
      <c r="F214" s="30">
        <v>8.74</v>
      </c>
      <c r="G214" s="30">
        <v>85.13</v>
      </c>
      <c r="H214" s="30">
        <v>36.5</v>
      </c>
      <c r="I214" s="51">
        <v>152.69999999999999</v>
      </c>
      <c r="J214" s="52">
        <v>46363</v>
      </c>
      <c r="K214" s="53">
        <v>4.4550000000000001</v>
      </c>
      <c r="L214" s="53">
        <v>4.9930149999999998</v>
      </c>
      <c r="M214" s="53">
        <v>864.08753300000001</v>
      </c>
      <c r="N214" s="54">
        <v>1.4893224647224599E-2</v>
      </c>
      <c r="O214" s="53">
        <v>0.97250000000000003</v>
      </c>
      <c r="P214" s="30">
        <v>116.806</v>
      </c>
      <c r="Q214" s="30">
        <v>115.74</v>
      </c>
      <c r="R214" s="54">
        <v>9.2102989459132752E-3</v>
      </c>
    </row>
    <row r="215" spans="1:18" x14ac:dyDescent="0.15">
      <c r="A215" s="31">
        <v>214</v>
      </c>
      <c r="B215" s="30">
        <v>113579</v>
      </c>
      <c r="C215" s="30" t="s">
        <v>107</v>
      </c>
      <c r="D215" s="30">
        <v>124.9</v>
      </c>
      <c r="E215" s="30">
        <v>0.52</v>
      </c>
      <c r="F215" s="30">
        <v>32.19</v>
      </c>
      <c r="G215" s="30">
        <v>91.49</v>
      </c>
      <c r="H215" s="30">
        <v>36.520000000000003</v>
      </c>
      <c r="I215" s="51">
        <v>161.42000000000002</v>
      </c>
      <c r="J215" s="52">
        <v>46135</v>
      </c>
      <c r="K215" s="53">
        <v>3.83</v>
      </c>
      <c r="L215" s="53">
        <v>5.0250199999999996</v>
      </c>
      <c r="M215" s="53">
        <v>634.47239999999999</v>
      </c>
      <c r="N215" s="54">
        <v>1.0109100211460985E-2</v>
      </c>
      <c r="O215" s="53">
        <v>-2.5552000000000001</v>
      </c>
      <c r="P215" s="30">
        <v>125.37</v>
      </c>
      <c r="Q215" s="30">
        <v>124.2</v>
      </c>
      <c r="R215" s="54">
        <v>9.4202898550724765E-3</v>
      </c>
    </row>
    <row r="216" spans="1:18" x14ac:dyDescent="0.15">
      <c r="A216" s="31">
        <v>215</v>
      </c>
      <c r="B216" s="30">
        <v>113013</v>
      </c>
      <c r="C216" s="30" t="s">
        <v>1861</v>
      </c>
      <c r="D216" s="30">
        <v>112.9</v>
      </c>
      <c r="E216" s="30">
        <v>0.76</v>
      </c>
      <c r="F216" s="30">
        <v>18.45</v>
      </c>
      <c r="G216" s="30">
        <v>82.38</v>
      </c>
      <c r="H216" s="30">
        <v>37.049999999999997</v>
      </c>
      <c r="I216" s="51">
        <v>149.94999999999999</v>
      </c>
      <c r="J216" s="52">
        <v>45114</v>
      </c>
      <c r="K216" s="53">
        <v>1.0329999999999999</v>
      </c>
      <c r="L216" s="53">
        <v>69.901759999999996</v>
      </c>
      <c r="M216" s="53">
        <v>6295.3407999999999</v>
      </c>
      <c r="N216" s="54">
        <v>7.9769559381866872E-3</v>
      </c>
      <c r="O216" s="53">
        <v>-5.3038999999999996</v>
      </c>
      <c r="P216" s="30">
        <v>113</v>
      </c>
      <c r="Q216" s="30">
        <v>112.03</v>
      </c>
      <c r="R216" s="54">
        <v>8.6583950727483604E-3</v>
      </c>
    </row>
    <row r="217" spans="1:18" x14ac:dyDescent="0.15">
      <c r="A217" s="31">
        <v>216</v>
      </c>
      <c r="B217" s="30">
        <v>110086</v>
      </c>
      <c r="C217" s="30" t="s">
        <v>1846</v>
      </c>
      <c r="D217" s="30">
        <v>118.05</v>
      </c>
      <c r="E217" s="30">
        <v>0.34</v>
      </c>
      <c r="F217" s="30">
        <v>5</v>
      </c>
      <c r="G217" s="30">
        <v>85.8</v>
      </c>
      <c r="H217" s="30">
        <v>37.590000000000003</v>
      </c>
      <c r="I217" s="51">
        <v>155.63999999999999</v>
      </c>
      <c r="J217" s="52">
        <v>46865</v>
      </c>
      <c r="K217" s="53">
        <v>5.83</v>
      </c>
      <c r="L217" s="53">
        <v>20</v>
      </c>
      <c r="M217" s="53">
        <v>1476.2620999999999</v>
      </c>
      <c r="N217" s="54">
        <v>6.2526984328674286E-3</v>
      </c>
      <c r="O217" s="53">
        <v>-0.14080000000000001</v>
      </c>
      <c r="P217" s="30">
        <v>118.34</v>
      </c>
      <c r="Q217" s="30">
        <v>117.47</v>
      </c>
      <c r="R217" s="54">
        <v>7.4061462501064492E-3</v>
      </c>
    </row>
    <row r="218" spans="1:18" x14ac:dyDescent="0.15">
      <c r="A218" s="31">
        <v>217</v>
      </c>
      <c r="B218" s="30">
        <v>127005</v>
      </c>
      <c r="C218" s="30" t="s">
        <v>1864</v>
      </c>
      <c r="D218" s="30">
        <v>115.501</v>
      </c>
      <c r="E218" s="30">
        <v>1.32</v>
      </c>
      <c r="F218" s="30">
        <v>7.13</v>
      </c>
      <c r="G218" s="30">
        <v>83.87</v>
      </c>
      <c r="H218" s="30">
        <v>37.71</v>
      </c>
      <c r="I218" s="51">
        <v>153.21100000000001</v>
      </c>
      <c r="J218" s="52">
        <v>45363</v>
      </c>
      <c r="K218" s="53">
        <v>1.7150000000000001</v>
      </c>
      <c r="L218" s="53">
        <v>49.964184000000003</v>
      </c>
      <c r="M218" s="53">
        <v>4773.1347983999995</v>
      </c>
      <c r="N218" s="54">
        <v>8.2710216210047632E-3</v>
      </c>
      <c r="O218" s="53">
        <v>-4.4992999999999999</v>
      </c>
      <c r="P218" s="30">
        <v>115.8</v>
      </c>
      <c r="Q218" s="30">
        <v>114.065</v>
      </c>
      <c r="R218" s="54">
        <v>1.5210625520536531E-2</v>
      </c>
    </row>
    <row r="219" spans="1:18" x14ac:dyDescent="0.15">
      <c r="A219" s="31">
        <v>218</v>
      </c>
      <c r="B219" s="30">
        <v>113644</v>
      </c>
      <c r="C219" s="30" t="s">
        <v>1881</v>
      </c>
      <c r="D219" s="30">
        <v>116.51</v>
      </c>
      <c r="E219" s="30">
        <v>0.6</v>
      </c>
      <c r="F219" s="30">
        <v>23.84</v>
      </c>
      <c r="G219" s="30">
        <v>84.31</v>
      </c>
      <c r="H219" s="30">
        <v>38.19</v>
      </c>
      <c r="I219" s="51">
        <v>154.69999999999999</v>
      </c>
      <c r="J219" s="52">
        <v>46858</v>
      </c>
      <c r="K219" s="53">
        <v>5.8109999999999999</v>
      </c>
      <c r="L219" s="53">
        <v>10</v>
      </c>
      <c r="M219" s="53">
        <v>1831.1941999999999</v>
      </c>
      <c r="N219" s="54">
        <v>1.5717056046691269E-2</v>
      </c>
      <c r="O219" s="53">
        <v>0.5615</v>
      </c>
      <c r="P219" s="30">
        <v>117.02</v>
      </c>
      <c r="Q219" s="30">
        <v>115.38</v>
      </c>
      <c r="R219" s="54">
        <v>1.4213901889408916E-2</v>
      </c>
    </row>
    <row r="220" spans="1:18" x14ac:dyDescent="0.15">
      <c r="A220" s="31">
        <v>219</v>
      </c>
      <c r="B220" s="30">
        <v>127025</v>
      </c>
      <c r="C220" s="30" t="s">
        <v>1867</v>
      </c>
      <c r="D220" s="30">
        <v>112</v>
      </c>
      <c r="E220" s="30">
        <v>0.13</v>
      </c>
      <c r="F220" s="30">
        <v>13.26</v>
      </c>
      <c r="G220" s="30">
        <v>80.540000000000006</v>
      </c>
      <c r="H220" s="30">
        <v>39.06</v>
      </c>
      <c r="I220" s="51">
        <v>151.06</v>
      </c>
      <c r="J220" s="52">
        <v>46331</v>
      </c>
      <c r="K220" s="53">
        <v>4.367</v>
      </c>
      <c r="L220" s="53">
        <v>17.76455</v>
      </c>
      <c r="M220" s="53">
        <v>2357.0338504000001</v>
      </c>
      <c r="N220" s="54">
        <v>1.1846596222734122E-2</v>
      </c>
      <c r="O220" s="53">
        <v>-0.43940000000000001</v>
      </c>
      <c r="P220" s="30">
        <v>112.9</v>
      </c>
      <c r="Q220" s="30">
        <v>111.854</v>
      </c>
      <c r="R220" s="54">
        <v>9.3514760312550863E-3</v>
      </c>
    </row>
    <row r="221" spans="1:18" x14ac:dyDescent="0.15">
      <c r="A221" s="31">
        <v>220</v>
      </c>
      <c r="B221" s="30">
        <v>127016</v>
      </c>
      <c r="C221" s="30" t="s">
        <v>1854</v>
      </c>
      <c r="D221" s="30">
        <v>115.005</v>
      </c>
      <c r="E221" s="30">
        <v>0.18</v>
      </c>
      <c r="F221" s="30">
        <v>8.61</v>
      </c>
      <c r="G221" s="30">
        <v>82.69</v>
      </c>
      <c r="H221" s="30">
        <v>39.08</v>
      </c>
      <c r="I221" s="51">
        <v>154.08499999999998</v>
      </c>
      <c r="J221" s="52">
        <v>46121</v>
      </c>
      <c r="K221" s="53">
        <v>3.7919999999999998</v>
      </c>
      <c r="L221" s="53">
        <v>13.998533999999999</v>
      </c>
      <c r="M221" s="53">
        <v>1685.3960182000001</v>
      </c>
      <c r="N221" s="54">
        <v>1.0468939373583955E-2</v>
      </c>
      <c r="O221" s="53">
        <v>6.88E-2</v>
      </c>
      <c r="P221" s="30">
        <v>115.38</v>
      </c>
      <c r="Q221" s="30">
        <v>114.08499999999999</v>
      </c>
      <c r="R221" s="54">
        <v>1.1351185519568758E-2</v>
      </c>
    </row>
    <row r="222" spans="1:18" x14ac:dyDescent="0.15">
      <c r="A222" s="31">
        <v>221</v>
      </c>
      <c r="B222" s="30">
        <v>128101</v>
      </c>
      <c r="C222" s="30" t="s">
        <v>2042</v>
      </c>
      <c r="D222" s="30">
        <v>150.79</v>
      </c>
      <c r="E222" s="30">
        <v>3.84</v>
      </c>
      <c r="F222" s="30">
        <v>13.72</v>
      </c>
      <c r="G222" s="30">
        <v>108.16</v>
      </c>
      <c r="H222" s="30">
        <v>39.409999999999997</v>
      </c>
      <c r="I222" s="51">
        <v>190.2</v>
      </c>
      <c r="J222" s="52">
        <v>46097</v>
      </c>
      <c r="K222" s="53">
        <v>3.726</v>
      </c>
      <c r="L222" s="53">
        <v>2.9944609999999998</v>
      </c>
      <c r="M222" s="53">
        <v>82609.004405999993</v>
      </c>
      <c r="N222" s="54">
        <v>1.8295158895389791</v>
      </c>
      <c r="O222" s="53">
        <v>-7.2798999999999996</v>
      </c>
      <c r="P222" s="30">
        <v>159.40299999999999</v>
      </c>
      <c r="Q222" s="30">
        <v>145</v>
      </c>
      <c r="R222" s="54">
        <v>9.9331034482758568E-2</v>
      </c>
    </row>
    <row r="223" spans="1:18" x14ac:dyDescent="0.15">
      <c r="A223" s="31">
        <v>222</v>
      </c>
      <c r="B223" s="30">
        <v>128071</v>
      </c>
      <c r="C223" s="30" t="s">
        <v>88</v>
      </c>
      <c r="D223" s="30">
        <v>115.25</v>
      </c>
      <c r="E223" s="30">
        <v>0.3</v>
      </c>
      <c r="F223" s="30">
        <v>4.18</v>
      </c>
      <c r="G223" s="30">
        <v>82.54</v>
      </c>
      <c r="H223" s="30">
        <v>39.630000000000003</v>
      </c>
      <c r="I223" s="51">
        <v>154.88</v>
      </c>
      <c r="J223" s="52">
        <v>45885</v>
      </c>
      <c r="K223" s="53">
        <v>3.145</v>
      </c>
      <c r="L223" s="53">
        <v>2.999336</v>
      </c>
      <c r="M223" s="53">
        <v>462.69846660000002</v>
      </c>
      <c r="N223" s="54">
        <v>1.3385420097348865E-2</v>
      </c>
      <c r="O223" s="53">
        <v>-0.26840000000000003</v>
      </c>
      <c r="P223" s="30">
        <v>115.70699999999999</v>
      </c>
      <c r="Q223" s="30">
        <v>114.35</v>
      </c>
      <c r="R223" s="54">
        <v>1.1867074770441622E-2</v>
      </c>
    </row>
    <row r="224" spans="1:18" x14ac:dyDescent="0.15">
      <c r="A224" s="31">
        <v>223</v>
      </c>
      <c r="B224" s="30">
        <v>113621</v>
      </c>
      <c r="C224" s="30" t="s">
        <v>245</v>
      </c>
      <c r="D224" s="30">
        <v>136.02000000000001</v>
      </c>
      <c r="E224" s="30">
        <v>5.21</v>
      </c>
      <c r="F224" s="30">
        <v>32.619999999999997</v>
      </c>
      <c r="G224" s="30">
        <v>97.39</v>
      </c>
      <c r="H224" s="30">
        <v>39.67</v>
      </c>
      <c r="I224" s="51">
        <v>175.69</v>
      </c>
      <c r="J224" s="52">
        <v>46413</v>
      </c>
      <c r="K224" s="53">
        <v>4.5919999999999996</v>
      </c>
      <c r="L224" s="53">
        <v>5.3671432979999993</v>
      </c>
      <c r="M224" s="53">
        <v>207546.4535</v>
      </c>
      <c r="N224" s="54">
        <v>2.8429508756911468</v>
      </c>
      <c r="O224" s="53">
        <v>-3.6886000000000001</v>
      </c>
      <c r="P224" s="30">
        <v>149.4</v>
      </c>
      <c r="Q224" s="30">
        <v>129.72</v>
      </c>
      <c r="R224" s="54">
        <v>0.15171137835337656</v>
      </c>
    </row>
    <row r="225" spans="1:18" x14ac:dyDescent="0.15">
      <c r="A225" s="31">
        <v>224</v>
      </c>
      <c r="B225" s="30">
        <v>123139</v>
      </c>
      <c r="C225" s="30" t="s">
        <v>785</v>
      </c>
      <c r="D225" s="30">
        <v>175.3</v>
      </c>
      <c r="E225" s="30">
        <v>-2.11</v>
      </c>
      <c r="F225" s="30">
        <v>76.2</v>
      </c>
      <c r="G225" s="30">
        <v>125.5</v>
      </c>
      <c r="H225" s="30">
        <v>39.68</v>
      </c>
      <c r="I225" s="51">
        <v>214.98000000000002</v>
      </c>
      <c r="J225" s="52">
        <v>46823</v>
      </c>
      <c r="K225" s="53">
        <v>5.7149999999999999</v>
      </c>
      <c r="L225" s="53">
        <v>4.3</v>
      </c>
      <c r="M225" s="53">
        <v>24594.320611499999</v>
      </c>
      <c r="N225" s="54">
        <v>0.3262754959803128</v>
      </c>
      <c r="O225" s="53">
        <v>-6.3242000000000003</v>
      </c>
      <c r="P225" s="30">
        <v>179</v>
      </c>
      <c r="Q225" s="30">
        <v>174.33</v>
      </c>
      <c r="R225" s="54">
        <v>2.6788275110422689E-2</v>
      </c>
    </row>
    <row r="226" spans="1:18" x14ac:dyDescent="0.15">
      <c r="A226" s="31">
        <v>225</v>
      </c>
      <c r="B226" s="30">
        <v>110060</v>
      </c>
      <c r="C226" s="30" t="s">
        <v>212</v>
      </c>
      <c r="D226" s="30">
        <v>114.5</v>
      </c>
      <c r="E226" s="30">
        <v>0.46</v>
      </c>
      <c r="F226" s="30">
        <v>7.08</v>
      </c>
      <c r="G226" s="30">
        <v>81.92</v>
      </c>
      <c r="H226" s="30">
        <v>39.770000000000003</v>
      </c>
      <c r="I226" s="51">
        <v>154.27000000000001</v>
      </c>
      <c r="J226" s="52">
        <v>45958</v>
      </c>
      <c r="K226" s="53">
        <v>3.3450000000000002</v>
      </c>
      <c r="L226" s="53">
        <v>7.0625299999999998</v>
      </c>
      <c r="M226" s="53">
        <v>1395.9991</v>
      </c>
      <c r="N226" s="54">
        <v>1.7263122249008864E-2</v>
      </c>
      <c r="O226" s="53">
        <v>-5.33E-2</v>
      </c>
      <c r="P226" s="30">
        <v>114.55</v>
      </c>
      <c r="Q226" s="30">
        <v>113.92</v>
      </c>
      <c r="R226" s="54">
        <v>5.5301966292134429E-3</v>
      </c>
    </row>
    <row r="227" spans="1:18" x14ac:dyDescent="0.15">
      <c r="A227" s="31">
        <v>226</v>
      </c>
      <c r="B227" s="30">
        <v>118003</v>
      </c>
      <c r="C227" s="30" t="s">
        <v>250</v>
      </c>
      <c r="D227" s="30">
        <v>127.36</v>
      </c>
      <c r="E227" s="30">
        <v>1.55</v>
      </c>
      <c r="F227" s="30">
        <v>31</v>
      </c>
      <c r="G227" s="30">
        <v>91.06</v>
      </c>
      <c r="H227" s="30">
        <v>39.86</v>
      </c>
      <c r="I227" s="51">
        <v>167.22</v>
      </c>
      <c r="J227" s="52">
        <v>46720</v>
      </c>
      <c r="K227" s="53">
        <v>5.4329999999999998</v>
      </c>
      <c r="L227" s="53">
        <v>7.9993499999999997</v>
      </c>
      <c r="M227" s="53">
        <v>4445.1553000000004</v>
      </c>
      <c r="N227" s="54">
        <v>4.3631404073251813E-2</v>
      </c>
      <c r="O227" s="53">
        <v>-1.8775999999999999</v>
      </c>
      <c r="P227" s="30">
        <v>127.54</v>
      </c>
      <c r="Q227" s="30">
        <v>124.45</v>
      </c>
      <c r="R227" s="54">
        <v>2.4829248694254749E-2</v>
      </c>
    </row>
    <row r="228" spans="1:18" x14ac:dyDescent="0.15">
      <c r="A228" s="31">
        <v>227</v>
      </c>
      <c r="B228" s="30">
        <v>127033</v>
      </c>
      <c r="C228" s="30" t="s">
        <v>1845</v>
      </c>
      <c r="D228" s="30">
        <v>114.369</v>
      </c>
      <c r="E228" s="30">
        <v>0.72</v>
      </c>
      <c r="F228" s="30">
        <v>6.31</v>
      </c>
      <c r="G228" s="30">
        <v>81.77</v>
      </c>
      <c r="H228" s="30">
        <v>39.869999999999997</v>
      </c>
      <c r="I228" s="51">
        <v>154.239</v>
      </c>
      <c r="J228" s="52">
        <v>46493</v>
      </c>
      <c r="K228" s="53">
        <v>4.8109999999999999</v>
      </c>
      <c r="L228" s="53">
        <v>11.594339</v>
      </c>
      <c r="M228" s="53">
        <v>2182.4767425999999</v>
      </c>
      <c r="N228" s="54">
        <v>1.645869155007907E-2</v>
      </c>
      <c r="O228" s="53">
        <v>0.44569999999999999</v>
      </c>
      <c r="P228" s="30">
        <v>114.369</v>
      </c>
      <c r="Q228" s="30">
        <v>113.41</v>
      </c>
      <c r="R228" s="54">
        <v>8.4560444405255546E-3</v>
      </c>
    </row>
    <row r="229" spans="1:18" x14ac:dyDescent="0.15">
      <c r="A229" s="31">
        <v>228</v>
      </c>
      <c r="B229" s="30">
        <v>113054</v>
      </c>
      <c r="C229" s="30" t="s">
        <v>1868</v>
      </c>
      <c r="D229" s="30">
        <v>109</v>
      </c>
      <c r="E229" s="30">
        <v>0.43</v>
      </c>
      <c r="F229" s="30">
        <v>9.82</v>
      </c>
      <c r="G229" s="30">
        <v>77.900000000000006</v>
      </c>
      <c r="H229" s="30">
        <v>39.92</v>
      </c>
      <c r="I229" s="51">
        <v>148.92000000000002</v>
      </c>
      <c r="J229" s="52">
        <v>46808</v>
      </c>
      <c r="K229" s="53">
        <v>5.6740000000000004</v>
      </c>
      <c r="L229" s="53">
        <v>23.6</v>
      </c>
      <c r="M229" s="53">
        <v>4612.4715999999999</v>
      </c>
      <c r="N229" s="54">
        <v>1.793061576737677E-2</v>
      </c>
      <c r="O229" s="53">
        <v>0.72570000000000001</v>
      </c>
      <c r="P229" s="30">
        <v>109.12</v>
      </c>
      <c r="Q229" s="30">
        <v>107.91</v>
      </c>
      <c r="R229" s="54">
        <v>1.1213047910295692E-2</v>
      </c>
    </row>
    <row r="230" spans="1:18" x14ac:dyDescent="0.15">
      <c r="A230" s="31">
        <v>229</v>
      </c>
      <c r="B230" s="30">
        <v>123133</v>
      </c>
      <c r="C230" s="30" t="s">
        <v>275</v>
      </c>
      <c r="D230" s="30">
        <v>126.70099999999999</v>
      </c>
      <c r="E230" s="30">
        <v>0.56000000000000005</v>
      </c>
      <c r="F230" s="30">
        <v>19.89</v>
      </c>
      <c r="G230" s="30">
        <v>90.55</v>
      </c>
      <c r="H230" s="30">
        <v>39.92</v>
      </c>
      <c r="I230" s="51">
        <v>166.62099999999998</v>
      </c>
      <c r="J230" s="52">
        <v>46743</v>
      </c>
      <c r="K230" s="53">
        <v>5.4960000000000004</v>
      </c>
      <c r="L230" s="53">
        <v>7.2</v>
      </c>
      <c r="M230" s="53">
        <v>1580.2904271</v>
      </c>
      <c r="N230" s="54">
        <v>1.7323050452772014E-2</v>
      </c>
      <c r="O230" s="53">
        <v>-0.92549999999999999</v>
      </c>
      <c r="P230" s="30">
        <v>126.777</v>
      </c>
      <c r="Q230" s="30">
        <v>125.425</v>
      </c>
      <c r="R230" s="54">
        <v>1.0779350209288451E-2</v>
      </c>
    </row>
    <row r="231" spans="1:18" x14ac:dyDescent="0.15">
      <c r="A231" s="31">
        <v>230</v>
      </c>
      <c r="B231" s="30">
        <v>113058</v>
      </c>
      <c r="C231" s="30" t="s">
        <v>1852</v>
      </c>
      <c r="D231" s="30">
        <v>116.02</v>
      </c>
      <c r="E231" s="30">
        <v>-0.35</v>
      </c>
      <c r="F231" s="30">
        <v>9.39</v>
      </c>
      <c r="G231" s="30">
        <v>82.85</v>
      </c>
      <c r="H231" s="30">
        <v>40.04</v>
      </c>
      <c r="I231" s="51">
        <v>156.06</v>
      </c>
      <c r="J231" s="52">
        <v>46842</v>
      </c>
      <c r="K231" s="53">
        <v>5.7670000000000003</v>
      </c>
      <c r="L231" s="53">
        <v>20</v>
      </c>
      <c r="M231" s="53">
        <v>1006.5354</v>
      </c>
      <c r="N231" s="54">
        <v>4.3377667643509739E-3</v>
      </c>
      <c r="O231" s="53">
        <v>0.16350000000000001</v>
      </c>
      <c r="P231" s="30">
        <v>116.68</v>
      </c>
      <c r="Q231" s="30">
        <v>115.59</v>
      </c>
      <c r="R231" s="54">
        <v>9.4298814776365026E-3</v>
      </c>
    </row>
    <row r="232" spans="1:18" x14ac:dyDescent="0.15">
      <c r="A232" s="31">
        <v>231</v>
      </c>
      <c r="B232" s="30">
        <v>123132</v>
      </c>
      <c r="C232" s="30" t="s">
        <v>251</v>
      </c>
      <c r="D232" s="30">
        <v>123.32</v>
      </c>
      <c r="E232" s="30">
        <v>1.5</v>
      </c>
      <c r="F232" s="30">
        <v>28</v>
      </c>
      <c r="G232" s="30">
        <v>88.04</v>
      </c>
      <c r="H232" s="30">
        <v>40.07</v>
      </c>
      <c r="I232" s="51">
        <v>163.38999999999999</v>
      </c>
      <c r="J232" s="52">
        <v>46738</v>
      </c>
      <c r="K232" s="53">
        <v>5.4820000000000002</v>
      </c>
      <c r="L232" s="53">
        <v>6.9999900000000004</v>
      </c>
      <c r="M232" s="53">
        <v>3065.3653397999997</v>
      </c>
      <c r="N232" s="54">
        <v>3.5510051884755089E-2</v>
      </c>
      <c r="O232" s="53">
        <v>-0.35249999999999998</v>
      </c>
      <c r="P232" s="30">
        <v>125.43</v>
      </c>
      <c r="Q232" s="30">
        <v>121.30200000000001</v>
      </c>
      <c r="R232" s="54">
        <v>3.4030766186872431E-2</v>
      </c>
    </row>
    <row r="233" spans="1:18" x14ac:dyDescent="0.15">
      <c r="A233" s="31">
        <v>232</v>
      </c>
      <c r="B233" s="30">
        <v>113628</v>
      </c>
      <c r="C233" s="30" t="s">
        <v>226</v>
      </c>
      <c r="D233" s="30">
        <v>110.62</v>
      </c>
      <c r="E233" s="30">
        <v>0.68</v>
      </c>
      <c r="F233" s="30">
        <v>13.06</v>
      </c>
      <c r="G233" s="30">
        <v>78.94</v>
      </c>
      <c r="H233" s="30">
        <v>40.130000000000003</v>
      </c>
      <c r="I233" s="51">
        <v>150.75</v>
      </c>
      <c r="J233" s="52">
        <v>46622</v>
      </c>
      <c r="K233" s="53">
        <v>5.1639999999999997</v>
      </c>
      <c r="L233" s="53">
        <v>4.1498100000000004</v>
      </c>
      <c r="M233" s="53">
        <v>958.13030000000003</v>
      </c>
      <c r="N233" s="54">
        <v>2.0871934707877186E-2</v>
      </c>
      <c r="O233" s="53">
        <v>1.9112</v>
      </c>
      <c r="P233" s="30">
        <v>110.87</v>
      </c>
      <c r="Q233" s="30">
        <v>109.88</v>
      </c>
      <c r="R233" s="54">
        <v>9.0098289042592743E-3</v>
      </c>
    </row>
    <row r="234" spans="1:18" x14ac:dyDescent="0.15">
      <c r="A234" s="31">
        <v>233</v>
      </c>
      <c r="B234" s="30">
        <v>113052</v>
      </c>
      <c r="C234" s="30" t="s">
        <v>1862</v>
      </c>
      <c r="D234" s="30">
        <v>109.92</v>
      </c>
      <c r="E234" s="30">
        <v>0.01</v>
      </c>
      <c r="F234" s="30">
        <v>24.48</v>
      </c>
      <c r="G234" s="30">
        <v>78.39</v>
      </c>
      <c r="H234" s="30">
        <v>40.22</v>
      </c>
      <c r="I234" s="51">
        <v>150.13999999999999</v>
      </c>
      <c r="J234" s="52">
        <v>46748</v>
      </c>
      <c r="K234" s="53">
        <v>5.51</v>
      </c>
      <c r="L234" s="53">
        <v>500</v>
      </c>
      <c r="M234" s="53">
        <v>31372.115000000002</v>
      </c>
      <c r="N234" s="54">
        <v>5.708172307132461E-3</v>
      </c>
      <c r="O234" s="53">
        <v>0.74029999999999996</v>
      </c>
      <c r="P234" s="30">
        <v>110.5</v>
      </c>
      <c r="Q234" s="30">
        <v>109.71</v>
      </c>
      <c r="R234" s="54">
        <v>7.2008021146659947E-3</v>
      </c>
    </row>
    <row r="235" spans="1:18" x14ac:dyDescent="0.15">
      <c r="A235" s="31">
        <v>234</v>
      </c>
      <c r="B235" s="30">
        <v>113601</v>
      </c>
      <c r="C235" s="30" t="s">
        <v>65</v>
      </c>
      <c r="D235" s="30">
        <v>114.64</v>
      </c>
      <c r="E235" s="30">
        <v>0.46</v>
      </c>
      <c r="F235" s="30">
        <v>16.98</v>
      </c>
      <c r="G235" s="30">
        <v>81.63</v>
      </c>
      <c r="H235" s="30">
        <v>40.44</v>
      </c>
      <c r="I235" s="51">
        <v>155.07999999999998</v>
      </c>
      <c r="J235" s="52">
        <v>46255</v>
      </c>
      <c r="K235" s="53">
        <v>4.1589999999999998</v>
      </c>
      <c r="L235" s="53">
        <v>5.4289199999999997</v>
      </c>
      <c r="M235" s="53">
        <v>2019.8233</v>
      </c>
      <c r="N235" s="54">
        <v>3.2453665710668995E-2</v>
      </c>
      <c r="O235" s="53">
        <v>1.2965</v>
      </c>
      <c r="P235" s="30">
        <v>114.89</v>
      </c>
      <c r="Q235" s="30">
        <v>114</v>
      </c>
      <c r="R235" s="54">
        <v>7.8070175438596538E-3</v>
      </c>
    </row>
    <row r="236" spans="1:18" x14ac:dyDescent="0.15">
      <c r="A236" s="31">
        <v>235</v>
      </c>
      <c r="B236" s="30">
        <v>113524</v>
      </c>
      <c r="C236" s="30" t="s">
        <v>219</v>
      </c>
      <c r="D236" s="30">
        <v>121.23</v>
      </c>
      <c r="E236" s="30">
        <v>3.47</v>
      </c>
      <c r="F236" s="30">
        <v>13.68</v>
      </c>
      <c r="G236" s="30">
        <v>86.26</v>
      </c>
      <c r="H236" s="30">
        <v>40.54</v>
      </c>
      <c r="I236" s="51">
        <v>161.77000000000001</v>
      </c>
      <c r="J236" s="52">
        <v>45640</v>
      </c>
      <c r="K236" s="53">
        <v>2.4740000000000002</v>
      </c>
      <c r="L236" s="53">
        <v>3.2980100000000001</v>
      </c>
      <c r="M236" s="53">
        <v>20893.578699999998</v>
      </c>
      <c r="N236" s="54">
        <v>0.5225775638977298</v>
      </c>
      <c r="O236" s="53">
        <v>-1.6899</v>
      </c>
      <c r="P236" s="30">
        <v>128</v>
      </c>
      <c r="Q236" s="30">
        <v>117.18</v>
      </c>
      <c r="R236" s="54">
        <v>9.2336576207543888E-2</v>
      </c>
    </row>
    <row r="237" spans="1:18" x14ac:dyDescent="0.15">
      <c r="A237" s="31">
        <v>236</v>
      </c>
      <c r="B237" s="30">
        <v>128023</v>
      </c>
      <c r="C237" s="30" t="s">
        <v>211</v>
      </c>
      <c r="D237" s="30">
        <v>126.926</v>
      </c>
      <c r="E237" s="30">
        <v>2.11</v>
      </c>
      <c r="F237" s="30">
        <v>10.24</v>
      </c>
      <c r="G237" s="30">
        <v>90.23</v>
      </c>
      <c r="H237" s="30">
        <v>40.67</v>
      </c>
      <c r="I237" s="51">
        <v>167.596</v>
      </c>
      <c r="J237" s="52">
        <v>45264</v>
      </c>
      <c r="K237" s="53">
        <v>1.444</v>
      </c>
      <c r="L237" s="53">
        <v>9.9863879999999998</v>
      </c>
      <c r="M237" s="53">
        <v>16060.123337000001</v>
      </c>
      <c r="N237" s="54">
        <v>0.12670386031778039</v>
      </c>
      <c r="O237" s="53">
        <v>-9.6328999999999994</v>
      </c>
      <c r="P237" s="30">
        <v>127.31</v>
      </c>
      <c r="Q237" s="30">
        <v>123.55</v>
      </c>
      <c r="R237" s="54">
        <v>3.0433023067584015E-2</v>
      </c>
    </row>
    <row r="238" spans="1:18" x14ac:dyDescent="0.15">
      <c r="A238" s="31">
        <v>237</v>
      </c>
      <c r="B238" s="30">
        <v>127056</v>
      </c>
      <c r="C238" s="30" t="s">
        <v>1875</v>
      </c>
      <c r="D238" s="30">
        <v>118.7</v>
      </c>
      <c r="E238" s="30">
        <v>0.43</v>
      </c>
      <c r="F238" s="30">
        <v>24.2</v>
      </c>
      <c r="G238" s="30">
        <v>84.05</v>
      </c>
      <c r="H238" s="30">
        <v>41.23</v>
      </c>
      <c r="I238" s="51">
        <v>159.93</v>
      </c>
      <c r="J238" s="52">
        <v>46808</v>
      </c>
      <c r="K238" s="53">
        <v>5.6740000000000004</v>
      </c>
      <c r="L238" s="53">
        <v>50</v>
      </c>
      <c r="M238" s="53">
        <v>4092.0583763999998</v>
      </c>
      <c r="N238" s="54">
        <v>6.8947908616680698E-3</v>
      </c>
      <c r="O238" s="53">
        <v>-1.2879</v>
      </c>
      <c r="P238" s="30">
        <v>119.857</v>
      </c>
      <c r="Q238" s="30">
        <v>117.5</v>
      </c>
      <c r="R238" s="54">
        <v>2.0059574468085102E-2</v>
      </c>
    </row>
    <row r="239" spans="1:18" x14ac:dyDescent="0.15">
      <c r="A239" s="31">
        <v>238</v>
      </c>
      <c r="B239" s="30">
        <v>127054</v>
      </c>
      <c r="C239" s="30" t="s">
        <v>782</v>
      </c>
      <c r="D239" s="30">
        <v>115.3</v>
      </c>
      <c r="E239" s="30">
        <v>0.72</v>
      </c>
      <c r="F239" s="30">
        <v>7.71</v>
      </c>
      <c r="G239" s="30">
        <v>81.58</v>
      </c>
      <c r="H239" s="30">
        <v>41.33</v>
      </c>
      <c r="I239" s="51">
        <v>156.63</v>
      </c>
      <c r="J239" s="52">
        <v>46794</v>
      </c>
      <c r="K239" s="53">
        <v>5.6360000000000001</v>
      </c>
      <c r="L239" s="53">
        <v>5.1364000000000001</v>
      </c>
      <c r="M239" s="53">
        <v>686.62380740000003</v>
      </c>
      <c r="N239" s="54">
        <v>1.1593931045890316E-2</v>
      </c>
      <c r="O239" s="53">
        <v>0.27989999999999998</v>
      </c>
      <c r="P239" s="30">
        <v>115.38</v>
      </c>
      <c r="Q239" s="30">
        <v>114.3</v>
      </c>
      <c r="R239" s="54">
        <v>9.4488188976377813E-3</v>
      </c>
    </row>
    <row r="240" spans="1:18" x14ac:dyDescent="0.15">
      <c r="A240" s="31">
        <v>239</v>
      </c>
      <c r="B240" s="30">
        <v>128033</v>
      </c>
      <c r="C240" s="30" t="s">
        <v>69</v>
      </c>
      <c r="D240" s="30">
        <v>119.86</v>
      </c>
      <c r="E240" s="30">
        <v>0.51</v>
      </c>
      <c r="F240" s="30">
        <v>8.26</v>
      </c>
      <c r="G240" s="30">
        <v>84.5</v>
      </c>
      <c r="H240" s="30">
        <v>41.85</v>
      </c>
      <c r="I240" s="51">
        <v>161.71</v>
      </c>
      <c r="J240" s="52">
        <v>45287</v>
      </c>
      <c r="K240" s="53">
        <v>1.5069999999999999</v>
      </c>
      <c r="L240" s="53">
        <v>2.973023</v>
      </c>
      <c r="M240" s="53">
        <v>1654.7195611</v>
      </c>
      <c r="N240" s="54">
        <v>4.6435685219569985E-2</v>
      </c>
      <c r="O240" s="53">
        <v>-7.0160999999999998</v>
      </c>
      <c r="P240" s="30">
        <v>119.95699999999999</v>
      </c>
      <c r="Q240" s="30">
        <v>119.06399999999999</v>
      </c>
      <c r="R240" s="54">
        <v>7.5001679768863863E-3</v>
      </c>
    </row>
    <row r="241" spans="1:18" x14ac:dyDescent="0.15">
      <c r="A241" s="31">
        <v>240</v>
      </c>
      <c r="B241" s="30">
        <v>127017</v>
      </c>
      <c r="C241" s="30" t="s">
        <v>194</v>
      </c>
      <c r="D241" s="30">
        <v>119.93</v>
      </c>
      <c r="E241" s="30">
        <v>-0.02</v>
      </c>
      <c r="F241" s="30">
        <v>12.66</v>
      </c>
      <c r="G241" s="30">
        <v>84.36</v>
      </c>
      <c r="H241" s="30">
        <v>42.16</v>
      </c>
      <c r="I241" s="51">
        <v>162.09</v>
      </c>
      <c r="J241" s="52">
        <v>46176</v>
      </c>
      <c r="K241" s="53">
        <v>3.9420000000000002</v>
      </c>
      <c r="L241" s="53">
        <v>9.9959450000000007</v>
      </c>
      <c r="M241" s="53">
        <v>1439.2956624000001</v>
      </c>
      <c r="N241" s="54">
        <v>1.2005999612697863E-2</v>
      </c>
      <c r="O241" s="53">
        <v>-0.54800000000000004</v>
      </c>
      <c r="P241" s="30">
        <v>120.4</v>
      </c>
      <c r="Q241" s="30">
        <v>119.797</v>
      </c>
      <c r="R241" s="54">
        <v>5.0335150295917983E-3</v>
      </c>
    </row>
    <row r="242" spans="1:18" x14ac:dyDescent="0.15">
      <c r="A242" s="31">
        <v>241</v>
      </c>
      <c r="B242" s="30">
        <v>128049</v>
      </c>
      <c r="C242" s="30" t="s">
        <v>202</v>
      </c>
      <c r="D242" s="30">
        <v>112.29900000000001</v>
      </c>
      <c r="E242" s="30">
        <v>0.43</v>
      </c>
      <c r="F242" s="30">
        <v>7.37</v>
      </c>
      <c r="G242" s="30">
        <v>78.97</v>
      </c>
      <c r="H242" s="30">
        <v>42.2</v>
      </c>
      <c r="I242" s="51">
        <v>154.49900000000002</v>
      </c>
      <c r="J242" s="52">
        <v>45623</v>
      </c>
      <c r="K242" s="53">
        <v>2.427</v>
      </c>
      <c r="L242" s="53">
        <v>3.6314389999999999</v>
      </c>
      <c r="M242" s="53">
        <v>2411.5735248000001</v>
      </c>
      <c r="N242" s="54">
        <v>5.9135172090943072E-2</v>
      </c>
      <c r="O242" s="53">
        <v>0.44690000000000002</v>
      </c>
      <c r="P242" s="30">
        <v>112.3</v>
      </c>
      <c r="Q242" s="30">
        <v>111.81699999999999</v>
      </c>
      <c r="R242" s="54">
        <v>4.3195578489854331E-3</v>
      </c>
    </row>
    <row r="243" spans="1:18" x14ac:dyDescent="0.15">
      <c r="A243" s="31">
        <v>242</v>
      </c>
      <c r="B243" s="30">
        <v>123131</v>
      </c>
      <c r="C243" s="30" t="s">
        <v>247</v>
      </c>
      <c r="D243" s="30">
        <v>127.44</v>
      </c>
      <c r="E243" s="30">
        <v>1.93</v>
      </c>
      <c r="F243" s="30">
        <v>12.21</v>
      </c>
      <c r="G243" s="30">
        <v>89.35</v>
      </c>
      <c r="H243" s="30">
        <v>42.63</v>
      </c>
      <c r="I243" s="51">
        <v>170.07</v>
      </c>
      <c r="J243" s="52">
        <v>46724</v>
      </c>
      <c r="K243" s="53">
        <v>5.444</v>
      </c>
      <c r="L243" s="53">
        <v>6.3498260000000002</v>
      </c>
      <c r="M243" s="53">
        <v>5083.9901799999998</v>
      </c>
      <c r="N243" s="54">
        <v>6.2825668069885168E-2</v>
      </c>
      <c r="O243" s="53">
        <v>-0.86180000000000001</v>
      </c>
      <c r="P243" s="30">
        <v>127.44</v>
      </c>
      <c r="Q243" s="30">
        <v>125.56399999999999</v>
      </c>
      <c r="R243" s="54">
        <v>1.4940588066643345E-2</v>
      </c>
    </row>
    <row r="244" spans="1:18" x14ac:dyDescent="0.15">
      <c r="A244" s="31">
        <v>243</v>
      </c>
      <c r="B244" s="30">
        <v>113037</v>
      </c>
      <c r="C244" s="30" t="s">
        <v>1871</v>
      </c>
      <c r="D244" s="30">
        <v>103.97</v>
      </c>
      <c r="E244" s="30">
        <v>7.0000000000000007E-2</v>
      </c>
      <c r="F244" s="30">
        <v>3.95</v>
      </c>
      <c r="G244" s="30">
        <v>72.66</v>
      </c>
      <c r="H244" s="30">
        <v>43.09</v>
      </c>
      <c r="I244" s="51">
        <v>147.06</v>
      </c>
      <c r="J244" s="52">
        <v>46226</v>
      </c>
      <c r="K244" s="53">
        <v>4.0789999999999997</v>
      </c>
      <c r="L244" s="53">
        <v>44.996189999999999</v>
      </c>
      <c r="M244" s="53">
        <v>1900.6993</v>
      </c>
      <c r="N244" s="54">
        <v>4.0628391512514891E-3</v>
      </c>
      <c r="O244" s="53">
        <v>2.7010000000000001</v>
      </c>
      <c r="P244" s="30">
        <v>104.09</v>
      </c>
      <c r="Q244" s="30">
        <v>103.91</v>
      </c>
      <c r="R244" s="54">
        <v>1.7322683091137217E-3</v>
      </c>
    </row>
    <row r="245" spans="1:18" x14ac:dyDescent="0.15">
      <c r="A245" s="31">
        <v>244</v>
      </c>
      <c r="B245" s="30">
        <v>123050</v>
      </c>
      <c r="C245" s="30" t="s">
        <v>68</v>
      </c>
      <c r="D245" s="30">
        <v>128.49700000000001</v>
      </c>
      <c r="E245" s="30">
        <v>0.15</v>
      </c>
      <c r="F245" s="30">
        <v>5.08</v>
      </c>
      <c r="G245" s="30">
        <v>89.76</v>
      </c>
      <c r="H245" s="30">
        <v>43.16</v>
      </c>
      <c r="I245" s="51">
        <v>171.65700000000001</v>
      </c>
      <c r="J245" s="52">
        <v>46126</v>
      </c>
      <c r="K245" s="53">
        <v>3.8050000000000002</v>
      </c>
      <c r="L245" s="53">
        <v>3.7459980000000006</v>
      </c>
      <c r="M245" s="53">
        <v>4501.6014974999998</v>
      </c>
      <c r="N245" s="54">
        <v>9.352043475029409E-2</v>
      </c>
      <c r="O245" s="53">
        <v>-1.1621999999999999</v>
      </c>
      <c r="P245" s="30">
        <v>129.071</v>
      </c>
      <c r="Q245" s="30">
        <v>126.6</v>
      </c>
      <c r="R245" s="54">
        <v>1.9518167456556112E-2</v>
      </c>
    </row>
    <row r="246" spans="1:18" x14ac:dyDescent="0.15">
      <c r="A246" s="31">
        <v>245</v>
      </c>
      <c r="B246" s="30">
        <v>113056</v>
      </c>
      <c r="C246" s="30" t="s">
        <v>1874</v>
      </c>
      <c r="D246" s="30">
        <v>100.8</v>
      </c>
      <c r="E246" s="30">
        <v>-0.02</v>
      </c>
      <c r="F246" s="30">
        <v>11.28</v>
      </c>
      <c r="G246" s="30">
        <v>70.39</v>
      </c>
      <c r="H246" s="30">
        <v>43.2</v>
      </c>
      <c r="I246" s="51">
        <v>144</v>
      </c>
      <c r="J246" s="52">
        <v>46835</v>
      </c>
      <c r="K246" s="53">
        <v>5.7480000000000002</v>
      </c>
      <c r="L246" s="53">
        <v>130</v>
      </c>
      <c r="M246" s="53">
        <v>6629.3895000000002</v>
      </c>
      <c r="N246" s="54">
        <v>5.0590579212454216E-3</v>
      </c>
      <c r="O246" s="53">
        <v>2.4866000000000001</v>
      </c>
      <c r="P246" s="30">
        <v>100.9</v>
      </c>
      <c r="Q246" s="30">
        <v>100.78</v>
      </c>
      <c r="R246" s="54">
        <v>1.1907124429450739E-3</v>
      </c>
    </row>
    <row r="247" spans="1:18" x14ac:dyDescent="0.15">
      <c r="A247" s="31">
        <v>246</v>
      </c>
      <c r="B247" s="30">
        <v>123142</v>
      </c>
      <c r="C247" s="30" t="s">
        <v>779</v>
      </c>
      <c r="D247" s="30">
        <v>120.795</v>
      </c>
      <c r="E247" s="30">
        <v>1.87</v>
      </c>
      <c r="F247" s="30">
        <v>34.11</v>
      </c>
      <c r="G247" s="30">
        <v>84.26</v>
      </c>
      <c r="H247" s="30">
        <v>43.36</v>
      </c>
      <c r="I247" s="51">
        <v>164.155</v>
      </c>
      <c r="J247" s="52">
        <v>46830</v>
      </c>
      <c r="K247" s="53">
        <v>5.734</v>
      </c>
      <c r="L247" s="53">
        <v>5.5</v>
      </c>
      <c r="M247" s="53">
        <v>2339.899578</v>
      </c>
      <c r="N247" s="54">
        <v>3.5219693440050576E-2</v>
      </c>
      <c r="O247" s="53">
        <v>-0.71689999999999998</v>
      </c>
      <c r="P247" s="30">
        <v>120.88</v>
      </c>
      <c r="Q247" s="30">
        <v>118.309</v>
      </c>
      <c r="R247" s="54">
        <v>2.1731229238688501E-2</v>
      </c>
    </row>
    <row r="248" spans="1:18" x14ac:dyDescent="0.15">
      <c r="A248" s="31">
        <v>247</v>
      </c>
      <c r="B248" s="30">
        <v>128076</v>
      </c>
      <c r="C248" s="30" t="s">
        <v>129</v>
      </c>
      <c r="D248" s="30">
        <v>133</v>
      </c>
      <c r="E248" s="30">
        <v>4.8099999999999996</v>
      </c>
      <c r="F248" s="30">
        <v>14.66</v>
      </c>
      <c r="G248" s="30">
        <v>92.7</v>
      </c>
      <c r="H248" s="30">
        <v>43.47</v>
      </c>
      <c r="I248" s="51">
        <v>176.47</v>
      </c>
      <c r="J248" s="52">
        <v>45944</v>
      </c>
      <c r="K248" s="53">
        <v>3.3069999999999999</v>
      </c>
      <c r="L248" s="53">
        <v>2.1373919999999997</v>
      </c>
      <c r="M248" s="53">
        <v>30087.167111699997</v>
      </c>
      <c r="N248" s="54">
        <v>1.0583893903960029</v>
      </c>
      <c r="O248" s="53">
        <v>-4.5628000000000002</v>
      </c>
      <c r="P248" s="30">
        <v>133.02699999999999</v>
      </c>
      <c r="Q248" s="30">
        <v>126.38500000000001</v>
      </c>
      <c r="R248" s="54">
        <v>5.2553704949163123E-2</v>
      </c>
    </row>
    <row r="249" spans="1:18" x14ac:dyDescent="0.15">
      <c r="A249" s="31">
        <v>248</v>
      </c>
      <c r="B249" s="30">
        <v>113546</v>
      </c>
      <c r="C249" s="30" t="s">
        <v>87</v>
      </c>
      <c r="D249" s="30">
        <v>125.35</v>
      </c>
      <c r="E249" s="30">
        <v>0.08</v>
      </c>
      <c r="F249" s="30">
        <v>13.8</v>
      </c>
      <c r="G249" s="30">
        <v>87.32</v>
      </c>
      <c r="H249" s="30">
        <v>43.55</v>
      </c>
      <c r="I249" s="51">
        <v>168.89999999999998</v>
      </c>
      <c r="J249" s="52">
        <v>45953</v>
      </c>
      <c r="K249" s="53">
        <v>3.3319999999999999</v>
      </c>
      <c r="L249" s="53">
        <v>2.2968000000000002</v>
      </c>
      <c r="M249" s="53">
        <v>2504.8355999999999</v>
      </c>
      <c r="N249" s="54">
        <v>8.700249541617848E-2</v>
      </c>
      <c r="O249" s="53">
        <v>-1.3788</v>
      </c>
      <c r="P249" s="30">
        <v>126.51</v>
      </c>
      <c r="Q249" s="30">
        <v>124.83</v>
      </c>
      <c r="R249" s="54">
        <v>1.3458303292477825E-2</v>
      </c>
    </row>
    <row r="250" spans="1:18" x14ac:dyDescent="0.15">
      <c r="A250" s="31">
        <v>249</v>
      </c>
      <c r="B250" s="30">
        <v>123048</v>
      </c>
      <c r="C250" s="30" t="s">
        <v>233</v>
      </c>
      <c r="D250" s="30">
        <v>124.6</v>
      </c>
      <c r="E250" s="30">
        <v>0.65</v>
      </c>
      <c r="F250" s="30">
        <v>8.8800000000000008</v>
      </c>
      <c r="G250" s="30">
        <v>86.6</v>
      </c>
      <c r="H250" s="30">
        <v>43.88</v>
      </c>
      <c r="I250" s="51">
        <v>168.48</v>
      </c>
      <c r="J250" s="52">
        <v>46122</v>
      </c>
      <c r="K250" s="53">
        <v>3.7949999999999999</v>
      </c>
      <c r="L250" s="53">
        <v>3.7914160000000008</v>
      </c>
      <c r="M250" s="53">
        <v>6504.9299888999994</v>
      </c>
      <c r="N250" s="54">
        <v>0.13769657751479428</v>
      </c>
      <c r="O250" s="53">
        <v>-2.7482000000000002</v>
      </c>
      <c r="P250" s="30">
        <v>125.63200000000001</v>
      </c>
      <c r="Q250" s="30">
        <v>123.9</v>
      </c>
      <c r="R250" s="54">
        <v>1.3979015334947532E-2</v>
      </c>
    </row>
    <row r="251" spans="1:18" x14ac:dyDescent="0.15">
      <c r="A251" s="31">
        <v>250</v>
      </c>
      <c r="B251" s="30">
        <v>128078</v>
      </c>
      <c r="C251" s="30" t="s">
        <v>2043</v>
      </c>
      <c r="D251" s="30">
        <v>124.271</v>
      </c>
      <c r="E251" s="30">
        <v>0.22</v>
      </c>
      <c r="F251" s="30">
        <v>22.21</v>
      </c>
      <c r="G251" s="30">
        <v>86.36</v>
      </c>
      <c r="H251" s="30">
        <v>43.9</v>
      </c>
      <c r="I251" s="51">
        <v>168.17099999999999</v>
      </c>
      <c r="J251" s="52">
        <v>45951</v>
      </c>
      <c r="K251" s="53">
        <v>3.3260000000000001</v>
      </c>
      <c r="L251" s="53">
        <v>9.5993570000000012</v>
      </c>
      <c r="M251" s="53">
        <v>3630.3398373999999</v>
      </c>
      <c r="N251" s="54">
        <v>3.0432339829423352E-2</v>
      </c>
      <c r="O251" s="53">
        <v>-2.0110999999999999</v>
      </c>
      <c r="P251" s="30">
        <v>127.5</v>
      </c>
      <c r="Q251" s="30">
        <v>124.212</v>
      </c>
      <c r="R251" s="54">
        <v>2.6470872379480218E-2</v>
      </c>
    </row>
    <row r="252" spans="1:18" x14ac:dyDescent="0.15">
      <c r="A252" s="31">
        <v>251</v>
      </c>
      <c r="B252" s="30">
        <v>110045</v>
      </c>
      <c r="C252" s="30" t="s">
        <v>1876</v>
      </c>
      <c r="D252" s="30">
        <v>108.44</v>
      </c>
      <c r="E252" s="30">
        <v>0.31</v>
      </c>
      <c r="F252" s="30">
        <v>7.04</v>
      </c>
      <c r="G252" s="30">
        <v>75.28</v>
      </c>
      <c r="H252" s="30">
        <v>44.05</v>
      </c>
      <c r="I252" s="51">
        <v>152.49</v>
      </c>
      <c r="J252" s="52">
        <v>45486</v>
      </c>
      <c r="K252" s="53">
        <v>2.052</v>
      </c>
      <c r="L252" s="53">
        <v>29.496179999999999</v>
      </c>
      <c r="M252" s="53">
        <v>1793.9581000000001</v>
      </c>
      <c r="N252" s="54">
        <v>5.6086328531469391E-3</v>
      </c>
      <c r="O252" s="53">
        <v>0.84350000000000003</v>
      </c>
      <c r="P252" s="30">
        <v>108.53</v>
      </c>
      <c r="Q252" s="30">
        <v>108.2</v>
      </c>
      <c r="R252" s="54">
        <v>3.0499075785582097E-3</v>
      </c>
    </row>
    <row r="253" spans="1:18" x14ac:dyDescent="0.15">
      <c r="A253" s="31">
        <v>252</v>
      </c>
      <c r="B253" s="30">
        <v>113526</v>
      </c>
      <c r="C253" s="30" t="s">
        <v>143</v>
      </c>
      <c r="D253" s="30">
        <v>147.15</v>
      </c>
      <c r="E253" s="30">
        <v>0.35</v>
      </c>
      <c r="F253" s="30">
        <v>5.72</v>
      </c>
      <c r="G253" s="30">
        <v>102.1</v>
      </c>
      <c r="H253" s="30">
        <v>44.12</v>
      </c>
      <c r="I253" s="51">
        <v>191.27</v>
      </c>
      <c r="J253" s="52">
        <v>45680</v>
      </c>
      <c r="K253" s="53">
        <v>2.5840000000000001</v>
      </c>
      <c r="L253" s="53">
        <v>1.9295199999999999</v>
      </c>
      <c r="M253" s="53">
        <v>30301.499500000002</v>
      </c>
      <c r="N253" s="54">
        <v>1.0672215091563004</v>
      </c>
      <c r="O253" s="53">
        <v>-11.022600000000001</v>
      </c>
      <c r="P253" s="30">
        <v>148.19</v>
      </c>
      <c r="Q253" s="30">
        <v>144</v>
      </c>
      <c r="R253" s="54">
        <v>2.9097222222222205E-2</v>
      </c>
    </row>
    <row r="254" spans="1:18" x14ac:dyDescent="0.15">
      <c r="A254" s="31">
        <v>253</v>
      </c>
      <c r="B254" s="30">
        <v>127021</v>
      </c>
      <c r="C254" s="30" t="s">
        <v>217</v>
      </c>
      <c r="D254" s="30">
        <v>120.96</v>
      </c>
      <c r="E254" s="30">
        <v>-0.48</v>
      </c>
      <c r="F254" s="30">
        <v>7.33</v>
      </c>
      <c r="G254" s="30">
        <v>83.77</v>
      </c>
      <c r="H254" s="30">
        <v>44.4</v>
      </c>
      <c r="I254" s="51">
        <v>165.35999999999999</v>
      </c>
      <c r="J254" s="52">
        <v>45876</v>
      </c>
      <c r="K254" s="53">
        <v>3.121</v>
      </c>
      <c r="L254" s="53">
        <v>4.159466000000001</v>
      </c>
      <c r="M254" s="53">
        <v>15420.971816699999</v>
      </c>
      <c r="N254" s="54">
        <v>0.30650134639655052</v>
      </c>
      <c r="O254" s="53">
        <v>-2.1859000000000002</v>
      </c>
      <c r="P254" s="30">
        <v>124.44</v>
      </c>
      <c r="Q254" s="30">
        <v>120.501</v>
      </c>
      <c r="R254" s="54">
        <v>3.2688525406428103E-2</v>
      </c>
    </row>
    <row r="255" spans="1:18" x14ac:dyDescent="0.15">
      <c r="A255" s="31">
        <v>254</v>
      </c>
      <c r="B255" s="30">
        <v>127019</v>
      </c>
      <c r="C255" s="30" t="s">
        <v>175</v>
      </c>
      <c r="D255" s="30">
        <v>110.501</v>
      </c>
      <c r="E255" s="30">
        <v>-0.31</v>
      </c>
      <c r="F255" s="30">
        <v>21.06</v>
      </c>
      <c r="G255" s="30">
        <v>76.400000000000006</v>
      </c>
      <c r="H255" s="30">
        <v>44.63</v>
      </c>
      <c r="I255" s="51">
        <v>155.131</v>
      </c>
      <c r="J255" s="52">
        <v>46218</v>
      </c>
      <c r="K255" s="53">
        <v>4.0579999999999998</v>
      </c>
      <c r="L255" s="53">
        <v>8.4978960000000008</v>
      </c>
      <c r="M255" s="53">
        <v>1914.1077657000001</v>
      </c>
      <c r="N255" s="54">
        <v>2.0383969705648312E-2</v>
      </c>
      <c r="O255" s="53">
        <v>0.96509999999999996</v>
      </c>
      <c r="P255" s="30">
        <v>111.81699999999999</v>
      </c>
      <c r="Q255" s="30">
        <v>110.18</v>
      </c>
      <c r="R255" s="54">
        <v>1.4857505899437158E-2</v>
      </c>
    </row>
    <row r="256" spans="1:18" x14ac:dyDescent="0.15">
      <c r="A256" s="31">
        <v>255</v>
      </c>
      <c r="B256" s="30">
        <v>128014</v>
      </c>
      <c r="C256" s="30" t="s">
        <v>187</v>
      </c>
      <c r="D256" s="30">
        <v>116</v>
      </c>
      <c r="E256" s="30">
        <v>0.52</v>
      </c>
      <c r="F256" s="30">
        <v>12.31</v>
      </c>
      <c r="G256" s="30">
        <v>79.94</v>
      </c>
      <c r="H256" s="30">
        <v>45.11</v>
      </c>
      <c r="I256" s="51">
        <v>161.11000000000001</v>
      </c>
      <c r="J256" s="52">
        <v>45033</v>
      </c>
      <c r="K256" s="53">
        <v>0.81100000000000005</v>
      </c>
      <c r="L256" s="53">
        <v>3.369688</v>
      </c>
      <c r="M256" s="53">
        <v>35206.821904199998</v>
      </c>
      <c r="N256" s="54">
        <v>0.90069788473305079</v>
      </c>
      <c r="O256" s="53">
        <v>-8.4074000000000009</v>
      </c>
      <c r="P256" s="30">
        <v>119.99</v>
      </c>
      <c r="Q256" s="30">
        <v>114.83499999999999</v>
      </c>
      <c r="R256" s="54">
        <v>4.4890495058126888E-2</v>
      </c>
    </row>
    <row r="257" spans="1:18" x14ac:dyDescent="0.15">
      <c r="A257" s="31">
        <v>256</v>
      </c>
      <c r="B257" s="30">
        <v>113643</v>
      </c>
      <c r="C257" s="30" t="s">
        <v>814</v>
      </c>
      <c r="D257" s="30">
        <v>123.72</v>
      </c>
      <c r="E257" s="30">
        <v>-0.02</v>
      </c>
      <c r="F257" s="30">
        <v>22.15</v>
      </c>
      <c r="G257" s="30">
        <v>85.24</v>
      </c>
      <c r="H257" s="30">
        <v>45.14</v>
      </c>
      <c r="I257" s="51">
        <v>168.86</v>
      </c>
      <c r="J257" s="52">
        <v>46837</v>
      </c>
      <c r="K257" s="53">
        <v>5.7530000000000001</v>
      </c>
      <c r="L257" s="53">
        <v>5</v>
      </c>
      <c r="M257" s="53">
        <v>6702.2901000000002</v>
      </c>
      <c r="N257" s="54">
        <v>0.10834610572259942</v>
      </c>
      <c r="O257" s="53">
        <v>-0.49399999999999999</v>
      </c>
      <c r="P257" s="30">
        <v>124.66</v>
      </c>
      <c r="Q257" s="30">
        <v>123.45</v>
      </c>
      <c r="R257" s="54">
        <v>9.8015390846496048E-3</v>
      </c>
    </row>
    <row r="258" spans="1:18" x14ac:dyDescent="0.15">
      <c r="A258" s="31">
        <v>257</v>
      </c>
      <c r="B258" s="30">
        <v>113600</v>
      </c>
      <c r="C258" s="30" t="s">
        <v>272</v>
      </c>
      <c r="D258" s="30">
        <v>129.6</v>
      </c>
      <c r="E258" s="30">
        <v>2.11</v>
      </c>
      <c r="F258" s="30">
        <v>23.85</v>
      </c>
      <c r="G258" s="30">
        <v>89.27</v>
      </c>
      <c r="H258" s="30">
        <v>45.18</v>
      </c>
      <c r="I258" s="51">
        <v>174.78</v>
      </c>
      <c r="J258" s="52">
        <v>46247</v>
      </c>
      <c r="K258" s="53">
        <v>4.1369999999999996</v>
      </c>
      <c r="L258" s="53">
        <v>4.5331000000000001</v>
      </c>
      <c r="M258" s="53">
        <v>2171.6055999999999</v>
      </c>
      <c r="N258" s="54">
        <v>3.6964143851630701E-2</v>
      </c>
      <c r="O258" s="53">
        <v>-0.77039999999999997</v>
      </c>
      <c r="P258" s="30">
        <v>129.97999999999999</v>
      </c>
      <c r="Q258" s="30">
        <v>127.06</v>
      </c>
      <c r="R258" s="54">
        <v>2.2981268691956457E-2</v>
      </c>
    </row>
    <row r="259" spans="1:18" x14ac:dyDescent="0.15">
      <c r="A259" s="31">
        <v>258</v>
      </c>
      <c r="B259" s="30">
        <v>128120</v>
      </c>
      <c r="C259" s="30" t="s">
        <v>116</v>
      </c>
      <c r="D259" s="30">
        <v>121.251</v>
      </c>
      <c r="E259" s="30">
        <v>-0.57999999999999996</v>
      </c>
      <c r="F259" s="30">
        <v>17.72</v>
      </c>
      <c r="G259" s="30">
        <v>83.47</v>
      </c>
      <c r="H259" s="30">
        <v>45.26</v>
      </c>
      <c r="I259" s="51">
        <v>166.511</v>
      </c>
      <c r="J259" s="52">
        <v>46220</v>
      </c>
      <c r="K259" s="53">
        <v>4.0629999999999997</v>
      </c>
      <c r="L259" s="53">
        <v>2.5996240000000004</v>
      </c>
      <c r="M259" s="53">
        <v>3731.8515428000005</v>
      </c>
      <c r="N259" s="54">
        <v>0.11839367237586505</v>
      </c>
      <c r="O259" s="53">
        <v>-0.70469999999999999</v>
      </c>
      <c r="P259" s="30">
        <v>123.66</v>
      </c>
      <c r="Q259" s="30">
        <v>121.251</v>
      </c>
      <c r="R259" s="54">
        <v>1.9867877378330831E-2</v>
      </c>
    </row>
    <row r="260" spans="1:18" x14ac:dyDescent="0.15">
      <c r="A260" s="31">
        <v>259</v>
      </c>
      <c r="B260" s="30">
        <v>123044</v>
      </c>
      <c r="C260" s="30" t="s">
        <v>169</v>
      </c>
      <c r="D260" s="30">
        <v>117.523</v>
      </c>
      <c r="E260" s="30">
        <v>0.73</v>
      </c>
      <c r="F260" s="30">
        <v>18.670000000000002</v>
      </c>
      <c r="G260" s="30">
        <v>80.56</v>
      </c>
      <c r="H260" s="30">
        <v>45.88</v>
      </c>
      <c r="I260" s="51">
        <v>163.40299999999999</v>
      </c>
      <c r="J260" s="52">
        <v>46093</v>
      </c>
      <c r="K260" s="53">
        <v>3.7149999999999999</v>
      </c>
      <c r="L260" s="53">
        <v>5.4958900000000002</v>
      </c>
      <c r="M260" s="53">
        <v>1357.972939</v>
      </c>
      <c r="N260" s="54">
        <v>2.1024719710931873E-2</v>
      </c>
      <c r="O260" s="53">
        <v>1.5342</v>
      </c>
      <c r="P260" s="30">
        <v>118.6</v>
      </c>
      <c r="Q260" s="30">
        <v>117</v>
      </c>
      <c r="R260" s="54">
        <v>1.3675213675213627E-2</v>
      </c>
    </row>
    <row r="261" spans="1:18" x14ac:dyDescent="0.15">
      <c r="A261" s="31">
        <v>260</v>
      </c>
      <c r="B261" s="30">
        <v>127026</v>
      </c>
      <c r="C261" s="30" t="s">
        <v>232</v>
      </c>
      <c r="D261" s="30">
        <v>117.611</v>
      </c>
      <c r="E261" s="30">
        <v>1.2</v>
      </c>
      <c r="F261" s="30">
        <v>12.72</v>
      </c>
      <c r="G261" s="30">
        <v>80.58</v>
      </c>
      <c r="H261" s="30">
        <v>45.96</v>
      </c>
      <c r="I261" s="51">
        <v>163.571</v>
      </c>
      <c r="J261" s="52">
        <v>46364</v>
      </c>
      <c r="K261" s="53">
        <v>4.4580000000000002</v>
      </c>
      <c r="L261" s="53">
        <v>6.99709</v>
      </c>
      <c r="M261" s="53">
        <v>1610.0634458</v>
      </c>
      <c r="N261" s="54">
        <v>1.9564897969208191E-2</v>
      </c>
      <c r="O261" s="53">
        <v>-0.95030000000000003</v>
      </c>
      <c r="P261" s="30">
        <v>118.47199999999999</v>
      </c>
      <c r="Q261" s="30">
        <v>115.86</v>
      </c>
      <c r="R261" s="54">
        <v>2.2544450198515406E-2</v>
      </c>
    </row>
    <row r="262" spans="1:18" x14ac:dyDescent="0.15">
      <c r="A262" s="31">
        <v>261</v>
      </c>
      <c r="B262" s="30">
        <v>123118</v>
      </c>
      <c r="C262" s="30" t="s">
        <v>238</v>
      </c>
      <c r="D262" s="30">
        <v>115.65600000000001</v>
      </c>
      <c r="E262" s="30">
        <v>0.11</v>
      </c>
      <c r="F262" s="30">
        <v>17.059999999999999</v>
      </c>
      <c r="G262" s="30">
        <v>79.13</v>
      </c>
      <c r="H262" s="30">
        <v>46.16</v>
      </c>
      <c r="I262" s="51">
        <v>161.816</v>
      </c>
      <c r="J262" s="52">
        <v>46575</v>
      </c>
      <c r="K262" s="53">
        <v>5.0359999999999996</v>
      </c>
      <c r="L262" s="53">
        <v>3.1992880000000001</v>
      </c>
      <c r="M262" s="53">
        <v>514.95889239999997</v>
      </c>
      <c r="N262" s="54">
        <v>1.3917173996942337E-2</v>
      </c>
      <c r="O262" s="53">
        <v>1.0422</v>
      </c>
      <c r="P262" s="30">
        <v>115.994</v>
      </c>
      <c r="Q262" s="30">
        <v>115.373</v>
      </c>
      <c r="R262" s="54">
        <v>5.3825418425454399E-3</v>
      </c>
    </row>
    <row r="263" spans="1:18" x14ac:dyDescent="0.15">
      <c r="A263" s="31">
        <v>262</v>
      </c>
      <c r="B263" s="30">
        <v>123025</v>
      </c>
      <c r="C263" s="30" t="s">
        <v>67</v>
      </c>
      <c r="D263" s="30">
        <v>127</v>
      </c>
      <c r="E263" s="30">
        <v>0.95</v>
      </c>
      <c r="F263" s="30">
        <v>49.08</v>
      </c>
      <c r="G263" s="30">
        <v>86.86</v>
      </c>
      <c r="H263" s="30">
        <v>46.21</v>
      </c>
      <c r="I263" s="51">
        <v>173.21</v>
      </c>
      <c r="J263" s="52">
        <v>45745</v>
      </c>
      <c r="K263" s="53">
        <v>2.762</v>
      </c>
      <c r="L263" s="53">
        <v>3.0864669999999998</v>
      </c>
      <c r="M263" s="53">
        <v>3575.9779243000003</v>
      </c>
      <c r="N263" s="54">
        <v>9.1228276506929065E-2</v>
      </c>
      <c r="O263" s="53">
        <v>-3.4266999999999999</v>
      </c>
      <c r="P263" s="30">
        <v>127.38</v>
      </c>
      <c r="Q263" s="30">
        <v>125.54</v>
      </c>
      <c r="R263" s="54">
        <v>1.4656683128883137E-2</v>
      </c>
    </row>
    <row r="264" spans="1:18" x14ac:dyDescent="0.15">
      <c r="A264" s="31">
        <v>263</v>
      </c>
      <c r="B264" s="30">
        <v>128091</v>
      </c>
      <c r="C264" s="30" t="s">
        <v>2044</v>
      </c>
      <c r="D264" s="30">
        <v>213</v>
      </c>
      <c r="E264" s="30">
        <v>3.15</v>
      </c>
      <c r="F264" s="30">
        <v>11.62</v>
      </c>
      <c r="G264" s="30">
        <v>145.18</v>
      </c>
      <c r="H264" s="30">
        <v>46.71</v>
      </c>
      <c r="I264" s="51">
        <v>259.70999999999998</v>
      </c>
      <c r="J264" s="52">
        <v>46021</v>
      </c>
      <c r="K264" s="53">
        <v>3.5179999999999998</v>
      </c>
      <c r="L264" s="53">
        <v>1.5406930000000001</v>
      </c>
      <c r="M264" s="53">
        <v>217084.355477</v>
      </c>
      <c r="N264" s="54">
        <v>6.6150451636133285</v>
      </c>
      <c r="O264" s="53">
        <v>-15.6212</v>
      </c>
      <c r="P264" s="30">
        <v>217.4</v>
      </c>
      <c r="Q264" s="30">
        <v>204.2</v>
      </c>
      <c r="R264" s="54">
        <v>6.4642507345739564E-2</v>
      </c>
    </row>
    <row r="265" spans="1:18" x14ac:dyDescent="0.15">
      <c r="A265" s="31">
        <v>264</v>
      </c>
      <c r="B265" s="30">
        <v>123002</v>
      </c>
      <c r="C265" s="30" t="s">
        <v>81</v>
      </c>
      <c r="D265" s="30">
        <v>117.346</v>
      </c>
      <c r="E265" s="30">
        <v>0.6</v>
      </c>
      <c r="F265" s="30">
        <v>8.24</v>
      </c>
      <c r="G265" s="30">
        <v>79.98</v>
      </c>
      <c r="H265" s="30">
        <v>46.72</v>
      </c>
      <c r="I265" s="51">
        <v>164.066</v>
      </c>
      <c r="J265" s="52">
        <v>45254</v>
      </c>
      <c r="K265" s="53">
        <v>1.4159999999999999</v>
      </c>
      <c r="L265" s="53">
        <v>2.5214889999999999</v>
      </c>
      <c r="M265" s="53">
        <v>965.47118540000008</v>
      </c>
      <c r="N265" s="54">
        <v>3.2629765191938727E-2</v>
      </c>
      <c r="O265" s="53">
        <v>-6.0442</v>
      </c>
      <c r="P265" s="30">
        <v>117.91</v>
      </c>
      <c r="Q265" s="30">
        <v>116.5</v>
      </c>
      <c r="R265" s="54">
        <v>1.2103004291845465E-2</v>
      </c>
    </row>
    <row r="266" spans="1:18" x14ac:dyDescent="0.15">
      <c r="A266" s="31">
        <v>265</v>
      </c>
      <c r="B266" s="30">
        <v>127015</v>
      </c>
      <c r="C266" s="30" t="s">
        <v>168</v>
      </c>
      <c r="D266" s="30">
        <v>117.319</v>
      </c>
      <c r="E266" s="30">
        <v>0.46</v>
      </c>
      <c r="F266" s="30">
        <v>19.75</v>
      </c>
      <c r="G266" s="30">
        <v>79.900000000000006</v>
      </c>
      <c r="H266" s="30">
        <v>46.83</v>
      </c>
      <c r="I266" s="51">
        <v>164.149</v>
      </c>
      <c r="J266" s="52">
        <v>46025</v>
      </c>
      <c r="K266" s="53">
        <v>3.5289999999999999</v>
      </c>
      <c r="L266" s="53">
        <v>9.4967559999999995</v>
      </c>
      <c r="M266" s="53">
        <v>422.09052869999994</v>
      </c>
      <c r="N266" s="54">
        <v>3.7884536200873706E-3</v>
      </c>
      <c r="O266" s="53">
        <v>-1.9399</v>
      </c>
      <c r="P266" s="30">
        <v>117.5</v>
      </c>
      <c r="Q266" s="30">
        <v>116.54300000000001</v>
      </c>
      <c r="R266" s="54">
        <v>8.2115613979389032E-3</v>
      </c>
    </row>
    <row r="267" spans="1:18" x14ac:dyDescent="0.15">
      <c r="A267" s="31">
        <v>266</v>
      </c>
      <c r="B267" s="30">
        <v>113606</v>
      </c>
      <c r="C267" s="30" t="s">
        <v>209</v>
      </c>
      <c r="D267" s="30">
        <v>112.48</v>
      </c>
      <c r="E267" s="30">
        <v>0.8</v>
      </c>
      <c r="F267" s="30">
        <v>32.15</v>
      </c>
      <c r="G267" s="30">
        <v>76.52</v>
      </c>
      <c r="H267" s="30">
        <v>46.99</v>
      </c>
      <c r="I267" s="51">
        <v>159.47</v>
      </c>
      <c r="J267" s="52">
        <v>46325</v>
      </c>
      <c r="K267" s="53">
        <v>4.351</v>
      </c>
      <c r="L267" s="53">
        <v>5.9988799999999998</v>
      </c>
      <c r="M267" s="53">
        <v>1221.4135000000001</v>
      </c>
      <c r="N267" s="54">
        <v>1.8101611245763507E-2</v>
      </c>
      <c r="O267" s="53">
        <v>1.6702999999999999</v>
      </c>
      <c r="P267" s="30">
        <v>112.7</v>
      </c>
      <c r="Q267" s="30">
        <v>111.58</v>
      </c>
      <c r="R267" s="54">
        <v>1.0037641154328774E-2</v>
      </c>
    </row>
    <row r="268" spans="1:18" x14ac:dyDescent="0.15">
      <c r="A268" s="31">
        <v>267</v>
      </c>
      <c r="B268" s="30">
        <v>128143</v>
      </c>
      <c r="C268" s="30" t="s">
        <v>117</v>
      </c>
      <c r="D268" s="30">
        <v>126.5</v>
      </c>
      <c r="E268" s="30">
        <v>-1.77</v>
      </c>
      <c r="F268" s="30">
        <v>12.73</v>
      </c>
      <c r="G268" s="30">
        <v>85.86</v>
      </c>
      <c r="H268" s="30">
        <v>47.33</v>
      </c>
      <c r="I268" s="51">
        <v>173.82999999999998</v>
      </c>
      <c r="J268" s="52">
        <v>46395</v>
      </c>
      <c r="K268" s="53">
        <v>4.5419999999999998</v>
      </c>
      <c r="L268" s="53">
        <v>2.4437419999999999</v>
      </c>
      <c r="M268" s="53">
        <v>32132.543837999998</v>
      </c>
      <c r="N268" s="54">
        <v>1.0394395327042072</v>
      </c>
      <c r="O268" s="53">
        <v>-0.95860000000000001</v>
      </c>
      <c r="P268" s="30">
        <v>132.38999999999999</v>
      </c>
      <c r="Q268" s="30">
        <v>125.83</v>
      </c>
      <c r="R268" s="54">
        <v>5.2133831359771024E-2</v>
      </c>
    </row>
    <row r="269" spans="1:18" x14ac:dyDescent="0.15">
      <c r="A269" s="31">
        <v>268</v>
      </c>
      <c r="B269" s="30">
        <v>123010</v>
      </c>
      <c r="C269" s="30" t="s">
        <v>195</v>
      </c>
      <c r="D269" s="30">
        <v>111.11</v>
      </c>
      <c r="E269" s="30">
        <v>0.28000000000000003</v>
      </c>
      <c r="F269" s="30">
        <v>7.72</v>
      </c>
      <c r="G269" s="30">
        <v>75.39</v>
      </c>
      <c r="H269" s="30">
        <v>47.38</v>
      </c>
      <c r="I269" s="51">
        <v>158.49</v>
      </c>
      <c r="J269" s="52">
        <v>45478</v>
      </c>
      <c r="K269" s="53">
        <v>2.0299999999999998</v>
      </c>
      <c r="L269" s="53">
        <v>4.2960060000000002</v>
      </c>
      <c r="M269" s="53">
        <v>439.43601160000003</v>
      </c>
      <c r="N269" s="54">
        <v>9.2061408993296106E-3</v>
      </c>
      <c r="O269" s="53">
        <v>8.5900000000000004E-2</v>
      </c>
      <c r="P269" s="30">
        <v>111.2</v>
      </c>
      <c r="Q269" s="30">
        <v>110.777</v>
      </c>
      <c r="R269" s="54">
        <v>3.8184821759029565E-3</v>
      </c>
    </row>
    <row r="270" spans="1:18" x14ac:dyDescent="0.15">
      <c r="A270" s="31">
        <v>269</v>
      </c>
      <c r="B270" s="30">
        <v>127006</v>
      </c>
      <c r="C270" s="30" t="s">
        <v>1879</v>
      </c>
      <c r="D270" s="30">
        <v>110.095</v>
      </c>
      <c r="E270" s="30">
        <v>0.88</v>
      </c>
      <c r="F270" s="30">
        <v>19.93</v>
      </c>
      <c r="G270" s="30">
        <v>74.61</v>
      </c>
      <c r="H270" s="30">
        <v>47.56</v>
      </c>
      <c r="I270" s="51">
        <v>157.655</v>
      </c>
      <c r="J270" s="52">
        <v>45364</v>
      </c>
      <c r="K270" s="53">
        <v>1.718</v>
      </c>
      <c r="L270" s="53">
        <v>24.072253</v>
      </c>
      <c r="M270" s="53">
        <v>6136.3546803999998</v>
      </c>
      <c r="N270" s="54">
        <v>2.3154004791392117E-2</v>
      </c>
      <c r="O270" s="53">
        <v>-1.8735999999999999</v>
      </c>
      <c r="P270" s="30">
        <v>110.099</v>
      </c>
      <c r="Q270" s="30">
        <v>108.75</v>
      </c>
      <c r="R270" s="54">
        <v>1.240459770114946E-2</v>
      </c>
    </row>
    <row r="271" spans="1:18" x14ac:dyDescent="0.15">
      <c r="A271" s="31">
        <v>270</v>
      </c>
      <c r="B271" s="30">
        <v>123062</v>
      </c>
      <c r="C271" s="30" t="s">
        <v>102</v>
      </c>
      <c r="D271" s="30">
        <v>136.69</v>
      </c>
      <c r="E271" s="30">
        <v>1.33</v>
      </c>
      <c r="F271" s="30">
        <v>17.13</v>
      </c>
      <c r="G271" s="30">
        <v>92.53</v>
      </c>
      <c r="H271" s="30">
        <v>47.73</v>
      </c>
      <c r="I271" s="51">
        <v>184.42</v>
      </c>
      <c r="J271" s="52">
        <v>46230</v>
      </c>
      <c r="K271" s="53">
        <v>4.09</v>
      </c>
      <c r="L271" s="53">
        <v>1.947703</v>
      </c>
      <c r="M271" s="53">
        <v>59293.819281600001</v>
      </c>
      <c r="N271" s="54">
        <v>2.2271524648119878</v>
      </c>
      <c r="O271" s="53">
        <v>-3.3698000000000001</v>
      </c>
      <c r="P271" s="30">
        <v>143.88</v>
      </c>
      <c r="Q271" s="30">
        <v>134.667</v>
      </c>
      <c r="R271" s="54">
        <v>6.8413196997037087E-2</v>
      </c>
    </row>
    <row r="272" spans="1:18" x14ac:dyDescent="0.15">
      <c r="A272" s="31">
        <v>271</v>
      </c>
      <c r="B272" s="30">
        <v>128132</v>
      </c>
      <c r="C272" s="30" t="s">
        <v>159</v>
      </c>
      <c r="D272" s="30">
        <v>116.703</v>
      </c>
      <c r="E272" s="30">
        <v>0.17</v>
      </c>
      <c r="F272" s="30">
        <v>18.53</v>
      </c>
      <c r="G272" s="30">
        <v>78.900000000000006</v>
      </c>
      <c r="H272" s="30">
        <v>47.91</v>
      </c>
      <c r="I272" s="51">
        <v>164.613</v>
      </c>
      <c r="J272" s="52">
        <v>46280</v>
      </c>
      <c r="K272" s="53">
        <v>4.2270000000000003</v>
      </c>
      <c r="L272" s="53">
        <v>8.4894379999999998</v>
      </c>
      <c r="M272" s="53">
        <v>2889.6398184</v>
      </c>
      <c r="N272" s="54">
        <v>2.9166394916720597E-2</v>
      </c>
      <c r="O272" s="53">
        <v>4.07E-2</v>
      </c>
      <c r="P272" s="30">
        <v>116.93</v>
      </c>
      <c r="Q272" s="30">
        <v>116.4</v>
      </c>
      <c r="R272" s="54">
        <v>4.5532646048110064E-3</v>
      </c>
    </row>
    <row r="273" spans="1:18" x14ac:dyDescent="0.15">
      <c r="A273" s="31">
        <v>272</v>
      </c>
      <c r="B273" s="30">
        <v>110082</v>
      </c>
      <c r="C273" s="30" t="s">
        <v>1890</v>
      </c>
      <c r="D273" s="30">
        <v>122.52</v>
      </c>
      <c r="E273" s="30">
        <v>1.1599999999999999</v>
      </c>
      <c r="F273" s="30">
        <v>72.28</v>
      </c>
      <c r="G273" s="30">
        <v>82.78</v>
      </c>
      <c r="H273" s="30">
        <v>48.01</v>
      </c>
      <c r="I273" s="51">
        <v>170.53</v>
      </c>
      <c r="J273" s="52">
        <v>46688</v>
      </c>
      <c r="K273" s="53">
        <v>5.3449999999999998</v>
      </c>
      <c r="L273" s="53">
        <v>19.99661</v>
      </c>
      <c r="M273" s="53">
        <v>6886.9384</v>
      </c>
      <c r="N273" s="54">
        <v>2.8110128689013244E-2</v>
      </c>
      <c r="O273" s="53">
        <v>-0.85770000000000002</v>
      </c>
      <c r="P273" s="30">
        <v>123.17</v>
      </c>
      <c r="Q273" s="30">
        <v>121</v>
      </c>
      <c r="R273" s="54">
        <v>1.7933884297520675E-2</v>
      </c>
    </row>
    <row r="274" spans="1:18" x14ac:dyDescent="0.15">
      <c r="A274" s="31">
        <v>273</v>
      </c>
      <c r="B274" s="30">
        <v>110067</v>
      </c>
      <c r="C274" s="30" t="s">
        <v>1884</v>
      </c>
      <c r="D274" s="30">
        <v>109.81</v>
      </c>
      <c r="E274" s="30">
        <v>0.2</v>
      </c>
      <c r="F274" s="30">
        <v>6.12</v>
      </c>
      <c r="G274" s="30">
        <v>74.02</v>
      </c>
      <c r="H274" s="30">
        <v>48.35</v>
      </c>
      <c r="I274" s="51">
        <v>158.16</v>
      </c>
      <c r="J274" s="52">
        <v>46093</v>
      </c>
      <c r="K274" s="53">
        <v>3.7149999999999999</v>
      </c>
      <c r="L274" s="53">
        <v>27.995080000000002</v>
      </c>
      <c r="M274" s="53">
        <v>3389.5023000000001</v>
      </c>
      <c r="N274" s="54">
        <v>1.102585631235308E-2</v>
      </c>
      <c r="O274" s="53">
        <v>2.23E-2</v>
      </c>
      <c r="P274" s="30">
        <v>110.3</v>
      </c>
      <c r="Q274" s="30">
        <v>109.5</v>
      </c>
      <c r="R274" s="54">
        <v>7.3059360730593345E-3</v>
      </c>
    </row>
    <row r="275" spans="1:18" x14ac:dyDescent="0.15">
      <c r="A275" s="31">
        <v>274</v>
      </c>
      <c r="B275" s="30">
        <v>110072</v>
      </c>
      <c r="C275" s="30" t="s">
        <v>1873</v>
      </c>
      <c r="D275" s="30">
        <v>99.09</v>
      </c>
      <c r="E275" s="30">
        <v>-0.72</v>
      </c>
      <c r="F275" s="30">
        <v>4.03</v>
      </c>
      <c r="G275" s="30">
        <v>66.25</v>
      </c>
      <c r="H275" s="30">
        <v>49.57</v>
      </c>
      <c r="I275" s="51">
        <v>148.66</v>
      </c>
      <c r="J275" s="52">
        <v>46252</v>
      </c>
      <c r="K275" s="53">
        <v>4.1509999999999998</v>
      </c>
      <c r="L275" s="53">
        <v>33.662689999999998</v>
      </c>
      <c r="M275" s="53">
        <v>10630.3102</v>
      </c>
      <c r="N275" s="54">
        <v>3.1868916010776079E-2</v>
      </c>
      <c r="O275" s="53">
        <v>3.5630999999999999</v>
      </c>
      <c r="P275" s="30">
        <v>99.91</v>
      </c>
      <c r="Q275" s="30">
        <v>98.86</v>
      </c>
      <c r="R275" s="54">
        <v>1.0621080315597787E-2</v>
      </c>
    </row>
    <row r="276" spans="1:18" x14ac:dyDescent="0.15">
      <c r="A276" s="31">
        <v>275</v>
      </c>
      <c r="B276" s="30">
        <v>113527</v>
      </c>
      <c r="C276" s="30" t="s">
        <v>118</v>
      </c>
      <c r="D276" s="30">
        <v>122.6</v>
      </c>
      <c r="E276" s="30">
        <v>0.22</v>
      </c>
      <c r="F276" s="30">
        <v>9.75</v>
      </c>
      <c r="G276" s="30">
        <v>81.739999999999995</v>
      </c>
      <c r="H276" s="30">
        <v>49.99</v>
      </c>
      <c r="I276" s="51">
        <v>172.59</v>
      </c>
      <c r="J276" s="52">
        <v>45681</v>
      </c>
      <c r="K276" s="53">
        <v>2.5859999999999999</v>
      </c>
      <c r="L276" s="53">
        <v>2.8627899999999999</v>
      </c>
      <c r="M276" s="53">
        <v>4697.0564999999997</v>
      </c>
      <c r="N276" s="54">
        <v>0.13382764097267463</v>
      </c>
      <c r="O276" s="53">
        <v>-1.3265</v>
      </c>
      <c r="P276" s="30">
        <v>122.99</v>
      </c>
      <c r="Q276" s="30">
        <v>122.15</v>
      </c>
      <c r="R276" s="54">
        <v>6.8767908309454702E-3</v>
      </c>
    </row>
    <row r="277" spans="1:18" x14ac:dyDescent="0.15">
      <c r="A277" s="31">
        <v>276</v>
      </c>
      <c r="B277" s="30">
        <v>128039</v>
      </c>
      <c r="C277" s="30" t="s">
        <v>119</v>
      </c>
      <c r="D277" s="30">
        <v>125.45</v>
      </c>
      <c r="E277" s="30">
        <v>-7.07</v>
      </c>
      <c r="F277" s="30">
        <v>5.77</v>
      </c>
      <c r="G277" s="30">
        <v>83.54</v>
      </c>
      <c r="H277" s="30">
        <v>50.17</v>
      </c>
      <c r="I277" s="51">
        <v>175.62</v>
      </c>
      <c r="J277" s="52">
        <v>45451</v>
      </c>
      <c r="K277" s="53">
        <v>1.956</v>
      </c>
      <c r="L277" s="53">
        <v>2.024089</v>
      </c>
      <c r="M277" s="53">
        <v>253456.26614689999</v>
      </c>
      <c r="N277" s="54">
        <v>9.9816597629508603</v>
      </c>
      <c r="O277" s="53">
        <v>-7.6304999999999996</v>
      </c>
      <c r="P277" s="30">
        <v>146.702</v>
      </c>
      <c r="Q277" s="30">
        <v>125.125</v>
      </c>
      <c r="R277" s="54">
        <v>0.17244355644355644</v>
      </c>
    </row>
    <row r="278" spans="1:18" x14ac:dyDescent="0.15">
      <c r="A278" s="31">
        <v>277</v>
      </c>
      <c r="B278" s="30">
        <v>123115</v>
      </c>
      <c r="C278" s="30" t="s">
        <v>1887</v>
      </c>
      <c r="D278" s="30">
        <v>119.3</v>
      </c>
      <c r="E278" s="30">
        <v>1.64</v>
      </c>
      <c r="F278" s="30">
        <v>28.87</v>
      </c>
      <c r="G278" s="30">
        <v>79.319999999999993</v>
      </c>
      <c r="H278" s="30">
        <v>50.4</v>
      </c>
      <c r="I278" s="51">
        <v>169.7</v>
      </c>
      <c r="J278" s="52">
        <v>46546</v>
      </c>
      <c r="K278" s="53">
        <v>4.9560000000000004</v>
      </c>
      <c r="L278" s="53">
        <v>11.946248000000001</v>
      </c>
      <c r="M278" s="53">
        <v>5061.6753246999997</v>
      </c>
      <c r="N278" s="54">
        <v>3.5515858286437052E-2</v>
      </c>
      <c r="O278" s="53">
        <v>-0.20730000000000001</v>
      </c>
      <c r="P278" s="30">
        <v>119.369</v>
      </c>
      <c r="Q278" s="30">
        <v>116.98099999999999</v>
      </c>
      <c r="R278" s="54">
        <v>2.0413571434677473E-2</v>
      </c>
    </row>
    <row r="279" spans="1:18" x14ac:dyDescent="0.15">
      <c r="A279" s="31">
        <v>278</v>
      </c>
      <c r="B279" s="30">
        <v>113588</v>
      </c>
      <c r="C279" s="30" t="s">
        <v>216</v>
      </c>
      <c r="D279" s="30">
        <v>112.09</v>
      </c>
      <c r="E279" s="30">
        <v>0.31</v>
      </c>
      <c r="F279" s="30">
        <v>13.25</v>
      </c>
      <c r="G279" s="30">
        <v>74.489999999999995</v>
      </c>
      <c r="H279" s="30">
        <v>50.48</v>
      </c>
      <c r="I279" s="51">
        <v>162.57</v>
      </c>
      <c r="J279" s="52">
        <v>46190</v>
      </c>
      <c r="K279" s="53">
        <v>3.9809999999999999</v>
      </c>
      <c r="L279" s="53">
        <v>5.49885</v>
      </c>
      <c r="M279" s="53">
        <v>3701.2899000000002</v>
      </c>
      <c r="N279" s="54">
        <v>6.0050186423581141E-2</v>
      </c>
      <c r="O279" s="53">
        <v>0.2747</v>
      </c>
      <c r="P279" s="30">
        <v>112.5</v>
      </c>
      <c r="Q279" s="30">
        <v>111.71</v>
      </c>
      <c r="R279" s="54">
        <v>7.0718825530391759E-3</v>
      </c>
    </row>
    <row r="280" spans="1:18" x14ac:dyDescent="0.15">
      <c r="A280" s="31">
        <v>279</v>
      </c>
      <c r="B280" s="30">
        <v>127034</v>
      </c>
      <c r="C280" s="30" t="s">
        <v>201</v>
      </c>
      <c r="D280" s="30">
        <v>105.15</v>
      </c>
      <c r="E280" s="30">
        <v>0.09</v>
      </c>
      <c r="F280" s="30">
        <v>12.38</v>
      </c>
      <c r="G280" s="30">
        <v>69.790000000000006</v>
      </c>
      <c r="H280" s="30">
        <v>50.67</v>
      </c>
      <c r="I280" s="51">
        <v>155.82</v>
      </c>
      <c r="J280" s="52">
        <v>46507</v>
      </c>
      <c r="K280" s="53">
        <v>4.8490000000000002</v>
      </c>
      <c r="L280" s="53">
        <v>7.1177669999999997</v>
      </c>
      <c r="M280" s="53">
        <v>1645.7165085000001</v>
      </c>
      <c r="N280" s="54">
        <v>2.1988822895484272E-2</v>
      </c>
      <c r="O280" s="53">
        <v>2.5625</v>
      </c>
      <c r="P280" s="30">
        <v>105.35</v>
      </c>
      <c r="Q280" s="30">
        <v>105.002</v>
      </c>
      <c r="R280" s="54">
        <v>3.314222586236443E-3</v>
      </c>
    </row>
    <row r="281" spans="1:18" x14ac:dyDescent="0.15">
      <c r="A281" s="31">
        <v>280</v>
      </c>
      <c r="B281" s="30">
        <v>113577</v>
      </c>
      <c r="C281" s="30" t="s">
        <v>115</v>
      </c>
      <c r="D281" s="30">
        <v>133.1</v>
      </c>
      <c r="E281" s="30">
        <v>-0.81</v>
      </c>
      <c r="F281" s="30">
        <v>10.85</v>
      </c>
      <c r="G281" s="30">
        <v>88.11</v>
      </c>
      <c r="H281" s="30">
        <v>51.06</v>
      </c>
      <c r="I281" s="51">
        <v>184.16</v>
      </c>
      <c r="J281" s="52">
        <v>46126</v>
      </c>
      <c r="K281" s="53">
        <v>3.8050000000000002</v>
      </c>
      <c r="L281" s="53">
        <v>1.7774799999999999</v>
      </c>
      <c r="M281" s="53">
        <v>7891.3312999999998</v>
      </c>
      <c r="N281" s="54">
        <v>0.33355503322163338</v>
      </c>
      <c r="O281" s="53">
        <v>-3.3902999999999999</v>
      </c>
      <c r="P281" s="30">
        <v>136</v>
      </c>
      <c r="Q281" s="30">
        <v>133</v>
      </c>
      <c r="R281" s="54">
        <v>2.2556390977443608E-2</v>
      </c>
    </row>
    <row r="282" spans="1:18" x14ac:dyDescent="0.15">
      <c r="A282" s="31">
        <v>281</v>
      </c>
      <c r="B282" s="30">
        <v>123059</v>
      </c>
      <c r="C282" s="30" t="s">
        <v>208</v>
      </c>
      <c r="D282" s="30">
        <v>120.3</v>
      </c>
      <c r="E282" s="30">
        <v>0.59</v>
      </c>
      <c r="F282" s="30">
        <v>9.5299999999999994</v>
      </c>
      <c r="G282" s="30">
        <v>79.540000000000006</v>
      </c>
      <c r="H282" s="30">
        <v>51.24</v>
      </c>
      <c r="I282" s="51">
        <v>171.54</v>
      </c>
      <c r="J282" s="52">
        <v>46218</v>
      </c>
      <c r="K282" s="53">
        <v>4.0579999999999998</v>
      </c>
      <c r="L282" s="53">
        <v>3.912433</v>
      </c>
      <c r="M282" s="53">
        <v>845.19348579999996</v>
      </c>
      <c r="N282" s="54">
        <v>1.7957405945174674E-2</v>
      </c>
      <c r="O282" s="53">
        <v>0.70479999999999998</v>
      </c>
      <c r="P282" s="30">
        <v>120.88800000000001</v>
      </c>
      <c r="Q282" s="30">
        <v>119.601</v>
      </c>
      <c r="R282" s="54">
        <v>1.0760779592143929E-2</v>
      </c>
    </row>
    <row r="283" spans="1:18" x14ac:dyDescent="0.15">
      <c r="A283" s="31">
        <v>282</v>
      </c>
      <c r="B283" s="30">
        <v>113565</v>
      </c>
      <c r="C283" s="30" t="s">
        <v>122</v>
      </c>
      <c r="D283" s="30">
        <v>124.65</v>
      </c>
      <c r="E283" s="30">
        <v>0.61</v>
      </c>
      <c r="F283" s="30">
        <v>7.64</v>
      </c>
      <c r="G283" s="30">
        <v>82.33</v>
      </c>
      <c r="H283" s="30">
        <v>51.4</v>
      </c>
      <c r="I283" s="51">
        <v>176.05</v>
      </c>
      <c r="J283" s="52">
        <v>46079</v>
      </c>
      <c r="K283" s="53">
        <v>3.677</v>
      </c>
      <c r="L283" s="53">
        <v>2.24926</v>
      </c>
      <c r="M283" s="53">
        <v>2323.9081999999999</v>
      </c>
      <c r="N283" s="54">
        <v>8.2887115355555582E-2</v>
      </c>
      <c r="O283" s="53">
        <v>-1.7401</v>
      </c>
      <c r="P283" s="30">
        <v>125.14</v>
      </c>
      <c r="Q283" s="30">
        <v>123.9</v>
      </c>
      <c r="R283" s="54">
        <v>1.0008071025020136E-2</v>
      </c>
    </row>
    <row r="284" spans="1:18" x14ac:dyDescent="0.15">
      <c r="A284" s="31">
        <v>283</v>
      </c>
      <c r="B284" s="30">
        <v>123122</v>
      </c>
      <c r="C284" s="30" t="s">
        <v>176</v>
      </c>
      <c r="D284" s="30">
        <v>119.7</v>
      </c>
      <c r="E284" s="30">
        <v>1.1000000000000001</v>
      </c>
      <c r="F284" s="30">
        <v>92.89</v>
      </c>
      <c r="G284" s="30">
        <v>78.91</v>
      </c>
      <c r="H284" s="30">
        <v>51.69</v>
      </c>
      <c r="I284" s="51">
        <v>171.39</v>
      </c>
      <c r="J284" s="52">
        <v>46605</v>
      </c>
      <c r="K284" s="53">
        <v>5.1180000000000003</v>
      </c>
      <c r="L284" s="53">
        <v>5.8070950000000003</v>
      </c>
      <c r="M284" s="53">
        <v>6793.5597246999996</v>
      </c>
      <c r="N284" s="54">
        <v>9.7733694589340545E-2</v>
      </c>
      <c r="O284" s="53">
        <v>9.9599999999999994E-2</v>
      </c>
      <c r="P284" s="30">
        <v>120.34</v>
      </c>
      <c r="Q284" s="30">
        <v>118.1</v>
      </c>
      <c r="R284" s="54">
        <v>1.8966977138018707E-2</v>
      </c>
    </row>
    <row r="285" spans="1:18" x14ac:dyDescent="0.15">
      <c r="A285" s="31">
        <v>284</v>
      </c>
      <c r="B285" s="30">
        <v>113610</v>
      </c>
      <c r="C285" s="30" t="s">
        <v>111</v>
      </c>
      <c r="D285" s="30">
        <v>112.68</v>
      </c>
      <c r="E285" s="30">
        <v>0.18</v>
      </c>
      <c r="F285" s="30">
        <v>8.61</v>
      </c>
      <c r="G285" s="30">
        <v>74.22</v>
      </c>
      <c r="H285" s="30">
        <v>51.82</v>
      </c>
      <c r="I285" s="51">
        <v>164.5</v>
      </c>
      <c r="J285" s="52">
        <v>46357</v>
      </c>
      <c r="K285" s="53">
        <v>4.4379999999999997</v>
      </c>
      <c r="L285" s="53">
        <v>4.5794600000000001</v>
      </c>
      <c r="M285" s="53">
        <v>453.58370000000002</v>
      </c>
      <c r="N285" s="54">
        <v>8.7901509086100119E-3</v>
      </c>
      <c r="O285" s="53">
        <v>1.5948</v>
      </c>
      <c r="P285" s="30">
        <v>113.01</v>
      </c>
      <c r="Q285" s="30">
        <v>112.5</v>
      </c>
      <c r="R285" s="54">
        <v>4.5333333333333788E-3</v>
      </c>
    </row>
    <row r="286" spans="1:18" x14ac:dyDescent="0.15">
      <c r="A286" s="31">
        <v>285</v>
      </c>
      <c r="B286" s="30">
        <v>123090</v>
      </c>
      <c r="C286" s="30" t="s">
        <v>182</v>
      </c>
      <c r="D286" s="30">
        <v>117.9</v>
      </c>
      <c r="E286" s="30">
        <v>1.5</v>
      </c>
      <c r="F286" s="30">
        <v>34.979999999999997</v>
      </c>
      <c r="G286" s="30">
        <v>77.27</v>
      </c>
      <c r="H286" s="30">
        <v>52.58</v>
      </c>
      <c r="I286" s="51">
        <v>170.48000000000002</v>
      </c>
      <c r="J286" s="52">
        <v>46377</v>
      </c>
      <c r="K286" s="53">
        <v>4.4930000000000003</v>
      </c>
      <c r="L286" s="53">
        <v>4.9994690000000004</v>
      </c>
      <c r="M286" s="53">
        <v>17038.218086100002</v>
      </c>
      <c r="N286" s="54">
        <v>0.2890589946911904</v>
      </c>
      <c r="O286" s="53">
        <v>-0.2122</v>
      </c>
      <c r="P286" s="30">
        <v>123.676</v>
      </c>
      <c r="Q286" s="30">
        <v>116.32299999999999</v>
      </c>
      <c r="R286" s="54">
        <v>6.3211918537176739E-2</v>
      </c>
    </row>
    <row r="287" spans="1:18" x14ac:dyDescent="0.15">
      <c r="A287" s="31">
        <v>286</v>
      </c>
      <c r="B287" s="30">
        <v>128036</v>
      </c>
      <c r="C287" s="30" t="s">
        <v>181</v>
      </c>
      <c r="D287" s="30">
        <v>156.30000000000001</v>
      </c>
      <c r="E287" s="30">
        <v>0.06</v>
      </c>
      <c r="F287" s="30">
        <v>6.94</v>
      </c>
      <c r="G287" s="30">
        <v>102.16</v>
      </c>
      <c r="H287" s="30">
        <v>53</v>
      </c>
      <c r="I287" s="51">
        <v>209.3</v>
      </c>
      <c r="J287" s="52">
        <v>45360</v>
      </c>
      <c r="K287" s="53">
        <v>1.7070000000000001</v>
      </c>
      <c r="L287" s="53">
        <v>1.4565330000000001</v>
      </c>
      <c r="M287" s="53">
        <v>23937.639661000001</v>
      </c>
      <c r="N287" s="54">
        <v>1.0514824259191333</v>
      </c>
      <c r="O287" s="53">
        <v>-19.686599999999999</v>
      </c>
      <c r="P287" s="30">
        <v>159.19200000000001</v>
      </c>
      <c r="Q287" s="30">
        <v>154.69999999999999</v>
      </c>
      <c r="R287" s="54">
        <v>2.9036845507433864E-2</v>
      </c>
    </row>
    <row r="288" spans="1:18" x14ac:dyDescent="0.15">
      <c r="A288" s="31">
        <v>287</v>
      </c>
      <c r="B288" s="30">
        <v>113519</v>
      </c>
      <c r="C288" s="30" t="s">
        <v>173</v>
      </c>
      <c r="D288" s="30">
        <v>117.32</v>
      </c>
      <c r="E288" s="30">
        <v>0.27</v>
      </c>
      <c r="F288" s="30">
        <v>11.04</v>
      </c>
      <c r="G288" s="30">
        <v>76.63</v>
      </c>
      <c r="H288" s="30">
        <v>53.1</v>
      </c>
      <c r="I288" s="51">
        <v>170.42</v>
      </c>
      <c r="J288" s="52">
        <v>45603</v>
      </c>
      <c r="K288" s="53">
        <v>2.3730000000000002</v>
      </c>
      <c r="L288" s="53">
        <v>6.9611099999999997</v>
      </c>
      <c r="M288" s="53">
        <v>2717.4812999999999</v>
      </c>
      <c r="N288" s="54">
        <v>3.327484287121691E-2</v>
      </c>
      <c r="O288" s="53">
        <v>0.35699999999999998</v>
      </c>
      <c r="P288" s="30">
        <v>117.49</v>
      </c>
      <c r="Q288" s="30">
        <v>116.95</v>
      </c>
      <c r="R288" s="54">
        <v>4.6173578452329373E-3</v>
      </c>
    </row>
    <row r="289" spans="1:18" x14ac:dyDescent="0.15">
      <c r="A289" s="31">
        <v>288</v>
      </c>
      <c r="B289" s="30">
        <v>113021</v>
      </c>
      <c r="C289" s="30" t="s">
        <v>1885</v>
      </c>
      <c r="D289" s="30">
        <v>109.2</v>
      </c>
      <c r="E289" s="30">
        <v>0.05</v>
      </c>
      <c r="F289" s="30">
        <v>6.73</v>
      </c>
      <c r="G289" s="30">
        <v>70.88</v>
      </c>
      <c r="H289" s="30">
        <v>54.06</v>
      </c>
      <c r="I289" s="51">
        <v>163.26</v>
      </c>
      <c r="J289" s="52">
        <v>45720</v>
      </c>
      <c r="K289" s="53">
        <v>2.6930000000000001</v>
      </c>
      <c r="L289" s="53">
        <v>399.99664999999999</v>
      </c>
      <c r="M289" s="53">
        <v>5046.0243</v>
      </c>
      <c r="N289" s="54">
        <v>1.1552350184998734E-3</v>
      </c>
      <c r="O289" s="53">
        <v>2.4933000000000001</v>
      </c>
      <c r="P289" s="30">
        <v>109.45</v>
      </c>
      <c r="Q289" s="30">
        <v>109.02</v>
      </c>
      <c r="R289" s="54">
        <v>3.944230416437414E-3</v>
      </c>
    </row>
    <row r="290" spans="1:18" x14ac:dyDescent="0.15">
      <c r="A290" s="31">
        <v>289</v>
      </c>
      <c r="B290" s="30">
        <v>123106</v>
      </c>
      <c r="C290" s="30" t="s">
        <v>64</v>
      </c>
      <c r="D290" s="30">
        <v>115.60299999999999</v>
      </c>
      <c r="E290" s="30">
        <v>0.96</v>
      </c>
      <c r="F290" s="30">
        <v>7.45</v>
      </c>
      <c r="G290" s="30">
        <v>74.900000000000006</v>
      </c>
      <c r="H290" s="30">
        <v>54.34</v>
      </c>
      <c r="I290" s="51">
        <v>169.94299999999998</v>
      </c>
      <c r="J290" s="52">
        <v>46470</v>
      </c>
      <c r="K290" s="53">
        <v>4.7480000000000002</v>
      </c>
      <c r="L290" s="53">
        <v>3.199684</v>
      </c>
      <c r="M290" s="53">
        <v>951.05582679999998</v>
      </c>
      <c r="N290" s="54">
        <v>2.5711642237822893E-2</v>
      </c>
      <c r="O290" s="53">
        <v>1.7064999999999999</v>
      </c>
      <c r="P290" s="30">
        <v>115.7</v>
      </c>
      <c r="Q290" s="30">
        <v>114.557</v>
      </c>
      <c r="R290" s="54">
        <v>9.9775657532931265E-3</v>
      </c>
    </row>
    <row r="291" spans="1:18" x14ac:dyDescent="0.15">
      <c r="A291" s="31">
        <v>290</v>
      </c>
      <c r="B291" s="30">
        <v>113561</v>
      </c>
      <c r="C291" s="30" t="s">
        <v>86</v>
      </c>
      <c r="D291" s="30">
        <v>132.27000000000001</v>
      </c>
      <c r="E291" s="30">
        <v>-3.07</v>
      </c>
      <c r="F291" s="30">
        <v>9.98</v>
      </c>
      <c r="G291" s="30">
        <v>85.67</v>
      </c>
      <c r="H291" s="30">
        <v>54.39</v>
      </c>
      <c r="I291" s="51">
        <v>186.66000000000003</v>
      </c>
      <c r="J291" s="52">
        <v>46022</v>
      </c>
      <c r="K291" s="53">
        <v>3.5209999999999999</v>
      </c>
      <c r="L291" s="53">
        <v>1.4991000000000001</v>
      </c>
      <c r="M291" s="53">
        <v>27304.887299999999</v>
      </c>
      <c r="N291" s="54">
        <v>1.3770459448119161</v>
      </c>
      <c r="O291" s="53">
        <v>-3.4495</v>
      </c>
      <c r="P291" s="30">
        <v>137.44</v>
      </c>
      <c r="Q291" s="30">
        <v>131.16999999999999</v>
      </c>
      <c r="R291" s="54">
        <v>4.7800564153388812E-2</v>
      </c>
    </row>
    <row r="292" spans="1:18" x14ac:dyDescent="0.15">
      <c r="A292" s="31">
        <v>291</v>
      </c>
      <c r="B292" s="30">
        <v>123088</v>
      </c>
      <c r="C292" s="30" t="s">
        <v>235</v>
      </c>
      <c r="D292" s="30">
        <v>124.238</v>
      </c>
      <c r="E292" s="30">
        <v>1.07</v>
      </c>
      <c r="F292" s="30">
        <v>20.72</v>
      </c>
      <c r="G292" s="30">
        <v>80.45</v>
      </c>
      <c r="H292" s="30">
        <v>54.43</v>
      </c>
      <c r="I292" s="51">
        <v>178.66800000000001</v>
      </c>
      <c r="J292" s="52">
        <v>46371</v>
      </c>
      <c r="K292" s="53">
        <v>4.4770000000000003</v>
      </c>
      <c r="L292" s="53">
        <v>3.011755</v>
      </c>
      <c r="M292" s="53">
        <v>111485.04815429999</v>
      </c>
      <c r="N292" s="54">
        <v>2.979494131174524</v>
      </c>
      <c r="O292" s="53">
        <v>-0.5827</v>
      </c>
      <c r="P292" s="30">
        <v>130</v>
      </c>
      <c r="Q292" s="30">
        <v>121</v>
      </c>
      <c r="R292" s="54">
        <v>7.43801652892562E-2</v>
      </c>
    </row>
    <row r="293" spans="1:18" x14ac:dyDescent="0.15">
      <c r="A293" s="31">
        <v>292</v>
      </c>
      <c r="B293" s="30">
        <v>127055</v>
      </c>
      <c r="C293" s="30" t="s">
        <v>778</v>
      </c>
      <c r="D293" s="30">
        <v>114.57299999999999</v>
      </c>
      <c r="E293" s="30">
        <v>-0.12</v>
      </c>
      <c r="F293" s="30">
        <v>19.100000000000001</v>
      </c>
      <c r="G293" s="30">
        <v>74.19</v>
      </c>
      <c r="H293" s="30">
        <v>54.43</v>
      </c>
      <c r="I293" s="51">
        <v>169.00299999999999</v>
      </c>
      <c r="J293" s="52">
        <v>46805</v>
      </c>
      <c r="K293" s="53">
        <v>5.6660000000000004</v>
      </c>
      <c r="L293" s="53">
        <v>5.77</v>
      </c>
      <c r="M293" s="53">
        <v>1343.7099765</v>
      </c>
      <c r="N293" s="54">
        <v>2.0325790436620968E-2</v>
      </c>
      <c r="O293" s="53">
        <v>0.87929999999999997</v>
      </c>
      <c r="P293" s="30">
        <v>114.95</v>
      </c>
      <c r="Q293" s="30">
        <v>114.211</v>
      </c>
      <c r="R293" s="54">
        <v>6.4704800763499513E-3</v>
      </c>
    </row>
    <row r="294" spans="1:18" x14ac:dyDescent="0.15">
      <c r="A294" s="31">
        <v>293</v>
      </c>
      <c r="B294" s="30">
        <v>128056</v>
      </c>
      <c r="C294" s="30" t="s">
        <v>79</v>
      </c>
      <c r="D294" s="30">
        <v>131.80000000000001</v>
      </c>
      <c r="E294" s="30">
        <v>-2.2599999999999998</v>
      </c>
      <c r="F294" s="30">
        <v>6.68</v>
      </c>
      <c r="G294" s="30">
        <v>85.33</v>
      </c>
      <c r="H294" s="30">
        <v>54.46</v>
      </c>
      <c r="I294" s="51">
        <v>186.26000000000002</v>
      </c>
      <c r="J294" s="52">
        <v>45716</v>
      </c>
      <c r="K294" s="53">
        <v>2.6819999999999999</v>
      </c>
      <c r="L294" s="53">
        <v>1.7224740000000003</v>
      </c>
      <c r="M294" s="53">
        <v>57358.984276999996</v>
      </c>
      <c r="N294" s="54">
        <v>2.5265818194897878</v>
      </c>
      <c r="O294" s="53">
        <v>-3.7993000000000001</v>
      </c>
      <c r="P294" s="30">
        <v>139</v>
      </c>
      <c r="Q294" s="30">
        <v>130.57</v>
      </c>
      <c r="R294" s="54">
        <v>6.4563069617829566E-2</v>
      </c>
    </row>
    <row r="295" spans="1:18" x14ac:dyDescent="0.15">
      <c r="A295" s="31">
        <v>294</v>
      </c>
      <c r="B295" s="30">
        <v>128123</v>
      </c>
      <c r="C295" s="30" t="s">
        <v>164</v>
      </c>
      <c r="D295" s="30">
        <v>115.45</v>
      </c>
      <c r="E295" s="30">
        <v>0.66</v>
      </c>
      <c r="F295" s="30">
        <v>13.17</v>
      </c>
      <c r="G295" s="30">
        <v>74.72</v>
      </c>
      <c r="H295" s="30">
        <v>54.51</v>
      </c>
      <c r="I295" s="51">
        <v>169.96</v>
      </c>
      <c r="J295" s="52">
        <v>46230</v>
      </c>
      <c r="K295" s="53">
        <v>4.09</v>
      </c>
      <c r="L295" s="53">
        <v>3.1992560000000001</v>
      </c>
      <c r="M295" s="53">
        <v>3819.355438</v>
      </c>
      <c r="N295" s="54">
        <v>0.10340633511929893</v>
      </c>
      <c r="O295" s="53">
        <v>5.4199999999999998E-2</v>
      </c>
      <c r="P295" s="30">
        <v>116.447</v>
      </c>
      <c r="Q295" s="30">
        <v>114.91500000000001</v>
      </c>
      <c r="R295" s="54">
        <v>1.3331592916503472E-2</v>
      </c>
    </row>
    <row r="296" spans="1:18" x14ac:dyDescent="0.15">
      <c r="A296" s="31">
        <v>295</v>
      </c>
      <c r="B296" s="30">
        <v>113638</v>
      </c>
      <c r="C296" s="30" t="s">
        <v>274</v>
      </c>
      <c r="D296" s="30">
        <v>119.98</v>
      </c>
      <c r="E296" s="30">
        <v>0.28999999999999998</v>
      </c>
      <c r="F296" s="30">
        <v>16.87</v>
      </c>
      <c r="G296" s="30">
        <v>77.36</v>
      </c>
      <c r="H296" s="30">
        <v>55.09</v>
      </c>
      <c r="I296" s="51">
        <v>175.07</v>
      </c>
      <c r="J296" s="52">
        <v>46750</v>
      </c>
      <c r="K296" s="53">
        <v>5.5149999999999997</v>
      </c>
      <c r="L296" s="53">
        <v>6</v>
      </c>
      <c r="M296" s="53">
        <v>524.96209999999996</v>
      </c>
      <c r="N296" s="54">
        <v>7.2923556703895082E-3</v>
      </c>
      <c r="O296" s="53">
        <v>-0.4471</v>
      </c>
      <c r="P296" s="30">
        <v>120.68</v>
      </c>
      <c r="Q296" s="30">
        <v>119.35</v>
      </c>
      <c r="R296" s="54">
        <v>1.1143695014662862E-2</v>
      </c>
    </row>
    <row r="297" spans="1:18" x14ac:dyDescent="0.15">
      <c r="A297" s="31">
        <v>296</v>
      </c>
      <c r="B297" s="30">
        <v>113046</v>
      </c>
      <c r="C297" s="30" t="s">
        <v>1886</v>
      </c>
      <c r="D297" s="30">
        <v>110.23</v>
      </c>
      <c r="E297" s="30">
        <v>0.77</v>
      </c>
      <c r="F297" s="30">
        <v>10.64</v>
      </c>
      <c r="G297" s="30">
        <v>71.05</v>
      </c>
      <c r="H297" s="30">
        <v>55.14</v>
      </c>
      <c r="I297" s="51">
        <v>165.37</v>
      </c>
      <c r="J297" s="52">
        <v>46468</v>
      </c>
      <c r="K297" s="53">
        <v>4.742</v>
      </c>
      <c r="L297" s="53">
        <v>14.998810000000001</v>
      </c>
      <c r="M297" s="53">
        <v>1416.2882</v>
      </c>
      <c r="N297" s="54">
        <v>8.5663344387697047E-3</v>
      </c>
      <c r="O297" s="53">
        <v>0.83709999999999996</v>
      </c>
      <c r="P297" s="30">
        <v>110.54</v>
      </c>
      <c r="Q297" s="30">
        <v>109.27</v>
      </c>
      <c r="R297" s="54">
        <v>1.1622586254232729E-2</v>
      </c>
    </row>
    <row r="298" spans="1:18" x14ac:dyDescent="0.15">
      <c r="A298" s="31">
        <v>297</v>
      </c>
      <c r="B298" s="30">
        <v>123064</v>
      </c>
      <c r="C298" s="30" t="s">
        <v>141</v>
      </c>
      <c r="D298" s="30">
        <v>122.251</v>
      </c>
      <c r="E298" s="30">
        <v>0.08</v>
      </c>
      <c r="F298" s="30">
        <v>51.71</v>
      </c>
      <c r="G298" s="30">
        <v>78.5</v>
      </c>
      <c r="H298" s="30">
        <v>55.73</v>
      </c>
      <c r="I298" s="51">
        <v>177.98099999999999</v>
      </c>
      <c r="J298" s="52">
        <v>46266</v>
      </c>
      <c r="K298" s="53">
        <v>4.1890000000000001</v>
      </c>
      <c r="L298" s="53">
        <v>5.9814829999999999</v>
      </c>
      <c r="M298" s="53">
        <v>5198.0995652000001</v>
      </c>
      <c r="N298" s="54">
        <v>7.1085872903312891E-2</v>
      </c>
      <c r="O298" s="53">
        <v>-1.5190999999999999</v>
      </c>
      <c r="P298" s="30">
        <v>122.998</v>
      </c>
      <c r="Q298" s="30">
        <v>121.931</v>
      </c>
      <c r="R298" s="54">
        <v>8.7508508910778011E-3</v>
      </c>
    </row>
    <row r="299" spans="1:18" x14ac:dyDescent="0.15">
      <c r="A299" s="31">
        <v>298</v>
      </c>
      <c r="B299" s="30">
        <v>123061</v>
      </c>
      <c r="C299" s="30" t="s">
        <v>95</v>
      </c>
      <c r="D299" s="30">
        <v>123.13</v>
      </c>
      <c r="E299" s="30">
        <v>0.55000000000000004</v>
      </c>
      <c r="F299" s="30">
        <v>14.85</v>
      </c>
      <c r="G299" s="30">
        <v>78.52</v>
      </c>
      <c r="H299" s="30">
        <v>56.81</v>
      </c>
      <c r="I299" s="51">
        <v>179.94</v>
      </c>
      <c r="J299" s="52">
        <v>46225</v>
      </c>
      <c r="K299" s="53">
        <v>4.077</v>
      </c>
      <c r="L299" s="53">
        <v>2.4961600000000002</v>
      </c>
      <c r="M299" s="53">
        <v>12281.987302699999</v>
      </c>
      <c r="N299" s="54">
        <v>0.39960631711580813</v>
      </c>
      <c r="O299" s="53">
        <v>0.2382</v>
      </c>
      <c r="P299" s="30">
        <v>125</v>
      </c>
      <c r="Q299" s="30">
        <v>122.46</v>
      </c>
      <c r="R299" s="54">
        <v>2.0741466601339267E-2</v>
      </c>
    </row>
    <row r="300" spans="1:18" x14ac:dyDescent="0.15">
      <c r="A300" s="31">
        <v>299</v>
      </c>
      <c r="B300" s="30">
        <v>127047</v>
      </c>
      <c r="C300" s="30" t="s">
        <v>1878</v>
      </c>
      <c r="D300" s="30">
        <v>103</v>
      </c>
      <c r="E300" s="30">
        <v>-0.1</v>
      </c>
      <c r="F300" s="30">
        <v>13.33</v>
      </c>
      <c r="G300" s="30">
        <v>65.569999999999993</v>
      </c>
      <c r="H300" s="30">
        <v>57.08</v>
      </c>
      <c r="I300" s="51">
        <v>160.07999999999998</v>
      </c>
      <c r="J300" s="52">
        <v>46685</v>
      </c>
      <c r="K300" s="53">
        <v>5.3369999999999997</v>
      </c>
      <c r="L300" s="53">
        <v>14.999142000000003</v>
      </c>
      <c r="M300" s="53">
        <v>8316.8865255000001</v>
      </c>
      <c r="N300" s="54">
        <v>5.3834060055808007E-2</v>
      </c>
      <c r="O300" s="53">
        <v>3.0245000000000002</v>
      </c>
      <c r="P300" s="30">
        <v>103.5</v>
      </c>
      <c r="Q300" s="30">
        <v>102.771</v>
      </c>
      <c r="R300" s="54">
        <v>7.0934407566336727E-3</v>
      </c>
    </row>
    <row r="301" spans="1:18" x14ac:dyDescent="0.15">
      <c r="A301" s="31">
        <v>300</v>
      </c>
      <c r="B301" s="30">
        <v>113043</v>
      </c>
      <c r="C301" s="30" t="s">
        <v>1892</v>
      </c>
      <c r="D301" s="30">
        <v>109.31</v>
      </c>
      <c r="E301" s="30">
        <v>0.53</v>
      </c>
      <c r="F301" s="30">
        <v>11.49</v>
      </c>
      <c r="G301" s="30">
        <v>69.540000000000006</v>
      </c>
      <c r="H301" s="30">
        <v>57.19</v>
      </c>
      <c r="I301" s="51">
        <v>166.5</v>
      </c>
      <c r="J301" s="52">
        <v>46366</v>
      </c>
      <c r="K301" s="53">
        <v>4.4630000000000001</v>
      </c>
      <c r="L301" s="53">
        <v>37.99765</v>
      </c>
      <c r="M301" s="53">
        <v>5164.6112000000003</v>
      </c>
      <c r="N301" s="54">
        <v>1.2434290237283803E-2</v>
      </c>
      <c r="O301" s="53">
        <v>0.14319999999999999</v>
      </c>
      <c r="P301" s="30">
        <v>110.29</v>
      </c>
      <c r="Q301" s="30">
        <v>108.84</v>
      </c>
      <c r="R301" s="54">
        <v>1.3322307975009214E-2</v>
      </c>
    </row>
    <row r="302" spans="1:18" x14ac:dyDescent="0.15">
      <c r="A302" s="31">
        <v>301</v>
      </c>
      <c r="B302" s="30">
        <v>113563</v>
      </c>
      <c r="C302" s="30" t="s">
        <v>166</v>
      </c>
      <c r="D302" s="30">
        <v>109.53</v>
      </c>
      <c r="E302" s="30">
        <v>0.64</v>
      </c>
      <c r="F302" s="30">
        <v>23.39</v>
      </c>
      <c r="G302" s="30">
        <v>69.52</v>
      </c>
      <c r="H302" s="30">
        <v>57.55</v>
      </c>
      <c r="I302" s="51">
        <v>167.07999999999998</v>
      </c>
      <c r="J302" s="52">
        <v>46038</v>
      </c>
      <c r="K302" s="53">
        <v>3.5640000000000001</v>
      </c>
      <c r="L302" s="53">
        <v>8.0190199999999994</v>
      </c>
      <c r="M302" s="53">
        <v>1753.6795</v>
      </c>
      <c r="N302" s="54">
        <v>1.9966219485090569E-2</v>
      </c>
      <c r="O302" s="53">
        <v>0.7167</v>
      </c>
      <c r="P302" s="30">
        <v>110.32</v>
      </c>
      <c r="Q302" s="30">
        <v>108.9</v>
      </c>
      <c r="R302" s="54">
        <v>1.3039485766758379E-2</v>
      </c>
    </row>
    <row r="303" spans="1:18" x14ac:dyDescent="0.15">
      <c r="A303" s="31">
        <v>302</v>
      </c>
      <c r="B303" s="30">
        <v>128053</v>
      </c>
      <c r="C303" s="30" t="s">
        <v>61</v>
      </c>
      <c r="D303" s="30">
        <v>142.422</v>
      </c>
      <c r="E303" s="30">
        <v>-1.31</v>
      </c>
      <c r="F303" s="30">
        <v>4.88</v>
      </c>
      <c r="G303" s="30">
        <v>90.37</v>
      </c>
      <c r="H303" s="30">
        <v>57.6</v>
      </c>
      <c r="I303" s="51">
        <v>200.02199999999999</v>
      </c>
      <c r="J303" s="52">
        <v>45702</v>
      </c>
      <c r="K303" s="53">
        <v>2.6440000000000001</v>
      </c>
      <c r="L303" s="53">
        <v>1.90018</v>
      </c>
      <c r="M303" s="53">
        <v>25459.236496000001</v>
      </c>
      <c r="N303" s="54">
        <v>0.94074853887922139</v>
      </c>
      <c r="O303" s="53">
        <v>-8.4009</v>
      </c>
      <c r="P303" s="30">
        <v>145.19999999999999</v>
      </c>
      <c r="Q303" s="30">
        <v>141.11799999999999</v>
      </c>
      <c r="R303" s="54">
        <v>2.8926146912512888E-2</v>
      </c>
    </row>
    <row r="304" spans="1:18" x14ac:dyDescent="0.15">
      <c r="A304" s="31">
        <v>303</v>
      </c>
      <c r="B304" s="30">
        <v>118006</v>
      </c>
      <c r="C304" s="30" t="s">
        <v>807</v>
      </c>
      <c r="D304" s="30">
        <v>194.47</v>
      </c>
      <c r="E304" s="30">
        <v>-1.2</v>
      </c>
      <c r="F304" s="30">
        <v>45.23</v>
      </c>
      <c r="G304" s="30">
        <v>122.86</v>
      </c>
      <c r="H304" s="30">
        <v>58.29</v>
      </c>
      <c r="I304" s="51">
        <v>252.76</v>
      </c>
      <c r="J304" s="52">
        <v>46827</v>
      </c>
      <c r="K304" s="53">
        <v>5.726</v>
      </c>
      <c r="L304" s="53">
        <v>3.8740000000000001</v>
      </c>
      <c r="M304" s="53">
        <v>64671.433499999999</v>
      </c>
      <c r="N304" s="54">
        <v>0.85842084886130932</v>
      </c>
      <c r="O304" s="53">
        <v>-8.0126000000000008</v>
      </c>
      <c r="P304" s="30">
        <v>203</v>
      </c>
      <c r="Q304" s="30">
        <v>192.81</v>
      </c>
      <c r="R304" s="54">
        <v>5.284995591514962E-2</v>
      </c>
    </row>
    <row r="305" spans="1:18" x14ac:dyDescent="0.15">
      <c r="A305" s="31">
        <v>304</v>
      </c>
      <c r="B305" s="30">
        <v>123099</v>
      </c>
      <c r="C305" s="30" t="s">
        <v>242</v>
      </c>
      <c r="D305" s="30">
        <v>114.54</v>
      </c>
      <c r="E305" s="30">
        <v>2.2200000000000002</v>
      </c>
      <c r="F305" s="30">
        <v>46.03</v>
      </c>
      <c r="G305" s="30">
        <v>72.239999999999995</v>
      </c>
      <c r="H305" s="30">
        <v>58.55</v>
      </c>
      <c r="I305" s="51">
        <v>173.09</v>
      </c>
      <c r="J305" s="52">
        <v>46427</v>
      </c>
      <c r="K305" s="53">
        <v>4.63</v>
      </c>
      <c r="L305" s="53">
        <v>8.4993130000000008</v>
      </c>
      <c r="M305" s="53">
        <v>9484.9413790999988</v>
      </c>
      <c r="N305" s="54">
        <v>9.7430212384097686E-2</v>
      </c>
      <c r="O305" s="53">
        <v>1.5978000000000001</v>
      </c>
      <c r="P305" s="30">
        <v>116.44</v>
      </c>
      <c r="Q305" s="30">
        <v>112.89</v>
      </c>
      <c r="R305" s="54">
        <v>3.1446540880503117E-2</v>
      </c>
    </row>
    <row r="306" spans="1:18" x14ac:dyDescent="0.15">
      <c r="A306" s="31">
        <v>305</v>
      </c>
      <c r="B306" s="30">
        <v>128122</v>
      </c>
      <c r="C306" s="30" t="s">
        <v>200</v>
      </c>
      <c r="D306" s="30">
        <v>124.38</v>
      </c>
      <c r="E306" s="30">
        <v>2.96</v>
      </c>
      <c r="F306" s="30">
        <v>14</v>
      </c>
      <c r="G306" s="30">
        <v>78.069999999999993</v>
      </c>
      <c r="H306" s="30">
        <v>59.32</v>
      </c>
      <c r="I306" s="51">
        <v>183.7</v>
      </c>
      <c r="J306" s="52">
        <v>45861</v>
      </c>
      <c r="K306" s="53">
        <v>3.0790000000000002</v>
      </c>
      <c r="L306" s="53">
        <v>2.6856749999999998</v>
      </c>
      <c r="M306" s="53">
        <v>11231.338537399999</v>
      </c>
      <c r="N306" s="54">
        <v>0.33622306981350542</v>
      </c>
      <c r="O306" s="53">
        <v>-3.1078000000000001</v>
      </c>
      <c r="P306" s="30">
        <v>124.999</v>
      </c>
      <c r="Q306" s="30">
        <v>121.1</v>
      </c>
      <c r="R306" s="54">
        <v>3.2196531791907526E-2</v>
      </c>
    </row>
    <row r="307" spans="1:18" x14ac:dyDescent="0.15">
      <c r="A307" s="31">
        <v>306</v>
      </c>
      <c r="B307" s="30">
        <v>123014</v>
      </c>
      <c r="C307" s="30" t="s">
        <v>55</v>
      </c>
      <c r="D307" s="30">
        <v>165</v>
      </c>
      <c r="E307" s="30">
        <v>3.45</v>
      </c>
      <c r="F307" s="30">
        <v>8.0299999999999994</v>
      </c>
      <c r="G307" s="30">
        <v>103.36</v>
      </c>
      <c r="H307" s="30">
        <v>59.64</v>
      </c>
      <c r="I307" s="51">
        <v>224.64</v>
      </c>
      <c r="J307" s="52">
        <v>45134</v>
      </c>
      <c r="K307" s="53">
        <v>1.0880000000000001</v>
      </c>
      <c r="L307" s="53">
        <v>1.160385</v>
      </c>
      <c r="M307" s="53">
        <v>214270.04850190002</v>
      </c>
      <c r="N307" s="54">
        <v>11.191168056782617</v>
      </c>
      <c r="O307" s="53">
        <v>-32.775599999999997</v>
      </c>
      <c r="P307" s="30">
        <v>171.99600000000001</v>
      </c>
      <c r="Q307" s="30">
        <v>153.19999999999999</v>
      </c>
      <c r="R307" s="54">
        <v>0.12268929503916463</v>
      </c>
    </row>
    <row r="308" spans="1:18" x14ac:dyDescent="0.15">
      <c r="A308" s="31">
        <v>307</v>
      </c>
      <c r="B308" s="30">
        <v>123054</v>
      </c>
      <c r="C308" s="30" t="s">
        <v>82</v>
      </c>
      <c r="D308" s="30">
        <v>140</v>
      </c>
      <c r="E308" s="30">
        <v>0.28999999999999998</v>
      </c>
      <c r="F308" s="30">
        <v>10.46</v>
      </c>
      <c r="G308" s="30">
        <v>87.57</v>
      </c>
      <c r="H308" s="30">
        <v>59.87</v>
      </c>
      <c r="I308" s="51">
        <v>199.87</v>
      </c>
      <c r="J308" s="52">
        <v>46183</v>
      </c>
      <c r="K308" s="53">
        <v>3.9620000000000002</v>
      </c>
      <c r="L308" s="53">
        <v>2.073102</v>
      </c>
      <c r="M308" s="53">
        <v>37854.8074089</v>
      </c>
      <c r="N308" s="54">
        <v>1.3042845045354394</v>
      </c>
      <c r="O308" s="53">
        <v>-3.7854000000000001</v>
      </c>
      <c r="P308" s="30">
        <v>146.74</v>
      </c>
      <c r="Q308" s="30">
        <v>139.54</v>
      </c>
      <c r="R308" s="54">
        <v>5.1598108069370915E-2</v>
      </c>
    </row>
    <row r="309" spans="1:18" x14ac:dyDescent="0.15">
      <c r="A309" s="31">
        <v>308</v>
      </c>
      <c r="B309" s="30">
        <v>110058</v>
      </c>
      <c r="C309" s="30" t="s">
        <v>78</v>
      </c>
      <c r="D309" s="30">
        <v>117</v>
      </c>
      <c r="E309" s="30">
        <v>-0.83</v>
      </c>
      <c r="F309" s="30">
        <v>5.04</v>
      </c>
      <c r="G309" s="30">
        <v>73.02</v>
      </c>
      <c r="H309" s="30">
        <v>60.23</v>
      </c>
      <c r="I309" s="51">
        <v>177.23</v>
      </c>
      <c r="J309" s="52">
        <v>45763</v>
      </c>
      <c r="K309" s="53">
        <v>2.8109999999999999</v>
      </c>
      <c r="L309" s="53">
        <v>2.6102099999999999</v>
      </c>
      <c r="M309" s="53">
        <v>3013.5464999999999</v>
      </c>
      <c r="N309" s="54">
        <v>9.8677147403111981E-2</v>
      </c>
      <c r="O309" s="53">
        <v>-1.1527000000000001</v>
      </c>
      <c r="P309" s="30">
        <v>118.75</v>
      </c>
      <c r="Q309" s="30">
        <v>116.78</v>
      </c>
      <c r="R309" s="54">
        <v>1.6869326939544432E-2</v>
      </c>
    </row>
    <row r="310" spans="1:18" x14ac:dyDescent="0.15">
      <c r="A310" s="31">
        <v>309</v>
      </c>
      <c r="B310" s="30">
        <v>110081</v>
      </c>
      <c r="C310" s="30" t="s">
        <v>1897</v>
      </c>
      <c r="D310" s="30">
        <v>117.6</v>
      </c>
      <c r="E310" s="30">
        <v>2.25</v>
      </c>
      <c r="F310" s="30">
        <v>96.69</v>
      </c>
      <c r="G310" s="30">
        <v>73.25</v>
      </c>
      <c r="H310" s="30">
        <v>60.55</v>
      </c>
      <c r="I310" s="51">
        <v>178.14999999999998</v>
      </c>
      <c r="J310" s="52">
        <v>46596</v>
      </c>
      <c r="K310" s="53">
        <v>5.093</v>
      </c>
      <c r="L310" s="53">
        <v>85.983329999999995</v>
      </c>
      <c r="M310" s="53">
        <v>53144.565399999999</v>
      </c>
      <c r="N310" s="54">
        <v>5.2557812046578244E-2</v>
      </c>
      <c r="O310" s="53">
        <v>-0.98209999999999997</v>
      </c>
      <c r="P310" s="30">
        <v>118.18</v>
      </c>
      <c r="Q310" s="30">
        <v>115.01</v>
      </c>
      <c r="R310" s="54">
        <v>2.7562820624293553E-2</v>
      </c>
    </row>
    <row r="311" spans="1:18" x14ac:dyDescent="0.15">
      <c r="A311" s="31">
        <v>310</v>
      </c>
      <c r="B311" s="30">
        <v>113045</v>
      </c>
      <c r="C311" s="30" t="s">
        <v>1894</v>
      </c>
      <c r="D311" s="30">
        <v>113.24</v>
      </c>
      <c r="E311" s="30">
        <v>0.25</v>
      </c>
      <c r="F311" s="30">
        <v>19.489999999999998</v>
      </c>
      <c r="G311" s="30">
        <v>70.34</v>
      </c>
      <c r="H311" s="30">
        <v>60.99</v>
      </c>
      <c r="I311" s="51">
        <v>174.23</v>
      </c>
      <c r="J311" s="52">
        <v>46450</v>
      </c>
      <c r="K311" s="53">
        <v>4.6929999999999996</v>
      </c>
      <c r="L311" s="53">
        <v>34.499510000000001</v>
      </c>
      <c r="M311" s="53">
        <v>895.58820000000003</v>
      </c>
      <c r="N311" s="54">
        <v>2.2924273189916262E-3</v>
      </c>
      <c r="O311" s="53">
        <v>-0.25659999999999999</v>
      </c>
      <c r="P311" s="30">
        <v>114.95</v>
      </c>
      <c r="Q311" s="30">
        <v>112.88</v>
      </c>
      <c r="R311" s="54">
        <v>1.8338058114812258E-2</v>
      </c>
    </row>
    <row r="312" spans="1:18" x14ac:dyDescent="0.15">
      <c r="A312" s="31">
        <v>311</v>
      </c>
      <c r="B312" s="30">
        <v>110073</v>
      </c>
      <c r="C312" s="30" t="s">
        <v>1891</v>
      </c>
      <c r="D312" s="30">
        <v>106.66</v>
      </c>
      <c r="E312" s="30">
        <v>0.12</v>
      </c>
      <c r="F312" s="30">
        <v>9.75</v>
      </c>
      <c r="G312" s="30">
        <v>65.95</v>
      </c>
      <c r="H312" s="30">
        <v>61.73</v>
      </c>
      <c r="I312" s="51">
        <v>168.39</v>
      </c>
      <c r="J312" s="52">
        <v>46227</v>
      </c>
      <c r="K312" s="53">
        <v>4.0819999999999999</v>
      </c>
      <c r="L312" s="53">
        <v>79.993290000000002</v>
      </c>
      <c r="M312" s="53">
        <v>15098.5856</v>
      </c>
      <c r="N312" s="54">
        <v>1.7696245195123399E-2</v>
      </c>
      <c r="O312" s="53">
        <v>0.83709999999999996</v>
      </c>
      <c r="P312" s="30">
        <v>107.12</v>
      </c>
      <c r="Q312" s="30">
        <v>106.47</v>
      </c>
      <c r="R312" s="54">
        <v>6.1050061050061588E-3</v>
      </c>
    </row>
    <row r="313" spans="1:18" x14ac:dyDescent="0.15">
      <c r="A313" s="31">
        <v>312</v>
      </c>
      <c r="B313" s="30">
        <v>113535</v>
      </c>
      <c r="C313" s="30" t="s">
        <v>214</v>
      </c>
      <c r="D313" s="30">
        <v>112.05</v>
      </c>
      <c r="E313" s="30">
        <v>0.17</v>
      </c>
      <c r="F313" s="30">
        <v>12.29</v>
      </c>
      <c r="G313" s="30">
        <v>68.19</v>
      </c>
      <c r="H313" s="30">
        <v>64.319999999999993</v>
      </c>
      <c r="I313" s="51">
        <v>176.37</v>
      </c>
      <c r="J313" s="52">
        <v>45421</v>
      </c>
      <c r="K313" s="53">
        <v>1.8740000000000001</v>
      </c>
      <c r="L313" s="53">
        <v>4.9961200000000003</v>
      </c>
      <c r="M313" s="53">
        <v>972.11410000000001</v>
      </c>
      <c r="N313" s="54">
        <v>1.736490935082536E-2</v>
      </c>
      <c r="O313" s="53">
        <v>-0.26369999999999999</v>
      </c>
      <c r="P313" s="30">
        <v>112.43</v>
      </c>
      <c r="Q313" s="30">
        <v>111.78</v>
      </c>
      <c r="R313" s="54">
        <v>5.8149937376991024E-3</v>
      </c>
    </row>
    <row r="314" spans="1:18" x14ac:dyDescent="0.15">
      <c r="A314" s="31">
        <v>313</v>
      </c>
      <c r="B314" s="30">
        <v>113623</v>
      </c>
      <c r="C314" s="30" t="s">
        <v>1889</v>
      </c>
      <c r="D314" s="30">
        <v>111.93</v>
      </c>
      <c r="E314" s="30">
        <v>-7.0000000000000007E-2</v>
      </c>
      <c r="F314" s="30">
        <v>16.25</v>
      </c>
      <c r="G314" s="30">
        <v>67.75</v>
      </c>
      <c r="H314" s="30">
        <v>65.209999999999994</v>
      </c>
      <c r="I314" s="51">
        <v>177.14</v>
      </c>
      <c r="J314" s="52">
        <v>46485</v>
      </c>
      <c r="K314" s="53">
        <v>4.7889999999999997</v>
      </c>
      <c r="L314" s="53">
        <v>24.99952</v>
      </c>
      <c r="M314" s="53">
        <v>3949.4901</v>
      </c>
      <c r="N314" s="54">
        <v>1.4114414121918654E-2</v>
      </c>
      <c r="O314" s="53">
        <v>0.90890000000000004</v>
      </c>
      <c r="P314" s="30">
        <v>112.66</v>
      </c>
      <c r="Q314" s="30">
        <v>111.49</v>
      </c>
      <c r="R314" s="54">
        <v>1.0494214727778292E-2</v>
      </c>
    </row>
    <row r="315" spans="1:18" x14ac:dyDescent="0.15">
      <c r="A315" s="31">
        <v>314</v>
      </c>
      <c r="B315" s="30">
        <v>128069</v>
      </c>
      <c r="C315" s="30" t="s">
        <v>172</v>
      </c>
      <c r="D315" s="30">
        <v>117.22199999999999</v>
      </c>
      <c r="E315" s="30">
        <v>0.56999999999999995</v>
      </c>
      <c r="F315" s="30">
        <v>18.010000000000002</v>
      </c>
      <c r="G315" s="30">
        <v>69.569999999999993</v>
      </c>
      <c r="H315" s="30">
        <v>68.5</v>
      </c>
      <c r="I315" s="51">
        <v>185.72199999999998</v>
      </c>
      <c r="J315" s="52">
        <v>45832</v>
      </c>
      <c r="K315" s="53">
        <v>3</v>
      </c>
      <c r="L315" s="53">
        <v>2.99343</v>
      </c>
      <c r="M315" s="53">
        <v>3157.0515105999998</v>
      </c>
      <c r="N315" s="54">
        <v>8.99711836849654E-2</v>
      </c>
      <c r="O315" s="53">
        <v>0.3095</v>
      </c>
      <c r="P315" s="30">
        <v>117.8</v>
      </c>
      <c r="Q315" s="30">
        <v>116.91</v>
      </c>
      <c r="R315" s="54">
        <v>7.6126935249337148E-3</v>
      </c>
    </row>
    <row r="316" spans="1:18" x14ac:dyDescent="0.15">
      <c r="A316" s="31">
        <v>315</v>
      </c>
      <c r="B316" s="30">
        <v>128142</v>
      </c>
      <c r="C316" s="30" t="s">
        <v>198</v>
      </c>
      <c r="D316" s="30">
        <v>112.61</v>
      </c>
      <c r="E316" s="30">
        <v>0.55000000000000004</v>
      </c>
      <c r="F316" s="30">
        <v>18.399999999999999</v>
      </c>
      <c r="G316" s="30">
        <v>66.52</v>
      </c>
      <c r="H316" s="30">
        <v>69.290000000000006</v>
      </c>
      <c r="I316" s="51">
        <v>181.9</v>
      </c>
      <c r="J316" s="52">
        <v>46374</v>
      </c>
      <c r="K316" s="53">
        <v>4.4850000000000003</v>
      </c>
      <c r="L316" s="53">
        <v>7.1797839999999997</v>
      </c>
      <c r="M316" s="53">
        <v>344.64215309999997</v>
      </c>
      <c r="N316" s="54">
        <v>4.2626537552844105E-3</v>
      </c>
      <c r="O316" s="53">
        <v>0.4385</v>
      </c>
      <c r="P316" s="30">
        <v>112.9</v>
      </c>
      <c r="Q316" s="30">
        <v>111.881</v>
      </c>
      <c r="R316" s="54">
        <v>9.1078914203484539E-3</v>
      </c>
    </row>
    <row r="317" spans="1:18" x14ac:dyDescent="0.15">
      <c r="A317" s="31">
        <v>316</v>
      </c>
      <c r="B317" s="30">
        <v>123004</v>
      </c>
      <c r="C317" s="30" t="s">
        <v>180</v>
      </c>
      <c r="D317" s="30">
        <v>107.03</v>
      </c>
      <c r="E317" s="30">
        <v>0.17</v>
      </c>
      <c r="F317" s="30">
        <v>3.82</v>
      </c>
      <c r="G317" s="30">
        <v>62.83</v>
      </c>
      <c r="H317" s="30">
        <v>70.349999999999994</v>
      </c>
      <c r="I317" s="51">
        <v>177.38</v>
      </c>
      <c r="J317" s="52">
        <v>45278</v>
      </c>
      <c r="K317" s="53">
        <v>1.482</v>
      </c>
      <c r="L317" s="53">
        <v>8.0317070000000008</v>
      </c>
      <c r="M317" s="53">
        <v>1020.9783128</v>
      </c>
      <c r="N317" s="54">
        <v>1.1876900955832636E-2</v>
      </c>
      <c r="O317" s="53">
        <v>0.29830000000000001</v>
      </c>
      <c r="P317" s="30">
        <v>107.062</v>
      </c>
      <c r="Q317" s="30">
        <v>106.8</v>
      </c>
      <c r="R317" s="54">
        <v>2.4531835205992554E-3</v>
      </c>
    </row>
    <row r="318" spans="1:18" x14ac:dyDescent="0.15">
      <c r="A318" s="31">
        <v>317</v>
      </c>
      <c r="B318" s="30">
        <v>113530</v>
      </c>
      <c r="C318" s="30" t="s">
        <v>189</v>
      </c>
      <c r="D318" s="30">
        <v>115.64</v>
      </c>
      <c r="E318" s="30">
        <v>-0.06</v>
      </c>
      <c r="F318" s="30">
        <v>16.100000000000001</v>
      </c>
      <c r="G318" s="30">
        <v>67.83</v>
      </c>
      <c r="H318" s="30">
        <v>70.489999999999995</v>
      </c>
      <c r="I318" s="51">
        <v>186.13</v>
      </c>
      <c r="J318" s="52">
        <v>45743</v>
      </c>
      <c r="K318" s="53">
        <v>2.7559999999999998</v>
      </c>
      <c r="L318" s="53">
        <v>6.29765</v>
      </c>
      <c r="M318" s="53">
        <v>664.07659999999998</v>
      </c>
      <c r="N318" s="54">
        <v>9.1186715689544843E-3</v>
      </c>
      <c r="O318" s="53">
        <v>1.3736999999999999</v>
      </c>
      <c r="P318" s="30">
        <v>116.62</v>
      </c>
      <c r="Q318" s="30">
        <v>115.32</v>
      </c>
      <c r="R318" s="54">
        <v>1.1272979535206482E-2</v>
      </c>
    </row>
    <row r="319" spans="1:18" x14ac:dyDescent="0.15">
      <c r="A319" s="31">
        <v>318</v>
      </c>
      <c r="B319" s="30">
        <v>113566</v>
      </c>
      <c r="C319" s="30" t="s">
        <v>192</v>
      </c>
      <c r="D319" s="30">
        <v>124.48</v>
      </c>
      <c r="E319" s="30">
        <v>0.18</v>
      </c>
      <c r="F319" s="30">
        <v>10.77</v>
      </c>
      <c r="G319" s="30">
        <v>72.790000000000006</v>
      </c>
      <c r="H319" s="30">
        <v>71.010000000000005</v>
      </c>
      <c r="I319" s="51">
        <v>195.49</v>
      </c>
      <c r="J319" s="52">
        <v>46081</v>
      </c>
      <c r="K319" s="53">
        <v>3.6819999999999999</v>
      </c>
      <c r="L319" s="53">
        <v>1.6127199999999999</v>
      </c>
      <c r="M319" s="53">
        <v>1832.1425999999999</v>
      </c>
      <c r="N319" s="54">
        <v>9.1264256758385232E-2</v>
      </c>
      <c r="O319" s="53">
        <v>-0.28599999999999998</v>
      </c>
      <c r="P319" s="30">
        <v>125.9</v>
      </c>
      <c r="Q319" s="30">
        <v>123.89</v>
      </c>
      <c r="R319" s="54">
        <v>1.6224069739284891E-2</v>
      </c>
    </row>
    <row r="320" spans="1:18" x14ac:dyDescent="0.15">
      <c r="A320" s="31">
        <v>319</v>
      </c>
      <c r="B320" s="30">
        <v>113616</v>
      </c>
      <c r="C320" s="30" t="s">
        <v>1899</v>
      </c>
      <c r="D320" s="30">
        <v>122.79</v>
      </c>
      <c r="E320" s="30">
        <v>1.25</v>
      </c>
      <c r="F320" s="30">
        <v>222.52</v>
      </c>
      <c r="G320" s="30">
        <v>71.709999999999994</v>
      </c>
      <c r="H320" s="30">
        <v>71.23</v>
      </c>
      <c r="I320" s="51">
        <v>194.02</v>
      </c>
      <c r="J320" s="52">
        <v>46384</v>
      </c>
      <c r="K320" s="53">
        <v>4.5119999999999996</v>
      </c>
      <c r="L320" s="53">
        <v>24.333670000000001</v>
      </c>
      <c r="M320" s="53">
        <v>5621.1269000000002</v>
      </c>
      <c r="N320" s="54">
        <v>1.8812771317954356E-2</v>
      </c>
      <c r="O320" s="53">
        <v>-0.58919999999999995</v>
      </c>
      <c r="P320" s="30">
        <v>123.32</v>
      </c>
      <c r="Q320" s="30">
        <v>121.09</v>
      </c>
      <c r="R320" s="54">
        <v>1.8416054174580806E-2</v>
      </c>
    </row>
    <row r="321" spans="1:18" x14ac:dyDescent="0.15">
      <c r="A321" s="31">
        <v>320</v>
      </c>
      <c r="B321" s="30">
        <v>128105</v>
      </c>
      <c r="C321" s="30" t="s">
        <v>185</v>
      </c>
      <c r="D321" s="30">
        <v>101.642</v>
      </c>
      <c r="E321" s="30">
        <v>0.27</v>
      </c>
      <c r="F321" s="30">
        <v>7.91</v>
      </c>
      <c r="G321" s="30">
        <v>59.29</v>
      </c>
      <c r="H321" s="30">
        <v>71.430000000000007</v>
      </c>
      <c r="I321" s="51">
        <v>173.072</v>
      </c>
      <c r="J321" s="52">
        <v>46121</v>
      </c>
      <c r="K321" s="53">
        <v>3.7919999999999998</v>
      </c>
      <c r="L321" s="53">
        <v>7.9952110000000003</v>
      </c>
      <c r="M321" s="53">
        <v>1402.790974</v>
      </c>
      <c r="N321" s="54">
        <v>1.7261949080359412E-2</v>
      </c>
      <c r="O321" s="53">
        <v>3.2019000000000002</v>
      </c>
      <c r="P321" s="30">
        <v>101.66</v>
      </c>
      <c r="Q321" s="30">
        <v>101.392</v>
      </c>
      <c r="R321" s="54">
        <v>2.6432065646204896E-3</v>
      </c>
    </row>
    <row r="322" spans="1:18" x14ac:dyDescent="0.15">
      <c r="A322" s="31">
        <v>321</v>
      </c>
      <c r="B322" s="30">
        <v>123096</v>
      </c>
      <c r="C322" s="30" t="s">
        <v>207</v>
      </c>
      <c r="D322" s="30">
        <v>105.75</v>
      </c>
      <c r="E322" s="30">
        <v>0.67</v>
      </c>
      <c r="F322" s="30">
        <v>8.27</v>
      </c>
      <c r="G322" s="30">
        <v>61.55</v>
      </c>
      <c r="H322" s="30">
        <v>71.81</v>
      </c>
      <c r="I322" s="51">
        <v>177.56</v>
      </c>
      <c r="J322" s="52">
        <v>46413</v>
      </c>
      <c r="K322" s="53">
        <v>4.5919999999999996</v>
      </c>
      <c r="L322" s="53">
        <v>8.1692780000000003</v>
      </c>
      <c r="M322" s="53">
        <v>1281.7197770999999</v>
      </c>
      <c r="N322" s="54">
        <v>1.4836417098477788E-2</v>
      </c>
      <c r="O322" s="53">
        <v>3.5247999999999999</v>
      </c>
      <c r="P322" s="30">
        <v>105.8</v>
      </c>
      <c r="Q322" s="30">
        <v>105.1</v>
      </c>
      <c r="R322" s="54">
        <v>6.6603235014272393E-3</v>
      </c>
    </row>
    <row r="323" spans="1:18" x14ac:dyDescent="0.15">
      <c r="A323" s="31">
        <v>322</v>
      </c>
      <c r="B323" s="30">
        <v>113042</v>
      </c>
      <c r="C323" s="30" t="s">
        <v>1893</v>
      </c>
      <c r="D323" s="30">
        <v>105.08</v>
      </c>
      <c r="E323" s="30">
        <v>-0.02</v>
      </c>
      <c r="F323" s="30">
        <v>10.63</v>
      </c>
      <c r="G323" s="30">
        <v>61.15</v>
      </c>
      <c r="H323" s="30">
        <v>71.84</v>
      </c>
      <c r="I323" s="51">
        <v>176.92000000000002</v>
      </c>
      <c r="J323" s="52">
        <v>46412</v>
      </c>
      <c r="K323" s="53">
        <v>4.5890000000000004</v>
      </c>
      <c r="L323" s="53">
        <v>199.98687000000001</v>
      </c>
      <c r="M323" s="53">
        <v>23152.0065</v>
      </c>
      <c r="N323" s="54">
        <v>1.1017094846315486E-2</v>
      </c>
      <c r="O323" s="53">
        <v>3.1459999999999999</v>
      </c>
      <c r="P323" s="30">
        <v>105.2</v>
      </c>
      <c r="Q323" s="30">
        <v>105.03</v>
      </c>
      <c r="R323" s="54">
        <v>1.618585166143023E-3</v>
      </c>
    </row>
    <row r="324" spans="1:18" x14ac:dyDescent="0.15">
      <c r="A324" s="31">
        <v>323</v>
      </c>
      <c r="B324" s="30">
        <v>113542</v>
      </c>
      <c r="C324" s="30" t="s">
        <v>177</v>
      </c>
      <c r="D324" s="30">
        <v>108.46</v>
      </c>
      <c r="E324" s="30">
        <v>-0.06</v>
      </c>
      <c r="F324" s="30">
        <v>16.079999999999998</v>
      </c>
      <c r="G324" s="30">
        <v>63.06</v>
      </c>
      <c r="H324" s="30">
        <v>71.989999999999995</v>
      </c>
      <c r="I324" s="51">
        <v>180.45</v>
      </c>
      <c r="J324" s="52">
        <v>45870</v>
      </c>
      <c r="K324" s="53">
        <v>3.1040000000000001</v>
      </c>
      <c r="L324" s="53">
        <v>6.02719</v>
      </c>
      <c r="M324" s="53">
        <v>461.58940000000001</v>
      </c>
      <c r="N324" s="54">
        <v>7.0610834584292296E-3</v>
      </c>
      <c r="O324" s="53">
        <v>1.7417</v>
      </c>
      <c r="P324" s="30">
        <v>109.33</v>
      </c>
      <c r="Q324" s="30">
        <v>108.15</v>
      </c>
      <c r="R324" s="54">
        <v>1.091077207582055E-2</v>
      </c>
    </row>
    <row r="325" spans="1:18" x14ac:dyDescent="0.15">
      <c r="A325" s="31">
        <v>324</v>
      </c>
      <c r="B325" s="30">
        <v>110062</v>
      </c>
      <c r="C325" s="30" t="s">
        <v>1898</v>
      </c>
      <c r="D325" s="30">
        <v>107.69</v>
      </c>
      <c r="E325" s="30">
        <v>0</v>
      </c>
      <c r="F325" s="30">
        <v>22.85</v>
      </c>
      <c r="G325" s="30">
        <v>62.54</v>
      </c>
      <c r="H325" s="30">
        <v>72.19</v>
      </c>
      <c r="I325" s="51">
        <v>179.88</v>
      </c>
      <c r="J325" s="52">
        <v>45993</v>
      </c>
      <c r="K325" s="53">
        <v>3.4409999999999998</v>
      </c>
      <c r="L325" s="53">
        <v>30.87631</v>
      </c>
      <c r="M325" s="53">
        <v>2017.8902</v>
      </c>
      <c r="N325" s="54">
        <v>6.0687152657540322E-3</v>
      </c>
      <c r="O325" s="53">
        <v>0.71260000000000001</v>
      </c>
      <c r="P325" s="30">
        <v>108.09</v>
      </c>
      <c r="Q325" s="30">
        <v>107.5</v>
      </c>
      <c r="R325" s="54">
        <v>5.4883720930232879E-3</v>
      </c>
    </row>
    <row r="326" spans="1:18" x14ac:dyDescent="0.15">
      <c r="A326" s="31">
        <v>325</v>
      </c>
      <c r="B326" s="30">
        <v>128015</v>
      </c>
      <c r="C326" s="30" t="s">
        <v>162</v>
      </c>
      <c r="D326" s="30">
        <v>110.05</v>
      </c>
      <c r="E326" s="30">
        <v>0.23</v>
      </c>
      <c r="F326" s="30">
        <v>6.97</v>
      </c>
      <c r="G326" s="30">
        <v>63.85</v>
      </c>
      <c r="H326" s="30">
        <v>72.36</v>
      </c>
      <c r="I326" s="51">
        <v>182.41</v>
      </c>
      <c r="J326" s="52">
        <v>45085</v>
      </c>
      <c r="K326" s="53">
        <v>0.95299999999999996</v>
      </c>
      <c r="L326" s="53">
        <v>7.7922679999999991</v>
      </c>
      <c r="M326" s="53">
        <v>12560.604436900001</v>
      </c>
      <c r="N326" s="54">
        <v>0.14647267434886604</v>
      </c>
      <c r="O326" s="53">
        <v>-1.9474</v>
      </c>
      <c r="P326" s="30">
        <v>111.88</v>
      </c>
      <c r="Q326" s="30">
        <v>109.898</v>
      </c>
      <c r="R326" s="54">
        <v>1.8034905093814259E-2</v>
      </c>
    </row>
    <row r="327" spans="1:18" x14ac:dyDescent="0.15">
      <c r="A327" s="31">
        <v>326</v>
      </c>
      <c r="B327" s="30">
        <v>128131</v>
      </c>
      <c r="C327" s="30" t="s">
        <v>1905</v>
      </c>
      <c r="D327" s="30">
        <v>112.386</v>
      </c>
      <c r="E327" s="30">
        <v>0.34</v>
      </c>
      <c r="F327" s="30">
        <v>18.87</v>
      </c>
      <c r="G327" s="30">
        <v>65.08</v>
      </c>
      <c r="H327" s="30">
        <v>72.69</v>
      </c>
      <c r="I327" s="51">
        <v>185.07599999999999</v>
      </c>
      <c r="J327" s="52">
        <v>46272</v>
      </c>
      <c r="K327" s="53">
        <v>4.2050000000000001</v>
      </c>
      <c r="L327" s="53">
        <v>13.997867000000003</v>
      </c>
      <c r="M327" s="53">
        <v>1083.346677</v>
      </c>
      <c r="N327" s="54">
        <v>6.8864179686568966E-3</v>
      </c>
      <c r="O327" s="53">
        <v>0.53859999999999997</v>
      </c>
      <c r="P327" s="30">
        <v>113.71</v>
      </c>
      <c r="Q327" s="30">
        <v>111.7</v>
      </c>
      <c r="R327" s="54">
        <v>1.7994628469113615E-2</v>
      </c>
    </row>
    <row r="328" spans="1:18" x14ac:dyDescent="0.15">
      <c r="A328" s="31">
        <v>327</v>
      </c>
      <c r="B328" s="30">
        <v>128026</v>
      </c>
      <c r="C328" s="30" t="s">
        <v>190</v>
      </c>
      <c r="D328" s="30">
        <v>107.21</v>
      </c>
      <c r="E328" s="30">
        <v>0.03</v>
      </c>
      <c r="F328" s="30">
        <v>11.26</v>
      </c>
      <c r="G328" s="30">
        <v>62.08</v>
      </c>
      <c r="H328" s="30">
        <v>72.7</v>
      </c>
      <c r="I328" s="51">
        <v>179.91</v>
      </c>
      <c r="J328" s="52">
        <v>45273</v>
      </c>
      <c r="K328" s="53">
        <v>1.468</v>
      </c>
      <c r="L328" s="53">
        <v>4.0879250000000003</v>
      </c>
      <c r="M328" s="53">
        <v>517.29044800000008</v>
      </c>
      <c r="N328" s="54">
        <v>1.1803104268837761E-2</v>
      </c>
      <c r="O328" s="53">
        <v>0.378</v>
      </c>
      <c r="P328" s="30">
        <v>107.349</v>
      </c>
      <c r="Q328" s="30">
        <v>107.15</v>
      </c>
      <c r="R328" s="54">
        <v>1.8572095193653574E-3</v>
      </c>
    </row>
    <row r="329" spans="1:18" x14ac:dyDescent="0.15">
      <c r="A329" s="31">
        <v>328</v>
      </c>
      <c r="B329" s="30">
        <v>128063</v>
      </c>
      <c r="C329" s="30" t="s">
        <v>203</v>
      </c>
      <c r="D329" s="30">
        <v>114.33799999999999</v>
      </c>
      <c r="E329" s="30">
        <v>0.27</v>
      </c>
      <c r="F329" s="30">
        <v>8.61</v>
      </c>
      <c r="G329" s="30">
        <v>66.2</v>
      </c>
      <c r="H329" s="30">
        <v>72.72</v>
      </c>
      <c r="I329" s="51">
        <v>187.05799999999999</v>
      </c>
      <c r="J329" s="52">
        <v>45750</v>
      </c>
      <c r="K329" s="53">
        <v>2.7749999999999999</v>
      </c>
      <c r="L329" s="53">
        <v>6.293526</v>
      </c>
      <c r="M329" s="53">
        <v>335.05095639999996</v>
      </c>
      <c r="N329" s="54">
        <v>4.656142249959444E-3</v>
      </c>
      <c r="O329" s="53">
        <v>3.6507000000000001</v>
      </c>
      <c r="P329" s="30">
        <v>114.5</v>
      </c>
      <c r="Q329" s="30">
        <v>114.1</v>
      </c>
      <c r="R329" s="54">
        <v>3.5056967572305495E-3</v>
      </c>
    </row>
    <row r="330" spans="1:18" x14ac:dyDescent="0.15">
      <c r="A330" s="31">
        <v>329</v>
      </c>
      <c r="B330" s="30">
        <v>118004</v>
      </c>
      <c r="C330" s="30" t="s">
        <v>276</v>
      </c>
      <c r="D330" s="30">
        <v>121.14</v>
      </c>
      <c r="E330" s="30">
        <v>0.84</v>
      </c>
      <c r="F330" s="30">
        <v>35.56</v>
      </c>
      <c r="G330" s="30">
        <v>69.599999999999994</v>
      </c>
      <c r="H330" s="30">
        <v>74.05</v>
      </c>
      <c r="I330" s="51">
        <v>195.19</v>
      </c>
      <c r="J330" s="52">
        <v>46756</v>
      </c>
      <c r="K330" s="53">
        <v>5.532</v>
      </c>
      <c r="L330" s="53">
        <v>4.6500000000000004</v>
      </c>
      <c r="M330" s="53">
        <v>8582.3574000000008</v>
      </c>
      <c r="N330" s="54">
        <v>0.15235828446958197</v>
      </c>
      <c r="O330" s="53">
        <v>-2.1299999999999999E-2</v>
      </c>
      <c r="P330" s="30">
        <v>121.62</v>
      </c>
      <c r="Q330" s="30">
        <v>120.07</v>
      </c>
      <c r="R330" s="54">
        <v>1.2909136337136766E-2</v>
      </c>
    </row>
    <row r="331" spans="1:18" x14ac:dyDescent="0.15">
      <c r="A331" s="31">
        <v>330</v>
      </c>
      <c r="B331" s="30">
        <v>113594</v>
      </c>
      <c r="C331" s="30" t="s">
        <v>76</v>
      </c>
      <c r="D331" s="30">
        <v>118.69</v>
      </c>
      <c r="E331" s="30">
        <v>0.61</v>
      </c>
      <c r="F331" s="30">
        <v>18.03</v>
      </c>
      <c r="G331" s="30">
        <v>68.11</v>
      </c>
      <c r="H331" s="30">
        <v>74.260000000000005</v>
      </c>
      <c r="I331" s="51">
        <v>192.95</v>
      </c>
      <c r="J331" s="52">
        <v>46224</v>
      </c>
      <c r="K331" s="53">
        <v>4.0739999999999998</v>
      </c>
      <c r="L331" s="53">
        <v>2.9975200000000002</v>
      </c>
      <c r="M331" s="53">
        <v>2273.6644000000001</v>
      </c>
      <c r="N331" s="54">
        <v>6.3907251878223548E-2</v>
      </c>
      <c r="O331" s="53">
        <v>0.4652</v>
      </c>
      <c r="P331" s="30">
        <v>119.4</v>
      </c>
      <c r="Q331" s="30">
        <v>118.01</v>
      </c>
      <c r="R331" s="54">
        <v>1.177866282518431E-2</v>
      </c>
    </row>
    <row r="332" spans="1:18" x14ac:dyDescent="0.15">
      <c r="A332" s="31">
        <v>331</v>
      </c>
      <c r="B332" s="30">
        <v>113639</v>
      </c>
      <c r="C332" s="30" t="s">
        <v>789</v>
      </c>
      <c r="D332" s="30">
        <v>109.46</v>
      </c>
      <c r="E332" s="30">
        <v>0.75</v>
      </c>
      <c r="F332" s="30">
        <v>38.590000000000003</v>
      </c>
      <c r="G332" s="30">
        <v>62.74</v>
      </c>
      <c r="H332" s="30">
        <v>74.47</v>
      </c>
      <c r="I332" s="51">
        <v>183.93</v>
      </c>
      <c r="J332" s="52">
        <v>46776</v>
      </c>
      <c r="K332" s="53">
        <v>5.5860000000000003</v>
      </c>
      <c r="L332" s="53">
        <v>5.7</v>
      </c>
      <c r="M332" s="53">
        <v>5545.2139999999999</v>
      </c>
      <c r="N332" s="54">
        <v>8.8876718564179488E-2</v>
      </c>
      <c r="O332" s="53">
        <v>0.49869999999999998</v>
      </c>
      <c r="P332" s="30">
        <v>109.9</v>
      </c>
      <c r="Q332" s="30">
        <v>108.59</v>
      </c>
      <c r="R332" s="54">
        <v>1.2063725941615271E-2</v>
      </c>
    </row>
    <row r="333" spans="1:18" x14ac:dyDescent="0.15">
      <c r="A333" s="31">
        <v>332</v>
      </c>
      <c r="B333" s="30">
        <v>123049</v>
      </c>
      <c r="C333" s="30" t="s">
        <v>191</v>
      </c>
      <c r="D333" s="30">
        <v>109.56</v>
      </c>
      <c r="E333" s="30">
        <v>-0.01</v>
      </c>
      <c r="F333" s="30">
        <v>7.28</v>
      </c>
      <c r="G333" s="30">
        <v>62.77</v>
      </c>
      <c r="H333" s="30">
        <v>74.540000000000006</v>
      </c>
      <c r="I333" s="51">
        <v>184.10000000000002</v>
      </c>
      <c r="J333" s="52">
        <v>46125</v>
      </c>
      <c r="K333" s="53">
        <v>3.8029999999999999</v>
      </c>
      <c r="L333" s="53">
        <v>9.1698649999999997</v>
      </c>
      <c r="M333" s="53">
        <v>239.176963</v>
      </c>
      <c r="N333" s="54">
        <v>2.3806984077460527E-3</v>
      </c>
      <c r="O333" s="53">
        <v>3.2682000000000002</v>
      </c>
      <c r="P333" s="30">
        <v>109.759</v>
      </c>
      <c r="Q333" s="30">
        <v>109.068</v>
      </c>
      <c r="R333" s="54">
        <v>6.3354971210621124E-3</v>
      </c>
    </row>
    <row r="334" spans="1:18" x14ac:dyDescent="0.15">
      <c r="A334" s="31">
        <v>333</v>
      </c>
      <c r="B334" s="30">
        <v>113593</v>
      </c>
      <c r="C334" s="30" t="s">
        <v>60</v>
      </c>
      <c r="D334" s="30">
        <v>115.66</v>
      </c>
      <c r="E334" s="30">
        <v>0.69</v>
      </c>
      <c r="F334" s="30">
        <v>21.12</v>
      </c>
      <c r="G334" s="30">
        <v>66.19</v>
      </c>
      <c r="H334" s="30">
        <v>74.739999999999995</v>
      </c>
      <c r="I334" s="51">
        <v>190.39999999999998</v>
      </c>
      <c r="J334" s="52">
        <v>46223</v>
      </c>
      <c r="K334" s="53">
        <v>4.0709999999999997</v>
      </c>
      <c r="L334" s="53">
        <v>3.9977800000000001</v>
      </c>
      <c r="M334" s="53">
        <v>2080.2802999999999</v>
      </c>
      <c r="N334" s="54">
        <v>4.4990392026211933E-2</v>
      </c>
      <c r="O334" s="53">
        <v>1.1854</v>
      </c>
      <c r="P334" s="30">
        <v>115.79</v>
      </c>
      <c r="Q334" s="30">
        <v>115</v>
      </c>
      <c r="R334" s="54">
        <v>6.8695652173913586E-3</v>
      </c>
    </row>
    <row r="335" spans="1:18" x14ac:dyDescent="0.15">
      <c r="A335" s="31">
        <v>334</v>
      </c>
      <c r="B335" s="30">
        <v>127062</v>
      </c>
      <c r="C335" s="30" t="s">
        <v>1895</v>
      </c>
      <c r="D335" s="30">
        <v>141.38900000000001</v>
      </c>
      <c r="E335" s="30">
        <v>-0.98</v>
      </c>
      <c r="F335" s="30">
        <v>7.74</v>
      </c>
      <c r="G335" s="30">
        <v>80.88</v>
      </c>
      <c r="H335" s="30">
        <v>74.81</v>
      </c>
      <c r="I335" s="51">
        <v>216.19900000000001</v>
      </c>
      <c r="J335" s="52">
        <v>46864</v>
      </c>
      <c r="K335" s="53">
        <v>5.827</v>
      </c>
      <c r="L335" s="53">
        <v>3.9630000000000001</v>
      </c>
      <c r="M335" s="53">
        <v>14287.096685299999</v>
      </c>
      <c r="N335" s="54">
        <v>0.25497892662243904</v>
      </c>
      <c r="O335" s="53">
        <v>-2.7509000000000001</v>
      </c>
      <c r="P335" s="30">
        <v>143.29900000000001</v>
      </c>
      <c r="Q335" s="30">
        <v>141.22200000000001</v>
      </c>
      <c r="R335" s="54">
        <v>1.4707340216113623E-2</v>
      </c>
    </row>
    <row r="336" spans="1:18" x14ac:dyDescent="0.15">
      <c r="A336" s="31">
        <v>335</v>
      </c>
      <c r="B336" s="30">
        <v>110076</v>
      </c>
      <c r="C336" s="30" t="s">
        <v>1907</v>
      </c>
      <c r="D336" s="30">
        <v>111.21</v>
      </c>
      <c r="E336" s="30">
        <v>0.08</v>
      </c>
      <c r="F336" s="30">
        <v>33.79</v>
      </c>
      <c r="G336" s="30">
        <v>63.24</v>
      </c>
      <c r="H336" s="30">
        <v>75.849999999999994</v>
      </c>
      <c r="I336" s="51">
        <v>187.06</v>
      </c>
      <c r="J336" s="52">
        <v>46328</v>
      </c>
      <c r="K336" s="53">
        <v>4.359</v>
      </c>
      <c r="L336" s="53">
        <v>18.424399999999999</v>
      </c>
      <c r="M336" s="53">
        <v>963.49659999999994</v>
      </c>
      <c r="N336" s="54">
        <v>4.7023287894299029E-3</v>
      </c>
      <c r="O336" s="53">
        <v>0.74590000000000001</v>
      </c>
      <c r="P336" s="30">
        <v>112.22</v>
      </c>
      <c r="Q336" s="30">
        <v>111.1</v>
      </c>
      <c r="R336" s="54">
        <v>1.0081008100810123E-2</v>
      </c>
    </row>
    <row r="337" spans="1:18" x14ac:dyDescent="0.15">
      <c r="A337" s="31">
        <v>336</v>
      </c>
      <c r="B337" s="30">
        <v>123119</v>
      </c>
      <c r="C337" s="30" t="s">
        <v>1908</v>
      </c>
      <c r="D337" s="30">
        <v>113.166</v>
      </c>
      <c r="E337" s="30">
        <v>0.83</v>
      </c>
      <c r="F337" s="30">
        <v>66.510000000000005</v>
      </c>
      <c r="G337" s="30">
        <v>63.66</v>
      </c>
      <c r="H337" s="30">
        <v>77.77</v>
      </c>
      <c r="I337" s="51">
        <v>190.93599999999998</v>
      </c>
      <c r="J337" s="52">
        <v>46583</v>
      </c>
      <c r="K337" s="53">
        <v>5.0579999999999998</v>
      </c>
      <c r="L337" s="53">
        <v>19.997207</v>
      </c>
      <c r="M337" s="53">
        <v>2107.4415962000003</v>
      </c>
      <c r="N337" s="54">
        <v>9.3125847936846497E-3</v>
      </c>
      <c r="O337" s="53">
        <v>0.69089999999999996</v>
      </c>
      <c r="P337" s="30">
        <v>113.22</v>
      </c>
      <c r="Q337" s="30">
        <v>112.001</v>
      </c>
      <c r="R337" s="54">
        <v>1.0883831394362498E-2</v>
      </c>
    </row>
    <row r="338" spans="1:18" x14ac:dyDescent="0.15">
      <c r="A338" s="31">
        <v>337</v>
      </c>
      <c r="B338" s="30">
        <v>128035</v>
      </c>
      <c r="C338" s="30" t="s">
        <v>1906</v>
      </c>
      <c r="D338" s="30">
        <v>111.096</v>
      </c>
      <c r="E338" s="30">
        <v>0.27</v>
      </c>
      <c r="F338" s="30">
        <v>51.79</v>
      </c>
      <c r="G338" s="30">
        <v>62.41</v>
      </c>
      <c r="H338" s="30">
        <v>78.010000000000005</v>
      </c>
      <c r="I338" s="51">
        <v>189.10599999999999</v>
      </c>
      <c r="J338" s="52">
        <v>45328</v>
      </c>
      <c r="K338" s="53">
        <v>1.619</v>
      </c>
      <c r="L338" s="53">
        <v>22.994976000000001</v>
      </c>
      <c r="M338" s="53">
        <v>4045.0590840000004</v>
      </c>
      <c r="N338" s="54">
        <v>1.5834103754562356E-2</v>
      </c>
      <c r="O338" s="53">
        <v>-2.5377999999999998</v>
      </c>
      <c r="P338" s="30">
        <v>111.75</v>
      </c>
      <c r="Q338" s="30">
        <v>110.855</v>
      </c>
      <c r="R338" s="54">
        <v>8.0736096702899822E-3</v>
      </c>
    </row>
    <row r="339" spans="1:18" x14ac:dyDescent="0.15">
      <c r="A339" s="31">
        <v>338</v>
      </c>
      <c r="B339" s="30">
        <v>123056</v>
      </c>
      <c r="C339" s="30" t="s">
        <v>157</v>
      </c>
      <c r="D339" s="30">
        <v>107.869</v>
      </c>
      <c r="E339" s="30">
        <v>0.46</v>
      </c>
      <c r="F339" s="30">
        <v>11.03</v>
      </c>
      <c r="G339" s="30">
        <v>60.38</v>
      </c>
      <c r="H339" s="30">
        <v>78.650000000000006</v>
      </c>
      <c r="I339" s="51">
        <v>186.51900000000001</v>
      </c>
      <c r="J339" s="52">
        <v>46197</v>
      </c>
      <c r="K339" s="53">
        <v>4</v>
      </c>
      <c r="L339" s="53">
        <v>5.8400559999999997</v>
      </c>
      <c r="M339" s="53">
        <v>1518.9330979000001</v>
      </c>
      <c r="N339" s="54">
        <v>2.4111541766855312E-2</v>
      </c>
      <c r="O339" s="53">
        <v>2.7490000000000001</v>
      </c>
      <c r="P339" s="30">
        <v>107.869</v>
      </c>
      <c r="Q339" s="30">
        <v>107.56</v>
      </c>
      <c r="R339" s="54">
        <v>2.8728151729267154E-3</v>
      </c>
    </row>
    <row r="340" spans="1:18" x14ac:dyDescent="0.15">
      <c r="A340" s="31">
        <v>339</v>
      </c>
      <c r="B340" s="30">
        <v>128116</v>
      </c>
      <c r="C340" s="30" t="s">
        <v>184</v>
      </c>
      <c r="D340" s="30">
        <v>109.899</v>
      </c>
      <c r="E340" s="30">
        <v>0.21</v>
      </c>
      <c r="F340" s="30">
        <v>29.22</v>
      </c>
      <c r="G340" s="30">
        <v>61.4</v>
      </c>
      <c r="H340" s="30">
        <v>78.989999999999995</v>
      </c>
      <c r="I340" s="51">
        <v>188.88900000000001</v>
      </c>
      <c r="J340" s="52">
        <v>46202</v>
      </c>
      <c r="K340" s="53">
        <v>4.0140000000000002</v>
      </c>
      <c r="L340" s="53">
        <v>6.4919989999999999</v>
      </c>
      <c r="M340" s="53">
        <v>40627.595618699997</v>
      </c>
      <c r="N340" s="54">
        <v>0.56944126596452771</v>
      </c>
      <c r="O340" s="53">
        <v>1.139</v>
      </c>
      <c r="P340" s="30">
        <v>111.2</v>
      </c>
      <c r="Q340" s="30">
        <v>109.6</v>
      </c>
      <c r="R340" s="54">
        <v>1.4598540145985481E-2</v>
      </c>
    </row>
    <row r="341" spans="1:18" x14ac:dyDescent="0.15">
      <c r="A341" s="31">
        <v>340</v>
      </c>
      <c r="B341" s="30">
        <v>123108</v>
      </c>
      <c r="C341" s="30" t="s">
        <v>1903</v>
      </c>
      <c r="D341" s="30">
        <v>111.88</v>
      </c>
      <c r="E341" s="30">
        <v>0.43</v>
      </c>
      <c r="F341" s="30">
        <v>29.5</v>
      </c>
      <c r="G341" s="30">
        <v>62.37</v>
      </c>
      <c r="H341" s="30">
        <v>79.38</v>
      </c>
      <c r="I341" s="51">
        <v>191.26</v>
      </c>
      <c r="J341" s="52">
        <v>46111</v>
      </c>
      <c r="K341" s="53">
        <v>3.7639999999999998</v>
      </c>
      <c r="L341" s="53">
        <v>16.377441000000001</v>
      </c>
      <c r="M341" s="53">
        <v>481.63942489999999</v>
      </c>
      <c r="N341" s="54">
        <v>2.6285940947476608E-3</v>
      </c>
      <c r="O341" s="53">
        <v>-0.26029999999999998</v>
      </c>
      <c r="P341" s="30">
        <v>112.021</v>
      </c>
      <c r="Q341" s="30">
        <v>111.5</v>
      </c>
      <c r="R341" s="54">
        <v>4.672645739910321E-3</v>
      </c>
    </row>
    <row r="342" spans="1:18" x14ac:dyDescent="0.15">
      <c r="A342" s="31">
        <v>341</v>
      </c>
      <c r="B342" s="30">
        <v>127024</v>
      </c>
      <c r="C342" s="30" t="s">
        <v>1902</v>
      </c>
      <c r="D342" s="30">
        <v>105.91</v>
      </c>
      <c r="E342" s="30">
        <v>0.12</v>
      </c>
      <c r="F342" s="30">
        <v>8.19</v>
      </c>
      <c r="G342" s="30">
        <v>58.97</v>
      </c>
      <c r="H342" s="30">
        <v>79.599999999999994</v>
      </c>
      <c r="I342" s="51">
        <v>185.51</v>
      </c>
      <c r="J342" s="52">
        <v>46330</v>
      </c>
      <c r="K342" s="53">
        <v>4.3639999999999999</v>
      </c>
      <c r="L342" s="53">
        <v>14.761056999999999</v>
      </c>
      <c r="M342" s="53">
        <v>1146.6646834000001</v>
      </c>
      <c r="N342" s="54">
        <v>7.3346941924298048E-3</v>
      </c>
      <c r="O342" s="53">
        <v>1.8573999999999999</v>
      </c>
      <c r="P342" s="30">
        <v>107.55</v>
      </c>
      <c r="Q342" s="30">
        <v>105.511</v>
      </c>
      <c r="R342" s="54">
        <v>1.9324999289173656E-2</v>
      </c>
    </row>
    <row r="343" spans="1:18" x14ac:dyDescent="0.15">
      <c r="A343" s="31">
        <v>342</v>
      </c>
      <c r="B343" s="30">
        <v>113608</v>
      </c>
      <c r="C343" s="30" t="s">
        <v>66</v>
      </c>
      <c r="D343" s="30">
        <v>110.85</v>
      </c>
      <c r="E343" s="30">
        <v>0.57999999999999996</v>
      </c>
      <c r="F343" s="30">
        <v>17.72</v>
      </c>
      <c r="G343" s="30">
        <v>61.68</v>
      </c>
      <c r="H343" s="30">
        <v>79.72</v>
      </c>
      <c r="I343" s="51">
        <v>190.57</v>
      </c>
      <c r="J343" s="52">
        <v>46335</v>
      </c>
      <c r="K343" s="53">
        <v>4.3780000000000001</v>
      </c>
      <c r="L343" s="53">
        <v>4.1998499999999996</v>
      </c>
      <c r="M343" s="53">
        <v>872.40189999999996</v>
      </c>
      <c r="N343" s="54">
        <v>1.8739030829381439E-2</v>
      </c>
      <c r="O343" s="53">
        <v>2.0899000000000001</v>
      </c>
      <c r="P343" s="30">
        <v>110.97</v>
      </c>
      <c r="Q343" s="30">
        <v>110.37</v>
      </c>
      <c r="R343" s="54">
        <v>5.436259853220932E-3</v>
      </c>
    </row>
    <row r="344" spans="1:18" x14ac:dyDescent="0.15">
      <c r="A344" s="31">
        <v>343</v>
      </c>
      <c r="B344" s="30">
        <v>113597</v>
      </c>
      <c r="C344" s="30" t="s">
        <v>156</v>
      </c>
      <c r="D344" s="30">
        <v>128.79</v>
      </c>
      <c r="E344" s="30">
        <v>-0.09</v>
      </c>
      <c r="F344" s="30">
        <v>16.36</v>
      </c>
      <c r="G344" s="30">
        <v>71.52</v>
      </c>
      <c r="H344" s="30">
        <v>80.08</v>
      </c>
      <c r="I344" s="51">
        <v>208.87</v>
      </c>
      <c r="J344" s="52">
        <v>46233</v>
      </c>
      <c r="K344" s="53">
        <v>4.0990000000000002</v>
      </c>
      <c r="L344" s="53">
        <v>2.98447</v>
      </c>
      <c r="M344" s="53">
        <v>20007.991600000001</v>
      </c>
      <c r="N344" s="54">
        <v>0.52054003325624176</v>
      </c>
      <c r="O344" s="53">
        <v>-0.94159999999999999</v>
      </c>
      <c r="P344" s="30">
        <v>130.97</v>
      </c>
      <c r="Q344" s="30">
        <v>128.53</v>
      </c>
      <c r="R344" s="54">
        <v>1.8983894810550048E-2</v>
      </c>
    </row>
    <row r="345" spans="1:18" x14ac:dyDescent="0.15">
      <c r="A345" s="31">
        <v>344</v>
      </c>
      <c r="B345" s="30">
        <v>113632</v>
      </c>
      <c r="C345" s="30" t="s">
        <v>1913</v>
      </c>
      <c r="D345" s="30">
        <v>116.05</v>
      </c>
      <c r="E345" s="30">
        <v>0.35</v>
      </c>
      <c r="F345" s="30">
        <v>39.090000000000003</v>
      </c>
      <c r="G345" s="30">
        <v>64.13</v>
      </c>
      <c r="H345" s="30">
        <v>80.959999999999994</v>
      </c>
      <c r="I345" s="51">
        <v>197.01</v>
      </c>
      <c r="J345" s="52">
        <v>46708</v>
      </c>
      <c r="K345" s="53">
        <v>5.4</v>
      </c>
      <c r="L345" s="53">
        <v>20.499829999999999</v>
      </c>
      <c r="M345" s="53">
        <v>1996.0789</v>
      </c>
      <c r="N345" s="54">
        <v>8.3903929256173571E-3</v>
      </c>
      <c r="O345" s="53">
        <v>0.1699</v>
      </c>
      <c r="P345" s="30">
        <v>117.44</v>
      </c>
      <c r="Q345" s="30">
        <v>115.5</v>
      </c>
      <c r="R345" s="54">
        <v>1.6796536796536778E-2</v>
      </c>
    </row>
    <row r="346" spans="1:18" x14ac:dyDescent="0.15">
      <c r="A346" s="31">
        <v>345</v>
      </c>
      <c r="B346" s="30">
        <v>128079</v>
      </c>
      <c r="C346" s="30" t="s">
        <v>94</v>
      </c>
      <c r="D346" s="30">
        <v>141</v>
      </c>
      <c r="E346" s="30">
        <v>1.59</v>
      </c>
      <c r="F346" s="30">
        <v>8.2899999999999991</v>
      </c>
      <c r="G346" s="30">
        <v>77.319999999999993</v>
      </c>
      <c r="H346" s="30">
        <v>82.36</v>
      </c>
      <c r="I346" s="51">
        <v>223.36</v>
      </c>
      <c r="J346" s="52">
        <v>45951</v>
      </c>
      <c r="K346" s="53">
        <v>3.3260000000000001</v>
      </c>
      <c r="L346" s="53">
        <v>1.520079</v>
      </c>
      <c r="M346" s="53">
        <v>29455.082466299998</v>
      </c>
      <c r="N346" s="54">
        <v>1.3742791926421853</v>
      </c>
      <c r="O346" s="53">
        <v>-5.5888</v>
      </c>
      <c r="P346" s="30">
        <v>141</v>
      </c>
      <c r="Q346" s="30">
        <v>136.88</v>
      </c>
      <c r="R346" s="54">
        <v>3.0099357101110495E-2</v>
      </c>
    </row>
    <row r="347" spans="1:18" x14ac:dyDescent="0.15">
      <c r="A347" s="31">
        <v>346</v>
      </c>
      <c r="B347" s="30">
        <v>113604</v>
      </c>
      <c r="C347" s="30" t="s">
        <v>161</v>
      </c>
      <c r="D347" s="30">
        <v>104.86</v>
      </c>
      <c r="E347" s="30">
        <v>0.01</v>
      </c>
      <c r="F347" s="30">
        <v>10.4</v>
      </c>
      <c r="G347" s="30">
        <v>57.4</v>
      </c>
      <c r="H347" s="30">
        <v>82.68</v>
      </c>
      <c r="I347" s="51">
        <v>187.54000000000002</v>
      </c>
      <c r="J347" s="52">
        <v>46308</v>
      </c>
      <c r="K347" s="53">
        <v>4.3040000000000003</v>
      </c>
      <c r="L347" s="53">
        <v>6.3988699999999996</v>
      </c>
      <c r="M347" s="53">
        <v>2070.8640999999998</v>
      </c>
      <c r="N347" s="54">
        <v>3.0863022743298048E-2</v>
      </c>
      <c r="O347" s="53">
        <v>2.6112000000000002</v>
      </c>
      <c r="P347" s="30">
        <v>105.96</v>
      </c>
      <c r="Q347" s="30">
        <v>104.5</v>
      </c>
      <c r="R347" s="54">
        <v>1.3971291866028648E-2</v>
      </c>
    </row>
    <row r="348" spans="1:18" x14ac:dyDescent="0.15">
      <c r="A348" s="31">
        <v>347</v>
      </c>
      <c r="B348" s="30">
        <v>127044</v>
      </c>
      <c r="C348" s="30" t="s">
        <v>1912</v>
      </c>
      <c r="D348" s="30">
        <v>112.97</v>
      </c>
      <c r="E348" s="30">
        <v>1.41</v>
      </c>
      <c r="F348" s="30">
        <v>26.92</v>
      </c>
      <c r="G348" s="30">
        <v>61.74</v>
      </c>
      <c r="H348" s="30">
        <v>82.98</v>
      </c>
      <c r="I348" s="51">
        <v>195.95</v>
      </c>
      <c r="J348" s="52">
        <v>46615</v>
      </c>
      <c r="K348" s="53">
        <v>5.1449999999999996</v>
      </c>
      <c r="L348" s="53">
        <v>11.688847000000001</v>
      </c>
      <c r="M348" s="53">
        <v>9011.1392357999994</v>
      </c>
      <c r="N348" s="54">
        <v>6.8240923814508317E-2</v>
      </c>
      <c r="O348" s="53">
        <v>0.71350000000000002</v>
      </c>
      <c r="P348" s="30">
        <v>112.98</v>
      </c>
      <c r="Q348" s="30">
        <v>111.264</v>
      </c>
      <c r="R348" s="54">
        <v>1.542277825711828E-2</v>
      </c>
    </row>
    <row r="349" spans="1:18" x14ac:dyDescent="0.15">
      <c r="A349" s="31">
        <v>348</v>
      </c>
      <c r="B349" s="30">
        <v>113578</v>
      </c>
      <c r="C349" s="30" t="s">
        <v>174</v>
      </c>
      <c r="D349" s="30">
        <v>104.41</v>
      </c>
      <c r="E349" s="30">
        <v>0.09</v>
      </c>
      <c r="F349" s="30">
        <v>5.25</v>
      </c>
      <c r="G349" s="30">
        <v>56.95</v>
      </c>
      <c r="H349" s="30">
        <v>83.34</v>
      </c>
      <c r="I349" s="51">
        <v>187.75</v>
      </c>
      <c r="J349" s="52">
        <v>46132</v>
      </c>
      <c r="K349" s="53">
        <v>3.8220000000000001</v>
      </c>
      <c r="L349" s="53">
        <v>3.8380299999999998</v>
      </c>
      <c r="M349" s="53">
        <v>551.33000000000004</v>
      </c>
      <c r="N349" s="54">
        <v>1.3758185602314775E-2</v>
      </c>
      <c r="O349" s="53">
        <v>3.1478999999999999</v>
      </c>
      <c r="P349" s="30">
        <v>104.65</v>
      </c>
      <c r="Q349" s="30">
        <v>104.33</v>
      </c>
      <c r="R349" s="54">
        <v>3.0671906450686036E-3</v>
      </c>
    </row>
    <row r="350" spans="1:18" x14ac:dyDescent="0.15">
      <c r="A350" s="31">
        <v>349</v>
      </c>
      <c r="B350" s="30">
        <v>113633</v>
      </c>
      <c r="C350" s="30" t="s">
        <v>1909</v>
      </c>
      <c r="D350" s="30">
        <v>115.86</v>
      </c>
      <c r="E350" s="30">
        <v>0.56000000000000005</v>
      </c>
      <c r="F350" s="30">
        <v>177.03</v>
      </c>
      <c r="G350" s="30">
        <v>62.92</v>
      </c>
      <c r="H350" s="30">
        <v>84.14</v>
      </c>
      <c r="I350" s="51">
        <v>200</v>
      </c>
      <c r="J350" s="52">
        <v>46721</v>
      </c>
      <c r="K350" s="53">
        <v>5.4359999999999999</v>
      </c>
      <c r="L350" s="53">
        <v>10.399050000000001</v>
      </c>
      <c r="M350" s="53">
        <v>1359.8648000000001</v>
      </c>
      <c r="N350" s="54">
        <v>1.1286740543686197E-2</v>
      </c>
      <c r="O350" s="53">
        <v>-0.1232</v>
      </c>
      <c r="P350" s="30">
        <v>116.31</v>
      </c>
      <c r="Q350" s="30">
        <v>115.1</v>
      </c>
      <c r="R350" s="54">
        <v>1.0512597741094769E-2</v>
      </c>
    </row>
    <row r="351" spans="1:18" x14ac:dyDescent="0.15">
      <c r="A351" s="31">
        <v>350</v>
      </c>
      <c r="B351" s="30">
        <v>113622</v>
      </c>
      <c r="C351" s="30" t="s">
        <v>1901</v>
      </c>
      <c r="D351" s="30">
        <v>121.51</v>
      </c>
      <c r="E351" s="30">
        <v>-0.08</v>
      </c>
      <c r="F351" s="30">
        <v>22.68</v>
      </c>
      <c r="G351" s="30">
        <v>65.92</v>
      </c>
      <c r="H351" s="30">
        <v>84.33</v>
      </c>
      <c r="I351" s="51">
        <v>205.84</v>
      </c>
      <c r="J351" s="52">
        <v>46471</v>
      </c>
      <c r="K351" s="53">
        <v>4.7510000000000003</v>
      </c>
      <c r="L351" s="53">
        <v>11.499700000000001</v>
      </c>
      <c r="M351" s="53">
        <v>8365.3333000000002</v>
      </c>
      <c r="N351" s="54">
        <v>5.9866617038347815E-2</v>
      </c>
      <c r="O351" s="53">
        <v>-1.6695</v>
      </c>
      <c r="P351" s="30">
        <v>122.22</v>
      </c>
      <c r="Q351" s="30">
        <v>121.4</v>
      </c>
      <c r="R351" s="54">
        <v>6.7545304777594161E-3</v>
      </c>
    </row>
    <row r="352" spans="1:18" x14ac:dyDescent="0.15">
      <c r="A352" s="31">
        <v>351</v>
      </c>
      <c r="B352" s="30">
        <v>113625</v>
      </c>
      <c r="C352" s="30" t="s">
        <v>150</v>
      </c>
      <c r="D352" s="30">
        <v>113.69</v>
      </c>
      <c r="E352" s="30">
        <v>0.68</v>
      </c>
      <c r="F352" s="30">
        <v>96.33</v>
      </c>
      <c r="G352" s="30">
        <v>61.41</v>
      </c>
      <c r="H352" s="30">
        <v>85.13</v>
      </c>
      <c r="I352" s="51">
        <v>198.82</v>
      </c>
      <c r="J352" s="52">
        <v>46549</v>
      </c>
      <c r="K352" s="53">
        <v>4.9640000000000004</v>
      </c>
      <c r="L352" s="53">
        <v>5.8255400000000002</v>
      </c>
      <c r="M352" s="53">
        <v>3250.5781999999999</v>
      </c>
      <c r="N352" s="54">
        <v>4.9079729824424718E-2</v>
      </c>
      <c r="O352" s="53">
        <v>1.7283999999999999</v>
      </c>
      <c r="P352" s="30">
        <v>115.18</v>
      </c>
      <c r="Q352" s="30">
        <v>113.13</v>
      </c>
      <c r="R352" s="54">
        <v>1.8120746044373831E-2</v>
      </c>
    </row>
    <row r="353" spans="1:18" x14ac:dyDescent="0.15">
      <c r="A353" s="31">
        <v>352</v>
      </c>
      <c r="B353" s="30">
        <v>127041</v>
      </c>
      <c r="C353" s="30" t="s">
        <v>197</v>
      </c>
      <c r="D353" s="30">
        <v>111.41</v>
      </c>
      <c r="E353" s="30">
        <v>0.49</v>
      </c>
      <c r="F353" s="30">
        <v>26.84</v>
      </c>
      <c r="G353" s="30">
        <v>60.02</v>
      </c>
      <c r="H353" s="30">
        <v>85.62</v>
      </c>
      <c r="I353" s="51">
        <v>197.03</v>
      </c>
      <c r="J353" s="52">
        <v>46215</v>
      </c>
      <c r="K353" s="53">
        <v>4.0490000000000004</v>
      </c>
      <c r="L353" s="53">
        <v>5.9995950000000002</v>
      </c>
      <c r="M353" s="53">
        <v>957.3065034</v>
      </c>
      <c r="N353" s="54">
        <v>1.4322040600050889E-2</v>
      </c>
      <c r="O353" s="53">
        <v>2.5838999999999999</v>
      </c>
      <c r="P353" s="30">
        <v>111.628</v>
      </c>
      <c r="Q353" s="30">
        <v>110.863</v>
      </c>
      <c r="R353" s="54">
        <v>6.9004086124315649E-3</v>
      </c>
    </row>
    <row r="354" spans="1:18" x14ac:dyDescent="0.15">
      <c r="A354" s="31">
        <v>353</v>
      </c>
      <c r="B354" s="30">
        <v>123141</v>
      </c>
      <c r="C354" s="30" t="s">
        <v>787</v>
      </c>
      <c r="D354" s="30">
        <v>164.23099999999999</v>
      </c>
      <c r="E354" s="30">
        <v>-1.31</v>
      </c>
      <c r="F354" s="30">
        <v>6.92</v>
      </c>
      <c r="G354" s="30">
        <v>88.44</v>
      </c>
      <c r="H354" s="30">
        <v>85.7</v>
      </c>
      <c r="I354" s="51">
        <v>249.93099999999998</v>
      </c>
      <c r="J354" s="52">
        <v>46827</v>
      </c>
      <c r="K354" s="53">
        <v>5.726</v>
      </c>
      <c r="L354" s="53">
        <v>3.2126000000000001</v>
      </c>
      <c r="M354" s="53">
        <v>45306.957116099999</v>
      </c>
      <c r="N354" s="54">
        <v>0.85872301537700024</v>
      </c>
      <c r="O354" s="53">
        <v>-5.1973000000000003</v>
      </c>
      <c r="P354" s="30">
        <v>169.8</v>
      </c>
      <c r="Q354" s="30">
        <v>163.52799999999999</v>
      </c>
      <c r="R354" s="54">
        <v>3.8354287950687467E-2</v>
      </c>
    </row>
    <row r="355" spans="1:18" x14ac:dyDescent="0.15">
      <c r="A355" s="31">
        <v>354</v>
      </c>
      <c r="B355" s="30">
        <v>110059</v>
      </c>
      <c r="C355" s="30" t="s">
        <v>1900</v>
      </c>
      <c r="D355" s="30">
        <v>106.04</v>
      </c>
      <c r="E355" s="30">
        <v>0</v>
      </c>
      <c r="F355" s="30">
        <v>13.97</v>
      </c>
      <c r="G355" s="30">
        <v>56.91</v>
      </c>
      <c r="H355" s="30">
        <v>86.33</v>
      </c>
      <c r="I355" s="51">
        <v>192.37</v>
      </c>
      <c r="J355" s="52">
        <v>45958</v>
      </c>
      <c r="K355" s="53">
        <v>3.3450000000000002</v>
      </c>
      <c r="L355" s="53">
        <v>499.98649</v>
      </c>
      <c r="M355" s="53">
        <v>46293.762300000002</v>
      </c>
      <c r="N355" s="54">
        <v>8.7316132009159601E-3</v>
      </c>
      <c r="O355" s="53">
        <v>3.0251999999999999</v>
      </c>
      <c r="P355" s="30">
        <v>106.16</v>
      </c>
      <c r="Q355" s="30">
        <v>105.99</v>
      </c>
      <c r="R355" s="54">
        <v>1.6039248985753535E-3</v>
      </c>
    </row>
    <row r="356" spans="1:18" x14ac:dyDescent="0.15">
      <c r="A356" s="31">
        <v>355</v>
      </c>
      <c r="B356" s="30">
        <v>128030</v>
      </c>
      <c r="C356" s="30" t="s">
        <v>2045</v>
      </c>
      <c r="D356" s="30">
        <v>247.77699999999999</v>
      </c>
      <c r="E356" s="30">
        <v>0.31</v>
      </c>
      <c r="F356" s="30">
        <v>7.4</v>
      </c>
      <c r="G356" s="30">
        <v>132.84</v>
      </c>
      <c r="H356" s="30">
        <v>86.52</v>
      </c>
      <c r="I356" s="51">
        <v>334.29699999999997</v>
      </c>
      <c r="J356" s="52">
        <v>45282</v>
      </c>
      <c r="K356" s="53">
        <v>1.4930000000000001</v>
      </c>
      <c r="L356" s="53">
        <v>0.84863900000000003</v>
      </c>
      <c r="M356" s="53">
        <v>8559.2479309999999</v>
      </c>
      <c r="N356" s="54">
        <v>0.40705362798926031</v>
      </c>
      <c r="O356" s="53">
        <v>-42.230800000000002</v>
      </c>
      <c r="P356" s="30">
        <v>250.89599999999999</v>
      </c>
      <c r="Q356" s="30">
        <v>246.36</v>
      </c>
      <c r="R356" s="54">
        <v>1.8412079883097794E-2</v>
      </c>
    </row>
    <row r="357" spans="1:18" x14ac:dyDescent="0.15">
      <c r="A357" s="31">
        <v>356</v>
      </c>
      <c r="B357" s="30">
        <v>123038</v>
      </c>
      <c r="C357" s="30" t="s">
        <v>74</v>
      </c>
      <c r="D357" s="30">
        <v>132.4</v>
      </c>
      <c r="E357" s="30">
        <v>-0.71</v>
      </c>
      <c r="F357" s="30">
        <v>24.06</v>
      </c>
      <c r="G357" s="30">
        <v>70.95</v>
      </c>
      <c r="H357" s="30">
        <v>86.61</v>
      </c>
      <c r="I357" s="51">
        <v>219.01</v>
      </c>
      <c r="J357" s="52">
        <v>46016</v>
      </c>
      <c r="K357" s="53">
        <v>3.504</v>
      </c>
      <c r="L357" s="53">
        <v>1.4726779999999999</v>
      </c>
      <c r="M357" s="53">
        <v>9521.1136559999995</v>
      </c>
      <c r="N357" s="54">
        <v>0.48830589281522191</v>
      </c>
      <c r="O357" s="53">
        <v>-3.3207</v>
      </c>
      <c r="P357" s="30">
        <v>135.197</v>
      </c>
      <c r="Q357" s="30">
        <v>131.761</v>
      </c>
      <c r="R357" s="54">
        <v>2.6077519144511709E-2</v>
      </c>
    </row>
    <row r="358" spans="1:18" x14ac:dyDescent="0.15">
      <c r="A358" s="31">
        <v>357</v>
      </c>
      <c r="B358" s="30">
        <v>123109</v>
      </c>
      <c r="C358" s="30" t="s">
        <v>2046</v>
      </c>
      <c r="D358" s="30">
        <v>113.7</v>
      </c>
      <c r="E358" s="30">
        <v>1.7</v>
      </c>
      <c r="F358" s="30">
        <v>27.88</v>
      </c>
      <c r="G358" s="30">
        <v>60.8</v>
      </c>
      <c r="H358" s="30">
        <v>87.01</v>
      </c>
      <c r="I358" s="51">
        <v>200.71</v>
      </c>
      <c r="J358" s="52">
        <v>46478</v>
      </c>
      <c r="K358" s="53">
        <v>4.7699999999999996</v>
      </c>
      <c r="L358" s="53">
        <v>4.5955410000000008</v>
      </c>
      <c r="M358" s="53">
        <v>2641.0174458000001</v>
      </c>
      <c r="N358" s="54">
        <v>5.0544529737306054E-2</v>
      </c>
      <c r="O358" s="53">
        <v>1.2665999999999999</v>
      </c>
      <c r="P358" s="30">
        <v>113.998</v>
      </c>
      <c r="Q358" s="30">
        <v>111.9</v>
      </c>
      <c r="R358" s="54">
        <v>1.8748882931188551E-2</v>
      </c>
    </row>
    <row r="359" spans="1:18" x14ac:dyDescent="0.15">
      <c r="A359" s="31">
        <v>358</v>
      </c>
      <c r="B359" s="30">
        <v>128074</v>
      </c>
      <c r="C359" s="30" t="s">
        <v>205</v>
      </c>
      <c r="D359" s="30">
        <v>110.5</v>
      </c>
      <c r="E359" s="30">
        <v>0.23</v>
      </c>
      <c r="F359" s="30">
        <v>16.97</v>
      </c>
      <c r="G359" s="30">
        <v>58.69</v>
      </c>
      <c r="H359" s="30">
        <v>88.28</v>
      </c>
      <c r="I359" s="51">
        <v>198.78</v>
      </c>
      <c r="J359" s="52">
        <v>45923</v>
      </c>
      <c r="K359" s="53">
        <v>3.2490000000000001</v>
      </c>
      <c r="L359" s="53">
        <v>6.824916</v>
      </c>
      <c r="M359" s="53">
        <v>2358.2638734000002</v>
      </c>
      <c r="N359" s="54">
        <v>3.1270354844524444E-2</v>
      </c>
      <c r="O359" s="53">
        <v>2.4350999999999998</v>
      </c>
      <c r="P359" s="30">
        <v>111.349</v>
      </c>
      <c r="Q359" s="30">
        <v>110.247</v>
      </c>
      <c r="R359" s="54">
        <v>9.9957368454470768E-3</v>
      </c>
    </row>
    <row r="360" spans="1:18" x14ac:dyDescent="0.15">
      <c r="A360" s="31">
        <v>359</v>
      </c>
      <c r="B360" s="30">
        <v>123124</v>
      </c>
      <c r="C360" s="30" t="s">
        <v>196</v>
      </c>
      <c r="D360" s="30">
        <v>113</v>
      </c>
      <c r="E360" s="30">
        <v>1.07</v>
      </c>
      <c r="F360" s="30">
        <v>29.64</v>
      </c>
      <c r="G360" s="30">
        <v>59.95</v>
      </c>
      <c r="H360" s="30">
        <v>88.49</v>
      </c>
      <c r="I360" s="51">
        <v>201.49</v>
      </c>
      <c r="J360" s="52">
        <v>46615</v>
      </c>
      <c r="K360" s="53">
        <v>5.1449999999999996</v>
      </c>
      <c r="L360" s="53">
        <v>5.227792</v>
      </c>
      <c r="M360" s="53">
        <v>1711.6055721999999</v>
      </c>
      <c r="N360" s="54">
        <v>2.8973899432823039E-2</v>
      </c>
      <c r="O360" s="53">
        <v>-0.31590000000000001</v>
      </c>
      <c r="P360" s="30">
        <v>113.77</v>
      </c>
      <c r="Q360" s="30">
        <v>112.01</v>
      </c>
      <c r="R360" s="54">
        <v>1.5712882778323282E-2</v>
      </c>
    </row>
    <row r="361" spans="1:18" x14ac:dyDescent="0.15">
      <c r="A361" s="31">
        <v>360</v>
      </c>
      <c r="B361" s="30">
        <v>123128</v>
      </c>
      <c r="C361" s="30" t="s">
        <v>1904</v>
      </c>
      <c r="D361" s="30">
        <v>105.01300000000001</v>
      </c>
      <c r="E361" s="30">
        <v>0.42</v>
      </c>
      <c r="F361" s="30">
        <v>25.02</v>
      </c>
      <c r="G361" s="30">
        <v>55.52</v>
      </c>
      <c r="H361" s="30">
        <v>89.14</v>
      </c>
      <c r="I361" s="51">
        <v>194.15300000000002</v>
      </c>
      <c r="J361" s="52">
        <v>46692</v>
      </c>
      <c r="K361" s="53">
        <v>5.3559999999999999</v>
      </c>
      <c r="L361" s="53">
        <v>13.794360999999997</v>
      </c>
      <c r="M361" s="53">
        <v>1592.1293937999999</v>
      </c>
      <c r="N361" s="54">
        <v>1.0990911413317091E-2</v>
      </c>
      <c r="O361" s="53">
        <v>1.7595000000000001</v>
      </c>
      <c r="P361" s="30">
        <v>105.297</v>
      </c>
      <c r="Q361" s="30">
        <v>104.58</v>
      </c>
      <c r="R361" s="54">
        <v>6.8559954102122662E-3</v>
      </c>
    </row>
    <row r="362" spans="1:18" x14ac:dyDescent="0.15">
      <c r="A362" s="31">
        <v>361</v>
      </c>
      <c r="B362" s="30">
        <v>123116</v>
      </c>
      <c r="C362" s="30" t="s">
        <v>210</v>
      </c>
      <c r="D362" s="30">
        <v>117.608</v>
      </c>
      <c r="E362" s="30">
        <v>0.78</v>
      </c>
      <c r="F362" s="30">
        <v>49.79</v>
      </c>
      <c r="G362" s="30">
        <v>61.66</v>
      </c>
      <c r="H362" s="30">
        <v>90.74</v>
      </c>
      <c r="I362" s="51">
        <v>208.34800000000001</v>
      </c>
      <c r="J362" s="52">
        <v>46547</v>
      </c>
      <c r="K362" s="53">
        <v>4.9589999999999996</v>
      </c>
      <c r="L362" s="53">
        <v>3.7816160000000005</v>
      </c>
      <c r="M362" s="53">
        <v>1954.0067904</v>
      </c>
      <c r="N362" s="54">
        <v>4.3935115984508423E-2</v>
      </c>
      <c r="O362" s="53">
        <v>0.58650000000000002</v>
      </c>
      <c r="P362" s="30">
        <v>118.68899999999999</v>
      </c>
      <c r="Q362" s="30">
        <v>116.99</v>
      </c>
      <c r="R362" s="54">
        <v>1.4522608769980324E-2</v>
      </c>
    </row>
    <row r="363" spans="1:18" x14ac:dyDescent="0.15">
      <c r="A363" s="31">
        <v>362</v>
      </c>
      <c r="B363" s="30">
        <v>123011</v>
      </c>
      <c r="C363" s="30" t="s">
        <v>171</v>
      </c>
      <c r="D363" s="30">
        <v>120</v>
      </c>
      <c r="E363" s="30">
        <v>-0.33</v>
      </c>
      <c r="F363" s="30">
        <v>31.38</v>
      </c>
      <c r="G363" s="30">
        <v>62.01</v>
      </c>
      <c r="H363" s="30">
        <v>93.52</v>
      </c>
      <c r="I363" s="51">
        <v>213.51999999999998</v>
      </c>
      <c r="J363" s="52">
        <v>45491</v>
      </c>
      <c r="K363" s="53">
        <v>2.0659999999999998</v>
      </c>
      <c r="L363" s="53">
        <v>2.5060280000000001</v>
      </c>
      <c r="M363" s="53">
        <v>21529.192485600001</v>
      </c>
      <c r="N363" s="54">
        <v>0.71591353879525688</v>
      </c>
      <c r="O363" s="53">
        <v>-1.9514</v>
      </c>
      <c r="P363" s="30">
        <v>125.682</v>
      </c>
      <c r="Q363" s="30">
        <v>118.45</v>
      </c>
      <c r="R363" s="54">
        <v>6.1055297593921476E-2</v>
      </c>
    </row>
    <row r="364" spans="1:18" x14ac:dyDescent="0.15">
      <c r="A364" s="31">
        <v>363</v>
      </c>
      <c r="B364" s="30">
        <v>123126</v>
      </c>
      <c r="C364" s="30" t="s">
        <v>183</v>
      </c>
      <c r="D364" s="30">
        <v>115.45</v>
      </c>
      <c r="E364" s="30">
        <v>1.25</v>
      </c>
      <c r="F364" s="30">
        <v>17.8</v>
      </c>
      <c r="G364" s="30">
        <v>59.49</v>
      </c>
      <c r="H364" s="30">
        <v>94.07</v>
      </c>
      <c r="I364" s="51">
        <v>209.51999999999998</v>
      </c>
      <c r="J364" s="52">
        <v>46640</v>
      </c>
      <c r="K364" s="53">
        <v>5.2140000000000004</v>
      </c>
      <c r="L364" s="53">
        <v>3.399626</v>
      </c>
      <c r="M364" s="53">
        <v>4407.6817834000003</v>
      </c>
      <c r="N364" s="54">
        <v>0.11230139560632285</v>
      </c>
      <c r="O364" s="53">
        <v>2.3146</v>
      </c>
      <c r="P364" s="30">
        <v>115.86799999999999</v>
      </c>
      <c r="Q364" s="30">
        <v>114</v>
      </c>
      <c r="R364" s="54">
        <v>1.6385964912280657E-2</v>
      </c>
    </row>
    <row r="365" spans="1:18" x14ac:dyDescent="0.15">
      <c r="A365" s="31">
        <v>364</v>
      </c>
      <c r="B365" s="30">
        <v>127051</v>
      </c>
      <c r="C365" s="30" t="s">
        <v>252</v>
      </c>
      <c r="D365" s="30">
        <v>117.38800000000001</v>
      </c>
      <c r="E365" s="30">
        <v>-0.35</v>
      </c>
      <c r="F365" s="30">
        <v>61.82</v>
      </c>
      <c r="G365" s="30">
        <v>60.06</v>
      </c>
      <c r="H365" s="30">
        <v>95.45</v>
      </c>
      <c r="I365" s="51">
        <v>212.83800000000002</v>
      </c>
      <c r="J365" s="52">
        <v>46708</v>
      </c>
      <c r="K365" s="53">
        <v>5.4</v>
      </c>
      <c r="L365" s="53">
        <v>5.2599260000000001</v>
      </c>
      <c r="M365" s="53">
        <v>2442.983033</v>
      </c>
      <c r="N365" s="54">
        <v>3.956554142258123E-2</v>
      </c>
      <c r="O365" s="53">
        <v>0.58979999999999999</v>
      </c>
      <c r="P365" s="30">
        <v>118.298</v>
      </c>
      <c r="Q365" s="30">
        <v>117.301</v>
      </c>
      <c r="R365" s="54">
        <v>8.4995012830240135E-3</v>
      </c>
    </row>
    <row r="366" spans="1:18" x14ac:dyDescent="0.15">
      <c r="A366" s="31">
        <v>365</v>
      </c>
      <c r="B366" s="30">
        <v>127046</v>
      </c>
      <c r="C366" s="30" t="s">
        <v>1916</v>
      </c>
      <c r="D366" s="30">
        <v>115</v>
      </c>
      <c r="E366" s="30">
        <v>0.95</v>
      </c>
      <c r="F366" s="30">
        <v>47.44</v>
      </c>
      <c r="G366" s="30">
        <v>58.68</v>
      </c>
      <c r="H366" s="30">
        <v>95.98</v>
      </c>
      <c r="I366" s="51">
        <v>210.98000000000002</v>
      </c>
      <c r="J366" s="52">
        <v>46659</v>
      </c>
      <c r="K366" s="53">
        <v>5.266</v>
      </c>
      <c r="L366" s="53">
        <v>11.278155999999999</v>
      </c>
      <c r="M366" s="53">
        <v>1710.5286171</v>
      </c>
      <c r="N366" s="54">
        <v>1.318846971776777E-2</v>
      </c>
      <c r="O366" s="53">
        <v>1.6799999999999999E-2</v>
      </c>
      <c r="P366" s="30">
        <v>115.28</v>
      </c>
      <c r="Q366" s="30">
        <v>114.18300000000001</v>
      </c>
      <c r="R366" s="54">
        <v>9.6073846369423999E-3</v>
      </c>
    </row>
    <row r="367" spans="1:18" x14ac:dyDescent="0.15">
      <c r="A367" s="31">
        <v>366</v>
      </c>
      <c r="B367" s="30">
        <v>127052</v>
      </c>
      <c r="C367" s="30" t="s">
        <v>1915</v>
      </c>
      <c r="D367" s="30">
        <v>114.8</v>
      </c>
      <c r="E367" s="30">
        <v>1.0900000000000001</v>
      </c>
      <c r="F367" s="30">
        <v>27.89</v>
      </c>
      <c r="G367" s="30">
        <v>58.44</v>
      </c>
      <c r="H367" s="30">
        <v>96.44</v>
      </c>
      <c r="I367" s="51">
        <v>211.24</v>
      </c>
      <c r="J367" s="52">
        <v>46745</v>
      </c>
      <c r="K367" s="53">
        <v>5.5010000000000003</v>
      </c>
      <c r="L367" s="53">
        <v>11.1</v>
      </c>
      <c r="M367" s="53">
        <v>1660.3779817</v>
      </c>
      <c r="N367" s="54">
        <v>1.3029930483881094E-2</v>
      </c>
      <c r="O367" s="53">
        <v>4.8300000000000003E-2</v>
      </c>
      <c r="P367" s="30">
        <v>115.1</v>
      </c>
      <c r="Q367" s="30">
        <v>113.64100000000001</v>
      </c>
      <c r="R367" s="54">
        <v>1.2838676182011677E-2</v>
      </c>
    </row>
    <row r="368" spans="1:18" x14ac:dyDescent="0.15">
      <c r="A368" s="31">
        <v>367</v>
      </c>
      <c r="B368" s="30">
        <v>118007</v>
      </c>
      <c r="C368" s="30" t="s">
        <v>816</v>
      </c>
      <c r="D368" s="30">
        <v>164.37</v>
      </c>
      <c r="E368" s="30">
        <v>-2</v>
      </c>
      <c r="F368" s="30">
        <v>24.52</v>
      </c>
      <c r="G368" s="30">
        <v>83.4</v>
      </c>
      <c r="H368" s="30">
        <v>97.09</v>
      </c>
      <c r="I368" s="51">
        <v>261.46000000000004</v>
      </c>
      <c r="J368" s="52">
        <v>46834</v>
      </c>
      <c r="K368" s="53">
        <v>5.7450000000000001</v>
      </c>
      <c r="L368" s="53">
        <v>2.6743000000000001</v>
      </c>
      <c r="M368" s="53">
        <v>20211.903600000001</v>
      </c>
      <c r="N368" s="54">
        <v>0.45980589906164548</v>
      </c>
      <c r="O368" s="53">
        <v>-5.3456000000000001</v>
      </c>
      <c r="P368" s="30">
        <v>169.49</v>
      </c>
      <c r="Q368" s="30">
        <v>164.01</v>
      </c>
      <c r="R368" s="54">
        <v>3.3412596792878599E-2</v>
      </c>
    </row>
    <row r="369" spans="1:18" x14ac:dyDescent="0.15">
      <c r="A369" s="31">
        <v>368</v>
      </c>
      <c r="B369" s="30">
        <v>128072</v>
      </c>
      <c r="C369" s="30" t="s">
        <v>155</v>
      </c>
      <c r="D369" s="30">
        <v>111</v>
      </c>
      <c r="E369" s="30">
        <v>0.62</v>
      </c>
      <c r="F369" s="30">
        <v>15.09</v>
      </c>
      <c r="G369" s="30">
        <v>55.53</v>
      </c>
      <c r="H369" s="30">
        <v>99.89</v>
      </c>
      <c r="I369" s="51">
        <v>210.89</v>
      </c>
      <c r="J369" s="52">
        <v>45889</v>
      </c>
      <c r="K369" s="53">
        <v>3.1560000000000001</v>
      </c>
      <c r="L369" s="53">
        <v>3.0179149999999999</v>
      </c>
      <c r="M369" s="53">
        <v>707.36118799999997</v>
      </c>
      <c r="N369" s="54">
        <v>2.111598012308271E-2</v>
      </c>
      <c r="O369" s="53">
        <v>1.0103</v>
      </c>
      <c r="P369" s="30">
        <v>111.065</v>
      </c>
      <c r="Q369" s="30">
        <v>110.33199999999999</v>
      </c>
      <c r="R369" s="54">
        <v>6.6435848167349827E-3</v>
      </c>
    </row>
    <row r="370" spans="1:18" x14ac:dyDescent="0.15">
      <c r="A370" s="31">
        <v>369</v>
      </c>
      <c r="B370" s="30">
        <v>128108</v>
      </c>
      <c r="C370" s="30" t="s">
        <v>1911</v>
      </c>
      <c r="D370" s="30">
        <v>101.175</v>
      </c>
      <c r="E370" s="30">
        <v>-0.03</v>
      </c>
      <c r="F370" s="30">
        <v>18.239999999999998</v>
      </c>
      <c r="G370" s="30">
        <v>50.38</v>
      </c>
      <c r="H370" s="30">
        <v>100.82</v>
      </c>
      <c r="I370" s="51">
        <v>201.995</v>
      </c>
      <c r="J370" s="52">
        <v>46170</v>
      </c>
      <c r="K370" s="53">
        <v>3.9260000000000002</v>
      </c>
      <c r="L370" s="53">
        <v>15.214282000000001</v>
      </c>
      <c r="M370" s="53">
        <v>1291.9680020999999</v>
      </c>
      <c r="N370" s="54">
        <v>8.3931905486781394E-3</v>
      </c>
      <c r="O370" s="53">
        <v>2.7414999999999998</v>
      </c>
      <c r="P370" s="30">
        <v>101.345</v>
      </c>
      <c r="Q370" s="30">
        <v>101.11</v>
      </c>
      <c r="R370" s="54">
        <v>2.3242013648501576E-3</v>
      </c>
    </row>
    <row r="371" spans="1:18" x14ac:dyDescent="0.15">
      <c r="A371" s="31">
        <v>370</v>
      </c>
      <c r="B371" s="30">
        <v>123117</v>
      </c>
      <c r="C371" s="30" t="s">
        <v>146</v>
      </c>
      <c r="D371" s="30">
        <v>111.628</v>
      </c>
      <c r="E371" s="30">
        <v>0.56999999999999995</v>
      </c>
      <c r="F371" s="30">
        <v>89.68</v>
      </c>
      <c r="G371" s="30">
        <v>55.53</v>
      </c>
      <c r="H371" s="30">
        <v>101.02</v>
      </c>
      <c r="I371" s="51">
        <v>212.648</v>
      </c>
      <c r="J371" s="52">
        <v>46561</v>
      </c>
      <c r="K371" s="53">
        <v>4.9969999999999999</v>
      </c>
      <c r="L371" s="53">
        <v>9.9991240000000001</v>
      </c>
      <c r="M371" s="53">
        <v>347.53618940000001</v>
      </c>
      <c r="N371" s="54">
        <v>3.1136151882801308E-3</v>
      </c>
      <c r="O371" s="53">
        <v>0.57179999999999997</v>
      </c>
      <c r="P371" s="30">
        <v>111.7</v>
      </c>
      <c r="Q371" s="30">
        <v>110.90300000000001</v>
      </c>
      <c r="R371" s="54">
        <v>7.1864602400295487E-3</v>
      </c>
    </row>
    <row r="372" spans="1:18" x14ac:dyDescent="0.15">
      <c r="A372" s="31">
        <v>371</v>
      </c>
      <c r="B372" s="30">
        <v>128136</v>
      </c>
      <c r="C372" s="30" t="s">
        <v>1910</v>
      </c>
      <c r="D372" s="30">
        <v>112.622</v>
      </c>
      <c r="E372" s="30">
        <v>-0.12</v>
      </c>
      <c r="F372" s="30">
        <v>57.91</v>
      </c>
      <c r="G372" s="30">
        <v>55.97</v>
      </c>
      <c r="H372" s="30">
        <v>101.22</v>
      </c>
      <c r="I372" s="51">
        <v>213.84199999999998</v>
      </c>
      <c r="J372" s="52">
        <v>46329</v>
      </c>
      <c r="K372" s="53">
        <v>4.3620000000000001</v>
      </c>
      <c r="L372" s="53">
        <v>29.993306</v>
      </c>
      <c r="M372" s="53">
        <v>2916.2897751</v>
      </c>
      <c r="N372" s="54">
        <v>8.6334246174179629E-3</v>
      </c>
      <c r="O372" s="53">
        <v>-0.17</v>
      </c>
      <c r="P372" s="30">
        <v>113.372</v>
      </c>
      <c r="Q372" s="30">
        <v>112.25</v>
      </c>
      <c r="R372" s="54">
        <v>9.9955456570155893E-3</v>
      </c>
    </row>
    <row r="373" spans="1:18" x14ac:dyDescent="0.15">
      <c r="A373" s="31">
        <v>372</v>
      </c>
      <c r="B373" s="30">
        <v>113605</v>
      </c>
      <c r="C373" s="30" t="s">
        <v>1914</v>
      </c>
      <c r="D373" s="30">
        <v>110.35</v>
      </c>
      <c r="E373" s="30">
        <v>-0.27</v>
      </c>
      <c r="F373" s="30">
        <v>57.13</v>
      </c>
      <c r="G373" s="30">
        <v>54.03</v>
      </c>
      <c r="H373" s="30">
        <v>104.24</v>
      </c>
      <c r="I373" s="51">
        <v>214.58999999999997</v>
      </c>
      <c r="J373" s="52">
        <v>46317</v>
      </c>
      <c r="K373" s="53">
        <v>4.3289999999999997</v>
      </c>
      <c r="L373" s="53">
        <v>14.04745</v>
      </c>
      <c r="M373" s="53">
        <v>1025.1116999999999</v>
      </c>
      <c r="N373" s="54">
        <v>6.6130431711139276E-3</v>
      </c>
      <c r="O373" s="53">
        <v>0.95709999999999995</v>
      </c>
      <c r="P373" s="30">
        <v>111.1</v>
      </c>
      <c r="Q373" s="30">
        <v>109.91</v>
      </c>
      <c r="R373" s="54">
        <v>1.0827040305704647E-2</v>
      </c>
    </row>
    <row r="374" spans="1:18" x14ac:dyDescent="0.15">
      <c r="A374" s="31">
        <v>373</v>
      </c>
      <c r="B374" s="30">
        <v>128070</v>
      </c>
      <c r="C374" s="30" t="s">
        <v>165</v>
      </c>
      <c r="D374" s="30">
        <v>140.25</v>
      </c>
      <c r="E374" s="30">
        <v>6.25</v>
      </c>
      <c r="F374" s="30">
        <v>9.42</v>
      </c>
      <c r="G374" s="30">
        <v>67.41</v>
      </c>
      <c r="H374" s="30">
        <v>108.06</v>
      </c>
      <c r="I374" s="51">
        <v>248.31</v>
      </c>
      <c r="J374" s="52">
        <v>45840</v>
      </c>
      <c r="K374" s="53">
        <v>3.0219999999999998</v>
      </c>
      <c r="L374" s="53">
        <v>2.295741</v>
      </c>
      <c r="M374" s="53">
        <v>156119.09794500002</v>
      </c>
      <c r="N374" s="54">
        <v>4.8487553624263269</v>
      </c>
      <c r="O374" s="53">
        <v>-6.0058999999999996</v>
      </c>
      <c r="P374" s="30">
        <v>142</v>
      </c>
      <c r="Q374" s="30">
        <v>130.5</v>
      </c>
      <c r="R374" s="54">
        <v>8.8122605363984668E-2</v>
      </c>
    </row>
    <row r="375" spans="1:18" x14ac:dyDescent="0.15">
      <c r="A375" s="31">
        <v>374</v>
      </c>
      <c r="B375" s="30">
        <v>113595</v>
      </c>
      <c r="C375" s="30" t="s">
        <v>140</v>
      </c>
      <c r="D375" s="30">
        <v>106.26</v>
      </c>
      <c r="E375" s="30">
        <v>0</v>
      </c>
      <c r="F375" s="30">
        <v>6.92</v>
      </c>
      <c r="G375" s="30">
        <v>50.87</v>
      </c>
      <c r="H375" s="30">
        <v>108.89</v>
      </c>
      <c r="I375" s="51">
        <v>215.15</v>
      </c>
      <c r="J375" s="52">
        <v>46224</v>
      </c>
      <c r="K375" s="53">
        <v>4.0739999999999998</v>
      </c>
      <c r="L375" s="53">
        <v>3.2978900000000002</v>
      </c>
      <c r="M375" s="53">
        <v>3511.6082000000001</v>
      </c>
      <c r="N375" s="54">
        <v>0.10020746532379068</v>
      </c>
      <c r="O375" s="53">
        <v>4.1257000000000001</v>
      </c>
      <c r="P375" s="30">
        <v>106.49</v>
      </c>
      <c r="Q375" s="30">
        <v>106.1</v>
      </c>
      <c r="R375" s="54">
        <v>3.6757775683317682E-3</v>
      </c>
    </row>
    <row r="376" spans="1:18" x14ac:dyDescent="0.15">
      <c r="A376" s="31">
        <v>375</v>
      </c>
      <c r="B376" s="30">
        <v>128125</v>
      </c>
      <c r="C376" s="30" t="s">
        <v>149</v>
      </c>
      <c r="D376" s="30">
        <v>109.40300000000001</v>
      </c>
      <c r="E376" s="30">
        <v>0.36</v>
      </c>
      <c r="F376" s="30">
        <v>25.09</v>
      </c>
      <c r="G376" s="30">
        <v>51.65</v>
      </c>
      <c r="H376" s="30">
        <v>111.82</v>
      </c>
      <c r="I376" s="51">
        <v>221.22300000000001</v>
      </c>
      <c r="J376" s="52">
        <v>46233</v>
      </c>
      <c r="K376" s="53">
        <v>4.0990000000000002</v>
      </c>
      <c r="L376" s="53">
        <v>4.4980339999999996</v>
      </c>
      <c r="M376" s="53">
        <v>669.53049639999995</v>
      </c>
      <c r="N376" s="54">
        <v>1.3605621919469294E-2</v>
      </c>
      <c r="O376" s="53">
        <v>1.9253</v>
      </c>
      <c r="P376" s="30">
        <v>109.474</v>
      </c>
      <c r="Q376" s="30">
        <v>108.742</v>
      </c>
      <c r="R376" s="54">
        <v>6.7315296757462549E-3</v>
      </c>
    </row>
    <row r="377" spans="1:18" x14ac:dyDescent="0.15">
      <c r="A377" s="31">
        <v>376</v>
      </c>
      <c r="B377" s="30">
        <v>113624</v>
      </c>
      <c r="C377" s="30" t="s">
        <v>179</v>
      </c>
      <c r="D377" s="30">
        <v>109.74</v>
      </c>
      <c r="E377" s="30">
        <v>0.28999999999999998</v>
      </c>
      <c r="F377" s="30">
        <v>46.38</v>
      </c>
      <c r="G377" s="30">
        <v>51.7</v>
      </c>
      <c r="H377" s="30">
        <v>112.26</v>
      </c>
      <c r="I377" s="51">
        <v>222</v>
      </c>
      <c r="J377" s="52">
        <v>46505</v>
      </c>
      <c r="K377" s="53">
        <v>4.8440000000000003</v>
      </c>
      <c r="L377" s="53">
        <v>4.0492699999999999</v>
      </c>
      <c r="M377" s="53">
        <v>1917.5721000000001</v>
      </c>
      <c r="N377" s="54">
        <v>4.315290234299541E-2</v>
      </c>
      <c r="O377" s="53">
        <v>2.0992000000000002</v>
      </c>
      <c r="P377" s="30">
        <v>110.05</v>
      </c>
      <c r="Q377" s="30">
        <v>109.47</v>
      </c>
      <c r="R377" s="54">
        <v>5.2982552297432929E-3</v>
      </c>
    </row>
    <row r="378" spans="1:18" x14ac:dyDescent="0.15">
      <c r="A378" s="31">
        <v>377</v>
      </c>
      <c r="B378" s="30">
        <v>123076</v>
      </c>
      <c r="C378" s="30" t="s">
        <v>160</v>
      </c>
      <c r="D378" s="30">
        <v>107.2</v>
      </c>
      <c r="E378" s="30">
        <v>0.9</v>
      </c>
      <c r="F378" s="30">
        <v>18.899999999999999</v>
      </c>
      <c r="G378" s="30">
        <v>49.58</v>
      </c>
      <c r="H378" s="30">
        <v>116.22</v>
      </c>
      <c r="I378" s="51">
        <v>223.42000000000002</v>
      </c>
      <c r="J378" s="52">
        <v>46345</v>
      </c>
      <c r="K378" s="53">
        <v>4.4050000000000002</v>
      </c>
      <c r="L378" s="53">
        <v>8.4985510000000009</v>
      </c>
      <c r="M378" s="53">
        <v>911.8435935</v>
      </c>
      <c r="N378" s="54">
        <v>1.0008769342807913E-2</v>
      </c>
      <c r="O378" s="53">
        <v>2.2681</v>
      </c>
      <c r="P378" s="30">
        <v>107.218</v>
      </c>
      <c r="Q378" s="30">
        <v>106.148</v>
      </c>
      <c r="R378" s="54">
        <v>1.0080265289972561E-2</v>
      </c>
    </row>
    <row r="379" spans="1:18" x14ac:dyDescent="0.15">
      <c r="A379" s="31">
        <v>378</v>
      </c>
      <c r="B379" s="30">
        <v>123101</v>
      </c>
      <c r="C379" s="30" t="s">
        <v>152</v>
      </c>
      <c r="D379" s="30">
        <v>108.9</v>
      </c>
      <c r="E379" s="30">
        <v>0.83</v>
      </c>
      <c r="F379" s="30">
        <v>26.18</v>
      </c>
      <c r="G379" s="30">
        <v>49.92</v>
      </c>
      <c r="H379" s="30">
        <v>118.15</v>
      </c>
      <c r="I379" s="51">
        <v>227.05</v>
      </c>
      <c r="J379" s="52">
        <v>46456</v>
      </c>
      <c r="K379" s="53">
        <v>4.71</v>
      </c>
      <c r="L379" s="53">
        <v>6.697616</v>
      </c>
      <c r="M379" s="53">
        <v>5533.6203376000003</v>
      </c>
      <c r="N379" s="54">
        <v>7.5868454095867871E-2</v>
      </c>
      <c r="O379" s="53">
        <v>1.1471</v>
      </c>
      <c r="P379" s="30">
        <v>109.8</v>
      </c>
      <c r="Q379" s="30">
        <v>108.143</v>
      </c>
      <c r="R379" s="54">
        <v>1.5322304726149602E-2</v>
      </c>
    </row>
    <row r="380" spans="1:18" x14ac:dyDescent="0.15">
      <c r="A380" s="31">
        <v>379</v>
      </c>
      <c r="B380" s="30">
        <v>113573</v>
      </c>
      <c r="C380" s="30" t="s">
        <v>144</v>
      </c>
      <c r="D380" s="30">
        <v>116.14</v>
      </c>
      <c r="E380" s="30">
        <v>0.47</v>
      </c>
      <c r="F380" s="30">
        <v>18.78</v>
      </c>
      <c r="G380" s="30">
        <v>52.82</v>
      </c>
      <c r="H380" s="30">
        <v>119.88</v>
      </c>
      <c r="I380" s="51">
        <v>236.01999999999998</v>
      </c>
      <c r="J380" s="52">
        <v>46129</v>
      </c>
      <c r="K380" s="53">
        <v>3.8140000000000001</v>
      </c>
      <c r="L380" s="53">
        <v>2.6983299999999999</v>
      </c>
      <c r="M380" s="53">
        <v>1418.6070999999999</v>
      </c>
      <c r="N380" s="54">
        <v>4.5267368176574396E-2</v>
      </c>
      <c r="O380" s="53">
        <v>1.6579999999999999</v>
      </c>
      <c r="P380" s="30">
        <v>116.93</v>
      </c>
      <c r="Q380" s="30">
        <v>115.51</v>
      </c>
      <c r="R380" s="54">
        <v>1.2293307938706619E-2</v>
      </c>
    </row>
    <row r="381" spans="1:18" x14ac:dyDescent="0.15">
      <c r="A381" s="31">
        <v>380</v>
      </c>
      <c r="B381" s="30">
        <v>123113</v>
      </c>
      <c r="C381" s="30" t="s">
        <v>1917</v>
      </c>
      <c r="D381" s="30">
        <v>108.19</v>
      </c>
      <c r="E381" s="30">
        <v>-0.19</v>
      </c>
      <c r="F381" s="30">
        <v>56.48</v>
      </c>
      <c r="G381" s="30">
        <v>47.98</v>
      </c>
      <c r="H381" s="30">
        <v>125.49</v>
      </c>
      <c r="I381" s="51">
        <v>233.68</v>
      </c>
      <c r="J381" s="52">
        <v>46496</v>
      </c>
      <c r="K381" s="53">
        <v>4.819</v>
      </c>
      <c r="L381" s="53">
        <v>10.248582000000001</v>
      </c>
      <c r="M381" s="53">
        <v>1882.3843007</v>
      </c>
      <c r="N381" s="54">
        <v>1.6976860929210816E-2</v>
      </c>
      <c r="O381" s="53">
        <v>1.8694999999999999</v>
      </c>
      <c r="P381" s="30">
        <v>108.6</v>
      </c>
      <c r="Q381" s="30">
        <v>107.876</v>
      </c>
      <c r="R381" s="54">
        <v>6.7114093959730571E-3</v>
      </c>
    </row>
    <row r="382" spans="1:18" x14ac:dyDescent="0.15">
      <c r="A382" s="31">
        <v>381</v>
      </c>
      <c r="B382" s="30">
        <v>111003</v>
      </c>
      <c r="C382" s="30" t="s">
        <v>818</v>
      </c>
      <c r="D382" s="30">
        <v>193.19</v>
      </c>
      <c r="E382" s="30">
        <v>-3.61</v>
      </c>
      <c r="F382" s="30">
        <v>14.42</v>
      </c>
      <c r="G382" s="30">
        <v>85.23</v>
      </c>
      <c r="H382" s="30">
        <v>126.67</v>
      </c>
      <c r="I382" s="51">
        <v>319.86</v>
      </c>
      <c r="J382" s="52">
        <v>46819</v>
      </c>
      <c r="K382" s="53">
        <v>5.7039999999999997</v>
      </c>
      <c r="L382" s="53">
        <v>2.04</v>
      </c>
      <c r="M382" s="53">
        <v>17612.786899999999</v>
      </c>
      <c r="N382" s="54">
        <v>0.446903000601866</v>
      </c>
      <c r="O382" s="53">
        <v>-8</v>
      </c>
      <c r="P382" s="30">
        <v>201.51</v>
      </c>
      <c r="Q382" s="30">
        <v>192.81</v>
      </c>
      <c r="R382" s="54">
        <v>4.5122140967792067E-2</v>
      </c>
    </row>
    <row r="383" spans="1:18" x14ac:dyDescent="0.15">
      <c r="A383" s="31">
        <v>382</v>
      </c>
      <c r="B383" s="30">
        <v>128117</v>
      </c>
      <c r="C383" s="30" t="s">
        <v>154</v>
      </c>
      <c r="D383" s="30">
        <v>194</v>
      </c>
      <c r="E383" s="30">
        <v>20.5</v>
      </c>
      <c r="F383" s="30">
        <v>28.71</v>
      </c>
      <c r="G383" s="30">
        <v>84.88</v>
      </c>
      <c r="H383" s="30">
        <v>128.56</v>
      </c>
      <c r="I383" s="51">
        <v>322.56</v>
      </c>
      <c r="J383" s="52">
        <v>46205</v>
      </c>
      <c r="K383" s="53">
        <v>4.0220000000000002</v>
      </c>
      <c r="L383" s="53">
        <v>3.5988519999999995</v>
      </c>
      <c r="M383" s="53">
        <v>1230671.6631881001</v>
      </c>
      <c r="N383" s="54">
        <v>17.626922048889394</v>
      </c>
      <c r="O383" s="53">
        <v>-10.874599999999999</v>
      </c>
      <c r="P383" s="30">
        <v>200.858</v>
      </c>
      <c r="Q383" s="30">
        <v>177.1</v>
      </c>
      <c r="R383" s="54">
        <v>0.13415019762845856</v>
      </c>
    </row>
    <row r="384" spans="1:18" x14ac:dyDescent="0.15">
      <c r="A384" s="31">
        <v>383</v>
      </c>
      <c r="B384" s="30">
        <v>123138</v>
      </c>
      <c r="C384" s="30" t="s">
        <v>786</v>
      </c>
      <c r="D384" s="30">
        <v>164.19300000000001</v>
      </c>
      <c r="E384" s="30">
        <v>-1.08</v>
      </c>
      <c r="F384" s="30">
        <v>26.61</v>
      </c>
      <c r="G384" s="30">
        <v>71.78</v>
      </c>
      <c r="H384" s="30">
        <v>128.74</v>
      </c>
      <c r="I384" s="51">
        <v>292.93299999999999</v>
      </c>
      <c r="J384" s="52">
        <v>46814</v>
      </c>
      <c r="K384" s="53">
        <v>5.69</v>
      </c>
      <c r="L384" s="53">
        <v>2.4</v>
      </c>
      <c r="M384" s="53">
        <v>29505.908553199999</v>
      </c>
      <c r="N384" s="54">
        <v>0.74876082194937243</v>
      </c>
      <c r="O384" s="53">
        <v>-5.2268999999999997</v>
      </c>
      <c r="P384" s="30">
        <v>167.28800000000001</v>
      </c>
      <c r="Q384" s="30">
        <v>163.84200000000001</v>
      </c>
      <c r="R384" s="54">
        <v>2.1032458099876698E-2</v>
      </c>
    </row>
    <row r="385" spans="1:18" x14ac:dyDescent="0.15">
      <c r="A385" s="31">
        <v>384</v>
      </c>
      <c r="B385" s="30">
        <v>128118</v>
      </c>
      <c r="C385" s="30" t="s">
        <v>153</v>
      </c>
      <c r="D385" s="30">
        <v>111.40300000000001</v>
      </c>
      <c r="E385" s="30">
        <v>0.44</v>
      </c>
      <c r="F385" s="30">
        <v>21.35</v>
      </c>
      <c r="G385" s="30">
        <v>48.24</v>
      </c>
      <c r="H385" s="30">
        <v>130.93</v>
      </c>
      <c r="I385" s="51">
        <v>242.33300000000003</v>
      </c>
      <c r="J385" s="52">
        <v>46205</v>
      </c>
      <c r="K385" s="53">
        <v>4.0220000000000002</v>
      </c>
      <c r="L385" s="53">
        <v>2.9983399999999998</v>
      </c>
      <c r="M385" s="53">
        <v>826.67144529999996</v>
      </c>
      <c r="N385" s="54">
        <v>2.4748858451297134E-2</v>
      </c>
      <c r="O385" s="53">
        <v>2.2839</v>
      </c>
      <c r="P385" s="30">
        <v>111.869</v>
      </c>
      <c r="Q385" s="30">
        <v>110.922</v>
      </c>
      <c r="R385" s="54">
        <v>8.5375308775536216E-3</v>
      </c>
    </row>
    <row r="386" spans="1:18" x14ac:dyDescent="0.15">
      <c r="A386" s="31">
        <v>385</v>
      </c>
      <c r="B386" s="30">
        <v>123104</v>
      </c>
      <c r="C386" s="30" t="s">
        <v>178</v>
      </c>
      <c r="D386" s="30">
        <v>115.2</v>
      </c>
      <c r="E386" s="30">
        <v>0.28000000000000003</v>
      </c>
      <c r="F386" s="30">
        <v>17.739999999999998</v>
      </c>
      <c r="G386" s="30">
        <v>49.61</v>
      </c>
      <c r="H386" s="30">
        <v>132.21</v>
      </c>
      <c r="I386" s="51">
        <v>247.41000000000003</v>
      </c>
      <c r="J386" s="52">
        <v>46462</v>
      </c>
      <c r="K386" s="53">
        <v>4.726</v>
      </c>
      <c r="L386" s="53">
        <v>9.7010769999999997</v>
      </c>
      <c r="M386" s="53">
        <v>1233.0037245999999</v>
      </c>
      <c r="N386" s="54">
        <v>1.1032957816536473E-2</v>
      </c>
      <c r="O386" s="53">
        <v>1.7367999999999999</v>
      </c>
      <c r="P386" s="30">
        <v>115.47</v>
      </c>
      <c r="Q386" s="30">
        <v>114.5</v>
      </c>
      <c r="R386" s="54">
        <v>8.4716157205240068E-3</v>
      </c>
    </row>
    <row r="387" spans="1:18" x14ac:dyDescent="0.15">
      <c r="A387" s="31">
        <v>386</v>
      </c>
      <c r="B387" s="30">
        <v>128138</v>
      </c>
      <c r="C387" s="30" t="s">
        <v>147</v>
      </c>
      <c r="D387" s="30">
        <v>115.5</v>
      </c>
      <c r="E387" s="30">
        <v>0.23</v>
      </c>
      <c r="F387" s="30">
        <v>25.33</v>
      </c>
      <c r="G387" s="30">
        <v>48.44</v>
      </c>
      <c r="H387" s="30">
        <v>138.44</v>
      </c>
      <c r="I387" s="51">
        <v>253.94</v>
      </c>
      <c r="J387" s="52">
        <v>46343</v>
      </c>
      <c r="K387" s="53">
        <v>4.4000000000000004</v>
      </c>
      <c r="L387" s="53">
        <v>4.1991089999999991</v>
      </c>
      <c r="M387" s="53">
        <v>2246.1025509999999</v>
      </c>
      <c r="N387" s="54">
        <v>4.6311670721892038E-2</v>
      </c>
      <c r="O387" s="53">
        <v>3.8801999999999999</v>
      </c>
      <c r="P387" s="30">
        <v>116.79</v>
      </c>
      <c r="Q387" s="30">
        <v>115.23</v>
      </c>
      <c r="R387" s="54">
        <v>1.3538141109086195E-2</v>
      </c>
    </row>
    <row r="388" spans="1:18" x14ac:dyDescent="0.15">
      <c r="A388" s="31">
        <v>387</v>
      </c>
      <c r="B388" s="30">
        <v>123039</v>
      </c>
      <c r="C388" s="30" t="s">
        <v>167</v>
      </c>
      <c r="D388" s="30">
        <v>125.96</v>
      </c>
      <c r="E388" s="30">
        <v>0.77</v>
      </c>
      <c r="F388" s="30">
        <v>29.82</v>
      </c>
      <c r="G388" s="30">
        <v>51.51</v>
      </c>
      <c r="H388" s="30">
        <v>144.54</v>
      </c>
      <c r="I388" s="51">
        <v>270.5</v>
      </c>
      <c r="J388" s="52">
        <v>46017</v>
      </c>
      <c r="K388" s="53">
        <v>3.5070000000000001</v>
      </c>
      <c r="L388" s="53">
        <v>2.2170109999999998</v>
      </c>
      <c r="M388" s="53">
        <v>13135.852412599999</v>
      </c>
      <c r="N388" s="54">
        <v>0.47038965328294752</v>
      </c>
      <c r="O388" s="53">
        <v>-1.3308</v>
      </c>
      <c r="P388" s="30">
        <v>126.87</v>
      </c>
      <c r="Q388" s="30">
        <v>125.173</v>
      </c>
      <c r="R388" s="54">
        <v>1.3557236784290563E-2</v>
      </c>
    </row>
    <row r="389" spans="1:18" x14ac:dyDescent="0.15">
      <c r="A389" s="31">
        <v>388</v>
      </c>
      <c r="B389" s="30">
        <v>128124</v>
      </c>
      <c r="C389" s="30" t="s">
        <v>170</v>
      </c>
      <c r="D389" s="30">
        <v>100.455</v>
      </c>
      <c r="E389" s="30">
        <v>0.06</v>
      </c>
      <c r="F389" s="30">
        <v>21.31</v>
      </c>
      <c r="G389" s="30">
        <v>39.700000000000003</v>
      </c>
      <c r="H389" s="30">
        <v>153.04</v>
      </c>
      <c r="I389" s="51">
        <v>253.495</v>
      </c>
      <c r="J389" s="52">
        <v>46231</v>
      </c>
      <c r="K389" s="53">
        <v>4.093</v>
      </c>
      <c r="L389" s="53">
        <v>7.3764519999999996</v>
      </c>
      <c r="M389" s="53">
        <v>1081.6892613</v>
      </c>
      <c r="N389" s="54">
        <v>1.4597666566573127E-2</v>
      </c>
      <c r="O389" s="53">
        <v>2.2847</v>
      </c>
      <c r="P389" s="30">
        <v>100.65</v>
      </c>
      <c r="Q389" s="30">
        <v>100.301</v>
      </c>
      <c r="R389" s="54">
        <v>3.4795266248592114E-3</v>
      </c>
    </row>
    <row r="390" spans="1:18" x14ac:dyDescent="0.15">
      <c r="A390" s="31">
        <v>389</v>
      </c>
      <c r="B390" s="30">
        <v>127057</v>
      </c>
      <c r="C390" s="30" t="s">
        <v>777</v>
      </c>
      <c r="D390" s="30">
        <v>391.88</v>
      </c>
      <c r="E390" s="30">
        <v>-3.67</v>
      </c>
      <c r="F390" s="30">
        <v>26.41</v>
      </c>
      <c r="G390" s="30">
        <v>154.52000000000001</v>
      </c>
      <c r="H390" s="30">
        <v>153.61000000000001</v>
      </c>
      <c r="I390" s="51">
        <v>545.49</v>
      </c>
      <c r="J390" s="52">
        <v>46815</v>
      </c>
      <c r="K390" s="53">
        <v>5.6929999999999996</v>
      </c>
      <c r="L390" s="53">
        <v>2.76</v>
      </c>
      <c r="M390" s="53">
        <v>164871.568444</v>
      </c>
      <c r="N390" s="54">
        <v>1.5243461141979282</v>
      </c>
      <c r="O390" s="53">
        <v>-18.854500000000002</v>
      </c>
      <c r="P390" s="30">
        <v>413.5</v>
      </c>
      <c r="Q390" s="30">
        <v>390</v>
      </c>
      <c r="R390" s="54">
        <v>6.0256410256410257E-2</v>
      </c>
    </row>
    <row r="391" spans="1:18" x14ac:dyDescent="0.15">
      <c r="A391" s="31">
        <v>390</v>
      </c>
      <c r="B391" s="30">
        <v>123018</v>
      </c>
      <c r="C391" s="30" t="s">
        <v>77</v>
      </c>
      <c r="D391" s="30">
        <v>330</v>
      </c>
      <c r="E391" s="30">
        <v>26.67</v>
      </c>
      <c r="F391" s="30">
        <v>8.15</v>
      </c>
      <c r="G391" s="30">
        <v>129.94</v>
      </c>
      <c r="H391" s="30">
        <v>153.96</v>
      </c>
      <c r="I391" s="51">
        <v>483.96000000000004</v>
      </c>
      <c r="J391" s="52">
        <v>45646</v>
      </c>
      <c r="K391" s="53">
        <v>2.4900000000000002</v>
      </c>
      <c r="L391" s="53">
        <v>0.54233200000000004</v>
      </c>
      <c r="M391" s="53">
        <v>405660.97347870003</v>
      </c>
      <c r="N391" s="54">
        <v>22.666478784364223</v>
      </c>
      <c r="O391" s="53">
        <v>-35.219499999999996</v>
      </c>
      <c r="P391" s="30">
        <v>338.69</v>
      </c>
      <c r="Q391" s="30">
        <v>251.541</v>
      </c>
      <c r="R391" s="54">
        <v>0.34646041798354943</v>
      </c>
    </row>
    <row r="392" spans="1:18" x14ac:dyDescent="0.15">
      <c r="A392" s="31">
        <v>391</v>
      </c>
      <c r="B392" s="30">
        <v>123093</v>
      </c>
      <c r="C392" s="30" t="s">
        <v>142</v>
      </c>
      <c r="D392" s="30">
        <v>137.9</v>
      </c>
      <c r="E392" s="30">
        <v>1.74</v>
      </c>
      <c r="F392" s="30">
        <v>49.09</v>
      </c>
      <c r="G392" s="30">
        <v>53.58</v>
      </c>
      <c r="H392" s="30">
        <v>157.37</v>
      </c>
      <c r="I392" s="51">
        <v>295.27</v>
      </c>
      <c r="J392" s="52">
        <v>46406</v>
      </c>
      <c r="K392" s="53">
        <v>4.5730000000000004</v>
      </c>
      <c r="L392" s="53">
        <v>2.4998309999999999</v>
      </c>
      <c r="M392" s="53">
        <v>132766.72567069999</v>
      </c>
      <c r="N392" s="54">
        <v>3.8513618943613754</v>
      </c>
      <c r="O392" s="53">
        <v>-1.5244</v>
      </c>
      <c r="P392" s="30">
        <v>143.30000000000001</v>
      </c>
      <c r="Q392" s="30">
        <v>135.19999999999999</v>
      </c>
      <c r="R392" s="54">
        <v>5.991124260355047E-2</v>
      </c>
    </row>
    <row r="393" spans="1:18" x14ac:dyDescent="0.15">
      <c r="A393" s="31">
        <v>392</v>
      </c>
      <c r="B393" s="30">
        <v>113589</v>
      </c>
      <c r="C393" s="30" t="s">
        <v>145</v>
      </c>
      <c r="D393" s="30">
        <v>98.44</v>
      </c>
      <c r="E393" s="30">
        <v>0.18</v>
      </c>
      <c r="F393" s="30">
        <v>12.29</v>
      </c>
      <c r="G393" s="30">
        <v>37.35</v>
      </c>
      <c r="H393" s="30">
        <v>163.56</v>
      </c>
      <c r="I393" s="51">
        <v>262</v>
      </c>
      <c r="J393" s="52">
        <v>46197</v>
      </c>
      <c r="K393" s="53">
        <v>4</v>
      </c>
      <c r="L393" s="53">
        <v>5.9959100000000003</v>
      </c>
      <c r="M393" s="53">
        <v>2219.7143999999998</v>
      </c>
      <c r="N393" s="54">
        <v>3.7607147119277907E-2</v>
      </c>
      <c r="O393" s="53">
        <v>3.8725000000000001</v>
      </c>
      <c r="P393" s="30">
        <v>98.57</v>
      </c>
      <c r="Q393" s="30">
        <v>98.32</v>
      </c>
      <c r="R393" s="54">
        <v>2.542717656631408E-3</v>
      </c>
    </row>
    <row r="394" spans="1:18" x14ac:dyDescent="0.15">
      <c r="A394" s="31">
        <v>393</v>
      </c>
      <c r="B394" s="30">
        <v>123143</v>
      </c>
      <c r="C394" s="30" t="s">
        <v>817</v>
      </c>
      <c r="D394" s="30">
        <v>270.29199999999997</v>
      </c>
      <c r="E394" s="30">
        <v>-3.05</v>
      </c>
      <c r="F394" s="30">
        <v>23.33</v>
      </c>
      <c r="G394" s="30">
        <v>102.53</v>
      </c>
      <c r="H394" s="30">
        <v>163.62</v>
      </c>
      <c r="I394" s="51">
        <v>433.91199999999998</v>
      </c>
      <c r="J394" s="52">
        <v>46843</v>
      </c>
      <c r="K394" s="53">
        <v>5.77</v>
      </c>
      <c r="L394" s="53">
        <v>3.3</v>
      </c>
      <c r="M394" s="53">
        <v>103601.0259904</v>
      </c>
      <c r="N394" s="54">
        <v>1.1614938769967744</v>
      </c>
      <c r="O394" s="53">
        <v>-13.6288</v>
      </c>
      <c r="P394" s="30">
        <v>294.17899999999997</v>
      </c>
      <c r="Q394" s="30">
        <v>269.66800000000001</v>
      </c>
      <c r="R394" s="54">
        <v>9.0893246510523926E-2</v>
      </c>
    </row>
    <row r="395" spans="1:18" x14ac:dyDescent="0.15">
      <c r="A395" s="31">
        <v>394</v>
      </c>
      <c r="B395" s="30">
        <v>123140</v>
      </c>
      <c r="C395" s="30" t="s">
        <v>788</v>
      </c>
      <c r="D395" s="30">
        <v>245.708</v>
      </c>
      <c r="E395" s="30">
        <v>-2.5</v>
      </c>
      <c r="F395" s="30">
        <v>12.47</v>
      </c>
      <c r="G395" s="30">
        <v>91.9</v>
      </c>
      <c r="H395" s="30">
        <v>167.36</v>
      </c>
      <c r="I395" s="51">
        <v>413.06799999999998</v>
      </c>
      <c r="J395" s="52">
        <v>46826</v>
      </c>
      <c r="K395" s="53">
        <v>5.7229999999999999</v>
      </c>
      <c r="L395" s="53">
        <v>1.72</v>
      </c>
      <c r="M395" s="53">
        <v>80323.14243919999</v>
      </c>
      <c r="N395" s="54">
        <v>1.9006097244753744</v>
      </c>
      <c r="O395" s="53">
        <v>-12.1785</v>
      </c>
      <c r="P395" s="30">
        <v>254.874</v>
      </c>
      <c r="Q395" s="30">
        <v>245.01</v>
      </c>
      <c r="R395" s="54">
        <v>4.0259581241581993E-2</v>
      </c>
    </row>
    <row r="396" spans="1:18" x14ac:dyDescent="0.15">
      <c r="A396" s="31">
        <v>395</v>
      </c>
      <c r="B396" s="30">
        <v>113569</v>
      </c>
      <c r="C396" s="30" t="s">
        <v>139</v>
      </c>
      <c r="D396" s="30">
        <v>105.93</v>
      </c>
      <c r="E396" s="30">
        <v>0.27</v>
      </c>
      <c r="F396" s="30">
        <v>14.8</v>
      </c>
      <c r="G396" s="30">
        <v>39.049999999999997</v>
      </c>
      <c r="H396" s="30">
        <v>171.27</v>
      </c>
      <c r="I396" s="51">
        <v>277.20000000000005</v>
      </c>
      <c r="J396" s="52">
        <v>46090</v>
      </c>
      <c r="K396" s="53">
        <v>3.7069999999999999</v>
      </c>
      <c r="L396" s="53">
        <v>5.1559499999999998</v>
      </c>
      <c r="M396" s="53">
        <v>407.45569999999998</v>
      </c>
      <c r="N396" s="54">
        <v>7.4602387812250674E-3</v>
      </c>
      <c r="O396" s="53">
        <v>3.3666999999999998</v>
      </c>
      <c r="P396" s="30">
        <v>105.98</v>
      </c>
      <c r="Q396" s="30">
        <v>105.64</v>
      </c>
      <c r="R396" s="54">
        <v>3.21847784929954E-3</v>
      </c>
    </row>
    <row r="397" spans="1:18" x14ac:dyDescent="0.15">
      <c r="A397" s="31">
        <v>396</v>
      </c>
      <c r="B397" s="30">
        <v>110044</v>
      </c>
      <c r="C397" s="30" t="s">
        <v>135</v>
      </c>
      <c r="D397" s="30">
        <v>241.21</v>
      </c>
      <c r="E397" s="30">
        <v>2.72</v>
      </c>
      <c r="F397" s="30">
        <v>6.87</v>
      </c>
      <c r="G397" s="30">
        <v>88.79</v>
      </c>
      <c r="H397" s="30">
        <v>171.66</v>
      </c>
      <c r="I397" s="51">
        <v>412.87</v>
      </c>
      <c r="J397" s="52">
        <v>45470</v>
      </c>
      <c r="K397" s="53">
        <v>2.008</v>
      </c>
      <c r="L397" s="53">
        <v>0.70747000000000004</v>
      </c>
      <c r="M397" s="53">
        <v>74374.033100000001</v>
      </c>
      <c r="N397" s="54">
        <v>4.3583087741223512</v>
      </c>
      <c r="O397" s="53">
        <v>-32.3551</v>
      </c>
      <c r="P397" s="30">
        <v>252.52</v>
      </c>
      <c r="Q397" s="30">
        <v>233.15</v>
      </c>
      <c r="R397" s="54">
        <v>8.3079562513403413E-2</v>
      </c>
    </row>
    <row r="398" spans="1:18" x14ac:dyDescent="0.15">
      <c r="A398" s="31">
        <v>397</v>
      </c>
      <c r="B398" s="30">
        <v>123065</v>
      </c>
      <c r="C398" s="30" t="s">
        <v>136</v>
      </c>
      <c r="D398" s="30">
        <v>120</v>
      </c>
      <c r="E398" s="30">
        <v>-0.3</v>
      </c>
      <c r="F398" s="30">
        <v>36.630000000000003</v>
      </c>
      <c r="G398" s="30">
        <v>44.14</v>
      </c>
      <c r="H398" s="30">
        <v>171.86</v>
      </c>
      <c r="I398" s="51">
        <v>291.86</v>
      </c>
      <c r="J398" s="52">
        <v>46269</v>
      </c>
      <c r="K398" s="53">
        <v>4.1970000000000001</v>
      </c>
      <c r="L398" s="53">
        <v>2.1885789999999998</v>
      </c>
      <c r="M398" s="53">
        <v>2569.0874289999997</v>
      </c>
      <c r="N398" s="54">
        <v>9.7821746020286829E-2</v>
      </c>
      <c r="O398" s="53">
        <v>0.20250000000000001</v>
      </c>
      <c r="P398" s="30">
        <v>121.024</v>
      </c>
      <c r="Q398" s="30">
        <v>119.74</v>
      </c>
      <c r="R398" s="54">
        <v>1.0723233672958127E-2</v>
      </c>
    </row>
    <row r="399" spans="1:18" x14ac:dyDescent="0.15">
      <c r="A399" s="31">
        <v>398</v>
      </c>
      <c r="B399" s="30">
        <v>113627</v>
      </c>
      <c r="C399" s="30" t="s">
        <v>148</v>
      </c>
      <c r="D399" s="30">
        <v>109.05</v>
      </c>
      <c r="E399" s="30">
        <v>0.41</v>
      </c>
      <c r="F399" s="30">
        <v>49.72</v>
      </c>
      <c r="G399" s="30">
        <v>39.86</v>
      </c>
      <c r="H399" s="30">
        <v>173.58</v>
      </c>
      <c r="I399" s="51">
        <v>282.63</v>
      </c>
      <c r="J399" s="52">
        <v>46583</v>
      </c>
      <c r="K399" s="53">
        <v>5.0579999999999998</v>
      </c>
      <c r="L399" s="53">
        <v>7.99979</v>
      </c>
      <c r="M399" s="53">
        <v>267.28089999999997</v>
      </c>
      <c r="N399" s="54">
        <v>3.0638229746424005E-3</v>
      </c>
      <c r="O399" s="53">
        <v>1.0944</v>
      </c>
      <c r="P399" s="30">
        <v>109.15</v>
      </c>
      <c r="Q399" s="30">
        <v>108.85</v>
      </c>
      <c r="R399" s="54">
        <v>2.7560863573726354E-3</v>
      </c>
    </row>
    <row r="400" spans="1:18" x14ac:dyDescent="0.15">
      <c r="A400" s="31">
        <v>399</v>
      </c>
      <c r="B400" s="30">
        <v>113584</v>
      </c>
      <c r="C400" s="30" t="s">
        <v>1918</v>
      </c>
      <c r="D400" s="30">
        <v>104.21</v>
      </c>
      <c r="E400" s="30">
        <v>0.04</v>
      </c>
      <c r="F400" s="30">
        <v>37.53</v>
      </c>
      <c r="G400" s="30">
        <v>36.72</v>
      </c>
      <c r="H400" s="30">
        <v>183.8</v>
      </c>
      <c r="I400" s="51">
        <v>288.01</v>
      </c>
      <c r="J400" s="52">
        <v>46178</v>
      </c>
      <c r="K400" s="53">
        <v>3.948</v>
      </c>
      <c r="L400" s="53">
        <v>6.4491300000000003</v>
      </c>
      <c r="M400" s="53">
        <v>254.45580000000001</v>
      </c>
      <c r="N400" s="54">
        <v>3.7861849704972968E-3</v>
      </c>
      <c r="O400" s="53">
        <v>2.4100999999999999</v>
      </c>
      <c r="P400" s="30">
        <v>104.33</v>
      </c>
      <c r="Q400" s="30">
        <v>104.11</v>
      </c>
      <c r="R400" s="54">
        <v>2.1131495533570155E-3</v>
      </c>
    </row>
    <row r="401" spans="1:18" x14ac:dyDescent="0.15">
      <c r="A401" s="31">
        <v>400</v>
      </c>
      <c r="B401" s="30">
        <v>128041</v>
      </c>
      <c r="C401" s="30" t="s">
        <v>134</v>
      </c>
      <c r="D401" s="30">
        <v>290.8</v>
      </c>
      <c r="E401" s="30">
        <v>0.28999999999999998</v>
      </c>
      <c r="F401" s="30">
        <v>6.82</v>
      </c>
      <c r="G401" s="30">
        <v>98.68</v>
      </c>
      <c r="H401" s="30">
        <v>194.69</v>
      </c>
      <c r="I401" s="51">
        <v>485.49</v>
      </c>
      <c r="J401" s="52">
        <v>45490</v>
      </c>
      <c r="K401" s="53">
        <v>2.0630000000000002</v>
      </c>
      <c r="L401" s="53">
        <v>0.52935699999999997</v>
      </c>
      <c r="M401" s="53">
        <v>29429.072623000004</v>
      </c>
      <c r="N401" s="54">
        <v>1.9117606319892824</v>
      </c>
      <c r="O401" s="53">
        <v>-37.065399999999997</v>
      </c>
      <c r="P401" s="30">
        <v>291.98</v>
      </c>
      <c r="Q401" s="30">
        <v>284.10000000000002</v>
      </c>
      <c r="R401" s="54">
        <v>2.7736712425202377E-2</v>
      </c>
    </row>
    <row r="402" spans="1:18" x14ac:dyDescent="0.15">
      <c r="A402" s="31">
        <v>401</v>
      </c>
      <c r="B402" s="30">
        <v>113596</v>
      </c>
      <c r="C402" s="30" t="s">
        <v>1919</v>
      </c>
      <c r="D402" s="30">
        <v>97.12</v>
      </c>
      <c r="E402" s="30">
        <v>0.06</v>
      </c>
      <c r="F402" s="30">
        <v>24.26</v>
      </c>
      <c r="G402" s="30">
        <v>31.86</v>
      </c>
      <c r="H402" s="30">
        <v>204.83</v>
      </c>
      <c r="I402" s="51">
        <v>301.95000000000005</v>
      </c>
      <c r="J402" s="52">
        <v>46231</v>
      </c>
      <c r="K402" s="53">
        <v>4.093</v>
      </c>
      <c r="L402" s="53">
        <v>11.986980000000001</v>
      </c>
      <c r="M402" s="53">
        <v>1632.2325000000001</v>
      </c>
      <c r="N402" s="54">
        <v>1.4020502092381435E-2</v>
      </c>
      <c r="O402" s="53">
        <v>3.8820999999999999</v>
      </c>
      <c r="P402" s="30">
        <v>97.24</v>
      </c>
      <c r="Q402" s="30">
        <v>97.04</v>
      </c>
      <c r="R402" s="54">
        <v>2.0610057708160411E-3</v>
      </c>
    </row>
    <row r="403" spans="1:18" x14ac:dyDescent="0.15">
      <c r="A403" s="31">
        <v>402</v>
      </c>
      <c r="B403" s="30">
        <v>128062</v>
      </c>
      <c r="C403" s="30" t="s">
        <v>1920</v>
      </c>
      <c r="D403" s="30">
        <v>99.34</v>
      </c>
      <c r="E403" s="30">
        <v>0.08</v>
      </c>
      <c r="F403" s="30">
        <v>16.25</v>
      </c>
      <c r="G403" s="30">
        <v>32.49</v>
      </c>
      <c r="H403" s="30">
        <v>205.76</v>
      </c>
      <c r="I403" s="51">
        <v>305.10000000000002</v>
      </c>
      <c r="J403" s="52">
        <v>45749</v>
      </c>
      <c r="K403" s="53">
        <v>2.7730000000000001</v>
      </c>
      <c r="L403" s="53">
        <v>9.6197039999999987</v>
      </c>
      <c r="M403" s="53">
        <v>1218.5650619999999</v>
      </c>
      <c r="N403" s="54">
        <v>1.2751546458845707E-2</v>
      </c>
      <c r="O403" s="53">
        <v>6.601</v>
      </c>
      <c r="P403" s="30">
        <v>99.438999999999993</v>
      </c>
      <c r="Q403" s="30">
        <v>99.200999999999993</v>
      </c>
      <c r="R403" s="54">
        <v>2.3991693632120599E-3</v>
      </c>
    </row>
    <row r="404" spans="1:18" x14ac:dyDescent="0.15">
      <c r="A404" s="31">
        <v>403</v>
      </c>
      <c r="B404" s="30">
        <v>123034</v>
      </c>
      <c r="C404" s="30" t="s">
        <v>2047</v>
      </c>
      <c r="D404" s="30">
        <v>375</v>
      </c>
      <c r="E404" s="30">
        <v>-5.86</v>
      </c>
      <c r="F404" s="30">
        <v>7.93</v>
      </c>
      <c r="G404" s="30">
        <v>113.24</v>
      </c>
      <c r="H404" s="30">
        <v>231.16</v>
      </c>
      <c r="I404" s="51">
        <v>606.16</v>
      </c>
      <c r="J404" s="52">
        <v>45965</v>
      </c>
      <c r="K404" s="53">
        <v>3.3639999999999999</v>
      </c>
      <c r="L404" s="53">
        <v>0.77857100000000001</v>
      </c>
      <c r="M404" s="53">
        <v>312336.18973749998</v>
      </c>
      <c r="N404" s="54">
        <v>10.697759176320035</v>
      </c>
      <c r="O404" s="53">
        <v>-29.538699999999999</v>
      </c>
      <c r="P404" s="30">
        <v>408.39100000000002</v>
      </c>
      <c r="Q404" s="30">
        <v>365.29</v>
      </c>
      <c r="R404" s="54">
        <v>0.11799118508582221</v>
      </c>
    </row>
    <row r="405" spans="1:18" x14ac:dyDescent="0.15">
      <c r="A405" s="31">
        <v>404</v>
      </c>
      <c r="B405" s="30">
        <v>123136</v>
      </c>
      <c r="C405" s="30" t="s">
        <v>271</v>
      </c>
      <c r="D405" s="30">
        <v>297.18</v>
      </c>
      <c r="E405" s="30">
        <v>-2.56</v>
      </c>
      <c r="F405" s="30">
        <v>17.440000000000001</v>
      </c>
      <c r="G405" s="30">
        <v>87.96</v>
      </c>
      <c r="H405" s="30">
        <v>237.86</v>
      </c>
      <c r="I405" s="51">
        <v>535.04</v>
      </c>
      <c r="J405" s="52">
        <v>46773</v>
      </c>
      <c r="K405" s="53">
        <v>5.5780000000000003</v>
      </c>
      <c r="L405" s="53">
        <v>4.5999999999999996</v>
      </c>
      <c r="M405" s="53">
        <v>57535.300224999999</v>
      </c>
      <c r="N405" s="54">
        <v>0.42087872541747495</v>
      </c>
      <c r="O405" s="53">
        <v>-15.1052</v>
      </c>
      <c r="P405" s="30">
        <v>307</v>
      </c>
      <c r="Q405" s="30">
        <v>294.45600000000002</v>
      </c>
      <c r="R405" s="54">
        <v>4.2600592278642588E-2</v>
      </c>
    </row>
    <row r="406" spans="1:18" x14ac:dyDescent="0.15">
      <c r="A406" s="31">
        <v>405</v>
      </c>
      <c r="B406" s="30">
        <v>113576</v>
      </c>
      <c r="C406" s="30" t="s">
        <v>138</v>
      </c>
      <c r="D406" s="30">
        <v>119.81</v>
      </c>
      <c r="E406" s="30">
        <v>0.05</v>
      </c>
      <c r="F406" s="30">
        <v>10.55</v>
      </c>
      <c r="G406" s="30">
        <v>34.22</v>
      </c>
      <c r="H406" s="30">
        <v>250.12</v>
      </c>
      <c r="I406" s="51">
        <v>369.93</v>
      </c>
      <c r="J406" s="52">
        <v>46122</v>
      </c>
      <c r="K406" s="53">
        <v>3.7949999999999999</v>
      </c>
      <c r="L406" s="53">
        <v>2.65808</v>
      </c>
      <c r="M406" s="53">
        <v>7500.8046000000004</v>
      </c>
      <c r="N406" s="54">
        <v>0.23553027335115306</v>
      </c>
      <c r="O406" s="53">
        <v>0.15459999999999999</v>
      </c>
      <c r="P406" s="30">
        <v>120.69</v>
      </c>
      <c r="Q406" s="30">
        <v>119.3</v>
      </c>
      <c r="R406" s="54">
        <v>1.1651299245599335E-2</v>
      </c>
    </row>
    <row r="407" spans="1:18" x14ac:dyDescent="0.15">
      <c r="A407" s="31">
        <v>406</v>
      </c>
      <c r="B407" s="30">
        <v>127004</v>
      </c>
      <c r="C407" s="30" t="s">
        <v>137</v>
      </c>
      <c r="D407" s="30">
        <v>280.81099999999998</v>
      </c>
      <c r="E407" s="30">
        <v>-3.55</v>
      </c>
      <c r="F407" s="30">
        <v>7.24</v>
      </c>
      <c r="G407" s="30">
        <v>79.14</v>
      </c>
      <c r="H407" s="30">
        <v>254.83</v>
      </c>
      <c r="I407" s="51">
        <v>535.64099999999996</v>
      </c>
      <c r="J407" s="52">
        <v>45079</v>
      </c>
      <c r="K407" s="53">
        <v>0.93700000000000006</v>
      </c>
      <c r="L407" s="53">
        <v>1.3110879999999998</v>
      </c>
      <c r="M407" s="53">
        <v>208820.3375202</v>
      </c>
      <c r="N407" s="54">
        <v>5.6718774005410921</v>
      </c>
      <c r="O407" s="53">
        <v>-63.113100000000003</v>
      </c>
      <c r="P407" s="30">
        <v>298</v>
      </c>
      <c r="Q407" s="30">
        <v>276.85000000000002</v>
      </c>
      <c r="R407" s="54">
        <v>7.6395159833844956E-2</v>
      </c>
    </row>
    <row r="408" spans="1:18" x14ac:dyDescent="0.15">
      <c r="A408" s="31">
        <v>407</v>
      </c>
      <c r="B408" s="30">
        <v>113575</v>
      </c>
      <c r="C408" s="30" t="s">
        <v>151</v>
      </c>
      <c r="D408" s="30">
        <v>173.09</v>
      </c>
      <c r="E408" s="30">
        <v>-3.39</v>
      </c>
      <c r="F408" s="30">
        <v>12.15</v>
      </c>
      <c r="G408" s="30">
        <v>48.15</v>
      </c>
      <c r="H408" s="30">
        <v>259.48</v>
      </c>
      <c r="I408" s="51">
        <v>432.57000000000005</v>
      </c>
      <c r="J408" s="52">
        <v>46121</v>
      </c>
      <c r="K408" s="53">
        <v>3.7919999999999998</v>
      </c>
      <c r="L408" s="53">
        <v>0.98397999999999997</v>
      </c>
      <c r="M408" s="53">
        <v>22844.689699999999</v>
      </c>
      <c r="N408" s="54">
        <v>1.341303365395172</v>
      </c>
      <c r="O408" s="53">
        <v>-10.905900000000001</v>
      </c>
      <c r="P408" s="30">
        <v>180.9</v>
      </c>
      <c r="Q408" s="30">
        <v>170.16</v>
      </c>
      <c r="R408" s="54">
        <v>6.3117066290550125E-2</v>
      </c>
    </row>
    <row r="409" spans="1:18" x14ac:dyDescent="0.15">
      <c r="A409" s="31">
        <v>408</v>
      </c>
      <c r="B409" s="30">
        <v>113574</v>
      </c>
      <c r="C409" s="30" t="s">
        <v>1921</v>
      </c>
      <c r="D409" s="30">
        <v>117.51</v>
      </c>
      <c r="E409" s="30">
        <v>-1.3</v>
      </c>
      <c r="F409" s="30">
        <v>33.909999999999997</v>
      </c>
      <c r="G409" s="30">
        <v>32.53</v>
      </c>
      <c r="H409" s="30">
        <v>261.24</v>
      </c>
      <c r="I409" s="51">
        <v>378.75</v>
      </c>
      <c r="J409" s="52">
        <v>46112</v>
      </c>
      <c r="K409" s="53">
        <v>3.7669999999999999</v>
      </c>
      <c r="L409" s="53">
        <v>2.0874100000000002</v>
      </c>
      <c r="M409" s="53">
        <v>1221.2538999999999</v>
      </c>
      <c r="N409" s="54">
        <v>4.9787850599863966E-2</v>
      </c>
      <c r="O409" s="53">
        <v>-0.53680000000000005</v>
      </c>
      <c r="P409" s="30">
        <v>120.35</v>
      </c>
      <c r="Q409" s="30">
        <v>116.88</v>
      </c>
      <c r="R409" s="54">
        <v>2.9688569472963715E-2</v>
      </c>
    </row>
    <row r="410" spans="1:18" x14ac:dyDescent="0.15">
      <c r="A410" s="31">
        <v>409</v>
      </c>
      <c r="B410" s="30">
        <v>113646</v>
      </c>
      <c r="C410" s="30" t="s">
        <v>1922</v>
      </c>
      <c r="D410" s="30">
        <v>296.33999999999997</v>
      </c>
      <c r="E410" s="30">
        <v>-2.54</v>
      </c>
      <c r="F410" s="30">
        <v>8.76</v>
      </c>
      <c r="G410" s="30">
        <v>81.62</v>
      </c>
      <c r="H410" s="30">
        <v>263.07</v>
      </c>
      <c r="I410" s="51">
        <v>559.41</v>
      </c>
      <c r="J410" s="52">
        <v>46857</v>
      </c>
      <c r="K410" s="53">
        <v>5.8079999999999998</v>
      </c>
      <c r="L410" s="53">
        <v>1.45868</v>
      </c>
      <c r="M410" s="53">
        <v>12968.520399999999</v>
      </c>
      <c r="N410" s="54">
        <v>0.30001303514507599</v>
      </c>
      <c r="O410" s="53">
        <v>-15.432700000000001</v>
      </c>
      <c r="P410" s="30">
        <v>305.49</v>
      </c>
      <c r="Q410" s="30">
        <v>296</v>
      </c>
      <c r="R410" s="54">
        <v>3.2060810810810844E-2</v>
      </c>
    </row>
    <row r="411" spans="1:18" x14ac:dyDescent="0.15">
      <c r="A411" s="31">
        <v>410</v>
      </c>
      <c r="B411" s="30">
        <v>123134</v>
      </c>
      <c r="C411" s="30" t="s">
        <v>277</v>
      </c>
      <c r="D411" s="30">
        <v>392.52699999999999</v>
      </c>
      <c r="E411" s="30">
        <v>-5.07</v>
      </c>
      <c r="F411" s="30">
        <v>75.7</v>
      </c>
      <c r="G411" s="30">
        <v>104.99</v>
      </c>
      <c r="H411" s="30">
        <v>273.87</v>
      </c>
      <c r="I411" s="51">
        <v>666.39699999999993</v>
      </c>
      <c r="J411" s="52">
        <v>46748</v>
      </c>
      <c r="K411" s="53">
        <v>5.51</v>
      </c>
      <c r="L411" s="53">
        <v>2.79</v>
      </c>
      <c r="M411" s="53">
        <v>120508.09057920001</v>
      </c>
      <c r="N411" s="54">
        <v>1.1003794390419441</v>
      </c>
      <c r="O411" s="53">
        <v>-19.480599999999999</v>
      </c>
      <c r="P411" s="30">
        <v>413.5</v>
      </c>
      <c r="Q411" s="30">
        <v>392.52699999999999</v>
      </c>
      <c r="R411" s="54">
        <v>5.3430719415479735E-2</v>
      </c>
    </row>
    <row r="412" spans="1:18" x14ac:dyDescent="0.15">
      <c r="A412" s="31">
        <v>411</v>
      </c>
      <c r="B412" s="30">
        <v>123072</v>
      </c>
      <c r="C412" s="30" t="s">
        <v>1923</v>
      </c>
      <c r="D412" s="30">
        <v>138.80000000000001</v>
      </c>
      <c r="E412" s="30">
        <v>2.58</v>
      </c>
      <c r="F412" s="30">
        <v>48.98</v>
      </c>
      <c r="G412" s="30">
        <v>36.75</v>
      </c>
      <c r="H412" s="30">
        <v>277.69</v>
      </c>
      <c r="I412" s="51">
        <v>416.49</v>
      </c>
      <c r="J412" s="52">
        <v>46316</v>
      </c>
      <c r="K412" s="53">
        <v>4.3259999999999996</v>
      </c>
      <c r="L412" s="53">
        <v>1.419144</v>
      </c>
      <c r="M412" s="53">
        <v>38939.882791000004</v>
      </c>
      <c r="N412" s="54">
        <v>1.9768727203654577</v>
      </c>
      <c r="O412" s="53">
        <v>-1.7137</v>
      </c>
      <c r="P412" s="30">
        <v>139.6</v>
      </c>
      <c r="Q412" s="30">
        <v>134.51</v>
      </c>
      <c r="R412" s="54">
        <v>3.7841052709835725E-2</v>
      </c>
    </row>
    <row r="413" spans="1:18" x14ac:dyDescent="0.15">
      <c r="A413" s="31">
        <v>412</v>
      </c>
      <c r="B413" s="30">
        <v>123135</v>
      </c>
      <c r="C413" s="30" t="s">
        <v>1924</v>
      </c>
      <c r="D413" s="30">
        <v>318.5</v>
      </c>
      <c r="E413" s="30">
        <v>-2.48</v>
      </c>
      <c r="F413" s="30">
        <v>54.43</v>
      </c>
      <c r="G413" s="30">
        <v>75.58</v>
      </c>
      <c r="H413" s="30">
        <v>321.41000000000003</v>
      </c>
      <c r="I413" s="51">
        <v>639.91000000000008</v>
      </c>
      <c r="J413" s="52">
        <v>46749</v>
      </c>
      <c r="K413" s="53">
        <v>5.5119999999999996</v>
      </c>
      <c r="L413" s="53">
        <v>2.1</v>
      </c>
      <c r="M413" s="53">
        <v>29186.769933399999</v>
      </c>
      <c r="N413" s="54">
        <v>0.43637242929505865</v>
      </c>
      <c r="O413" s="53">
        <v>-16.2971</v>
      </c>
      <c r="P413" s="30">
        <v>329.27499999999998</v>
      </c>
      <c r="Q413" s="30">
        <v>317.51</v>
      </c>
      <c r="R413" s="54">
        <v>3.7053951056659588E-2</v>
      </c>
    </row>
    <row r="414" spans="1:18" x14ac:dyDescent="0.15">
      <c r="A414" s="31">
        <v>413</v>
      </c>
      <c r="B414" s="30">
        <v>123013</v>
      </c>
      <c r="C414" s="30" t="s">
        <v>1925</v>
      </c>
      <c r="D414" s="30">
        <v>475.5</v>
      </c>
      <c r="E414" s="30">
        <v>-1.47</v>
      </c>
      <c r="F414" s="30">
        <v>8.9600000000000009</v>
      </c>
      <c r="G414" s="30">
        <v>84.82</v>
      </c>
      <c r="H414" s="30">
        <v>460.6</v>
      </c>
      <c r="I414" s="51">
        <v>936.1</v>
      </c>
      <c r="J414" s="52">
        <v>45499</v>
      </c>
      <c r="K414" s="53">
        <v>2.0880000000000001</v>
      </c>
      <c r="L414" s="53">
        <v>0.37926300000000002</v>
      </c>
      <c r="M414" s="53">
        <v>52519.823980299996</v>
      </c>
      <c r="N414" s="54">
        <v>2.9122742120251361</v>
      </c>
      <c r="O414" s="53">
        <v>-50.023099999999999</v>
      </c>
      <c r="P414" s="30">
        <v>489.8</v>
      </c>
      <c r="Q414" s="30">
        <v>475</v>
      </c>
      <c r="R414" s="54">
        <v>3.1157894736842131E-2</v>
      </c>
    </row>
    <row r="415" spans="1:18" x14ac:dyDescent="0.15">
      <c r="A415" s="31">
        <v>414</v>
      </c>
      <c r="B415" s="30">
        <v>123015</v>
      </c>
      <c r="C415" s="30" t="s">
        <v>1926</v>
      </c>
      <c r="D415" s="30">
        <v>287</v>
      </c>
      <c r="E415" s="30">
        <v>-2.5499999999999998</v>
      </c>
      <c r="F415" s="30">
        <v>5.79</v>
      </c>
      <c r="G415" s="30">
        <v>29.19</v>
      </c>
      <c r="H415" s="30">
        <v>883.21</v>
      </c>
      <c r="I415" s="51">
        <v>1170.21</v>
      </c>
      <c r="J415" s="52">
        <v>45517</v>
      </c>
      <c r="K415" s="53">
        <v>2.137</v>
      </c>
      <c r="L415" s="53">
        <v>1.001309</v>
      </c>
      <c r="M415" s="53">
        <v>50820.119328000001</v>
      </c>
      <c r="N415" s="54">
        <v>1.768421001995496</v>
      </c>
      <c r="O415" s="53">
        <v>-36.1875</v>
      </c>
      <c r="P415" s="30">
        <v>297.39800000000002</v>
      </c>
      <c r="Q415" s="30">
        <v>283.303</v>
      </c>
      <c r="R415" s="54">
        <v>4.9752385255362727E-2</v>
      </c>
    </row>
  </sheetData>
  <autoFilter ref="A1:R411"/>
  <phoneticPr fontId="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refresh_convertible_bond">
                <anchor moveWithCells="1" sizeWithCells="1">
                  <from>
                    <xdr:col>19</xdr:col>
                    <xdr:colOff>209550</xdr:colOff>
                    <xdr:row>2</xdr:row>
                    <xdr:rowOff>47625</xdr:rowOff>
                  </from>
                  <to>
                    <xdr:col>20</xdr:col>
                    <xdr:colOff>514350</xdr:colOff>
                    <xdr:row>4</xdr:row>
                    <xdr:rowOff>142875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U416"/>
  <sheetViews>
    <sheetView zoomScaleNormal="100" workbookViewId="0">
      <pane ySplit="2" topLeftCell="A389" activePane="bottomLeft" state="frozen"/>
      <selection pane="bottomLeft" activeCell="O411" sqref="O411"/>
    </sheetView>
  </sheetViews>
  <sheetFormatPr defaultRowHeight="14.25" x14ac:dyDescent="0.15"/>
  <cols>
    <col min="1" max="2" width="12.25" style="7" bestFit="1" customWidth="1"/>
    <col min="3" max="3" width="8.5" style="7" bestFit="1" customWidth="1"/>
    <col min="4" max="4" width="16.375" style="13" customWidth="1"/>
    <col min="5" max="5" width="16" style="13" bestFit="1" customWidth="1"/>
    <col min="6" max="7" width="9" style="7"/>
    <col min="8" max="8" width="3.75" style="17" customWidth="1"/>
    <col min="9" max="10" width="12.25" style="7" bestFit="1" customWidth="1"/>
    <col min="11" max="11" width="8.5" style="7" bestFit="1" customWidth="1"/>
    <col min="12" max="12" width="10.125" style="33" bestFit="1" customWidth="1"/>
    <col min="13" max="13" width="10.125" style="36" customWidth="1"/>
    <col min="14" max="14" width="12.25" style="7" bestFit="1" customWidth="1"/>
    <col min="15" max="16" width="9" style="7"/>
    <col min="17" max="17" width="3.75" style="17" customWidth="1"/>
    <col min="18" max="19" width="12.25" style="7" bestFit="1" customWidth="1"/>
    <col min="20" max="20" width="8.375" style="7" customWidth="1"/>
    <col min="21" max="21" width="12.25" style="7" bestFit="1" customWidth="1"/>
    <col min="22" max="16384" width="9" style="7"/>
  </cols>
  <sheetData>
    <row r="1" spans="1:21" x14ac:dyDescent="0.15">
      <c r="A1" s="8" t="s">
        <v>278</v>
      </c>
      <c r="B1" s="8"/>
      <c r="D1" s="12"/>
      <c r="E1" s="12"/>
      <c r="I1" s="8" t="s">
        <v>1931</v>
      </c>
      <c r="J1" s="8"/>
      <c r="K1" s="37" t="s">
        <v>1932</v>
      </c>
      <c r="L1" s="38"/>
      <c r="M1" s="39"/>
      <c r="N1" s="37"/>
      <c r="O1" s="37"/>
      <c r="P1" s="37"/>
      <c r="R1" s="8" t="s">
        <v>812</v>
      </c>
    </row>
    <row r="2" spans="1:21" s="6" customFormat="1" x14ac:dyDescent="0.15">
      <c r="A2" s="6" t="s">
        <v>59</v>
      </c>
      <c r="B2" s="6" t="s">
        <v>58</v>
      </c>
      <c r="C2" s="6" t="s">
        <v>57</v>
      </c>
      <c r="D2" s="4" t="s">
        <v>269</v>
      </c>
      <c r="E2" s="4" t="s">
        <v>801</v>
      </c>
      <c r="H2" s="18"/>
      <c r="I2" s="6" t="s">
        <v>1927</v>
      </c>
      <c r="J2" s="6" t="s">
        <v>1928</v>
      </c>
      <c r="K2" s="6" t="s">
        <v>1810</v>
      </c>
      <c r="L2" s="34" t="s">
        <v>35</v>
      </c>
      <c r="M2" s="35" t="s">
        <v>1930</v>
      </c>
      <c r="N2" s="4" t="s">
        <v>253</v>
      </c>
      <c r="Q2" s="18"/>
      <c r="R2" s="6" t="s">
        <v>59</v>
      </c>
      <c r="S2" s="6" t="s">
        <v>58</v>
      </c>
      <c r="T2" s="6" t="s">
        <v>57</v>
      </c>
      <c r="U2" s="4" t="s">
        <v>253</v>
      </c>
    </row>
    <row r="3" spans="1:21" x14ac:dyDescent="0.15">
      <c r="A3" s="1">
        <v>123012</v>
      </c>
      <c r="B3" s="1" t="s">
        <v>56</v>
      </c>
      <c r="C3" s="7">
        <f>VLOOKUP(A3,$I$1:$K$1000,3,FALSE)</f>
        <v>196</v>
      </c>
      <c r="D3" s="5">
        <f>MATCH(A3,$I$1:$I$1000,0)-2</f>
        <v>43</v>
      </c>
      <c r="E3" s="5">
        <f t="shared" ref="E3:E40" si="0">MATCH(A3,$R$1:$R$200,0)-2</f>
        <v>1</v>
      </c>
      <c r="H3" s="17">
        <v>1</v>
      </c>
      <c r="I3">
        <v>113630</v>
      </c>
      <c r="J3" t="s">
        <v>1979</v>
      </c>
      <c r="K3">
        <v>149.38</v>
      </c>
      <c r="L3" s="20">
        <v>-2.33</v>
      </c>
      <c r="M3" s="21">
        <v>6.9934399999999997</v>
      </c>
      <c r="N3" s="5" t="str">
        <f>IF(ISNA(MATCH(I3,$A$3:$A$1000,0)),"未买","Yes")</f>
        <v>未买</v>
      </c>
      <c r="Q3" s="17">
        <v>1</v>
      </c>
      <c r="R3" s="7">
        <v>123012</v>
      </c>
      <c r="S3" s="7" t="s">
        <v>56</v>
      </c>
      <c r="T3" s="7">
        <f>VLOOKUP(R3,$I$1:$K$1000,3,FALSE)</f>
        <v>196</v>
      </c>
      <c r="U3" s="5" t="str">
        <f t="shared" ref="U3:U34" si="1">IF(ISNA(MATCH(R3,$A$2:$A$301,0)),"未买","Yes")</f>
        <v>Yes</v>
      </c>
    </row>
    <row r="4" spans="1:21" x14ac:dyDescent="0.15">
      <c r="A4" s="1">
        <v>123045</v>
      </c>
      <c r="B4" s="1" t="s">
        <v>108</v>
      </c>
      <c r="C4" s="7">
        <f t="shared" ref="C4:C40" si="2">VLOOKUP(A4,$I$1:$K$1000,3,FALSE)</f>
        <v>154.613</v>
      </c>
      <c r="D4" s="5">
        <f t="shared" ref="D4:D40" si="3">MATCH(A4,$I$1:$I$1000,0)-2</f>
        <v>103</v>
      </c>
      <c r="E4" s="5">
        <f t="shared" si="0"/>
        <v>33</v>
      </c>
      <c r="H4" s="17">
        <v>2</v>
      </c>
      <c r="I4">
        <v>110071</v>
      </c>
      <c r="J4" t="s">
        <v>1980</v>
      </c>
      <c r="K4">
        <v>133.32</v>
      </c>
      <c r="L4" s="20">
        <v>-0.45</v>
      </c>
      <c r="M4" s="21">
        <v>2.9503200000000001</v>
      </c>
      <c r="N4" s="5" t="str">
        <f t="shared" ref="N4:N67" si="4">IF(ISNA(MATCH(I4,$A$3:$A$1000,0)),"未买","Yes")</f>
        <v>未买</v>
      </c>
      <c r="Q4" s="17">
        <v>2</v>
      </c>
      <c r="R4" s="7">
        <v>113541</v>
      </c>
      <c r="S4" s="7" t="s">
        <v>44</v>
      </c>
      <c r="T4" s="7">
        <f t="shared" ref="T4:T37" si="5">VLOOKUP(R4,$I$1:$K$1000,3,FALSE)</f>
        <v>129.82</v>
      </c>
      <c r="U4" s="5" t="str">
        <f t="shared" si="1"/>
        <v>Yes</v>
      </c>
    </row>
    <row r="5" spans="1:21" x14ac:dyDescent="0.15">
      <c r="A5" s="1">
        <v>123052</v>
      </c>
      <c r="B5" s="1" t="s">
        <v>791</v>
      </c>
      <c r="C5" s="7">
        <f t="shared" si="2"/>
        <v>148.5</v>
      </c>
      <c r="D5" s="5">
        <f t="shared" si="3"/>
        <v>163</v>
      </c>
      <c r="E5" s="5" t="e">
        <f t="shared" si="0"/>
        <v>#N/A</v>
      </c>
      <c r="H5" s="17">
        <v>3</v>
      </c>
      <c r="I5">
        <v>113626</v>
      </c>
      <c r="J5" t="s">
        <v>1981</v>
      </c>
      <c r="K5">
        <v>239.41</v>
      </c>
      <c r="L5" s="20">
        <v>-0.4</v>
      </c>
      <c r="M5" s="21">
        <v>9.0144699999999993</v>
      </c>
      <c r="N5" s="5" t="str">
        <f t="shared" si="4"/>
        <v>未买</v>
      </c>
      <c r="Q5" s="17">
        <v>3</v>
      </c>
      <c r="R5" s="7">
        <v>128100</v>
      </c>
      <c r="S5" s="7" t="s">
        <v>48</v>
      </c>
      <c r="T5" s="7">
        <f t="shared" si="5"/>
        <v>98.599000000000004</v>
      </c>
      <c r="U5" s="5" t="str">
        <f t="shared" si="1"/>
        <v>Yes</v>
      </c>
    </row>
    <row r="6" spans="1:21" x14ac:dyDescent="0.15">
      <c r="A6" s="1">
        <v>123057</v>
      </c>
      <c r="B6" s="1" t="s">
        <v>792</v>
      </c>
      <c r="C6" s="7">
        <f t="shared" si="2"/>
        <v>184.90199999999999</v>
      </c>
      <c r="D6" s="5">
        <f t="shared" si="3"/>
        <v>21</v>
      </c>
      <c r="E6" s="5">
        <f t="shared" si="0"/>
        <v>26</v>
      </c>
      <c r="H6" s="17">
        <v>4</v>
      </c>
      <c r="I6">
        <v>123070</v>
      </c>
      <c r="J6" t="s">
        <v>1982</v>
      </c>
      <c r="K6">
        <v>307.5</v>
      </c>
      <c r="L6" s="20">
        <v>-0.34</v>
      </c>
      <c r="M6" s="21">
        <v>3.7212149999999999</v>
      </c>
      <c r="N6" s="5" t="str">
        <f t="shared" si="4"/>
        <v>未买</v>
      </c>
      <c r="Q6" s="17">
        <v>4</v>
      </c>
      <c r="R6" s="7">
        <v>128085</v>
      </c>
      <c r="S6" s="7" t="s">
        <v>798</v>
      </c>
      <c r="T6" s="7">
        <f t="shared" si="5"/>
        <v>119.547</v>
      </c>
      <c r="U6" s="5" t="str">
        <f t="shared" si="1"/>
        <v>Yes</v>
      </c>
    </row>
    <row r="7" spans="1:21" x14ac:dyDescent="0.15">
      <c r="A7" s="1">
        <v>123067</v>
      </c>
      <c r="B7" s="1" t="s">
        <v>793</v>
      </c>
      <c r="C7" s="7">
        <f t="shared" si="2"/>
        <v>201</v>
      </c>
      <c r="D7" s="5">
        <f t="shared" si="3"/>
        <v>62</v>
      </c>
      <c r="E7" s="5" t="e">
        <f t="shared" si="0"/>
        <v>#N/A</v>
      </c>
      <c r="H7" s="17">
        <v>5</v>
      </c>
      <c r="I7">
        <v>113541</v>
      </c>
      <c r="J7" t="s">
        <v>1983</v>
      </c>
      <c r="K7">
        <v>129.82</v>
      </c>
      <c r="L7" s="20">
        <v>-0.31</v>
      </c>
      <c r="M7" s="21">
        <v>0.90873999999999999</v>
      </c>
      <c r="N7" s="5" t="str">
        <f t="shared" si="4"/>
        <v>Yes</v>
      </c>
      <c r="Q7" s="17">
        <v>5</v>
      </c>
      <c r="R7" s="7">
        <v>113567</v>
      </c>
      <c r="S7" s="7" t="s">
        <v>43</v>
      </c>
      <c r="T7" s="7">
        <f t="shared" si="5"/>
        <v>134.59</v>
      </c>
      <c r="U7" s="5" t="str">
        <f t="shared" si="1"/>
        <v>Yes</v>
      </c>
    </row>
    <row r="8" spans="1:21" x14ac:dyDescent="0.15">
      <c r="A8" s="1">
        <v>123073</v>
      </c>
      <c r="B8" s="1" t="s">
        <v>794</v>
      </c>
      <c r="C8" s="7">
        <f t="shared" si="2"/>
        <v>180.3</v>
      </c>
      <c r="D8" s="5">
        <f t="shared" si="3"/>
        <v>58</v>
      </c>
      <c r="E8" s="5" t="e">
        <f t="shared" si="0"/>
        <v>#N/A</v>
      </c>
      <c r="H8" s="17">
        <v>6</v>
      </c>
      <c r="I8">
        <v>128107</v>
      </c>
      <c r="J8" t="s">
        <v>1984</v>
      </c>
      <c r="K8">
        <v>130.04</v>
      </c>
      <c r="L8" s="20">
        <v>-0.21</v>
      </c>
      <c r="M8" s="21">
        <v>2.1411120000000001</v>
      </c>
      <c r="N8" s="5" t="str">
        <f t="shared" si="4"/>
        <v>未买</v>
      </c>
      <c r="Q8" s="17">
        <v>6</v>
      </c>
      <c r="R8" s="7">
        <v>113525</v>
      </c>
      <c r="S8" s="7" t="s">
        <v>133</v>
      </c>
      <c r="T8" s="7">
        <f t="shared" si="5"/>
        <v>184.84</v>
      </c>
      <c r="U8" s="5" t="str">
        <f t="shared" si="1"/>
        <v>Yes</v>
      </c>
    </row>
    <row r="9" spans="1:21" x14ac:dyDescent="0.15">
      <c r="A9" s="1">
        <v>123080</v>
      </c>
      <c r="B9" s="1" t="s">
        <v>54</v>
      </c>
      <c r="C9" s="7">
        <f t="shared" si="2"/>
        <v>129.721</v>
      </c>
      <c r="D9" s="5">
        <f t="shared" si="3"/>
        <v>91</v>
      </c>
      <c r="E9" s="5" t="e">
        <f t="shared" si="0"/>
        <v>#N/A</v>
      </c>
      <c r="H9" s="17">
        <v>7</v>
      </c>
      <c r="I9">
        <v>128111</v>
      </c>
      <c r="J9" t="s">
        <v>1985</v>
      </c>
      <c r="K9">
        <v>740.49199999999996</v>
      </c>
      <c r="L9" s="20">
        <v>0.03</v>
      </c>
      <c r="M9" s="21">
        <v>1.163057</v>
      </c>
      <c r="N9" s="5" t="str">
        <f t="shared" si="4"/>
        <v>未买</v>
      </c>
      <c r="Q9" s="17">
        <v>7</v>
      </c>
      <c r="R9" s="7">
        <v>113585</v>
      </c>
      <c r="S9" s="7" t="s">
        <v>806</v>
      </c>
      <c r="T9" s="7">
        <f t="shared" si="5"/>
        <v>195.45</v>
      </c>
      <c r="U9" s="5" t="str">
        <f t="shared" si="1"/>
        <v>Yes</v>
      </c>
    </row>
    <row r="10" spans="1:21" x14ac:dyDescent="0.15">
      <c r="A10" s="1">
        <v>123089</v>
      </c>
      <c r="B10" s="1" t="s">
        <v>795</v>
      </c>
      <c r="C10" s="7">
        <f t="shared" si="2"/>
        <v>144.79</v>
      </c>
      <c r="D10" s="5">
        <f t="shared" si="3"/>
        <v>40</v>
      </c>
      <c r="E10" s="5" t="e">
        <f t="shared" si="0"/>
        <v>#N/A</v>
      </c>
      <c r="H10" s="17">
        <v>8</v>
      </c>
      <c r="I10">
        <v>123086</v>
      </c>
      <c r="J10" t="s">
        <v>1986</v>
      </c>
      <c r="K10">
        <v>187.72399999999999</v>
      </c>
      <c r="L10" s="20">
        <v>0.06</v>
      </c>
      <c r="M10" s="21">
        <v>3.9345339999999993</v>
      </c>
      <c r="N10" s="5" t="str">
        <f t="shared" si="4"/>
        <v>未买</v>
      </c>
      <c r="Q10" s="17">
        <v>8</v>
      </c>
      <c r="R10" s="7">
        <v>128040</v>
      </c>
      <c r="S10" s="7" t="s">
        <v>49</v>
      </c>
      <c r="T10" s="7">
        <f t="shared" si="5"/>
        <v>162.34899999999999</v>
      </c>
      <c r="U10" s="5" t="str">
        <f t="shared" si="1"/>
        <v>Yes</v>
      </c>
    </row>
    <row r="11" spans="1:21" x14ac:dyDescent="0.15">
      <c r="A11" s="1">
        <v>123137</v>
      </c>
      <c r="B11" s="1" t="s">
        <v>783</v>
      </c>
      <c r="C11" s="7">
        <f t="shared" si="2"/>
        <v>144.6</v>
      </c>
      <c r="D11" s="5">
        <f t="shared" si="3"/>
        <v>30</v>
      </c>
      <c r="E11" s="5" t="e">
        <f t="shared" si="0"/>
        <v>#N/A</v>
      </c>
      <c r="H11" s="17">
        <v>9</v>
      </c>
      <c r="I11">
        <v>127040</v>
      </c>
      <c r="J11" t="s">
        <v>1812</v>
      </c>
      <c r="K11">
        <v>132.58600000000001</v>
      </c>
      <c r="L11" s="20">
        <v>0.16</v>
      </c>
      <c r="M11" s="21">
        <v>40.151668999999998</v>
      </c>
      <c r="N11" s="5" t="str">
        <f t="shared" si="4"/>
        <v>未买</v>
      </c>
      <c r="Q11" s="17">
        <v>9</v>
      </c>
      <c r="R11" s="7">
        <v>113537</v>
      </c>
      <c r="S11" s="7" t="s">
        <v>819</v>
      </c>
      <c r="T11" s="7">
        <f t="shared" si="5"/>
        <v>328.14</v>
      </c>
      <c r="U11" s="5" t="str">
        <f t="shared" si="1"/>
        <v>未买</v>
      </c>
    </row>
    <row r="12" spans="1:21" x14ac:dyDescent="0.15">
      <c r="A12" s="1">
        <v>127003</v>
      </c>
      <c r="B12" s="1" t="s">
        <v>53</v>
      </c>
      <c r="C12" s="7" t="e">
        <f t="shared" si="2"/>
        <v>#N/A</v>
      </c>
      <c r="D12" s="5" t="e">
        <f t="shared" si="3"/>
        <v>#N/A</v>
      </c>
      <c r="E12" s="5" t="e">
        <f t="shared" si="0"/>
        <v>#N/A</v>
      </c>
      <c r="H12" s="17">
        <v>10</v>
      </c>
      <c r="I12">
        <v>128046</v>
      </c>
      <c r="J12" t="s">
        <v>1987</v>
      </c>
      <c r="K12">
        <v>183.81700000000001</v>
      </c>
      <c r="L12" s="20">
        <v>0.16</v>
      </c>
      <c r="M12" s="21">
        <v>7.1903059999999996</v>
      </c>
      <c r="N12" s="5" t="str">
        <f t="shared" si="4"/>
        <v>Yes</v>
      </c>
      <c r="Q12" s="17">
        <v>10</v>
      </c>
      <c r="R12" s="7">
        <v>113027</v>
      </c>
      <c r="S12" s="7" t="s">
        <v>46</v>
      </c>
      <c r="T12" s="7">
        <f t="shared" si="5"/>
        <v>172.28</v>
      </c>
      <c r="U12" s="5" t="str">
        <f t="shared" si="1"/>
        <v>Yes</v>
      </c>
    </row>
    <row r="13" spans="1:21" x14ac:dyDescent="0.15">
      <c r="A13" s="1">
        <v>127007</v>
      </c>
      <c r="B13" s="1" t="s">
        <v>805</v>
      </c>
      <c r="C13" s="7">
        <f t="shared" si="2"/>
        <v>168.19900000000001</v>
      </c>
      <c r="D13" s="5">
        <f t="shared" si="3"/>
        <v>41</v>
      </c>
      <c r="E13" s="5">
        <f t="shared" si="0"/>
        <v>11</v>
      </c>
      <c r="H13" s="17">
        <v>11</v>
      </c>
      <c r="I13">
        <v>128013</v>
      </c>
      <c r="J13" t="s">
        <v>1988</v>
      </c>
      <c r="K13">
        <v>110.5</v>
      </c>
      <c r="L13" s="20">
        <v>0.49</v>
      </c>
      <c r="M13" s="21">
        <v>7.4863169999999997</v>
      </c>
      <c r="N13" s="5" t="str">
        <f t="shared" si="4"/>
        <v>Yes</v>
      </c>
      <c r="Q13" s="17">
        <v>11</v>
      </c>
      <c r="R13" s="7">
        <v>127007</v>
      </c>
      <c r="S13" s="7" t="s">
        <v>805</v>
      </c>
      <c r="T13" s="7">
        <f t="shared" si="5"/>
        <v>168.19900000000001</v>
      </c>
      <c r="U13" s="5" t="str">
        <f t="shared" si="1"/>
        <v>Yes</v>
      </c>
    </row>
    <row r="14" spans="1:21" x14ac:dyDescent="0.15">
      <c r="A14" s="1">
        <v>127030</v>
      </c>
      <c r="B14" s="1" t="s">
        <v>780</v>
      </c>
      <c r="C14" s="7">
        <f t="shared" si="2"/>
        <v>164.29300000000001</v>
      </c>
      <c r="D14" s="5">
        <f t="shared" si="3"/>
        <v>96</v>
      </c>
      <c r="E14" s="5" t="e">
        <f t="shared" si="0"/>
        <v>#N/A</v>
      </c>
      <c r="H14" s="17">
        <v>12</v>
      </c>
      <c r="I14">
        <v>128106</v>
      </c>
      <c r="J14" t="s">
        <v>1989</v>
      </c>
      <c r="K14">
        <v>204</v>
      </c>
      <c r="L14" s="20">
        <v>0.87</v>
      </c>
      <c r="M14" s="21">
        <v>2.8916430000000002</v>
      </c>
      <c r="N14" s="5" t="str">
        <f t="shared" si="4"/>
        <v>Yes</v>
      </c>
      <c r="Q14" s="17">
        <v>12</v>
      </c>
      <c r="R14" s="7">
        <v>113016</v>
      </c>
      <c r="S14" s="7" t="s">
        <v>128</v>
      </c>
      <c r="T14" s="7">
        <f t="shared" si="5"/>
        <v>638.28</v>
      </c>
      <c r="U14" s="5" t="str">
        <f t="shared" si="1"/>
        <v>未买</v>
      </c>
    </row>
    <row r="15" spans="1:21" x14ac:dyDescent="0.15">
      <c r="A15" s="1">
        <v>128013</v>
      </c>
      <c r="B15" s="1" t="s">
        <v>52</v>
      </c>
      <c r="C15" s="7">
        <f t="shared" si="2"/>
        <v>110.5</v>
      </c>
      <c r="D15" s="5">
        <f t="shared" si="3"/>
        <v>11</v>
      </c>
      <c r="E15" s="5">
        <f t="shared" si="0"/>
        <v>21</v>
      </c>
      <c r="H15" s="17">
        <v>13</v>
      </c>
      <c r="I15">
        <v>113548</v>
      </c>
      <c r="J15" t="s">
        <v>1990</v>
      </c>
      <c r="K15">
        <v>864.2</v>
      </c>
      <c r="L15" s="20">
        <v>0.88</v>
      </c>
      <c r="M15" s="21">
        <v>0.71060000000000001</v>
      </c>
      <c r="N15" s="5" t="str">
        <f t="shared" si="4"/>
        <v>未买</v>
      </c>
      <c r="Q15" s="17">
        <v>13</v>
      </c>
      <c r="R15" s="7">
        <v>113548</v>
      </c>
      <c r="S15" s="7" t="s">
        <v>820</v>
      </c>
      <c r="T15" s="7">
        <f t="shared" si="5"/>
        <v>864.2</v>
      </c>
      <c r="U15" s="5" t="str">
        <f t="shared" si="1"/>
        <v>未买</v>
      </c>
    </row>
    <row r="16" spans="1:21" x14ac:dyDescent="0.15">
      <c r="A16" s="1">
        <v>128025</v>
      </c>
      <c r="B16" s="1" t="s">
        <v>50</v>
      </c>
      <c r="C16" s="7">
        <f t="shared" si="2"/>
        <v>132.07499999999999</v>
      </c>
      <c r="D16" s="5">
        <f t="shared" si="3"/>
        <v>128</v>
      </c>
      <c r="E16" s="5" t="e">
        <f t="shared" si="0"/>
        <v>#N/A</v>
      </c>
      <c r="H16" s="17">
        <v>14</v>
      </c>
      <c r="I16">
        <v>127013</v>
      </c>
      <c r="J16" t="s">
        <v>1991</v>
      </c>
      <c r="K16">
        <v>144.39099999999999</v>
      </c>
      <c r="L16" s="20">
        <v>0.99</v>
      </c>
      <c r="M16" s="21">
        <v>1.0176700000000001</v>
      </c>
      <c r="N16" s="5" t="str">
        <f t="shared" si="4"/>
        <v>未买</v>
      </c>
      <c r="Q16" s="17">
        <v>14</v>
      </c>
      <c r="R16" s="7">
        <v>123046</v>
      </c>
      <c r="S16" s="7" t="s">
        <v>821</v>
      </c>
      <c r="T16" s="7">
        <f t="shared" si="5"/>
        <v>344.5</v>
      </c>
      <c r="U16" s="5" t="str">
        <f t="shared" si="1"/>
        <v>未买</v>
      </c>
    </row>
    <row r="17" spans="1:21" x14ac:dyDescent="0.15">
      <c r="A17" s="1">
        <v>128029</v>
      </c>
      <c r="B17" s="1" t="s">
        <v>796</v>
      </c>
      <c r="C17" s="7">
        <f t="shared" si="2"/>
        <v>157.59100000000001</v>
      </c>
      <c r="D17" s="5">
        <f t="shared" si="3"/>
        <v>52</v>
      </c>
      <c r="E17" s="5">
        <f t="shared" si="0"/>
        <v>18</v>
      </c>
      <c r="H17" s="17">
        <v>15</v>
      </c>
      <c r="I17">
        <v>113620</v>
      </c>
      <c r="J17" t="s">
        <v>1992</v>
      </c>
      <c r="K17">
        <v>151.69</v>
      </c>
      <c r="L17" s="20">
        <v>1.1499999999999999</v>
      </c>
      <c r="M17" s="21">
        <v>8.4636899999999997</v>
      </c>
      <c r="N17" s="5" t="str">
        <f t="shared" si="4"/>
        <v>未买</v>
      </c>
      <c r="Q17" s="17">
        <v>15</v>
      </c>
      <c r="R17" s="7">
        <v>113568</v>
      </c>
      <c r="S17" s="7" t="s">
        <v>131</v>
      </c>
      <c r="T17" s="7" t="e">
        <f t="shared" si="5"/>
        <v>#N/A</v>
      </c>
      <c r="U17" s="5" t="str">
        <f t="shared" si="1"/>
        <v>Yes</v>
      </c>
    </row>
    <row r="18" spans="1:21" x14ac:dyDescent="0.15">
      <c r="A18" s="1">
        <v>128036</v>
      </c>
      <c r="B18" s="1" t="s">
        <v>181</v>
      </c>
      <c r="C18" s="7">
        <f t="shared" si="2"/>
        <v>156.30000000000001</v>
      </c>
      <c r="D18" s="5">
        <f t="shared" si="3"/>
        <v>286</v>
      </c>
      <c r="E18" s="5">
        <f t="shared" si="0"/>
        <v>23</v>
      </c>
      <c r="H18" s="17">
        <v>16</v>
      </c>
      <c r="I18">
        <v>127027</v>
      </c>
      <c r="J18" t="s">
        <v>1993</v>
      </c>
      <c r="K18">
        <v>141.43799999999999</v>
      </c>
      <c r="L18" s="20">
        <v>1.31</v>
      </c>
      <c r="M18" s="21">
        <v>19.473997000000001</v>
      </c>
      <c r="N18" s="5" t="str">
        <f t="shared" si="4"/>
        <v>未买</v>
      </c>
      <c r="Q18" s="17">
        <v>16</v>
      </c>
      <c r="R18" s="7">
        <v>128106</v>
      </c>
      <c r="S18" s="7" t="s">
        <v>800</v>
      </c>
      <c r="T18" s="7">
        <f t="shared" si="5"/>
        <v>204</v>
      </c>
      <c r="U18" s="5" t="str">
        <f t="shared" si="1"/>
        <v>Yes</v>
      </c>
    </row>
    <row r="19" spans="1:21" x14ac:dyDescent="0.15">
      <c r="A19" s="1">
        <v>128037</v>
      </c>
      <c r="B19" s="1" t="s">
        <v>73</v>
      </c>
      <c r="C19" s="7">
        <f t="shared" si="2"/>
        <v>114.666</v>
      </c>
      <c r="D19" s="5">
        <f t="shared" si="3"/>
        <v>159</v>
      </c>
      <c r="E19" s="5" t="e">
        <f t="shared" si="0"/>
        <v>#N/A</v>
      </c>
      <c r="H19" s="17">
        <v>17</v>
      </c>
      <c r="I19">
        <v>110085</v>
      </c>
      <c r="J19" t="s">
        <v>1822</v>
      </c>
      <c r="K19">
        <v>153.33000000000001</v>
      </c>
      <c r="L19" s="20">
        <v>1.48</v>
      </c>
      <c r="M19" s="21">
        <v>120</v>
      </c>
      <c r="N19" s="5" t="str">
        <f t="shared" si="4"/>
        <v>未买</v>
      </c>
      <c r="Q19" s="17">
        <v>17</v>
      </c>
      <c r="R19" s="7">
        <v>128091</v>
      </c>
      <c r="S19" s="7" t="s">
        <v>799</v>
      </c>
      <c r="T19" s="7">
        <f t="shared" si="5"/>
        <v>213</v>
      </c>
      <c r="U19" s="5" t="str">
        <f t="shared" si="1"/>
        <v>Yes</v>
      </c>
    </row>
    <row r="20" spans="1:21" x14ac:dyDescent="0.15">
      <c r="A20" s="1">
        <v>128040</v>
      </c>
      <c r="B20" s="1" t="s">
        <v>49</v>
      </c>
      <c r="C20" s="7">
        <f t="shared" si="2"/>
        <v>162.34899999999999</v>
      </c>
      <c r="D20" s="5">
        <f t="shared" si="3"/>
        <v>87</v>
      </c>
      <c r="E20" s="5">
        <f t="shared" si="0"/>
        <v>8</v>
      </c>
      <c r="H20" s="17">
        <v>18</v>
      </c>
      <c r="I20">
        <v>113534</v>
      </c>
      <c r="J20" t="s">
        <v>1994</v>
      </c>
      <c r="K20">
        <v>307.99</v>
      </c>
      <c r="L20" s="20">
        <v>1.86</v>
      </c>
      <c r="M20" s="21">
        <v>4.03714</v>
      </c>
      <c r="N20" s="5" t="str">
        <f t="shared" si="4"/>
        <v>未买</v>
      </c>
      <c r="Q20" s="17">
        <v>18</v>
      </c>
      <c r="R20" s="7">
        <v>128029</v>
      </c>
      <c r="S20" s="7" t="s">
        <v>796</v>
      </c>
      <c r="T20" s="7">
        <f t="shared" si="5"/>
        <v>157.59100000000001</v>
      </c>
      <c r="U20" s="5" t="str">
        <f t="shared" si="1"/>
        <v>Yes</v>
      </c>
    </row>
    <row r="21" spans="1:21" x14ac:dyDescent="0.15">
      <c r="A21" s="1">
        <v>128046</v>
      </c>
      <c r="B21" s="1" t="s">
        <v>797</v>
      </c>
      <c r="C21" s="7">
        <f t="shared" si="2"/>
        <v>183.81700000000001</v>
      </c>
      <c r="D21" s="5">
        <f t="shared" si="3"/>
        <v>10</v>
      </c>
      <c r="E21" s="5">
        <f t="shared" si="0"/>
        <v>32</v>
      </c>
      <c r="H21" s="17">
        <v>19</v>
      </c>
      <c r="I21">
        <v>113599</v>
      </c>
      <c r="J21" t="s">
        <v>63</v>
      </c>
      <c r="K21">
        <v>129.62</v>
      </c>
      <c r="L21" s="20">
        <v>3</v>
      </c>
      <c r="M21" s="21">
        <v>7.0939500000000004</v>
      </c>
      <c r="N21" s="5" t="str">
        <f t="shared" si="4"/>
        <v>未买</v>
      </c>
      <c r="Q21" s="17">
        <v>19</v>
      </c>
      <c r="R21" s="7">
        <v>113504</v>
      </c>
      <c r="S21" s="7" t="s">
        <v>127</v>
      </c>
      <c r="T21" s="7">
        <f t="shared" si="5"/>
        <v>154.15</v>
      </c>
      <c r="U21" s="5" t="str">
        <f t="shared" si="1"/>
        <v>Yes</v>
      </c>
    </row>
    <row r="22" spans="1:21" x14ac:dyDescent="0.15">
      <c r="A22" s="1">
        <v>128053</v>
      </c>
      <c r="B22" s="1" t="s">
        <v>61</v>
      </c>
      <c r="C22" s="7">
        <f t="shared" si="2"/>
        <v>142.422</v>
      </c>
      <c r="D22" s="5">
        <f t="shared" si="3"/>
        <v>302</v>
      </c>
      <c r="E22" s="5" t="e">
        <f t="shared" si="0"/>
        <v>#N/A</v>
      </c>
      <c r="H22" s="17">
        <v>20</v>
      </c>
      <c r="I22">
        <v>123085</v>
      </c>
      <c r="J22" t="s">
        <v>1995</v>
      </c>
      <c r="K22">
        <v>156.59</v>
      </c>
      <c r="L22" s="20">
        <v>3.28</v>
      </c>
      <c r="M22" s="21">
        <v>8.4948669999999993</v>
      </c>
      <c r="N22" s="5" t="str">
        <f t="shared" si="4"/>
        <v>未买</v>
      </c>
      <c r="Q22" s="17">
        <v>20</v>
      </c>
      <c r="R22" s="7">
        <v>128111</v>
      </c>
      <c r="S22" s="7" t="s">
        <v>822</v>
      </c>
      <c r="T22" s="7">
        <f t="shared" si="5"/>
        <v>740.49199999999996</v>
      </c>
      <c r="U22" s="5" t="str">
        <f t="shared" si="1"/>
        <v>未买</v>
      </c>
    </row>
    <row r="23" spans="1:21" x14ac:dyDescent="0.15">
      <c r="A23" s="1">
        <v>128066</v>
      </c>
      <c r="B23" s="1" t="s">
        <v>98</v>
      </c>
      <c r="C23" s="7">
        <f t="shared" si="2"/>
        <v>117.5</v>
      </c>
      <c r="D23" s="5">
        <f t="shared" si="3"/>
        <v>107</v>
      </c>
      <c r="E23" s="5" t="e">
        <f t="shared" si="0"/>
        <v>#N/A</v>
      </c>
      <c r="H23" s="17">
        <v>21</v>
      </c>
      <c r="I23">
        <v>123057</v>
      </c>
      <c r="J23" t="s">
        <v>792</v>
      </c>
      <c r="K23">
        <v>184.90199999999999</v>
      </c>
      <c r="L23" s="20">
        <v>3.39</v>
      </c>
      <c r="M23" s="21">
        <v>2.0650419999999996</v>
      </c>
      <c r="N23" s="5" t="str">
        <f t="shared" si="4"/>
        <v>Yes</v>
      </c>
      <c r="Q23" s="17">
        <v>21</v>
      </c>
      <c r="R23" s="7">
        <v>128013</v>
      </c>
      <c r="S23" s="7" t="s">
        <v>52</v>
      </c>
      <c r="T23" s="7">
        <f t="shared" si="5"/>
        <v>110.5</v>
      </c>
      <c r="U23" s="5" t="str">
        <f t="shared" si="1"/>
        <v>Yes</v>
      </c>
    </row>
    <row r="24" spans="1:21" x14ac:dyDescent="0.15">
      <c r="A24" s="1">
        <v>128076</v>
      </c>
      <c r="B24" s="1" t="s">
        <v>129</v>
      </c>
      <c r="C24" s="7">
        <f t="shared" si="2"/>
        <v>133</v>
      </c>
      <c r="D24" s="5">
        <f t="shared" si="3"/>
        <v>247</v>
      </c>
      <c r="E24" s="5">
        <f t="shared" si="0"/>
        <v>34</v>
      </c>
      <c r="H24" s="17">
        <v>22</v>
      </c>
      <c r="I24">
        <v>128128</v>
      </c>
      <c r="J24" t="s">
        <v>1996</v>
      </c>
      <c r="K24">
        <v>145.44</v>
      </c>
      <c r="L24" s="20">
        <v>3.44</v>
      </c>
      <c r="M24" s="21">
        <v>6.8042189999999998</v>
      </c>
      <c r="N24" s="5" t="str">
        <f t="shared" si="4"/>
        <v>未买</v>
      </c>
      <c r="Q24" s="17">
        <v>22</v>
      </c>
      <c r="R24" s="7">
        <v>113039</v>
      </c>
      <c r="S24" s="7" t="s">
        <v>45</v>
      </c>
      <c r="T24" s="7">
        <f t="shared" si="5"/>
        <v>139.76</v>
      </c>
      <c r="U24" s="5" t="str">
        <f t="shared" si="1"/>
        <v>Yes</v>
      </c>
    </row>
    <row r="25" spans="1:21" x14ac:dyDescent="0.15">
      <c r="A25" s="1">
        <v>128085</v>
      </c>
      <c r="B25" s="1" t="s">
        <v>798</v>
      </c>
      <c r="C25" s="7">
        <f t="shared" si="2"/>
        <v>119.547</v>
      </c>
      <c r="D25" s="5">
        <f t="shared" si="3"/>
        <v>132</v>
      </c>
      <c r="E25" s="5">
        <f t="shared" si="0"/>
        <v>4</v>
      </c>
      <c r="H25" s="17">
        <v>23</v>
      </c>
      <c r="I25">
        <v>123092</v>
      </c>
      <c r="J25" t="s">
        <v>1997</v>
      </c>
      <c r="K25">
        <v>211.43799999999999</v>
      </c>
      <c r="L25" s="20">
        <v>3.7</v>
      </c>
      <c r="M25" s="21">
        <v>4.1420300000000001</v>
      </c>
      <c r="N25" s="5" t="str">
        <f t="shared" si="4"/>
        <v>未买</v>
      </c>
      <c r="Q25" s="17">
        <v>23</v>
      </c>
      <c r="R25" s="7">
        <v>128036</v>
      </c>
      <c r="S25" s="7" t="s">
        <v>181</v>
      </c>
      <c r="T25" s="7">
        <f t="shared" si="5"/>
        <v>156.30000000000001</v>
      </c>
      <c r="U25" s="5" t="str">
        <f t="shared" si="1"/>
        <v>Yes</v>
      </c>
    </row>
    <row r="26" spans="1:21" x14ac:dyDescent="0.15">
      <c r="A26" s="1">
        <v>128091</v>
      </c>
      <c r="B26" s="1" t="s">
        <v>799</v>
      </c>
      <c r="C26" s="7">
        <f t="shared" si="2"/>
        <v>213</v>
      </c>
      <c r="D26" s="5">
        <f t="shared" si="3"/>
        <v>263</v>
      </c>
      <c r="E26" s="5">
        <f t="shared" si="0"/>
        <v>17</v>
      </c>
      <c r="H26" s="17">
        <v>24</v>
      </c>
      <c r="I26">
        <v>110068</v>
      </c>
      <c r="J26" t="s">
        <v>1816</v>
      </c>
      <c r="K26">
        <v>136.77000000000001</v>
      </c>
      <c r="L26" s="20">
        <v>3.81</v>
      </c>
      <c r="M26" s="21">
        <v>19.995090000000001</v>
      </c>
      <c r="N26" s="5" t="str">
        <f t="shared" si="4"/>
        <v>未买</v>
      </c>
      <c r="Q26" s="17">
        <v>24</v>
      </c>
      <c r="R26" s="7">
        <v>113570</v>
      </c>
      <c r="S26" s="7" t="s">
        <v>42</v>
      </c>
      <c r="T26" s="7">
        <f t="shared" si="5"/>
        <v>128.4</v>
      </c>
      <c r="U26" s="5" t="str">
        <f t="shared" si="1"/>
        <v>Yes</v>
      </c>
    </row>
    <row r="27" spans="1:21" x14ac:dyDescent="0.15">
      <c r="A27" s="1">
        <v>128100</v>
      </c>
      <c r="B27" s="1" t="s">
        <v>48</v>
      </c>
      <c r="C27" s="7">
        <f t="shared" si="2"/>
        <v>98.599000000000004</v>
      </c>
      <c r="D27" s="5">
        <f t="shared" si="3"/>
        <v>143</v>
      </c>
      <c r="E27" s="5">
        <f t="shared" si="0"/>
        <v>3</v>
      </c>
      <c r="H27" s="17">
        <v>25</v>
      </c>
      <c r="I27">
        <v>127043</v>
      </c>
      <c r="J27" t="s">
        <v>1998</v>
      </c>
      <c r="K27">
        <v>166.93</v>
      </c>
      <c r="L27" s="20">
        <v>4.74</v>
      </c>
      <c r="M27" s="21">
        <v>10.448228</v>
      </c>
      <c r="N27" s="5" t="str">
        <f t="shared" si="4"/>
        <v>未买</v>
      </c>
      <c r="Q27" s="17">
        <v>25</v>
      </c>
      <c r="R27" s="7">
        <v>128017</v>
      </c>
      <c r="S27" s="7" t="s">
        <v>823</v>
      </c>
      <c r="T27" s="7">
        <f t="shared" si="5"/>
        <v>205.822</v>
      </c>
      <c r="U27" s="5" t="str">
        <f t="shared" si="1"/>
        <v>未买</v>
      </c>
    </row>
    <row r="28" spans="1:21" x14ac:dyDescent="0.15">
      <c r="A28" s="1">
        <v>128106</v>
      </c>
      <c r="B28" s="1" t="s">
        <v>800</v>
      </c>
      <c r="C28" s="7">
        <f t="shared" si="2"/>
        <v>204</v>
      </c>
      <c r="D28" s="5">
        <f t="shared" si="3"/>
        <v>12</v>
      </c>
      <c r="E28" s="5">
        <f t="shared" si="0"/>
        <v>16</v>
      </c>
      <c r="H28" s="17">
        <v>26</v>
      </c>
      <c r="I28">
        <v>113537</v>
      </c>
      <c r="J28" t="s">
        <v>1999</v>
      </c>
      <c r="K28">
        <v>328.14</v>
      </c>
      <c r="L28" s="20">
        <v>5</v>
      </c>
      <c r="M28" s="21">
        <v>1.40378</v>
      </c>
      <c r="N28" s="5" t="str">
        <f t="shared" si="4"/>
        <v>未买</v>
      </c>
      <c r="Q28" s="17">
        <v>26</v>
      </c>
      <c r="R28" s="7">
        <v>123057</v>
      </c>
      <c r="S28" s="7" t="s">
        <v>792</v>
      </c>
      <c r="T28" s="7">
        <f t="shared" si="5"/>
        <v>184.90199999999999</v>
      </c>
      <c r="U28" s="5" t="str">
        <f t="shared" si="1"/>
        <v>Yes</v>
      </c>
    </row>
    <row r="29" spans="1:21" x14ac:dyDescent="0.15">
      <c r="A29" s="1">
        <v>113027</v>
      </c>
      <c r="B29" s="1" t="s">
        <v>46</v>
      </c>
      <c r="C29" s="7">
        <f t="shared" si="2"/>
        <v>172.28</v>
      </c>
      <c r="D29" s="5">
        <f t="shared" si="3"/>
        <v>88</v>
      </c>
      <c r="E29" s="5">
        <f t="shared" si="0"/>
        <v>10</v>
      </c>
      <c r="H29" s="17">
        <v>27</v>
      </c>
      <c r="I29">
        <v>123107</v>
      </c>
      <c r="J29" t="s">
        <v>1834</v>
      </c>
      <c r="K29">
        <v>132.16200000000001</v>
      </c>
      <c r="L29" s="20">
        <v>5.34</v>
      </c>
      <c r="M29" s="21">
        <v>92.961128000000002</v>
      </c>
      <c r="N29" s="5" t="str">
        <f t="shared" si="4"/>
        <v>未买</v>
      </c>
      <c r="Q29" s="17">
        <v>27</v>
      </c>
      <c r="R29" s="7">
        <v>113030</v>
      </c>
      <c r="S29" s="7" t="s">
        <v>96</v>
      </c>
      <c r="T29" s="7">
        <f t="shared" si="5"/>
        <v>127</v>
      </c>
      <c r="U29" s="5" t="str">
        <f t="shared" si="1"/>
        <v>未买</v>
      </c>
    </row>
    <row r="30" spans="1:21" x14ac:dyDescent="0.15">
      <c r="A30" s="1">
        <v>113039</v>
      </c>
      <c r="B30" s="1" t="s">
        <v>45</v>
      </c>
      <c r="C30" s="7">
        <f t="shared" si="2"/>
        <v>139.76</v>
      </c>
      <c r="D30" s="5">
        <f t="shared" si="3"/>
        <v>63</v>
      </c>
      <c r="E30" s="5">
        <f t="shared" si="0"/>
        <v>22</v>
      </c>
      <c r="H30" s="17">
        <v>28</v>
      </c>
      <c r="I30">
        <v>128114</v>
      </c>
      <c r="J30" t="s">
        <v>1818</v>
      </c>
      <c r="K30">
        <v>108.72799999999999</v>
      </c>
      <c r="L30" s="20">
        <v>5.44</v>
      </c>
      <c r="M30" s="21">
        <v>15.936507999999998</v>
      </c>
      <c r="N30" s="5" t="str">
        <f t="shared" si="4"/>
        <v>未买</v>
      </c>
      <c r="Q30" s="17">
        <v>28</v>
      </c>
      <c r="R30" s="7">
        <v>123060</v>
      </c>
      <c r="S30" s="7" t="s">
        <v>824</v>
      </c>
      <c r="T30" s="7">
        <f t="shared" si="5"/>
        <v>187.98500000000001</v>
      </c>
      <c r="U30" s="5" t="str">
        <f t="shared" si="1"/>
        <v>未买</v>
      </c>
    </row>
    <row r="31" spans="1:21" x14ac:dyDescent="0.15">
      <c r="A31" s="1">
        <v>113504</v>
      </c>
      <c r="B31" s="1" t="s">
        <v>127</v>
      </c>
      <c r="C31" s="7">
        <f t="shared" si="2"/>
        <v>154.15</v>
      </c>
      <c r="D31" s="5">
        <f t="shared" si="3"/>
        <v>74</v>
      </c>
      <c r="E31" s="5">
        <f t="shared" si="0"/>
        <v>19</v>
      </c>
      <c r="H31" s="17">
        <v>29</v>
      </c>
      <c r="I31">
        <v>123083</v>
      </c>
      <c r="J31" t="s">
        <v>113</v>
      </c>
      <c r="K31">
        <v>187.738</v>
      </c>
      <c r="L31" s="20">
        <v>6.33</v>
      </c>
      <c r="M31" s="21">
        <v>5.4829610000000004</v>
      </c>
      <c r="N31" s="5" t="str">
        <f t="shared" si="4"/>
        <v>未买</v>
      </c>
      <c r="Q31" s="17">
        <v>29</v>
      </c>
      <c r="R31" s="7">
        <v>123083</v>
      </c>
      <c r="S31" s="7" t="s">
        <v>113</v>
      </c>
      <c r="T31" s="7">
        <f t="shared" si="5"/>
        <v>187.738</v>
      </c>
      <c r="U31" s="5" t="str">
        <f t="shared" si="1"/>
        <v>未买</v>
      </c>
    </row>
    <row r="32" spans="1:21" x14ac:dyDescent="0.15">
      <c r="A32" s="1">
        <v>113525</v>
      </c>
      <c r="B32" s="1" t="s">
        <v>133</v>
      </c>
      <c r="C32" s="7">
        <f t="shared" si="2"/>
        <v>184.84</v>
      </c>
      <c r="D32" s="5">
        <f t="shared" si="3"/>
        <v>46</v>
      </c>
      <c r="E32" s="5">
        <f t="shared" si="0"/>
        <v>6</v>
      </c>
      <c r="H32" s="17">
        <v>30</v>
      </c>
      <c r="I32">
        <v>123137</v>
      </c>
      <c r="J32" t="s">
        <v>783</v>
      </c>
      <c r="K32">
        <v>144.6</v>
      </c>
      <c r="L32" s="20">
        <v>7.23</v>
      </c>
      <c r="M32" s="21">
        <v>8.9700000000000006</v>
      </c>
      <c r="N32" s="5" t="str">
        <f t="shared" si="4"/>
        <v>Yes</v>
      </c>
      <c r="Q32" s="17">
        <v>30</v>
      </c>
      <c r="R32" s="7">
        <v>113534</v>
      </c>
      <c r="S32" s="7" t="s">
        <v>825</v>
      </c>
      <c r="T32" s="7">
        <f t="shared" si="5"/>
        <v>307.99</v>
      </c>
      <c r="U32" s="5" t="str">
        <f t="shared" si="1"/>
        <v>未买</v>
      </c>
    </row>
    <row r="33" spans="1:21" x14ac:dyDescent="0.15">
      <c r="A33" s="1">
        <v>113526</v>
      </c>
      <c r="B33" s="1" t="s">
        <v>143</v>
      </c>
      <c r="C33" s="7">
        <f t="shared" si="2"/>
        <v>147.15</v>
      </c>
      <c r="D33" s="5">
        <f t="shared" si="3"/>
        <v>252</v>
      </c>
      <c r="E33" s="5" t="e">
        <f t="shared" si="0"/>
        <v>#N/A</v>
      </c>
      <c r="H33" s="17">
        <v>31</v>
      </c>
      <c r="I33">
        <v>128081</v>
      </c>
      <c r="J33" t="s">
        <v>92</v>
      </c>
      <c r="K33">
        <v>126.35299999999999</v>
      </c>
      <c r="L33" s="20">
        <v>7.31</v>
      </c>
      <c r="M33" s="21">
        <v>30.054890999999994</v>
      </c>
      <c r="N33" s="5" t="str">
        <f t="shared" si="4"/>
        <v>未买</v>
      </c>
      <c r="Q33" s="17">
        <v>31</v>
      </c>
      <c r="R33" s="7">
        <v>128128</v>
      </c>
      <c r="S33" s="7" t="s">
        <v>826</v>
      </c>
      <c r="T33" s="7">
        <f t="shared" si="5"/>
        <v>145.44</v>
      </c>
      <c r="U33" s="5" t="str">
        <f t="shared" si="1"/>
        <v>未买</v>
      </c>
    </row>
    <row r="34" spans="1:21" x14ac:dyDescent="0.15">
      <c r="A34" s="1">
        <v>113541</v>
      </c>
      <c r="B34" s="1" t="s">
        <v>44</v>
      </c>
      <c r="C34" s="7">
        <f t="shared" si="2"/>
        <v>129.82</v>
      </c>
      <c r="D34" s="5">
        <f t="shared" si="3"/>
        <v>5</v>
      </c>
      <c r="E34" s="5">
        <f t="shared" si="0"/>
        <v>2</v>
      </c>
      <c r="H34" s="17">
        <v>32</v>
      </c>
      <c r="I34">
        <v>127045</v>
      </c>
      <c r="J34" t="s">
        <v>1830</v>
      </c>
      <c r="K34">
        <v>129.30000000000001</v>
      </c>
      <c r="L34" s="20">
        <v>7.85</v>
      </c>
      <c r="M34" s="21">
        <v>95.473647</v>
      </c>
      <c r="N34" s="5" t="str">
        <f t="shared" si="4"/>
        <v>未买</v>
      </c>
      <c r="Q34" s="17">
        <v>32</v>
      </c>
      <c r="R34" s="7">
        <v>128046</v>
      </c>
      <c r="S34" s="7" t="s">
        <v>797</v>
      </c>
      <c r="T34" s="7">
        <f t="shared" si="5"/>
        <v>183.81700000000001</v>
      </c>
      <c r="U34" s="5" t="str">
        <f t="shared" si="1"/>
        <v>Yes</v>
      </c>
    </row>
    <row r="35" spans="1:21" x14ac:dyDescent="0.15">
      <c r="A35" s="1">
        <v>113565</v>
      </c>
      <c r="B35" s="1" t="s">
        <v>122</v>
      </c>
      <c r="C35" s="7">
        <f t="shared" si="2"/>
        <v>124.65</v>
      </c>
      <c r="D35" s="5">
        <f t="shared" si="3"/>
        <v>282</v>
      </c>
      <c r="E35" s="5" t="e">
        <f t="shared" si="0"/>
        <v>#N/A</v>
      </c>
      <c r="H35" s="17">
        <v>33</v>
      </c>
      <c r="I35">
        <v>113025</v>
      </c>
      <c r="J35" t="s">
        <v>2000</v>
      </c>
      <c r="K35">
        <v>319.60000000000002</v>
      </c>
      <c r="L35" s="20">
        <v>8.23</v>
      </c>
      <c r="M35" s="21">
        <v>10.147880000000001</v>
      </c>
      <c r="N35" s="5" t="str">
        <f t="shared" si="4"/>
        <v>未买</v>
      </c>
      <c r="Q35" s="17">
        <v>33</v>
      </c>
      <c r="R35" s="7">
        <v>123045</v>
      </c>
      <c r="S35" s="7" t="s">
        <v>108</v>
      </c>
      <c r="T35" s="7">
        <f t="shared" si="5"/>
        <v>154.613</v>
      </c>
      <c r="U35" s="5" t="str">
        <f t="shared" ref="U35:U37" si="6">IF(ISNA(MATCH(R35,$A$2:$A$301,0)),"未买","Yes")</f>
        <v>Yes</v>
      </c>
    </row>
    <row r="36" spans="1:21" x14ac:dyDescent="0.15">
      <c r="A36" s="1">
        <v>113567</v>
      </c>
      <c r="B36" s="1" t="s">
        <v>43</v>
      </c>
      <c r="C36" s="7">
        <f t="shared" si="2"/>
        <v>134.59</v>
      </c>
      <c r="D36" s="5">
        <f t="shared" si="3"/>
        <v>133</v>
      </c>
      <c r="E36" s="5">
        <f t="shared" si="0"/>
        <v>5</v>
      </c>
      <c r="H36" s="17">
        <v>34</v>
      </c>
      <c r="I36">
        <v>110077</v>
      </c>
      <c r="J36" t="s">
        <v>1814</v>
      </c>
      <c r="K36">
        <v>130.21</v>
      </c>
      <c r="L36" s="20">
        <v>8.5399999999999991</v>
      </c>
      <c r="M36" s="21">
        <v>17.676639999999999</v>
      </c>
      <c r="N36" s="5" t="str">
        <f t="shared" si="4"/>
        <v>未买</v>
      </c>
      <c r="Q36" s="17">
        <v>34</v>
      </c>
      <c r="R36" s="7">
        <v>128076</v>
      </c>
      <c r="S36" s="7" t="s">
        <v>129</v>
      </c>
      <c r="T36" s="7">
        <f t="shared" si="5"/>
        <v>133</v>
      </c>
      <c r="U36" s="5" t="str">
        <f t="shared" si="6"/>
        <v>Yes</v>
      </c>
    </row>
    <row r="37" spans="1:21" x14ac:dyDescent="0.15">
      <c r="A37" s="1">
        <v>113568</v>
      </c>
      <c r="B37" s="1" t="s">
        <v>131</v>
      </c>
      <c r="C37" s="7" t="e">
        <f t="shared" si="2"/>
        <v>#N/A</v>
      </c>
      <c r="D37" s="5" t="e">
        <f t="shared" si="3"/>
        <v>#N/A</v>
      </c>
      <c r="E37" s="5">
        <f t="shared" si="0"/>
        <v>15</v>
      </c>
      <c r="H37" s="17">
        <v>35</v>
      </c>
      <c r="I37">
        <v>128139</v>
      </c>
      <c r="J37" t="s">
        <v>163</v>
      </c>
      <c r="K37">
        <v>143.06299999999999</v>
      </c>
      <c r="L37" s="20">
        <v>8.5399999999999991</v>
      </c>
      <c r="M37" s="21">
        <v>6.4690849999999998</v>
      </c>
      <c r="N37" s="5" t="str">
        <f t="shared" si="4"/>
        <v>未买</v>
      </c>
      <c r="Q37" s="17">
        <v>35</v>
      </c>
      <c r="R37" s="7">
        <v>110055</v>
      </c>
      <c r="S37" s="7" t="s">
        <v>827</v>
      </c>
      <c r="T37" s="7">
        <f t="shared" si="5"/>
        <v>213.44</v>
      </c>
      <c r="U37" s="5" t="str">
        <f t="shared" si="6"/>
        <v>未买</v>
      </c>
    </row>
    <row r="38" spans="1:21" x14ac:dyDescent="0.15">
      <c r="A38" s="1">
        <v>113570</v>
      </c>
      <c r="B38" s="1" t="s">
        <v>42</v>
      </c>
      <c r="C38" s="7">
        <f t="shared" si="2"/>
        <v>128.4</v>
      </c>
      <c r="D38" s="5">
        <f t="shared" si="3"/>
        <v>75</v>
      </c>
      <c r="E38" s="5">
        <f t="shared" si="0"/>
        <v>24</v>
      </c>
      <c r="H38" s="17">
        <v>36</v>
      </c>
      <c r="I38">
        <v>123121</v>
      </c>
      <c r="J38" t="s">
        <v>234</v>
      </c>
      <c r="K38">
        <v>167.49</v>
      </c>
      <c r="L38" s="20">
        <v>8.65</v>
      </c>
      <c r="M38" s="21">
        <v>8.3948689999999999</v>
      </c>
      <c r="N38" s="5" t="str">
        <f t="shared" si="4"/>
        <v>未买</v>
      </c>
      <c r="Q38" s="17">
        <v>36</v>
      </c>
      <c r="U38" s="5"/>
    </row>
    <row r="39" spans="1:21" x14ac:dyDescent="0.15">
      <c r="A39" s="1">
        <v>113585</v>
      </c>
      <c r="B39" s="1" t="s">
        <v>806</v>
      </c>
      <c r="C39" s="7">
        <f t="shared" si="2"/>
        <v>195.45</v>
      </c>
      <c r="D39" s="5">
        <f t="shared" si="3"/>
        <v>57</v>
      </c>
      <c r="E39" s="5">
        <f t="shared" si="0"/>
        <v>7</v>
      </c>
      <c r="H39" s="17">
        <v>37</v>
      </c>
      <c r="I39">
        <v>113615</v>
      </c>
      <c r="J39" t="s">
        <v>2001</v>
      </c>
      <c r="K39">
        <v>167.35</v>
      </c>
      <c r="L39" s="20">
        <v>8.68</v>
      </c>
      <c r="M39" s="21">
        <v>8.4798799999999996</v>
      </c>
      <c r="N39" s="5" t="str">
        <f t="shared" si="4"/>
        <v>未买</v>
      </c>
      <c r="Q39" s="17">
        <v>37</v>
      </c>
      <c r="U39" s="5"/>
    </row>
    <row r="40" spans="1:21" x14ac:dyDescent="0.15">
      <c r="A40" s="1">
        <v>113591</v>
      </c>
      <c r="B40" s="1" t="s">
        <v>41</v>
      </c>
      <c r="C40" s="7">
        <f t="shared" si="2"/>
        <v>120.07</v>
      </c>
      <c r="D40" s="5">
        <f t="shared" si="3"/>
        <v>77</v>
      </c>
      <c r="E40" s="5" t="e">
        <f t="shared" si="0"/>
        <v>#N/A</v>
      </c>
      <c r="H40" s="17">
        <v>38</v>
      </c>
      <c r="I40">
        <v>110061</v>
      </c>
      <c r="J40" t="s">
        <v>2002</v>
      </c>
      <c r="K40">
        <v>140.66999999999999</v>
      </c>
      <c r="L40" s="20">
        <v>9.2200000000000006</v>
      </c>
      <c r="M40" s="21">
        <v>39.615589999999997</v>
      </c>
      <c r="N40" s="5" t="str">
        <f t="shared" si="4"/>
        <v>未买</v>
      </c>
      <c r="Q40" s="17">
        <v>38</v>
      </c>
      <c r="U40" s="5"/>
    </row>
    <row r="41" spans="1:21" x14ac:dyDescent="0.15">
      <c r="D41" s="5"/>
      <c r="E41" s="5"/>
      <c r="H41" s="17">
        <v>39</v>
      </c>
      <c r="I41">
        <v>110074</v>
      </c>
      <c r="J41" t="s">
        <v>2003</v>
      </c>
      <c r="K41">
        <v>178.78</v>
      </c>
      <c r="L41" s="20">
        <v>9.34</v>
      </c>
      <c r="M41" s="21">
        <v>5.0956400000000004</v>
      </c>
      <c r="N41" s="5" t="str">
        <f t="shared" si="4"/>
        <v>未买</v>
      </c>
      <c r="Q41" s="17">
        <v>39</v>
      </c>
      <c r="U41" s="5"/>
    </row>
    <row r="42" spans="1:21" x14ac:dyDescent="0.15">
      <c r="D42" s="5"/>
      <c r="E42" s="5"/>
      <c r="H42" s="17">
        <v>40</v>
      </c>
      <c r="I42">
        <v>123089</v>
      </c>
      <c r="J42" t="s">
        <v>795</v>
      </c>
      <c r="K42">
        <v>144.79</v>
      </c>
      <c r="L42" s="20">
        <v>9.56</v>
      </c>
      <c r="M42" s="21">
        <v>3.062408</v>
      </c>
      <c r="N42" s="5" t="str">
        <f t="shared" si="4"/>
        <v>Yes</v>
      </c>
      <c r="Q42" s="17">
        <v>40</v>
      </c>
      <c r="U42" s="5"/>
    </row>
    <row r="43" spans="1:21" x14ac:dyDescent="0.15">
      <c r="D43" s="5"/>
      <c r="E43" s="5"/>
      <c r="H43" s="17">
        <v>41</v>
      </c>
      <c r="I43">
        <v>127007</v>
      </c>
      <c r="J43" t="s">
        <v>2004</v>
      </c>
      <c r="K43">
        <v>168.19900000000001</v>
      </c>
      <c r="L43" s="20">
        <v>9.77</v>
      </c>
      <c r="M43" s="21">
        <v>3.6970450000000001</v>
      </c>
      <c r="N43" s="5" t="str">
        <f t="shared" si="4"/>
        <v>Yes</v>
      </c>
      <c r="Q43" s="17">
        <v>41</v>
      </c>
    </row>
    <row r="44" spans="1:21" x14ac:dyDescent="0.15">
      <c r="D44" s="5"/>
      <c r="E44" s="5"/>
      <c r="H44" s="17">
        <v>42</v>
      </c>
      <c r="I44">
        <v>128130</v>
      </c>
      <c r="J44" t="s">
        <v>105</v>
      </c>
      <c r="K44">
        <v>121.839</v>
      </c>
      <c r="L44" s="20">
        <v>9.8800000000000008</v>
      </c>
      <c r="M44" s="21">
        <v>9.9868059999999996</v>
      </c>
      <c r="N44" s="5" t="str">
        <f t="shared" si="4"/>
        <v>未买</v>
      </c>
      <c r="Q44" s="17">
        <v>42</v>
      </c>
    </row>
    <row r="45" spans="1:21" x14ac:dyDescent="0.15">
      <c r="D45" s="5"/>
      <c r="E45" s="5"/>
      <c r="H45" s="17">
        <v>43</v>
      </c>
      <c r="I45">
        <v>123012</v>
      </c>
      <c r="J45" t="s">
        <v>2005</v>
      </c>
      <c r="K45">
        <v>196</v>
      </c>
      <c r="L45" s="20">
        <v>9.8800000000000008</v>
      </c>
      <c r="M45" s="21">
        <v>1.2237709999999999</v>
      </c>
      <c r="N45" s="5" t="str">
        <f t="shared" si="4"/>
        <v>Yes</v>
      </c>
      <c r="Q45" s="17">
        <v>43</v>
      </c>
    </row>
    <row r="46" spans="1:21" x14ac:dyDescent="0.15">
      <c r="D46" s="5"/>
      <c r="E46" s="5"/>
      <c r="H46" s="17">
        <v>44</v>
      </c>
      <c r="I46">
        <v>123063</v>
      </c>
      <c r="J46" t="s">
        <v>91</v>
      </c>
      <c r="K46">
        <v>130.86099999999999</v>
      </c>
      <c r="L46" s="20">
        <v>9.9</v>
      </c>
      <c r="M46" s="21">
        <v>6.3456489999999999</v>
      </c>
      <c r="N46" s="5" t="str">
        <f t="shared" si="4"/>
        <v>未买</v>
      </c>
      <c r="Q46" s="17">
        <v>44</v>
      </c>
    </row>
    <row r="47" spans="1:21" x14ac:dyDescent="0.15">
      <c r="D47" s="5"/>
      <c r="E47" s="5"/>
      <c r="H47" s="17">
        <v>45</v>
      </c>
      <c r="I47">
        <v>128095</v>
      </c>
      <c r="J47" t="s">
        <v>2006</v>
      </c>
      <c r="K47">
        <v>445.7</v>
      </c>
      <c r="L47" s="20">
        <v>9.98</v>
      </c>
      <c r="M47" s="21">
        <v>4.5394249999999996</v>
      </c>
      <c r="N47" s="5" t="str">
        <f t="shared" si="4"/>
        <v>未买</v>
      </c>
      <c r="Q47" s="17">
        <v>45</v>
      </c>
    </row>
    <row r="48" spans="1:21" x14ac:dyDescent="0.15">
      <c r="D48" s="5"/>
      <c r="E48" s="5"/>
      <c r="H48" s="17">
        <v>46</v>
      </c>
      <c r="I48">
        <v>113525</v>
      </c>
      <c r="J48" t="s">
        <v>2007</v>
      </c>
      <c r="K48">
        <v>184.84</v>
      </c>
      <c r="L48" s="20">
        <v>10.19</v>
      </c>
      <c r="M48" s="21">
        <v>1.8535699999999999</v>
      </c>
      <c r="N48" s="5" t="str">
        <f t="shared" si="4"/>
        <v>Yes</v>
      </c>
      <c r="Q48" s="17">
        <v>46</v>
      </c>
    </row>
    <row r="49" spans="4:17" x14ac:dyDescent="0.15">
      <c r="D49" s="5"/>
      <c r="E49" s="5"/>
      <c r="H49" s="17">
        <v>47</v>
      </c>
      <c r="I49">
        <v>123120</v>
      </c>
      <c r="J49" t="s">
        <v>236</v>
      </c>
      <c r="K49">
        <v>142.65799999999999</v>
      </c>
      <c r="L49" s="20">
        <v>10.27</v>
      </c>
      <c r="M49" s="21">
        <v>7.9850760000000003</v>
      </c>
      <c r="N49" s="5" t="str">
        <f t="shared" si="4"/>
        <v>未买</v>
      </c>
      <c r="Q49" s="17">
        <v>47</v>
      </c>
    </row>
    <row r="50" spans="4:17" x14ac:dyDescent="0.15">
      <c r="D50" s="5"/>
      <c r="E50" s="5"/>
      <c r="H50" s="17">
        <v>48</v>
      </c>
      <c r="I50">
        <v>128141</v>
      </c>
      <c r="J50" t="s">
        <v>1813</v>
      </c>
      <c r="K50">
        <v>134.5</v>
      </c>
      <c r="L50" s="20">
        <v>10.4</v>
      </c>
      <c r="M50" s="21">
        <v>12.701738000000001</v>
      </c>
      <c r="N50" s="5" t="str">
        <f t="shared" si="4"/>
        <v>未买</v>
      </c>
      <c r="Q50" s="17">
        <v>48</v>
      </c>
    </row>
    <row r="51" spans="4:17" x14ac:dyDescent="0.15">
      <c r="D51" s="5"/>
      <c r="E51" s="5"/>
      <c r="H51" s="17">
        <v>49</v>
      </c>
      <c r="I51">
        <v>123097</v>
      </c>
      <c r="J51" t="s">
        <v>125</v>
      </c>
      <c r="K51">
        <v>136.99</v>
      </c>
      <c r="L51" s="20">
        <v>10.45</v>
      </c>
      <c r="M51" s="21">
        <v>2.9987979999999999</v>
      </c>
      <c r="N51" s="5" t="str">
        <f t="shared" si="4"/>
        <v>未买</v>
      </c>
      <c r="Q51" s="17">
        <v>49</v>
      </c>
    </row>
    <row r="52" spans="4:17" x14ac:dyDescent="0.15">
      <c r="D52" s="5"/>
      <c r="E52" s="5"/>
      <c r="H52" s="17">
        <v>50</v>
      </c>
      <c r="I52">
        <v>128119</v>
      </c>
      <c r="J52" t="s">
        <v>243</v>
      </c>
      <c r="K52">
        <v>128.29900000000001</v>
      </c>
      <c r="L52" s="20">
        <v>10.45</v>
      </c>
      <c r="M52" s="21">
        <v>9.4607620000000008</v>
      </c>
      <c r="N52" s="5" t="str">
        <f t="shared" si="4"/>
        <v>未买</v>
      </c>
      <c r="Q52" s="17">
        <v>50</v>
      </c>
    </row>
    <row r="53" spans="4:17" x14ac:dyDescent="0.15">
      <c r="D53" s="5"/>
      <c r="E53" s="5"/>
      <c r="H53" s="17">
        <v>51</v>
      </c>
      <c r="I53">
        <v>128021</v>
      </c>
      <c r="J53" t="s">
        <v>51</v>
      </c>
      <c r="K53">
        <v>139.6</v>
      </c>
      <c r="L53" s="20">
        <v>10.95</v>
      </c>
      <c r="M53" s="21">
        <v>2.6517419999999996</v>
      </c>
      <c r="N53" s="5" t="str">
        <f t="shared" si="4"/>
        <v>未买</v>
      </c>
      <c r="Q53" s="17">
        <v>51</v>
      </c>
    </row>
    <row r="54" spans="4:17" x14ac:dyDescent="0.15">
      <c r="D54" s="5"/>
      <c r="E54" s="5"/>
      <c r="H54" s="17">
        <v>52</v>
      </c>
      <c r="I54">
        <v>128029</v>
      </c>
      <c r="J54" t="s">
        <v>2008</v>
      </c>
      <c r="K54">
        <v>157.59100000000001</v>
      </c>
      <c r="L54" s="20">
        <v>10.97</v>
      </c>
      <c r="M54" s="21">
        <v>9.0857469999999996</v>
      </c>
      <c r="N54" s="5" t="str">
        <f t="shared" si="4"/>
        <v>Yes</v>
      </c>
      <c r="Q54" s="17">
        <v>52</v>
      </c>
    </row>
    <row r="55" spans="4:17" x14ac:dyDescent="0.15">
      <c r="D55" s="5"/>
      <c r="E55" s="5"/>
      <c r="H55" s="17">
        <v>53</v>
      </c>
      <c r="I55">
        <v>128048</v>
      </c>
      <c r="J55" t="s">
        <v>1819</v>
      </c>
      <c r="K55">
        <v>124.5</v>
      </c>
      <c r="L55" s="20">
        <v>11.02</v>
      </c>
      <c r="M55" s="21">
        <v>24.970395</v>
      </c>
      <c r="N55" s="5" t="str">
        <f t="shared" si="4"/>
        <v>未买</v>
      </c>
      <c r="Q55" s="17">
        <v>53</v>
      </c>
    </row>
    <row r="56" spans="4:17" x14ac:dyDescent="0.15">
      <c r="D56" s="5"/>
      <c r="E56" s="5"/>
      <c r="H56" s="17">
        <v>54</v>
      </c>
      <c r="I56">
        <v>110084</v>
      </c>
      <c r="J56" t="s">
        <v>273</v>
      </c>
      <c r="K56">
        <v>122.63</v>
      </c>
      <c r="L56" s="20">
        <v>11.03</v>
      </c>
      <c r="M56" s="21">
        <v>10</v>
      </c>
      <c r="N56" s="5" t="str">
        <f t="shared" si="4"/>
        <v>未买</v>
      </c>
      <c r="Q56" s="17">
        <v>54</v>
      </c>
    </row>
    <row r="57" spans="4:17" x14ac:dyDescent="0.15">
      <c r="D57" s="5"/>
      <c r="E57" s="5"/>
      <c r="H57" s="17">
        <v>55</v>
      </c>
      <c r="I57">
        <v>128017</v>
      </c>
      <c r="J57" t="s">
        <v>2009</v>
      </c>
      <c r="K57">
        <v>205.822</v>
      </c>
      <c r="L57" s="20">
        <v>11.14</v>
      </c>
      <c r="M57" s="21">
        <v>5.5181570000000004</v>
      </c>
      <c r="N57" s="5" t="str">
        <f t="shared" si="4"/>
        <v>未买</v>
      </c>
      <c r="Q57" s="17">
        <v>55</v>
      </c>
    </row>
    <row r="58" spans="4:17" x14ac:dyDescent="0.15">
      <c r="D58" s="5"/>
      <c r="E58" s="5"/>
      <c r="H58" s="17">
        <v>56</v>
      </c>
      <c r="I58">
        <v>123114</v>
      </c>
      <c r="J58" t="s">
        <v>2010</v>
      </c>
      <c r="K58">
        <v>167</v>
      </c>
      <c r="L58" s="20">
        <v>11.27</v>
      </c>
      <c r="M58" s="21">
        <v>9.0088969999999993</v>
      </c>
      <c r="N58" s="5" t="str">
        <f t="shared" si="4"/>
        <v>未买</v>
      </c>
      <c r="Q58" s="17">
        <v>56</v>
      </c>
    </row>
    <row r="59" spans="4:17" x14ac:dyDescent="0.15">
      <c r="D59" s="5"/>
      <c r="E59" s="5"/>
      <c r="H59" s="17">
        <v>57</v>
      </c>
      <c r="I59">
        <v>113585</v>
      </c>
      <c r="J59" t="s">
        <v>2011</v>
      </c>
      <c r="K59">
        <v>195.45</v>
      </c>
      <c r="L59" s="20">
        <v>11.34</v>
      </c>
      <c r="M59" s="21">
        <v>1.00257</v>
      </c>
      <c r="N59" s="5" t="str">
        <f t="shared" si="4"/>
        <v>Yes</v>
      </c>
      <c r="Q59" s="17">
        <v>57</v>
      </c>
    </row>
    <row r="60" spans="4:17" x14ac:dyDescent="0.15">
      <c r="D60" s="5"/>
      <c r="E60" s="5"/>
      <c r="H60" s="17">
        <v>58</v>
      </c>
      <c r="I60">
        <v>123073</v>
      </c>
      <c r="J60" t="s">
        <v>794</v>
      </c>
      <c r="K60">
        <v>180.3</v>
      </c>
      <c r="L60" s="20">
        <v>11.8</v>
      </c>
      <c r="M60" s="21">
        <v>2.5517129999999999</v>
      </c>
      <c r="N60" s="5" t="str">
        <f t="shared" si="4"/>
        <v>Yes</v>
      </c>
      <c r="Q60" s="17">
        <v>58</v>
      </c>
    </row>
    <row r="61" spans="4:17" x14ac:dyDescent="0.15">
      <c r="D61" s="5"/>
      <c r="E61" s="5"/>
      <c r="H61" s="17">
        <v>59</v>
      </c>
      <c r="I61">
        <v>123071</v>
      </c>
      <c r="J61" t="s">
        <v>2012</v>
      </c>
      <c r="K61">
        <v>173.48400000000001</v>
      </c>
      <c r="L61" s="20">
        <v>11.9</v>
      </c>
      <c r="M61" s="21">
        <v>6.9423729999999999</v>
      </c>
      <c r="N61" s="5" t="str">
        <f t="shared" si="4"/>
        <v>未买</v>
      </c>
      <c r="Q61" s="17">
        <v>59</v>
      </c>
    </row>
    <row r="62" spans="4:17" x14ac:dyDescent="0.15">
      <c r="D62" s="5"/>
      <c r="E62" s="5"/>
      <c r="H62" s="17">
        <v>60</v>
      </c>
      <c r="I62">
        <v>113050</v>
      </c>
      <c r="J62" t="s">
        <v>1817</v>
      </c>
      <c r="K62">
        <v>123.16</v>
      </c>
      <c r="L62" s="20">
        <v>12.12</v>
      </c>
      <c r="M62" s="21">
        <v>169.83005</v>
      </c>
      <c r="N62" s="5" t="str">
        <f t="shared" si="4"/>
        <v>未买</v>
      </c>
      <c r="Q62" s="17">
        <v>60</v>
      </c>
    </row>
    <row r="63" spans="4:17" x14ac:dyDescent="0.15">
      <c r="D63" s="5"/>
      <c r="E63" s="5"/>
      <c r="H63" s="17">
        <v>61</v>
      </c>
      <c r="I63">
        <v>110053</v>
      </c>
      <c r="J63" t="s">
        <v>1815</v>
      </c>
      <c r="K63">
        <v>122.64</v>
      </c>
      <c r="L63" s="20">
        <v>12.12</v>
      </c>
      <c r="M63" s="21">
        <v>199.99203</v>
      </c>
      <c r="N63" s="5" t="str">
        <f t="shared" si="4"/>
        <v>未买</v>
      </c>
      <c r="Q63" s="17">
        <v>61</v>
      </c>
    </row>
    <row r="64" spans="4:17" x14ac:dyDescent="0.15">
      <c r="D64" s="5"/>
      <c r="E64" s="5"/>
      <c r="H64" s="17">
        <v>62</v>
      </c>
      <c r="I64">
        <v>123067</v>
      </c>
      <c r="J64" t="s">
        <v>2013</v>
      </c>
      <c r="K64">
        <v>201</v>
      </c>
      <c r="L64" s="20">
        <v>12.26</v>
      </c>
      <c r="M64" s="21">
        <v>2.3973879999999999</v>
      </c>
      <c r="N64" s="5" t="str">
        <f t="shared" si="4"/>
        <v>Yes</v>
      </c>
      <c r="Q64" s="17">
        <v>62</v>
      </c>
    </row>
    <row r="65" spans="4:17" x14ac:dyDescent="0.15">
      <c r="D65" s="5"/>
      <c r="E65" s="5"/>
      <c r="H65" s="17">
        <v>63</v>
      </c>
      <c r="I65">
        <v>113039</v>
      </c>
      <c r="J65" t="s">
        <v>45</v>
      </c>
      <c r="K65">
        <v>139.76</v>
      </c>
      <c r="L65" s="20">
        <v>12.35</v>
      </c>
      <c r="M65" s="21">
        <v>2.88409</v>
      </c>
      <c r="N65" s="5" t="str">
        <f t="shared" si="4"/>
        <v>Yes</v>
      </c>
      <c r="Q65" s="17">
        <v>63</v>
      </c>
    </row>
    <row r="66" spans="4:17" x14ac:dyDescent="0.15">
      <c r="D66" s="5"/>
      <c r="E66" s="5"/>
      <c r="H66" s="17">
        <v>64</v>
      </c>
      <c r="I66">
        <v>128087</v>
      </c>
      <c r="J66" t="s">
        <v>120</v>
      </c>
      <c r="K66">
        <v>123.85</v>
      </c>
      <c r="L66" s="20">
        <v>12.49</v>
      </c>
      <c r="M66" s="21">
        <v>6.4940579999999999</v>
      </c>
      <c r="N66" s="5" t="str">
        <f t="shared" si="4"/>
        <v>未买</v>
      </c>
      <c r="Q66" s="17">
        <v>64</v>
      </c>
    </row>
    <row r="67" spans="4:17" x14ac:dyDescent="0.15">
      <c r="D67" s="5"/>
      <c r="E67" s="5"/>
      <c r="H67" s="17">
        <v>65</v>
      </c>
      <c r="I67">
        <v>113642</v>
      </c>
      <c r="J67" t="s">
        <v>1865</v>
      </c>
      <c r="K67">
        <v>150.38999999999999</v>
      </c>
      <c r="L67" s="20">
        <v>13.05</v>
      </c>
      <c r="M67" s="21">
        <v>24.7</v>
      </c>
      <c r="N67" s="5" t="str">
        <f t="shared" si="4"/>
        <v>未买</v>
      </c>
      <c r="Q67" s="17">
        <v>65</v>
      </c>
    </row>
    <row r="68" spans="4:17" x14ac:dyDescent="0.15">
      <c r="D68" s="5"/>
      <c r="E68" s="5"/>
      <c r="H68" s="17">
        <v>66</v>
      </c>
      <c r="I68">
        <v>110038</v>
      </c>
      <c r="J68" t="s">
        <v>101</v>
      </c>
      <c r="K68">
        <v>146.69</v>
      </c>
      <c r="L68" s="20">
        <v>13.2</v>
      </c>
      <c r="M68" s="21">
        <v>6.30199</v>
      </c>
      <c r="N68" s="5" t="str">
        <f t="shared" ref="N68:N131" si="7">IF(ISNA(MATCH(I68,$A$3:$A$1000,0)),"未买","Yes")</f>
        <v>未买</v>
      </c>
      <c r="Q68" s="17">
        <v>66</v>
      </c>
    </row>
    <row r="69" spans="4:17" x14ac:dyDescent="0.15">
      <c r="D69" s="5"/>
      <c r="E69" s="5"/>
      <c r="H69" s="17">
        <v>67</v>
      </c>
      <c r="I69">
        <v>113055</v>
      </c>
      <c r="J69" t="s">
        <v>1823</v>
      </c>
      <c r="K69">
        <v>127.62</v>
      </c>
      <c r="L69" s="20">
        <v>13.41</v>
      </c>
      <c r="M69" s="21">
        <v>80</v>
      </c>
      <c r="N69" s="5" t="str">
        <f t="shared" si="7"/>
        <v>未买</v>
      </c>
      <c r="Q69" s="17">
        <v>67</v>
      </c>
    </row>
    <row r="70" spans="4:17" x14ac:dyDescent="0.15">
      <c r="D70" s="5"/>
      <c r="E70" s="5"/>
      <c r="H70" s="17">
        <v>68</v>
      </c>
      <c r="I70">
        <v>123105</v>
      </c>
      <c r="J70" t="s">
        <v>231</v>
      </c>
      <c r="K70">
        <v>129.75</v>
      </c>
      <c r="L70" s="20">
        <v>13.49</v>
      </c>
      <c r="M70" s="21">
        <v>7.9986300000000004</v>
      </c>
      <c r="N70" s="5" t="str">
        <f t="shared" si="7"/>
        <v>未买</v>
      </c>
      <c r="Q70" s="17">
        <v>68</v>
      </c>
    </row>
    <row r="71" spans="4:17" x14ac:dyDescent="0.15">
      <c r="D71" s="5"/>
      <c r="E71" s="5"/>
      <c r="H71" s="17">
        <v>69</v>
      </c>
      <c r="I71">
        <v>123078</v>
      </c>
      <c r="J71" t="s">
        <v>2014</v>
      </c>
      <c r="K71">
        <v>166.76599999999999</v>
      </c>
      <c r="L71" s="20">
        <v>13.6</v>
      </c>
      <c r="M71" s="21">
        <v>6.1840270000000004</v>
      </c>
      <c r="N71" s="5" t="str">
        <f t="shared" si="7"/>
        <v>未买</v>
      </c>
      <c r="Q71" s="17">
        <v>69</v>
      </c>
    </row>
    <row r="72" spans="4:17" x14ac:dyDescent="0.15">
      <c r="D72" s="5"/>
      <c r="E72" s="5"/>
      <c r="H72" s="17">
        <v>70</v>
      </c>
      <c r="I72">
        <v>127049</v>
      </c>
      <c r="J72" t="s">
        <v>1835</v>
      </c>
      <c r="K72">
        <v>124.205</v>
      </c>
      <c r="L72" s="20">
        <v>13.74</v>
      </c>
      <c r="M72" s="21">
        <v>81.493176000000005</v>
      </c>
      <c r="N72" s="5" t="str">
        <f t="shared" si="7"/>
        <v>未买</v>
      </c>
      <c r="Q72" s="17">
        <v>70</v>
      </c>
    </row>
    <row r="73" spans="4:17" x14ac:dyDescent="0.15">
      <c r="D73" s="5"/>
      <c r="E73" s="5"/>
      <c r="H73" s="17">
        <v>71</v>
      </c>
      <c r="I73">
        <v>127058</v>
      </c>
      <c r="J73" t="s">
        <v>1826</v>
      </c>
      <c r="K73">
        <v>132.44999999999999</v>
      </c>
      <c r="L73" s="20">
        <v>13.83</v>
      </c>
      <c r="M73" s="21">
        <v>30</v>
      </c>
      <c r="N73" s="5" t="str">
        <f t="shared" si="7"/>
        <v>未买</v>
      </c>
      <c r="Q73" s="17">
        <v>71</v>
      </c>
    </row>
    <row r="74" spans="4:17" x14ac:dyDescent="0.15">
      <c r="D74" s="5"/>
      <c r="E74" s="5"/>
      <c r="H74" s="17">
        <v>72</v>
      </c>
      <c r="I74">
        <v>123091</v>
      </c>
      <c r="J74" t="s">
        <v>241</v>
      </c>
      <c r="K74">
        <v>136.59700000000001</v>
      </c>
      <c r="L74" s="20">
        <v>13.88</v>
      </c>
      <c r="M74" s="21">
        <v>5.4975870000000002</v>
      </c>
      <c r="N74" s="5" t="str">
        <f t="shared" si="7"/>
        <v>未买</v>
      </c>
      <c r="Q74" s="17">
        <v>72</v>
      </c>
    </row>
    <row r="75" spans="4:17" x14ac:dyDescent="0.15">
      <c r="D75" s="5"/>
      <c r="E75" s="5"/>
      <c r="H75" s="17">
        <v>73</v>
      </c>
      <c r="I75">
        <v>110079</v>
      </c>
      <c r="J75" t="s">
        <v>1824</v>
      </c>
      <c r="K75">
        <v>122.87</v>
      </c>
      <c r="L75" s="20">
        <v>14.33</v>
      </c>
      <c r="M75" s="21">
        <v>149.99047999999999</v>
      </c>
      <c r="N75" s="5" t="str">
        <f t="shared" si="7"/>
        <v>未买</v>
      </c>
      <c r="Q75" s="17">
        <v>73</v>
      </c>
    </row>
    <row r="76" spans="4:17" x14ac:dyDescent="0.15">
      <c r="D76" s="5"/>
      <c r="E76" s="5"/>
      <c r="H76" s="17">
        <v>74</v>
      </c>
      <c r="I76">
        <v>113504</v>
      </c>
      <c r="J76" t="s">
        <v>2015</v>
      </c>
      <c r="K76">
        <v>154.15</v>
      </c>
      <c r="L76" s="20">
        <v>14.51</v>
      </c>
      <c r="M76" s="21">
        <v>4.6275899999999996</v>
      </c>
      <c r="N76" s="5" t="str">
        <f t="shared" si="7"/>
        <v>Yes</v>
      </c>
      <c r="Q76" s="17">
        <v>74</v>
      </c>
    </row>
    <row r="77" spans="4:17" x14ac:dyDescent="0.15">
      <c r="D77" s="5"/>
      <c r="E77" s="5"/>
      <c r="H77" s="17">
        <v>75</v>
      </c>
      <c r="I77">
        <v>113570</v>
      </c>
      <c r="J77" t="s">
        <v>42</v>
      </c>
      <c r="K77">
        <v>128.4</v>
      </c>
      <c r="L77" s="20">
        <v>14.75</v>
      </c>
      <c r="M77" s="21">
        <v>2.7993100000000002</v>
      </c>
      <c r="N77" s="5" t="str">
        <f t="shared" si="7"/>
        <v>Yes</v>
      </c>
      <c r="Q77" s="17">
        <v>75</v>
      </c>
    </row>
    <row r="78" spans="4:17" x14ac:dyDescent="0.15">
      <c r="D78" s="5"/>
      <c r="E78" s="5"/>
      <c r="H78" s="17">
        <v>76</v>
      </c>
      <c r="I78">
        <v>127029</v>
      </c>
      <c r="J78" t="s">
        <v>1821</v>
      </c>
      <c r="K78">
        <v>125.8</v>
      </c>
      <c r="L78" s="20">
        <v>14.99</v>
      </c>
      <c r="M78" s="21">
        <v>8.1911360000000002</v>
      </c>
      <c r="N78" s="5" t="str">
        <f t="shared" si="7"/>
        <v>未买</v>
      </c>
      <c r="Q78" s="17">
        <v>76</v>
      </c>
    </row>
    <row r="79" spans="4:17" x14ac:dyDescent="0.15">
      <c r="D79" s="5"/>
      <c r="E79" s="5"/>
      <c r="H79" s="17">
        <v>77</v>
      </c>
      <c r="I79">
        <v>113591</v>
      </c>
      <c r="J79" t="s">
        <v>41</v>
      </c>
      <c r="K79">
        <v>120.07</v>
      </c>
      <c r="L79" s="20">
        <v>15.06</v>
      </c>
      <c r="M79" s="21">
        <v>4.7749800000000002</v>
      </c>
      <c r="N79" s="5" t="str">
        <f t="shared" si="7"/>
        <v>Yes</v>
      </c>
      <c r="Q79" s="17">
        <v>77</v>
      </c>
    </row>
    <row r="80" spans="4:17" x14ac:dyDescent="0.15">
      <c r="D80" s="5"/>
      <c r="E80" s="5"/>
      <c r="H80" s="17">
        <v>78</v>
      </c>
      <c r="I80">
        <v>128083</v>
      </c>
      <c r="J80" t="s">
        <v>188</v>
      </c>
      <c r="K80">
        <v>120.5</v>
      </c>
      <c r="L80" s="20">
        <v>15.13</v>
      </c>
      <c r="M80" s="21">
        <v>8.7687390000000001</v>
      </c>
      <c r="N80" s="5" t="str">
        <f t="shared" si="7"/>
        <v>未买</v>
      </c>
      <c r="Q80" s="17">
        <v>78</v>
      </c>
    </row>
    <row r="81" spans="4:17" x14ac:dyDescent="0.15">
      <c r="D81" s="5"/>
      <c r="E81" s="5"/>
      <c r="H81" s="17">
        <v>79</v>
      </c>
      <c r="I81">
        <v>123023</v>
      </c>
      <c r="J81" t="s">
        <v>206</v>
      </c>
      <c r="K81">
        <v>120.20699999999999</v>
      </c>
      <c r="L81" s="20">
        <v>15.42</v>
      </c>
      <c r="M81" s="21">
        <v>5.2936360000000002</v>
      </c>
      <c r="N81" s="5" t="str">
        <f t="shared" si="7"/>
        <v>未买</v>
      </c>
      <c r="Q81" s="17">
        <v>79</v>
      </c>
    </row>
    <row r="82" spans="4:17" x14ac:dyDescent="0.15">
      <c r="D82" s="5"/>
      <c r="E82" s="5"/>
      <c r="H82" s="17">
        <v>80</v>
      </c>
      <c r="I82">
        <v>113637</v>
      </c>
      <c r="J82" t="s">
        <v>270</v>
      </c>
      <c r="K82">
        <v>143.19</v>
      </c>
      <c r="L82" s="20">
        <v>15.92</v>
      </c>
      <c r="M82" s="21">
        <v>8</v>
      </c>
      <c r="N82" s="5" t="str">
        <f t="shared" si="7"/>
        <v>未买</v>
      </c>
      <c r="Q82" s="17">
        <v>80</v>
      </c>
    </row>
    <row r="83" spans="4:17" x14ac:dyDescent="0.15">
      <c r="D83" s="5"/>
      <c r="E83" s="5"/>
      <c r="H83" s="17">
        <v>81</v>
      </c>
      <c r="I83">
        <v>128034</v>
      </c>
      <c r="J83" t="s">
        <v>1827</v>
      </c>
      <c r="K83">
        <v>119</v>
      </c>
      <c r="L83" s="20">
        <v>15.92</v>
      </c>
      <c r="M83" s="21">
        <v>17.579694</v>
      </c>
      <c r="N83" s="5" t="str">
        <f t="shared" si="7"/>
        <v>未买</v>
      </c>
      <c r="Q83" s="17">
        <v>81</v>
      </c>
    </row>
    <row r="84" spans="4:17" x14ac:dyDescent="0.15">
      <c r="D84" s="5"/>
      <c r="E84" s="5"/>
      <c r="H84" s="17">
        <v>82</v>
      </c>
      <c r="I84">
        <v>123060</v>
      </c>
      <c r="J84" t="s">
        <v>2016</v>
      </c>
      <c r="K84">
        <v>187.98500000000001</v>
      </c>
      <c r="L84" s="20">
        <v>15.97</v>
      </c>
      <c r="M84" s="21">
        <v>3.0963069999999999</v>
      </c>
      <c r="N84" s="5" t="str">
        <f t="shared" si="7"/>
        <v>未买</v>
      </c>
      <c r="Q84" s="17">
        <v>82</v>
      </c>
    </row>
    <row r="85" spans="4:17" x14ac:dyDescent="0.15">
      <c r="D85" s="5"/>
      <c r="E85" s="5"/>
      <c r="H85" s="17">
        <v>83</v>
      </c>
      <c r="I85">
        <v>123123</v>
      </c>
      <c r="J85" t="s">
        <v>193</v>
      </c>
      <c r="K85">
        <v>137.703</v>
      </c>
      <c r="L85" s="20">
        <v>16.11</v>
      </c>
      <c r="M85" s="21">
        <v>5.1604000000000001</v>
      </c>
      <c r="N85" s="5" t="str">
        <f t="shared" si="7"/>
        <v>未买</v>
      </c>
      <c r="Q85" s="17">
        <v>83</v>
      </c>
    </row>
    <row r="86" spans="4:17" x14ac:dyDescent="0.15">
      <c r="D86" s="5"/>
      <c r="E86" s="5"/>
      <c r="H86" s="17">
        <v>84</v>
      </c>
      <c r="I86">
        <v>128140</v>
      </c>
      <c r="J86" t="s">
        <v>2017</v>
      </c>
      <c r="K86">
        <v>160.9</v>
      </c>
      <c r="L86" s="20">
        <v>16.22</v>
      </c>
      <c r="M86" s="21">
        <v>10.896400999999999</v>
      </c>
      <c r="N86" s="5" t="str">
        <f t="shared" si="7"/>
        <v>未买</v>
      </c>
      <c r="Q86" s="17">
        <v>84</v>
      </c>
    </row>
    <row r="87" spans="4:17" x14ac:dyDescent="0.15">
      <c r="D87" s="5"/>
      <c r="E87" s="5"/>
      <c r="H87" s="17">
        <v>85</v>
      </c>
      <c r="I87">
        <v>110083</v>
      </c>
      <c r="J87" t="s">
        <v>1829</v>
      </c>
      <c r="K87">
        <v>118.72</v>
      </c>
      <c r="L87" s="20">
        <v>16.43</v>
      </c>
      <c r="M87" s="21">
        <v>49.982370000000003</v>
      </c>
      <c r="N87" s="5" t="str">
        <f t="shared" si="7"/>
        <v>未买</v>
      </c>
      <c r="Q87" s="17">
        <v>85</v>
      </c>
    </row>
    <row r="88" spans="4:17" x14ac:dyDescent="0.15">
      <c r="D88" s="5"/>
      <c r="E88" s="5"/>
      <c r="H88" s="17">
        <v>86</v>
      </c>
      <c r="I88">
        <v>110055</v>
      </c>
      <c r="J88" t="s">
        <v>2018</v>
      </c>
      <c r="K88">
        <v>213.44</v>
      </c>
      <c r="L88" s="20">
        <v>16.48</v>
      </c>
      <c r="M88" s="21">
        <v>2.4349500000000002</v>
      </c>
      <c r="N88" s="5" t="str">
        <f t="shared" si="7"/>
        <v>未买</v>
      </c>
      <c r="Q88" s="17">
        <v>86</v>
      </c>
    </row>
    <row r="89" spans="4:17" x14ac:dyDescent="0.15">
      <c r="D89" s="5"/>
      <c r="E89" s="5"/>
      <c r="H89" s="17">
        <v>87</v>
      </c>
      <c r="I89">
        <v>128040</v>
      </c>
      <c r="J89" t="s">
        <v>2019</v>
      </c>
      <c r="K89">
        <v>162.34899999999999</v>
      </c>
      <c r="L89" s="20">
        <v>16.5</v>
      </c>
      <c r="M89" s="21">
        <v>2.0052819999999998</v>
      </c>
      <c r="N89" s="5" t="str">
        <f t="shared" si="7"/>
        <v>Yes</v>
      </c>
      <c r="Q89" s="17">
        <v>87</v>
      </c>
    </row>
    <row r="90" spans="4:17" x14ac:dyDescent="0.15">
      <c r="D90" s="5"/>
      <c r="E90" s="5"/>
      <c r="H90" s="17">
        <v>88</v>
      </c>
      <c r="I90">
        <v>113027</v>
      </c>
      <c r="J90" t="s">
        <v>2020</v>
      </c>
      <c r="K90">
        <v>172.28</v>
      </c>
      <c r="L90" s="20">
        <v>16.809999999999999</v>
      </c>
      <c r="M90" s="21">
        <v>2.3872</v>
      </c>
      <c r="N90" s="5" t="str">
        <f t="shared" si="7"/>
        <v>Yes</v>
      </c>
      <c r="Q90" s="17">
        <v>88</v>
      </c>
    </row>
    <row r="91" spans="4:17" x14ac:dyDescent="0.15">
      <c r="D91" s="5"/>
      <c r="E91" s="5"/>
      <c r="H91" s="17">
        <v>89</v>
      </c>
      <c r="I91">
        <v>123127</v>
      </c>
      <c r="J91" t="s">
        <v>114</v>
      </c>
      <c r="K91">
        <v>127.339</v>
      </c>
      <c r="L91" s="20">
        <v>16.940000000000001</v>
      </c>
      <c r="M91" s="21">
        <v>3.9997019999999992</v>
      </c>
      <c r="N91" s="5" t="str">
        <f t="shared" si="7"/>
        <v>未买</v>
      </c>
      <c r="Q91" s="17">
        <v>89</v>
      </c>
    </row>
    <row r="92" spans="4:17" x14ac:dyDescent="0.15">
      <c r="D92" s="5"/>
      <c r="E92" s="5"/>
      <c r="H92" s="17">
        <v>90</v>
      </c>
      <c r="I92">
        <v>127036</v>
      </c>
      <c r="J92" t="s">
        <v>1882</v>
      </c>
      <c r="K92">
        <v>137.30000000000001</v>
      </c>
      <c r="L92" s="20">
        <v>17.059999999999999</v>
      </c>
      <c r="M92" s="21">
        <v>29.991821999999996</v>
      </c>
      <c r="N92" s="5" t="str">
        <f t="shared" si="7"/>
        <v>未买</v>
      </c>
      <c r="Q92" s="17">
        <v>90</v>
      </c>
    </row>
    <row r="93" spans="4:17" x14ac:dyDescent="0.15">
      <c r="D93" s="5"/>
      <c r="E93" s="5"/>
      <c r="H93" s="17">
        <v>91</v>
      </c>
      <c r="I93">
        <v>123080</v>
      </c>
      <c r="J93" t="s">
        <v>54</v>
      </c>
      <c r="K93">
        <v>129.721</v>
      </c>
      <c r="L93" s="20">
        <v>17.13</v>
      </c>
      <c r="M93" s="21">
        <v>2.4344640000000002</v>
      </c>
      <c r="N93" s="5" t="str">
        <f t="shared" si="7"/>
        <v>Yes</v>
      </c>
      <c r="Q93" s="17">
        <v>91</v>
      </c>
    </row>
    <row r="94" spans="4:17" x14ac:dyDescent="0.15">
      <c r="D94" s="5"/>
      <c r="E94" s="5"/>
      <c r="H94" s="17">
        <v>92</v>
      </c>
      <c r="I94">
        <v>113051</v>
      </c>
      <c r="J94" t="s">
        <v>2021</v>
      </c>
      <c r="K94">
        <v>140.41999999999999</v>
      </c>
      <c r="L94" s="20">
        <v>17.260000000000002</v>
      </c>
      <c r="M94" s="21">
        <v>29.990480000000002</v>
      </c>
      <c r="N94" s="5" t="str">
        <f t="shared" si="7"/>
        <v>未买</v>
      </c>
      <c r="Q94" s="17">
        <v>92</v>
      </c>
    </row>
    <row r="95" spans="4:17" x14ac:dyDescent="0.15">
      <c r="D95" s="5"/>
      <c r="E95" s="5"/>
      <c r="H95" s="17">
        <v>93</v>
      </c>
      <c r="I95">
        <v>113618</v>
      </c>
      <c r="J95" t="s">
        <v>1833</v>
      </c>
      <c r="K95">
        <v>140.61000000000001</v>
      </c>
      <c r="L95" s="20">
        <v>17.440000000000001</v>
      </c>
      <c r="M95" s="21">
        <v>4.7701500000000001</v>
      </c>
      <c r="N95" s="5" t="str">
        <f t="shared" si="7"/>
        <v>未买</v>
      </c>
      <c r="Q95" s="17">
        <v>93</v>
      </c>
    </row>
    <row r="96" spans="4:17" x14ac:dyDescent="0.15">
      <c r="D96" s="5"/>
      <c r="E96" s="5"/>
      <c r="H96" s="17">
        <v>94</v>
      </c>
      <c r="I96">
        <v>110048</v>
      </c>
      <c r="J96" t="s">
        <v>2022</v>
      </c>
      <c r="K96">
        <v>202.36</v>
      </c>
      <c r="L96" s="20">
        <v>17.670000000000002</v>
      </c>
      <c r="M96" s="21">
        <v>12.761810000000001</v>
      </c>
      <c r="N96" s="5" t="str">
        <f t="shared" si="7"/>
        <v>未买</v>
      </c>
      <c r="Q96" s="17">
        <v>94</v>
      </c>
    </row>
    <row r="97" spans="4:17" x14ac:dyDescent="0.15">
      <c r="D97" s="5"/>
      <c r="E97" s="5"/>
      <c r="H97" s="17">
        <v>95</v>
      </c>
      <c r="I97">
        <v>113011</v>
      </c>
      <c r="J97" t="s">
        <v>1828</v>
      </c>
      <c r="K97">
        <v>106.85</v>
      </c>
      <c r="L97" s="20">
        <v>18.170000000000002</v>
      </c>
      <c r="M97" s="21">
        <v>241.98864</v>
      </c>
      <c r="N97" s="5" t="str">
        <f t="shared" si="7"/>
        <v>未买</v>
      </c>
      <c r="Q97" s="17">
        <v>95</v>
      </c>
    </row>
    <row r="98" spans="4:17" x14ac:dyDescent="0.15">
      <c r="D98" s="5"/>
      <c r="E98" s="5"/>
      <c r="H98" s="17">
        <v>96</v>
      </c>
      <c r="I98">
        <v>127030</v>
      </c>
      <c r="J98" t="s">
        <v>780</v>
      </c>
      <c r="K98">
        <v>164.29300000000001</v>
      </c>
      <c r="L98" s="20">
        <v>18.32</v>
      </c>
      <c r="M98" s="21">
        <v>49.981890999999997</v>
      </c>
      <c r="N98" s="5" t="str">
        <f t="shared" si="7"/>
        <v>Yes</v>
      </c>
      <c r="Q98" s="17">
        <v>96</v>
      </c>
    </row>
    <row r="99" spans="4:17" x14ac:dyDescent="0.15">
      <c r="D99" s="5"/>
      <c r="E99" s="5"/>
      <c r="H99" s="17">
        <v>97</v>
      </c>
      <c r="I99">
        <v>123084</v>
      </c>
      <c r="J99" t="s">
        <v>112</v>
      </c>
      <c r="K99">
        <v>171.804</v>
      </c>
      <c r="L99" s="20">
        <v>18.440000000000001</v>
      </c>
      <c r="M99" s="21">
        <v>2.5406900000000001</v>
      </c>
      <c r="N99" s="5" t="str">
        <f t="shared" si="7"/>
        <v>未买</v>
      </c>
      <c r="Q99" s="17">
        <v>97</v>
      </c>
    </row>
    <row r="100" spans="4:17" x14ac:dyDescent="0.15">
      <c r="D100" s="5"/>
      <c r="E100" s="5"/>
      <c r="H100" s="17">
        <v>98</v>
      </c>
      <c r="I100">
        <v>123103</v>
      </c>
      <c r="J100" t="s">
        <v>815</v>
      </c>
      <c r="K100">
        <v>146.75</v>
      </c>
      <c r="L100" s="20">
        <v>18.57</v>
      </c>
      <c r="M100" s="21">
        <v>2.4949330000000005</v>
      </c>
      <c r="N100" s="5" t="str">
        <f t="shared" si="7"/>
        <v>未买</v>
      </c>
      <c r="Q100" s="17">
        <v>98</v>
      </c>
    </row>
    <row r="101" spans="4:17" x14ac:dyDescent="0.15">
      <c r="D101" s="5"/>
      <c r="E101" s="5"/>
      <c r="H101" s="17">
        <v>99</v>
      </c>
      <c r="I101">
        <v>110070</v>
      </c>
      <c r="J101" t="s">
        <v>89</v>
      </c>
      <c r="K101">
        <v>127.77</v>
      </c>
      <c r="L101" s="20">
        <v>18.61</v>
      </c>
      <c r="M101" s="21">
        <v>2.17056</v>
      </c>
      <c r="N101" s="5" t="str">
        <f t="shared" si="7"/>
        <v>未买</v>
      </c>
      <c r="Q101" s="17">
        <v>99</v>
      </c>
    </row>
    <row r="102" spans="4:17" x14ac:dyDescent="0.15">
      <c r="H102" s="17">
        <v>100</v>
      </c>
      <c r="I102">
        <v>113582</v>
      </c>
      <c r="J102" t="s">
        <v>2023</v>
      </c>
      <c r="K102">
        <v>223.64</v>
      </c>
      <c r="L102" s="20">
        <v>18.649999999999999</v>
      </c>
      <c r="M102" s="21">
        <v>4.17692</v>
      </c>
      <c r="N102" s="5" t="str">
        <f t="shared" si="7"/>
        <v>未买</v>
      </c>
      <c r="Q102" s="17">
        <v>100</v>
      </c>
    </row>
    <row r="103" spans="4:17" x14ac:dyDescent="0.15">
      <c r="H103" s="17">
        <v>101</v>
      </c>
      <c r="I103">
        <v>127020</v>
      </c>
      <c r="J103" t="s">
        <v>1840</v>
      </c>
      <c r="K103">
        <v>116.876</v>
      </c>
      <c r="L103" s="20">
        <v>18.7</v>
      </c>
      <c r="M103" s="21">
        <v>30.227959000000006</v>
      </c>
      <c r="N103" s="5" t="str">
        <f t="shared" si="7"/>
        <v>未买</v>
      </c>
      <c r="Q103" s="17">
        <v>101</v>
      </c>
    </row>
    <row r="104" spans="4:17" x14ac:dyDescent="0.15">
      <c r="H104" s="17">
        <v>102</v>
      </c>
      <c r="I104">
        <v>110043</v>
      </c>
      <c r="J104" t="s">
        <v>1811</v>
      </c>
      <c r="K104">
        <v>116.83</v>
      </c>
      <c r="L104" s="20">
        <v>18.73</v>
      </c>
      <c r="M104" s="21">
        <v>29.2134</v>
      </c>
      <c r="N104" s="5" t="str">
        <f t="shared" si="7"/>
        <v>未买</v>
      </c>
      <c r="Q104" s="17">
        <v>102</v>
      </c>
    </row>
    <row r="105" spans="4:17" x14ac:dyDescent="0.15">
      <c r="H105" s="17">
        <v>103</v>
      </c>
      <c r="I105">
        <v>123045</v>
      </c>
      <c r="J105" t="s">
        <v>108</v>
      </c>
      <c r="K105">
        <v>154.613</v>
      </c>
      <c r="L105" s="20">
        <v>18.829999999999998</v>
      </c>
      <c r="M105" s="21">
        <v>1.6599440000000001</v>
      </c>
      <c r="N105" s="5" t="str">
        <f t="shared" si="7"/>
        <v>Yes</v>
      </c>
      <c r="Q105" s="17">
        <v>103</v>
      </c>
    </row>
    <row r="106" spans="4:17" x14ac:dyDescent="0.15">
      <c r="H106" s="17">
        <v>104</v>
      </c>
      <c r="I106">
        <v>110080</v>
      </c>
      <c r="J106" t="s">
        <v>229</v>
      </c>
      <c r="K106">
        <v>116.18</v>
      </c>
      <c r="L106" s="20">
        <v>18.93</v>
      </c>
      <c r="M106" s="21">
        <v>15.49118</v>
      </c>
      <c r="N106" s="5" t="str">
        <f t="shared" si="7"/>
        <v>未买</v>
      </c>
      <c r="Q106" s="17">
        <v>104</v>
      </c>
    </row>
    <row r="107" spans="4:17" x14ac:dyDescent="0.15">
      <c r="H107" s="17">
        <v>105</v>
      </c>
      <c r="I107">
        <v>113634</v>
      </c>
      <c r="J107" t="s">
        <v>249</v>
      </c>
      <c r="K107">
        <v>133.80000000000001</v>
      </c>
      <c r="L107" s="20">
        <v>18.95</v>
      </c>
      <c r="M107" s="21">
        <v>7.5144200000000003</v>
      </c>
      <c r="N107" s="5" t="str">
        <f t="shared" si="7"/>
        <v>未买</v>
      </c>
      <c r="Q107" s="17">
        <v>105</v>
      </c>
    </row>
    <row r="108" spans="4:17" x14ac:dyDescent="0.15">
      <c r="H108" s="17">
        <v>106</v>
      </c>
      <c r="I108">
        <v>110075</v>
      </c>
      <c r="J108" t="s">
        <v>1839</v>
      </c>
      <c r="K108">
        <v>130.63</v>
      </c>
      <c r="L108" s="20">
        <v>18.989999999999998</v>
      </c>
      <c r="M108" s="21">
        <v>58.964379999999998</v>
      </c>
      <c r="N108" s="5" t="str">
        <f t="shared" si="7"/>
        <v>未买</v>
      </c>
      <c r="Q108" s="17">
        <v>106</v>
      </c>
    </row>
    <row r="109" spans="4:17" x14ac:dyDescent="0.15">
      <c r="H109" s="17">
        <v>107</v>
      </c>
      <c r="I109">
        <v>128066</v>
      </c>
      <c r="J109" t="s">
        <v>98</v>
      </c>
      <c r="K109">
        <v>117.5</v>
      </c>
      <c r="L109" s="20">
        <v>19.170000000000002</v>
      </c>
      <c r="M109" s="21">
        <v>4.610582</v>
      </c>
      <c r="N109" s="5" t="str">
        <f t="shared" si="7"/>
        <v>Yes</v>
      </c>
      <c r="Q109" s="17">
        <v>107</v>
      </c>
    </row>
    <row r="110" spans="4:17" x14ac:dyDescent="0.15">
      <c r="H110" s="17">
        <v>108</v>
      </c>
      <c r="I110">
        <v>113044</v>
      </c>
      <c r="J110" t="s">
        <v>1825</v>
      </c>
      <c r="K110">
        <v>108.88</v>
      </c>
      <c r="L110" s="20">
        <v>19.18</v>
      </c>
      <c r="M110" s="21">
        <v>319.98989999999998</v>
      </c>
      <c r="N110" s="5" t="str">
        <f t="shared" si="7"/>
        <v>未买</v>
      </c>
      <c r="Q110" s="17">
        <v>108</v>
      </c>
    </row>
    <row r="111" spans="4:17" x14ac:dyDescent="0.15">
      <c r="H111" s="17">
        <v>109</v>
      </c>
      <c r="I111">
        <v>128022</v>
      </c>
      <c r="J111" t="s">
        <v>158</v>
      </c>
      <c r="K111">
        <v>126</v>
      </c>
      <c r="L111" s="20">
        <v>19.37</v>
      </c>
      <c r="M111" s="21">
        <v>4.5522299999999998</v>
      </c>
      <c r="N111" s="5" t="str">
        <f t="shared" si="7"/>
        <v>未买</v>
      </c>
      <c r="Q111" s="17">
        <v>109</v>
      </c>
    </row>
    <row r="112" spans="4:17" x14ac:dyDescent="0.15">
      <c r="H112" s="17">
        <v>110</v>
      </c>
      <c r="I112">
        <v>128133</v>
      </c>
      <c r="J112" t="s">
        <v>223</v>
      </c>
      <c r="K112">
        <v>125.773</v>
      </c>
      <c r="L112" s="20">
        <v>19.97</v>
      </c>
      <c r="M112" s="21">
        <v>7.9943039999999987</v>
      </c>
      <c r="N112" s="5" t="str">
        <f t="shared" si="7"/>
        <v>未买</v>
      </c>
      <c r="Q112" s="17">
        <v>110</v>
      </c>
    </row>
    <row r="113" spans="8:17" x14ac:dyDescent="0.15">
      <c r="H113" s="17">
        <v>111</v>
      </c>
      <c r="I113">
        <v>128121</v>
      </c>
      <c r="J113" t="s">
        <v>47</v>
      </c>
      <c r="K113">
        <v>125.801</v>
      </c>
      <c r="L113" s="20">
        <v>20.18</v>
      </c>
      <c r="M113" s="21">
        <v>6.6985929999999989</v>
      </c>
      <c r="N113" s="5" t="str">
        <f t="shared" si="7"/>
        <v>未买</v>
      </c>
      <c r="Q113" s="17">
        <v>111</v>
      </c>
    </row>
    <row r="114" spans="8:17" x14ac:dyDescent="0.15">
      <c r="H114" s="17">
        <v>112</v>
      </c>
      <c r="I114">
        <v>128073</v>
      </c>
      <c r="J114" t="s">
        <v>97</v>
      </c>
      <c r="K114">
        <v>129.124</v>
      </c>
      <c r="L114" s="20">
        <v>20.239999999999998</v>
      </c>
      <c r="M114" s="21">
        <v>2.9874589999999999</v>
      </c>
      <c r="N114" s="5" t="str">
        <f t="shared" si="7"/>
        <v>未买</v>
      </c>
      <c r="Q114" s="17">
        <v>112</v>
      </c>
    </row>
    <row r="115" spans="8:17" x14ac:dyDescent="0.15">
      <c r="H115" s="17">
        <v>113</v>
      </c>
      <c r="I115">
        <v>128042</v>
      </c>
      <c r="J115" t="s">
        <v>204</v>
      </c>
      <c r="K115">
        <v>122.42100000000001</v>
      </c>
      <c r="L115" s="20">
        <v>20.27</v>
      </c>
      <c r="M115" s="21">
        <v>4.1551119999999999</v>
      </c>
      <c r="N115" s="5" t="str">
        <f t="shared" si="7"/>
        <v>未买</v>
      </c>
      <c r="Q115" s="17">
        <v>113</v>
      </c>
    </row>
    <row r="116" spans="8:17" x14ac:dyDescent="0.15">
      <c r="H116" s="17">
        <v>114</v>
      </c>
      <c r="I116">
        <v>113629</v>
      </c>
      <c r="J116" t="s">
        <v>80</v>
      </c>
      <c r="K116">
        <v>142.66999999999999</v>
      </c>
      <c r="L116" s="20">
        <v>20.32</v>
      </c>
      <c r="M116" s="21">
        <v>6.19693</v>
      </c>
      <c r="N116" s="5" t="str">
        <f t="shared" si="7"/>
        <v>未买</v>
      </c>
      <c r="Q116" s="17">
        <v>114</v>
      </c>
    </row>
    <row r="117" spans="8:17" x14ac:dyDescent="0.15">
      <c r="H117" s="17">
        <v>115</v>
      </c>
      <c r="I117">
        <v>128109</v>
      </c>
      <c r="J117" t="s">
        <v>2024</v>
      </c>
      <c r="K117">
        <v>134.9</v>
      </c>
      <c r="L117" s="20">
        <v>20.39</v>
      </c>
      <c r="M117" s="21">
        <v>18.225546000000001</v>
      </c>
      <c r="N117" s="5" t="str">
        <f t="shared" si="7"/>
        <v>未买</v>
      </c>
      <c r="Q117" s="17">
        <v>115</v>
      </c>
    </row>
    <row r="118" spans="8:17" x14ac:dyDescent="0.15">
      <c r="H118" s="17">
        <v>116</v>
      </c>
      <c r="I118">
        <v>113053</v>
      </c>
      <c r="J118" t="s">
        <v>1853</v>
      </c>
      <c r="K118">
        <v>131.69999999999999</v>
      </c>
      <c r="L118" s="20">
        <v>20.440000000000001</v>
      </c>
      <c r="M118" s="21">
        <v>70</v>
      </c>
      <c r="N118" s="5" t="str">
        <f t="shared" si="7"/>
        <v>未买</v>
      </c>
      <c r="Q118" s="17">
        <v>116</v>
      </c>
    </row>
    <row r="119" spans="8:17" x14ac:dyDescent="0.15">
      <c r="H119" s="17">
        <v>117</v>
      </c>
      <c r="I119">
        <v>123110</v>
      </c>
      <c r="J119" t="s">
        <v>106</v>
      </c>
      <c r="K119">
        <v>135.6</v>
      </c>
      <c r="L119" s="20">
        <v>20.69</v>
      </c>
      <c r="M119" s="21">
        <v>2.6979579999999999</v>
      </c>
      <c r="N119" s="5" t="str">
        <f t="shared" si="7"/>
        <v>未买</v>
      </c>
      <c r="Q119" s="17">
        <v>117</v>
      </c>
    </row>
    <row r="120" spans="8:17" x14ac:dyDescent="0.15">
      <c r="H120" s="17">
        <v>118</v>
      </c>
      <c r="I120">
        <v>123027</v>
      </c>
      <c r="J120" t="s">
        <v>2025</v>
      </c>
      <c r="K120">
        <v>367.5</v>
      </c>
      <c r="L120" s="20">
        <v>20.94</v>
      </c>
      <c r="M120" s="21">
        <v>1.0667800000000001</v>
      </c>
      <c r="N120" s="5" t="str">
        <f t="shared" si="7"/>
        <v>未买</v>
      </c>
      <c r="Q120" s="17">
        <v>118</v>
      </c>
    </row>
    <row r="121" spans="8:17" x14ac:dyDescent="0.15">
      <c r="H121" s="17">
        <v>119</v>
      </c>
      <c r="I121">
        <v>123144</v>
      </c>
      <c r="J121" t="s">
        <v>1872</v>
      </c>
      <c r="K121">
        <v>131.15100000000001</v>
      </c>
      <c r="L121" s="20">
        <v>21.01</v>
      </c>
      <c r="M121" s="21">
        <v>6</v>
      </c>
      <c r="N121" s="5" t="str">
        <f t="shared" si="7"/>
        <v>未买</v>
      </c>
      <c r="Q121" s="17">
        <v>119</v>
      </c>
    </row>
    <row r="122" spans="8:17" x14ac:dyDescent="0.15">
      <c r="H122" s="17">
        <v>120</v>
      </c>
      <c r="I122">
        <v>128075</v>
      </c>
      <c r="J122" t="s">
        <v>124</v>
      </c>
      <c r="K122">
        <v>122.649</v>
      </c>
      <c r="L122" s="20">
        <v>21.05</v>
      </c>
      <c r="M122" s="21">
        <v>5.4374609999999999</v>
      </c>
      <c r="N122" s="5" t="str">
        <f t="shared" si="7"/>
        <v>未买</v>
      </c>
      <c r="Q122" s="17">
        <v>120</v>
      </c>
    </row>
    <row r="123" spans="8:17" x14ac:dyDescent="0.15">
      <c r="H123" s="17">
        <v>121</v>
      </c>
      <c r="I123">
        <v>127038</v>
      </c>
      <c r="J123" t="s">
        <v>2026</v>
      </c>
      <c r="K123">
        <v>162</v>
      </c>
      <c r="L123" s="20">
        <v>21.08</v>
      </c>
      <c r="M123" s="21">
        <v>14.938231999999999</v>
      </c>
      <c r="N123" s="5" t="str">
        <f t="shared" si="7"/>
        <v>未买</v>
      </c>
      <c r="Q123" s="17">
        <v>121</v>
      </c>
    </row>
    <row r="124" spans="8:17" x14ac:dyDescent="0.15">
      <c r="H124" s="17">
        <v>122</v>
      </c>
      <c r="I124">
        <v>118001</v>
      </c>
      <c r="J124" t="s">
        <v>240</v>
      </c>
      <c r="K124">
        <v>137.19</v>
      </c>
      <c r="L124" s="20">
        <v>21.18</v>
      </c>
      <c r="M124" s="21">
        <v>5.9983599999999999</v>
      </c>
      <c r="N124" s="5" t="str">
        <f t="shared" si="7"/>
        <v>未买</v>
      </c>
      <c r="Q124" s="17">
        <v>122</v>
      </c>
    </row>
    <row r="125" spans="8:17" x14ac:dyDescent="0.15">
      <c r="H125" s="17">
        <v>123</v>
      </c>
      <c r="I125">
        <v>123112</v>
      </c>
      <c r="J125" t="s">
        <v>126</v>
      </c>
      <c r="K125">
        <v>133.69999999999999</v>
      </c>
      <c r="L125" s="20">
        <v>21.2</v>
      </c>
      <c r="M125" s="21">
        <v>2.4541909999999998</v>
      </c>
      <c r="N125" s="5" t="str">
        <f t="shared" si="7"/>
        <v>未买</v>
      </c>
      <c r="Q125" s="17">
        <v>123</v>
      </c>
    </row>
    <row r="126" spans="8:17" x14ac:dyDescent="0.15">
      <c r="H126" s="17">
        <v>124</v>
      </c>
      <c r="I126">
        <v>111000</v>
      </c>
      <c r="J126" t="s">
        <v>84</v>
      </c>
      <c r="K126">
        <v>132.5</v>
      </c>
      <c r="L126" s="20">
        <v>21.66</v>
      </c>
      <c r="M126" s="21">
        <v>9.9947199999999992</v>
      </c>
      <c r="N126" s="5" t="str">
        <f t="shared" si="7"/>
        <v>未买</v>
      </c>
      <c r="Q126" s="17">
        <v>124</v>
      </c>
    </row>
    <row r="127" spans="8:17" x14ac:dyDescent="0.15">
      <c r="H127" s="17">
        <v>125</v>
      </c>
      <c r="I127">
        <v>113598</v>
      </c>
      <c r="J127" t="s">
        <v>100</v>
      </c>
      <c r="K127">
        <v>127.69</v>
      </c>
      <c r="L127" s="20">
        <v>21.67</v>
      </c>
      <c r="M127" s="21">
        <v>2.7526000000000002</v>
      </c>
      <c r="N127" s="5" t="str">
        <f t="shared" si="7"/>
        <v>未买</v>
      </c>
      <c r="Q127" s="17">
        <v>125</v>
      </c>
    </row>
    <row r="128" spans="8:17" x14ac:dyDescent="0.15">
      <c r="H128" s="17">
        <v>126</v>
      </c>
      <c r="I128">
        <v>123098</v>
      </c>
      <c r="J128" t="s">
        <v>2027</v>
      </c>
      <c r="K128">
        <v>132.6</v>
      </c>
      <c r="L128" s="20">
        <v>21.85</v>
      </c>
      <c r="M128" s="21">
        <v>4.2360870000000004</v>
      </c>
      <c r="N128" s="5" t="str">
        <f t="shared" si="7"/>
        <v>未买</v>
      </c>
      <c r="Q128" s="17">
        <v>126</v>
      </c>
    </row>
    <row r="129" spans="8:17" x14ac:dyDescent="0.15">
      <c r="H129" s="17">
        <v>127</v>
      </c>
      <c r="I129">
        <v>113033</v>
      </c>
      <c r="J129" t="s">
        <v>90</v>
      </c>
      <c r="K129">
        <v>108.54</v>
      </c>
      <c r="L129" s="20">
        <v>21.93</v>
      </c>
      <c r="M129" s="21">
        <v>17.99794</v>
      </c>
      <c r="N129" s="5" t="str">
        <f t="shared" si="7"/>
        <v>未买</v>
      </c>
      <c r="Q129" s="17">
        <v>127</v>
      </c>
    </row>
    <row r="130" spans="8:17" x14ac:dyDescent="0.15">
      <c r="H130" s="17">
        <v>128</v>
      </c>
      <c r="I130">
        <v>128025</v>
      </c>
      <c r="J130" t="s">
        <v>50</v>
      </c>
      <c r="K130">
        <v>132.07499999999999</v>
      </c>
      <c r="L130" s="20">
        <v>21.96</v>
      </c>
      <c r="M130" s="21">
        <v>2.976604</v>
      </c>
      <c r="N130" s="5" t="str">
        <f t="shared" si="7"/>
        <v>Yes</v>
      </c>
      <c r="Q130" s="17">
        <v>128</v>
      </c>
    </row>
    <row r="131" spans="8:17" x14ac:dyDescent="0.15">
      <c r="H131" s="17">
        <v>129</v>
      </c>
      <c r="I131">
        <v>127037</v>
      </c>
      <c r="J131" t="s">
        <v>230</v>
      </c>
      <c r="K131">
        <v>145.93299999999999</v>
      </c>
      <c r="L131" s="20">
        <v>22.03</v>
      </c>
      <c r="M131" s="21">
        <v>6.9967829999999998</v>
      </c>
      <c r="N131" s="5" t="str">
        <f t="shared" si="7"/>
        <v>未买</v>
      </c>
      <c r="Q131" s="17">
        <v>129</v>
      </c>
    </row>
    <row r="132" spans="8:17" x14ac:dyDescent="0.15">
      <c r="H132" s="17">
        <v>130</v>
      </c>
      <c r="I132">
        <v>123146</v>
      </c>
      <c r="J132" t="s">
        <v>1832</v>
      </c>
      <c r="K132">
        <v>116.1</v>
      </c>
      <c r="L132" s="20">
        <v>22.49</v>
      </c>
      <c r="M132" s="21">
        <v>8.64</v>
      </c>
      <c r="N132" s="5" t="str">
        <f t="shared" ref="N132:N195" si="8">IF(ISNA(MATCH(I132,$A$3:$A$1000,0)),"未买","Yes")</f>
        <v>未买</v>
      </c>
      <c r="Q132" s="17">
        <v>130</v>
      </c>
    </row>
    <row r="133" spans="8:17" x14ac:dyDescent="0.15">
      <c r="H133" s="17">
        <v>131</v>
      </c>
      <c r="I133">
        <v>127028</v>
      </c>
      <c r="J133" t="s">
        <v>62</v>
      </c>
      <c r="K133">
        <v>120.05</v>
      </c>
      <c r="L133" s="20">
        <v>22.54</v>
      </c>
      <c r="M133" s="21">
        <v>5.982475</v>
      </c>
      <c r="N133" s="5" t="str">
        <f t="shared" si="8"/>
        <v>未买</v>
      </c>
      <c r="Q133" s="17">
        <v>131</v>
      </c>
    </row>
    <row r="134" spans="8:17" x14ac:dyDescent="0.15">
      <c r="H134" s="17">
        <v>132</v>
      </c>
      <c r="I134">
        <v>128085</v>
      </c>
      <c r="J134" t="s">
        <v>2028</v>
      </c>
      <c r="K134">
        <v>119.547</v>
      </c>
      <c r="L134" s="20">
        <v>22.69</v>
      </c>
      <c r="M134" s="21">
        <v>3.3736280000000001</v>
      </c>
      <c r="N134" s="5" t="str">
        <f t="shared" si="8"/>
        <v>Yes</v>
      </c>
      <c r="Q134" s="17">
        <v>132</v>
      </c>
    </row>
    <row r="135" spans="8:17" x14ac:dyDescent="0.15">
      <c r="H135" s="17">
        <v>133</v>
      </c>
      <c r="I135">
        <v>113567</v>
      </c>
      <c r="J135" t="s">
        <v>2029</v>
      </c>
      <c r="K135">
        <v>134.59</v>
      </c>
      <c r="L135" s="20">
        <v>22.73</v>
      </c>
      <c r="M135" s="21">
        <v>1.9354</v>
      </c>
      <c r="N135" s="5" t="str">
        <f t="shared" si="8"/>
        <v>Yes</v>
      </c>
      <c r="Q135" s="17">
        <v>133</v>
      </c>
    </row>
    <row r="136" spans="8:17" x14ac:dyDescent="0.15">
      <c r="H136" s="17">
        <v>134</v>
      </c>
      <c r="I136">
        <v>128145</v>
      </c>
      <c r="J136" t="s">
        <v>104</v>
      </c>
      <c r="K136">
        <v>137</v>
      </c>
      <c r="L136" s="20">
        <v>22.76</v>
      </c>
      <c r="M136" s="21">
        <v>3.7962730000000007</v>
      </c>
      <c r="N136" s="5" t="str">
        <f t="shared" si="8"/>
        <v>未买</v>
      </c>
      <c r="Q136" s="17">
        <v>134</v>
      </c>
    </row>
    <row r="137" spans="8:17" x14ac:dyDescent="0.15">
      <c r="H137" s="17">
        <v>135</v>
      </c>
      <c r="I137">
        <v>110057</v>
      </c>
      <c r="J137" t="s">
        <v>1836</v>
      </c>
      <c r="K137">
        <v>115.36</v>
      </c>
      <c r="L137" s="20">
        <v>22.89</v>
      </c>
      <c r="M137" s="21">
        <v>16.155080000000002</v>
      </c>
      <c r="N137" s="5" t="str">
        <f t="shared" si="8"/>
        <v>未买</v>
      </c>
      <c r="Q137" s="17">
        <v>135</v>
      </c>
    </row>
    <row r="138" spans="8:17" x14ac:dyDescent="0.15">
      <c r="H138" s="17">
        <v>136</v>
      </c>
      <c r="I138">
        <v>113641</v>
      </c>
      <c r="J138" t="s">
        <v>1870</v>
      </c>
      <c r="K138">
        <v>130.41</v>
      </c>
      <c r="L138" s="20">
        <v>23.09</v>
      </c>
      <c r="M138" s="21">
        <v>76</v>
      </c>
      <c r="N138" s="5" t="str">
        <f t="shared" si="8"/>
        <v>未买</v>
      </c>
      <c r="Q138" s="17">
        <v>136</v>
      </c>
    </row>
    <row r="139" spans="8:17" x14ac:dyDescent="0.15">
      <c r="H139" s="17">
        <v>137</v>
      </c>
      <c r="I139">
        <v>113545</v>
      </c>
      <c r="J139" t="s">
        <v>85</v>
      </c>
      <c r="K139">
        <v>126.64</v>
      </c>
      <c r="L139" s="20">
        <v>23.21</v>
      </c>
      <c r="M139" s="21">
        <v>9.8657599999999999</v>
      </c>
      <c r="N139" s="5" t="str">
        <f t="shared" si="8"/>
        <v>未买</v>
      </c>
      <c r="Q139" s="17">
        <v>137</v>
      </c>
    </row>
    <row r="140" spans="8:17" x14ac:dyDescent="0.15">
      <c r="H140" s="17">
        <v>138</v>
      </c>
      <c r="I140">
        <v>127063</v>
      </c>
      <c r="J140" t="s">
        <v>2030</v>
      </c>
      <c r="K140">
        <v>127.89</v>
      </c>
      <c r="L140" s="20">
        <v>23.33</v>
      </c>
      <c r="M140" s="21">
        <v>18</v>
      </c>
      <c r="N140" s="5" t="str">
        <f t="shared" si="8"/>
        <v>未买</v>
      </c>
      <c r="Q140" s="17">
        <v>138</v>
      </c>
    </row>
    <row r="141" spans="8:17" x14ac:dyDescent="0.15">
      <c r="H141" s="17">
        <v>139</v>
      </c>
      <c r="I141">
        <v>113017</v>
      </c>
      <c r="J141" t="s">
        <v>109</v>
      </c>
      <c r="K141">
        <v>114.91</v>
      </c>
      <c r="L141" s="20">
        <v>23.79</v>
      </c>
      <c r="M141" s="21">
        <v>11.34999</v>
      </c>
      <c r="N141" s="5" t="str">
        <f t="shared" si="8"/>
        <v>未买</v>
      </c>
      <c r="Q141" s="17">
        <v>139</v>
      </c>
    </row>
    <row r="142" spans="8:17" x14ac:dyDescent="0.15">
      <c r="H142" s="17">
        <v>140</v>
      </c>
      <c r="I142">
        <v>113640</v>
      </c>
      <c r="J142" t="s">
        <v>781</v>
      </c>
      <c r="K142">
        <v>123.98</v>
      </c>
      <c r="L142" s="20">
        <v>23.79</v>
      </c>
      <c r="M142" s="21">
        <v>9.5721100000000003</v>
      </c>
      <c r="N142" s="5" t="str">
        <f t="shared" si="8"/>
        <v>未买</v>
      </c>
      <c r="Q142" s="17">
        <v>140</v>
      </c>
    </row>
    <row r="143" spans="8:17" x14ac:dyDescent="0.15">
      <c r="H143" s="17">
        <v>141</v>
      </c>
      <c r="I143">
        <v>113516</v>
      </c>
      <c r="J143" t="s">
        <v>1837</v>
      </c>
      <c r="K143">
        <v>118.1</v>
      </c>
      <c r="L143" s="20">
        <v>23.81</v>
      </c>
      <c r="M143" s="21">
        <v>12.886039999999999</v>
      </c>
      <c r="N143" s="5" t="str">
        <f t="shared" si="8"/>
        <v>未买</v>
      </c>
      <c r="Q143" s="17">
        <v>141</v>
      </c>
    </row>
    <row r="144" spans="8:17" x14ac:dyDescent="0.15">
      <c r="H144" s="17">
        <v>142</v>
      </c>
      <c r="I144">
        <v>113631</v>
      </c>
      <c r="J144" t="s">
        <v>221</v>
      </c>
      <c r="K144">
        <v>113.82</v>
      </c>
      <c r="L144" s="20">
        <v>24.2</v>
      </c>
      <c r="M144" s="21">
        <v>9.2997599999999991</v>
      </c>
      <c r="N144" s="5" t="str">
        <f t="shared" si="8"/>
        <v>未买</v>
      </c>
      <c r="Q144" s="17">
        <v>142</v>
      </c>
    </row>
    <row r="145" spans="8:17" x14ac:dyDescent="0.15">
      <c r="H145" s="17">
        <v>143</v>
      </c>
      <c r="I145">
        <v>128100</v>
      </c>
      <c r="J145" t="s">
        <v>48</v>
      </c>
      <c r="K145">
        <v>98.599000000000004</v>
      </c>
      <c r="L145" s="20">
        <v>24.21</v>
      </c>
      <c r="M145" s="21">
        <v>7.981973</v>
      </c>
      <c r="N145" s="5" t="str">
        <f t="shared" si="8"/>
        <v>Yes</v>
      </c>
      <c r="Q145" s="17">
        <v>143</v>
      </c>
    </row>
    <row r="146" spans="8:17" x14ac:dyDescent="0.15">
      <c r="H146" s="17">
        <v>144</v>
      </c>
      <c r="I146">
        <v>123046</v>
      </c>
      <c r="J146" t="s">
        <v>2031</v>
      </c>
      <c r="K146">
        <v>344.5</v>
      </c>
      <c r="L146" s="20">
        <v>24.9</v>
      </c>
      <c r="M146" s="21">
        <v>0.58544499999999999</v>
      </c>
      <c r="N146" s="5" t="str">
        <f t="shared" si="8"/>
        <v>未买</v>
      </c>
      <c r="Q146" s="17">
        <v>144</v>
      </c>
    </row>
    <row r="147" spans="8:17" x14ac:dyDescent="0.15">
      <c r="H147" s="17">
        <v>145</v>
      </c>
      <c r="I147">
        <v>113049</v>
      </c>
      <c r="J147" t="s">
        <v>1851</v>
      </c>
      <c r="K147">
        <v>131.78</v>
      </c>
      <c r="L147" s="20">
        <v>25.11</v>
      </c>
      <c r="M147" s="21">
        <v>34.956710000000001</v>
      </c>
      <c r="N147" s="5" t="str">
        <f t="shared" si="8"/>
        <v>未买</v>
      </c>
      <c r="Q147" s="17">
        <v>145</v>
      </c>
    </row>
    <row r="148" spans="8:17" x14ac:dyDescent="0.15">
      <c r="H148" s="17">
        <v>146</v>
      </c>
      <c r="I148">
        <v>127061</v>
      </c>
      <c r="J148" t="s">
        <v>2032</v>
      </c>
      <c r="K148">
        <v>118.20099999999999</v>
      </c>
      <c r="L148" s="20">
        <v>25.12</v>
      </c>
      <c r="M148" s="21">
        <v>35.9</v>
      </c>
      <c r="N148" s="5" t="str">
        <f t="shared" si="8"/>
        <v>未买</v>
      </c>
      <c r="Q148" s="17">
        <v>146</v>
      </c>
    </row>
    <row r="149" spans="8:17" x14ac:dyDescent="0.15">
      <c r="H149" s="17">
        <v>147</v>
      </c>
      <c r="I149">
        <v>123100</v>
      </c>
      <c r="J149" t="s">
        <v>103</v>
      </c>
      <c r="K149">
        <v>125.5</v>
      </c>
      <c r="L149" s="20">
        <v>25.39</v>
      </c>
      <c r="M149" s="21">
        <v>3.7985269999999995</v>
      </c>
      <c r="N149" s="5" t="str">
        <f t="shared" si="8"/>
        <v>未买</v>
      </c>
      <c r="Q149" s="17">
        <v>147</v>
      </c>
    </row>
    <row r="150" spans="8:17" x14ac:dyDescent="0.15">
      <c r="H150" s="17">
        <v>148</v>
      </c>
      <c r="I150">
        <v>113057</v>
      </c>
      <c r="J150" t="s">
        <v>1844</v>
      </c>
      <c r="K150">
        <v>118.51</v>
      </c>
      <c r="L150" s="20">
        <v>25.62</v>
      </c>
      <c r="M150" s="21">
        <v>78</v>
      </c>
      <c r="N150" s="5" t="str">
        <f t="shared" si="8"/>
        <v>未买</v>
      </c>
      <c r="Q150" s="17">
        <v>148</v>
      </c>
    </row>
    <row r="151" spans="8:17" x14ac:dyDescent="0.15">
      <c r="H151" s="17">
        <v>149</v>
      </c>
      <c r="I151">
        <v>123129</v>
      </c>
      <c r="J151" t="s">
        <v>244</v>
      </c>
      <c r="K151">
        <v>115.15600000000001</v>
      </c>
      <c r="L151" s="20">
        <v>25.67</v>
      </c>
      <c r="M151" s="21">
        <v>5.9999149999999997</v>
      </c>
      <c r="N151" s="5" t="str">
        <f t="shared" si="8"/>
        <v>未买</v>
      </c>
      <c r="Q151" s="17">
        <v>149</v>
      </c>
    </row>
    <row r="152" spans="8:17" x14ac:dyDescent="0.15">
      <c r="H152" s="17">
        <v>150</v>
      </c>
      <c r="I152">
        <v>127018</v>
      </c>
      <c r="J152" t="s">
        <v>1838</v>
      </c>
      <c r="K152">
        <v>116.63</v>
      </c>
      <c r="L152" s="20">
        <v>25.87</v>
      </c>
      <c r="M152" s="21">
        <v>56.310654</v>
      </c>
      <c r="N152" s="5" t="str">
        <f t="shared" si="8"/>
        <v>未买</v>
      </c>
      <c r="Q152" s="17">
        <v>150</v>
      </c>
    </row>
    <row r="153" spans="8:17" x14ac:dyDescent="0.15">
      <c r="H153" s="17">
        <v>151</v>
      </c>
      <c r="I153">
        <v>118000</v>
      </c>
      <c r="J153" t="s">
        <v>2033</v>
      </c>
      <c r="K153">
        <v>147.51</v>
      </c>
      <c r="L153" s="20">
        <v>27</v>
      </c>
      <c r="M153" s="21">
        <v>9.7853200000000005</v>
      </c>
      <c r="N153" s="5" t="str">
        <f t="shared" si="8"/>
        <v>未买</v>
      </c>
      <c r="Q153" s="17">
        <v>151</v>
      </c>
    </row>
    <row r="154" spans="8:17" x14ac:dyDescent="0.15">
      <c r="H154" s="17">
        <v>152</v>
      </c>
      <c r="I154">
        <v>111002</v>
      </c>
      <c r="J154" t="s">
        <v>246</v>
      </c>
      <c r="K154">
        <v>140.65</v>
      </c>
      <c r="L154" s="20">
        <v>27.1</v>
      </c>
      <c r="M154" s="21">
        <v>6.6998300000000004</v>
      </c>
      <c r="N154" s="5" t="str">
        <f t="shared" si="8"/>
        <v>未买</v>
      </c>
      <c r="Q154" s="17">
        <v>152</v>
      </c>
    </row>
    <row r="155" spans="8:17" x14ac:dyDescent="0.15">
      <c r="H155" s="17">
        <v>153</v>
      </c>
      <c r="I155">
        <v>127039</v>
      </c>
      <c r="J155" t="s">
        <v>1831</v>
      </c>
      <c r="K155">
        <v>121.2</v>
      </c>
      <c r="L155" s="20">
        <v>27.11</v>
      </c>
      <c r="M155" s="21">
        <v>17.631454000000002</v>
      </c>
      <c r="N155" s="5" t="str">
        <f t="shared" si="8"/>
        <v>未买</v>
      </c>
      <c r="Q155" s="17">
        <v>153</v>
      </c>
    </row>
    <row r="156" spans="8:17" x14ac:dyDescent="0.15">
      <c r="H156" s="17">
        <v>154</v>
      </c>
      <c r="I156">
        <v>127014</v>
      </c>
      <c r="J156" t="s">
        <v>228</v>
      </c>
      <c r="K156">
        <v>131.9</v>
      </c>
      <c r="L156" s="20">
        <v>27.21</v>
      </c>
      <c r="M156" s="21">
        <v>5.3444160000000007</v>
      </c>
      <c r="N156" s="5" t="str">
        <f t="shared" si="8"/>
        <v>未买</v>
      </c>
      <c r="Q156" s="17">
        <v>154</v>
      </c>
    </row>
    <row r="157" spans="8:17" x14ac:dyDescent="0.15">
      <c r="H157" s="17">
        <v>155</v>
      </c>
      <c r="I157">
        <v>110063</v>
      </c>
      <c r="J157" t="s">
        <v>1843</v>
      </c>
      <c r="K157">
        <v>111.5</v>
      </c>
      <c r="L157" s="20">
        <v>27.25</v>
      </c>
      <c r="M157" s="21">
        <v>18.444659999999999</v>
      </c>
      <c r="N157" s="5" t="str">
        <f t="shared" si="8"/>
        <v>未买</v>
      </c>
      <c r="Q157" s="17">
        <v>155</v>
      </c>
    </row>
    <row r="158" spans="8:17" x14ac:dyDescent="0.15">
      <c r="H158" s="17">
        <v>156</v>
      </c>
      <c r="I158">
        <v>113016</v>
      </c>
      <c r="J158" t="s">
        <v>2034</v>
      </c>
      <c r="K158">
        <v>638.28</v>
      </c>
      <c r="L158" s="20">
        <v>27.27</v>
      </c>
      <c r="M158" s="21">
        <v>2.0653700000000002</v>
      </c>
      <c r="N158" s="5" t="str">
        <f t="shared" si="8"/>
        <v>未买</v>
      </c>
      <c r="Q158" s="17">
        <v>156</v>
      </c>
    </row>
    <row r="159" spans="8:17" x14ac:dyDescent="0.15">
      <c r="H159" s="17">
        <v>157</v>
      </c>
      <c r="I159">
        <v>113048</v>
      </c>
      <c r="J159" t="s">
        <v>1847</v>
      </c>
      <c r="K159">
        <v>127.87</v>
      </c>
      <c r="L159" s="20">
        <v>27.4</v>
      </c>
      <c r="M159" s="21">
        <v>22.964970000000001</v>
      </c>
      <c r="N159" s="5" t="str">
        <f t="shared" si="8"/>
        <v>未买</v>
      </c>
      <c r="Q159" s="17">
        <v>157</v>
      </c>
    </row>
    <row r="160" spans="8:17" x14ac:dyDescent="0.15">
      <c r="H160" s="17">
        <v>158</v>
      </c>
      <c r="I160">
        <v>123087</v>
      </c>
      <c r="J160" t="s">
        <v>72</v>
      </c>
      <c r="K160">
        <v>126.5</v>
      </c>
      <c r="L160" s="20">
        <v>27.46</v>
      </c>
      <c r="M160" s="21">
        <v>4.1892620000000003</v>
      </c>
      <c r="N160" s="5" t="str">
        <f t="shared" si="8"/>
        <v>未买</v>
      </c>
      <c r="Q160" s="17">
        <v>158</v>
      </c>
    </row>
    <row r="161" spans="8:17" x14ac:dyDescent="0.15">
      <c r="H161" s="17">
        <v>159</v>
      </c>
      <c r="I161">
        <v>128037</v>
      </c>
      <c r="J161" t="s">
        <v>73</v>
      </c>
      <c r="K161">
        <v>114.666</v>
      </c>
      <c r="L161" s="20">
        <v>27.86</v>
      </c>
      <c r="M161" s="21">
        <v>6.0227360000000001</v>
      </c>
      <c r="N161" s="5" t="str">
        <f t="shared" si="8"/>
        <v>Yes</v>
      </c>
      <c r="Q161" s="17">
        <v>159</v>
      </c>
    </row>
    <row r="162" spans="8:17" x14ac:dyDescent="0.15">
      <c r="H162" s="17">
        <v>160</v>
      </c>
      <c r="I162">
        <v>110052</v>
      </c>
      <c r="J162" t="s">
        <v>1841</v>
      </c>
      <c r="K162">
        <v>117.28</v>
      </c>
      <c r="L162" s="20">
        <v>27.91</v>
      </c>
      <c r="M162" s="21">
        <v>14.217739999999999</v>
      </c>
      <c r="N162" s="5" t="str">
        <f t="shared" si="8"/>
        <v>未买</v>
      </c>
      <c r="Q162" s="17">
        <v>160</v>
      </c>
    </row>
    <row r="163" spans="8:17" x14ac:dyDescent="0.15">
      <c r="H163" s="17">
        <v>161</v>
      </c>
      <c r="I163">
        <v>110064</v>
      </c>
      <c r="J163" t="s">
        <v>1820</v>
      </c>
      <c r="K163">
        <v>122.01</v>
      </c>
      <c r="L163" s="20">
        <v>27.95</v>
      </c>
      <c r="M163" s="21">
        <v>12.645960000000001</v>
      </c>
      <c r="N163" s="5" t="str">
        <f t="shared" si="8"/>
        <v>未买</v>
      </c>
      <c r="Q163" s="17">
        <v>161</v>
      </c>
    </row>
    <row r="164" spans="8:17" x14ac:dyDescent="0.15">
      <c r="H164" s="17">
        <v>162</v>
      </c>
      <c r="I164">
        <v>113648</v>
      </c>
      <c r="J164" t="s">
        <v>1880</v>
      </c>
      <c r="K164">
        <v>131.93</v>
      </c>
      <c r="L164" s="20">
        <v>27.98</v>
      </c>
      <c r="M164" s="21">
        <v>10</v>
      </c>
      <c r="N164" s="5" t="str">
        <f t="shared" si="8"/>
        <v>未买</v>
      </c>
      <c r="Q164" s="17">
        <v>162</v>
      </c>
    </row>
    <row r="165" spans="8:17" x14ac:dyDescent="0.15">
      <c r="H165" s="17">
        <v>163</v>
      </c>
      <c r="I165">
        <v>123052</v>
      </c>
      <c r="J165" t="s">
        <v>2035</v>
      </c>
      <c r="K165">
        <v>148.5</v>
      </c>
      <c r="L165" s="20">
        <v>27.98</v>
      </c>
      <c r="M165" s="21">
        <v>1.503663</v>
      </c>
      <c r="N165" s="5" t="str">
        <f t="shared" si="8"/>
        <v>Yes</v>
      </c>
      <c r="Q165" s="17">
        <v>163</v>
      </c>
    </row>
    <row r="166" spans="8:17" x14ac:dyDescent="0.15">
      <c r="H166" s="17">
        <v>164</v>
      </c>
      <c r="I166">
        <v>113502</v>
      </c>
      <c r="J166" t="s">
        <v>132</v>
      </c>
      <c r="K166">
        <v>138.96</v>
      </c>
      <c r="L166" s="20">
        <v>28.48</v>
      </c>
      <c r="M166" s="21">
        <v>1.84249</v>
      </c>
      <c r="N166" s="5" t="str">
        <f t="shared" si="8"/>
        <v>未买</v>
      </c>
      <c r="Q166" s="17">
        <v>164</v>
      </c>
    </row>
    <row r="167" spans="8:17" x14ac:dyDescent="0.15">
      <c r="H167" s="17">
        <v>165</v>
      </c>
      <c r="I167">
        <v>110047</v>
      </c>
      <c r="J167" t="s">
        <v>1848</v>
      </c>
      <c r="K167">
        <v>111.76</v>
      </c>
      <c r="L167" s="20">
        <v>29.17</v>
      </c>
      <c r="M167" s="21">
        <v>22.461279999999999</v>
      </c>
      <c r="N167" s="5" t="str">
        <f t="shared" si="8"/>
        <v>未买</v>
      </c>
      <c r="Q167" s="17">
        <v>165</v>
      </c>
    </row>
    <row r="168" spans="8:17" x14ac:dyDescent="0.15">
      <c r="H168" s="17">
        <v>166</v>
      </c>
      <c r="I168">
        <v>127060</v>
      </c>
      <c r="J168" t="s">
        <v>2036</v>
      </c>
      <c r="K168">
        <v>128.80000000000001</v>
      </c>
      <c r="L168" s="20">
        <v>29.23</v>
      </c>
      <c r="M168" s="21">
        <v>6.4</v>
      </c>
      <c r="N168" s="5" t="str">
        <f t="shared" si="8"/>
        <v>未买</v>
      </c>
      <c r="Q168" s="17">
        <v>166</v>
      </c>
    </row>
    <row r="169" spans="8:17" x14ac:dyDescent="0.15">
      <c r="H169" s="17">
        <v>167</v>
      </c>
      <c r="I169">
        <v>127022</v>
      </c>
      <c r="J169" t="s">
        <v>1857</v>
      </c>
      <c r="K169">
        <v>124.3</v>
      </c>
      <c r="L169" s="20">
        <v>29.38</v>
      </c>
      <c r="M169" s="21">
        <v>19.9983</v>
      </c>
      <c r="N169" s="5" t="str">
        <f t="shared" si="8"/>
        <v>未买</v>
      </c>
      <c r="Q169" s="17">
        <v>167</v>
      </c>
    </row>
    <row r="170" spans="8:17" x14ac:dyDescent="0.15">
      <c r="H170" s="17">
        <v>168</v>
      </c>
      <c r="I170">
        <v>113609</v>
      </c>
      <c r="J170" t="s">
        <v>83</v>
      </c>
      <c r="K170">
        <v>113.9</v>
      </c>
      <c r="L170" s="20">
        <v>29.39</v>
      </c>
      <c r="M170" s="21">
        <v>7.3419100000000004</v>
      </c>
      <c r="N170" s="5" t="str">
        <f t="shared" si="8"/>
        <v>未买</v>
      </c>
      <c r="Q170" s="17">
        <v>168</v>
      </c>
    </row>
    <row r="171" spans="8:17" x14ac:dyDescent="0.15">
      <c r="H171" s="17">
        <v>169</v>
      </c>
      <c r="I171">
        <v>111001</v>
      </c>
      <c r="J171" t="s">
        <v>220</v>
      </c>
      <c r="K171">
        <v>124.92</v>
      </c>
      <c r="L171" s="20">
        <v>29.42</v>
      </c>
      <c r="M171" s="21">
        <v>5.9994699999999996</v>
      </c>
      <c r="N171" s="5" t="str">
        <f t="shared" si="8"/>
        <v>未买</v>
      </c>
      <c r="Q171" s="17">
        <v>169</v>
      </c>
    </row>
    <row r="172" spans="8:17" x14ac:dyDescent="0.15">
      <c r="H172" s="17">
        <v>170</v>
      </c>
      <c r="I172">
        <v>113549</v>
      </c>
      <c r="J172" t="s">
        <v>99</v>
      </c>
      <c r="K172">
        <v>116.97</v>
      </c>
      <c r="L172" s="20">
        <v>29.55</v>
      </c>
      <c r="M172" s="21">
        <v>8.0473300000000005</v>
      </c>
      <c r="N172" s="5" t="str">
        <f t="shared" si="8"/>
        <v>未买</v>
      </c>
      <c r="Q172" s="17">
        <v>170</v>
      </c>
    </row>
    <row r="173" spans="8:17" x14ac:dyDescent="0.15">
      <c r="H173" s="17">
        <v>171</v>
      </c>
      <c r="I173">
        <v>110056</v>
      </c>
      <c r="J173" t="s">
        <v>1877</v>
      </c>
      <c r="K173">
        <v>130.41999999999999</v>
      </c>
      <c r="L173" s="20">
        <v>29.64</v>
      </c>
      <c r="M173" s="21">
        <v>17.100950000000001</v>
      </c>
      <c r="N173" s="5" t="str">
        <f t="shared" si="8"/>
        <v>未买</v>
      </c>
      <c r="Q173" s="17">
        <v>171</v>
      </c>
    </row>
    <row r="174" spans="8:17" x14ac:dyDescent="0.15">
      <c r="H174" s="17">
        <v>172</v>
      </c>
      <c r="I174">
        <v>128134</v>
      </c>
      <c r="J174" t="s">
        <v>1850</v>
      </c>
      <c r="K174">
        <v>127.42100000000001</v>
      </c>
      <c r="L174" s="20">
        <v>29.81</v>
      </c>
      <c r="M174" s="21">
        <v>15.728194999999999</v>
      </c>
      <c r="N174" s="5" t="str">
        <f t="shared" si="8"/>
        <v>未买</v>
      </c>
      <c r="Q174" s="17">
        <v>172</v>
      </c>
    </row>
    <row r="175" spans="8:17" x14ac:dyDescent="0.15">
      <c r="H175" s="17">
        <v>173</v>
      </c>
      <c r="I175">
        <v>123130</v>
      </c>
      <c r="J175" t="s">
        <v>71</v>
      </c>
      <c r="K175">
        <v>145.01</v>
      </c>
      <c r="L175" s="20">
        <v>29.83</v>
      </c>
      <c r="M175" s="21">
        <v>3.7559140000000002</v>
      </c>
      <c r="N175" s="5" t="str">
        <f t="shared" si="8"/>
        <v>未买</v>
      </c>
      <c r="Q175" s="17">
        <v>173</v>
      </c>
    </row>
    <row r="176" spans="8:17" x14ac:dyDescent="0.15">
      <c r="H176" s="17">
        <v>174</v>
      </c>
      <c r="I176">
        <v>123145</v>
      </c>
      <c r="J176" t="s">
        <v>1866</v>
      </c>
      <c r="K176">
        <v>133.881</v>
      </c>
      <c r="L176" s="20">
        <v>29.92</v>
      </c>
      <c r="M176" s="21">
        <v>11.5</v>
      </c>
      <c r="N176" s="5" t="str">
        <f t="shared" si="8"/>
        <v>未买</v>
      </c>
      <c r="Q176" s="17">
        <v>174</v>
      </c>
    </row>
    <row r="177" spans="8:17" x14ac:dyDescent="0.15">
      <c r="H177" s="17">
        <v>175</v>
      </c>
      <c r="I177">
        <v>118005</v>
      </c>
      <c r="J177" t="s">
        <v>784</v>
      </c>
      <c r="K177">
        <v>134.58000000000001</v>
      </c>
      <c r="L177" s="20">
        <v>30.15</v>
      </c>
      <c r="M177" s="21">
        <v>8.3000000000000007</v>
      </c>
      <c r="N177" s="5" t="str">
        <f t="shared" si="8"/>
        <v>未买</v>
      </c>
      <c r="Q177" s="17">
        <v>175</v>
      </c>
    </row>
    <row r="178" spans="8:17" x14ac:dyDescent="0.15">
      <c r="H178" s="17">
        <v>176</v>
      </c>
      <c r="I178">
        <v>127035</v>
      </c>
      <c r="J178" t="s">
        <v>225</v>
      </c>
      <c r="K178">
        <v>116.935</v>
      </c>
      <c r="L178" s="20">
        <v>30.16</v>
      </c>
      <c r="M178" s="21">
        <v>6.2622609999999996</v>
      </c>
      <c r="N178" s="5" t="str">
        <f t="shared" si="8"/>
        <v>未买</v>
      </c>
      <c r="Q178" s="17">
        <v>176</v>
      </c>
    </row>
    <row r="179" spans="8:17" x14ac:dyDescent="0.15">
      <c r="H179" s="17">
        <v>177</v>
      </c>
      <c r="I179">
        <v>123075</v>
      </c>
      <c r="J179" t="s">
        <v>70</v>
      </c>
      <c r="K179">
        <v>129.82300000000001</v>
      </c>
      <c r="L179" s="20">
        <v>30.37</v>
      </c>
      <c r="M179" s="21">
        <v>5.99613</v>
      </c>
      <c r="N179" s="5" t="str">
        <f t="shared" si="8"/>
        <v>未买</v>
      </c>
      <c r="Q179" s="17">
        <v>177</v>
      </c>
    </row>
    <row r="180" spans="8:17" x14ac:dyDescent="0.15">
      <c r="H180" s="17">
        <v>178</v>
      </c>
      <c r="I180">
        <v>113047</v>
      </c>
      <c r="J180" t="s">
        <v>1858</v>
      </c>
      <c r="K180">
        <v>132.99</v>
      </c>
      <c r="L180" s="20">
        <v>30.38</v>
      </c>
      <c r="M180" s="21">
        <v>14.98734</v>
      </c>
      <c r="N180" s="5" t="str">
        <f t="shared" si="8"/>
        <v>未买</v>
      </c>
      <c r="Q180" s="17">
        <v>178</v>
      </c>
    </row>
    <row r="181" spans="8:17" x14ac:dyDescent="0.15">
      <c r="H181" s="17">
        <v>179</v>
      </c>
      <c r="I181">
        <v>127031</v>
      </c>
      <c r="J181" t="s">
        <v>186</v>
      </c>
      <c r="K181">
        <v>125.875</v>
      </c>
      <c r="L181" s="20">
        <v>30.63</v>
      </c>
      <c r="M181" s="21">
        <v>9.9994130000000006</v>
      </c>
      <c r="N181" s="5" t="str">
        <f t="shared" si="8"/>
        <v>未买</v>
      </c>
      <c r="Q181" s="17">
        <v>179</v>
      </c>
    </row>
    <row r="182" spans="8:17" x14ac:dyDescent="0.15">
      <c r="H182" s="17">
        <v>180</v>
      </c>
      <c r="I182">
        <v>127012</v>
      </c>
      <c r="J182" t="s">
        <v>1842</v>
      </c>
      <c r="K182">
        <v>113.14</v>
      </c>
      <c r="L182" s="20">
        <v>30.71</v>
      </c>
      <c r="M182" s="21">
        <v>49.998221000000001</v>
      </c>
      <c r="N182" s="5" t="str">
        <f t="shared" si="8"/>
        <v>未买</v>
      </c>
      <c r="Q182" s="17">
        <v>180</v>
      </c>
    </row>
    <row r="183" spans="8:17" x14ac:dyDescent="0.15">
      <c r="H183" s="17">
        <v>181</v>
      </c>
      <c r="I183">
        <v>123035</v>
      </c>
      <c r="J183" t="s">
        <v>123</v>
      </c>
      <c r="K183">
        <v>125.39</v>
      </c>
      <c r="L183" s="20">
        <v>31.48</v>
      </c>
      <c r="M183" s="21">
        <v>7.9877429999999991</v>
      </c>
      <c r="N183" s="5" t="str">
        <f t="shared" si="8"/>
        <v>未买</v>
      </c>
      <c r="Q183" s="17">
        <v>181</v>
      </c>
    </row>
    <row r="184" spans="8:17" x14ac:dyDescent="0.15">
      <c r="H184" s="17">
        <v>182</v>
      </c>
      <c r="I184">
        <v>111004</v>
      </c>
      <c r="J184" t="s">
        <v>813</v>
      </c>
      <c r="K184">
        <v>142.54</v>
      </c>
      <c r="L184" s="20">
        <v>31.69</v>
      </c>
      <c r="M184" s="21">
        <v>6.73</v>
      </c>
      <c r="N184" s="5" t="str">
        <f t="shared" si="8"/>
        <v>未买</v>
      </c>
      <c r="Q184" s="17">
        <v>182</v>
      </c>
    </row>
    <row r="185" spans="8:17" x14ac:dyDescent="0.15">
      <c r="H185" s="17">
        <v>183</v>
      </c>
      <c r="I185">
        <v>127059</v>
      </c>
      <c r="J185" t="s">
        <v>1896</v>
      </c>
      <c r="K185">
        <v>150</v>
      </c>
      <c r="L185" s="20">
        <v>31.86</v>
      </c>
      <c r="M185" s="21">
        <v>3.8</v>
      </c>
      <c r="N185" s="5" t="str">
        <f t="shared" si="8"/>
        <v>未买</v>
      </c>
      <c r="Q185" s="17">
        <v>183</v>
      </c>
    </row>
    <row r="186" spans="8:17" x14ac:dyDescent="0.15">
      <c r="H186" s="17">
        <v>184</v>
      </c>
      <c r="I186">
        <v>123125</v>
      </c>
      <c r="J186" t="s">
        <v>222</v>
      </c>
      <c r="K186">
        <v>118.77200000000001</v>
      </c>
      <c r="L186" s="20">
        <v>31.95</v>
      </c>
      <c r="M186" s="21">
        <v>8.9996899999999993</v>
      </c>
      <c r="N186" s="5" t="str">
        <f t="shared" si="8"/>
        <v>未买</v>
      </c>
      <c r="Q186" s="17">
        <v>184</v>
      </c>
    </row>
    <row r="187" spans="8:17" x14ac:dyDescent="0.15">
      <c r="H187" s="17">
        <v>185</v>
      </c>
      <c r="I187">
        <v>113505</v>
      </c>
      <c r="J187" t="s">
        <v>239</v>
      </c>
      <c r="K187">
        <v>118.91</v>
      </c>
      <c r="L187" s="20">
        <v>32.06</v>
      </c>
      <c r="M187" s="21">
        <v>7.4973799999999997</v>
      </c>
      <c r="N187" s="5" t="str">
        <f t="shared" si="8"/>
        <v>未买</v>
      </c>
      <c r="Q187" s="17">
        <v>185</v>
      </c>
    </row>
    <row r="188" spans="8:17" x14ac:dyDescent="0.15">
      <c r="H188" s="17">
        <v>186</v>
      </c>
      <c r="I188">
        <v>128127</v>
      </c>
      <c r="J188" t="s">
        <v>215</v>
      </c>
      <c r="K188">
        <v>110.5</v>
      </c>
      <c r="L188" s="20">
        <v>32.159999999999997</v>
      </c>
      <c r="M188" s="21">
        <v>9.4930299999999992</v>
      </c>
      <c r="N188" s="5" t="str">
        <f t="shared" si="8"/>
        <v>未买</v>
      </c>
      <c r="Q188" s="17">
        <v>186</v>
      </c>
    </row>
    <row r="189" spans="8:17" x14ac:dyDescent="0.15">
      <c r="H189" s="17">
        <v>187</v>
      </c>
      <c r="I189">
        <v>123147</v>
      </c>
      <c r="J189" t="s">
        <v>2037</v>
      </c>
      <c r="K189">
        <v>141.25</v>
      </c>
      <c r="L189" s="20">
        <v>32.24</v>
      </c>
      <c r="M189" s="21">
        <v>5.7053700000000003</v>
      </c>
      <c r="N189" s="5" t="str">
        <f t="shared" si="8"/>
        <v>未买</v>
      </c>
      <c r="Q189" s="17">
        <v>187</v>
      </c>
    </row>
    <row r="190" spans="8:17" x14ac:dyDescent="0.15">
      <c r="H190" s="17">
        <v>188</v>
      </c>
      <c r="I190">
        <v>127032</v>
      </c>
      <c r="J190" t="s">
        <v>1849</v>
      </c>
      <c r="K190">
        <v>111.994</v>
      </c>
      <c r="L190" s="20">
        <v>32.270000000000003</v>
      </c>
      <c r="M190" s="21">
        <v>49.995671999999999</v>
      </c>
      <c r="N190" s="5" t="str">
        <f t="shared" si="8"/>
        <v>未买</v>
      </c>
      <c r="Q190" s="17">
        <v>188</v>
      </c>
    </row>
    <row r="191" spans="8:17" x14ac:dyDescent="0.15">
      <c r="H191" s="17">
        <v>189</v>
      </c>
      <c r="I191">
        <v>127050</v>
      </c>
      <c r="J191" t="s">
        <v>1883</v>
      </c>
      <c r="K191">
        <v>130.87</v>
      </c>
      <c r="L191" s="20">
        <v>32.29</v>
      </c>
      <c r="M191" s="21">
        <v>21.989072</v>
      </c>
      <c r="N191" s="5" t="str">
        <f t="shared" si="8"/>
        <v>未买</v>
      </c>
      <c r="Q191" s="17">
        <v>189</v>
      </c>
    </row>
    <row r="192" spans="8:17" x14ac:dyDescent="0.15">
      <c r="H192" s="17">
        <v>190</v>
      </c>
      <c r="I192">
        <v>113532</v>
      </c>
      <c r="J192" t="s">
        <v>199</v>
      </c>
      <c r="K192">
        <v>114.47</v>
      </c>
      <c r="L192" s="20">
        <v>32.32</v>
      </c>
      <c r="M192" s="21">
        <v>4.5855300000000003</v>
      </c>
      <c r="N192" s="5" t="str">
        <f t="shared" si="8"/>
        <v>未买</v>
      </c>
      <c r="Q192" s="17">
        <v>190</v>
      </c>
    </row>
    <row r="193" spans="8:17" x14ac:dyDescent="0.15">
      <c r="H193" s="17">
        <v>191</v>
      </c>
      <c r="I193">
        <v>127048</v>
      </c>
      <c r="J193" t="s">
        <v>218</v>
      </c>
      <c r="K193">
        <v>131.38999999999999</v>
      </c>
      <c r="L193" s="20">
        <v>32.340000000000003</v>
      </c>
      <c r="M193" s="21">
        <v>2.6995309999999999</v>
      </c>
      <c r="N193" s="5" t="str">
        <f t="shared" si="8"/>
        <v>未买</v>
      </c>
      <c r="Q193" s="17">
        <v>191</v>
      </c>
    </row>
    <row r="194" spans="8:17" x14ac:dyDescent="0.15">
      <c r="H194" s="17">
        <v>192</v>
      </c>
      <c r="I194">
        <v>128082</v>
      </c>
      <c r="J194" t="s">
        <v>2038</v>
      </c>
      <c r="K194">
        <v>191.351</v>
      </c>
      <c r="L194" s="20">
        <v>32.35</v>
      </c>
      <c r="M194" s="21">
        <v>2.0326740000000001</v>
      </c>
      <c r="N194" s="5" t="str">
        <f t="shared" si="8"/>
        <v>未买</v>
      </c>
      <c r="Q194" s="17">
        <v>192</v>
      </c>
    </row>
    <row r="195" spans="8:17" x14ac:dyDescent="0.15">
      <c r="H195" s="17">
        <v>193</v>
      </c>
      <c r="I195">
        <v>123022</v>
      </c>
      <c r="J195" t="s">
        <v>1863</v>
      </c>
      <c r="K195">
        <v>159.97999999999999</v>
      </c>
      <c r="L195" s="20">
        <v>32.4</v>
      </c>
      <c r="M195" s="21">
        <v>2.5627759999999995</v>
      </c>
      <c r="N195" s="5" t="str">
        <f t="shared" si="8"/>
        <v>未买</v>
      </c>
      <c r="Q195" s="17">
        <v>193</v>
      </c>
    </row>
    <row r="196" spans="8:17" x14ac:dyDescent="0.15">
      <c r="H196" s="17">
        <v>194</v>
      </c>
      <c r="I196">
        <v>113619</v>
      </c>
      <c r="J196" t="s">
        <v>227</v>
      </c>
      <c r="K196">
        <v>126.41</v>
      </c>
      <c r="L196" s="20">
        <v>32.520000000000003</v>
      </c>
      <c r="M196" s="21">
        <v>9.9967699999999997</v>
      </c>
      <c r="N196" s="5" t="str">
        <f t="shared" ref="N196:N259" si="9">IF(ISNA(MATCH(I196,$A$3:$A$1000,0)),"未买","Yes")</f>
        <v>未买</v>
      </c>
      <c r="Q196" s="17">
        <v>194</v>
      </c>
    </row>
    <row r="197" spans="8:17" x14ac:dyDescent="0.15">
      <c r="H197" s="17">
        <v>195</v>
      </c>
      <c r="I197">
        <v>113636</v>
      </c>
      <c r="J197" t="s">
        <v>248</v>
      </c>
      <c r="K197">
        <v>125.66</v>
      </c>
      <c r="L197" s="20">
        <v>32.76</v>
      </c>
      <c r="M197" s="21">
        <v>9.9996799999999997</v>
      </c>
      <c r="N197" s="5" t="str">
        <f t="shared" si="9"/>
        <v>未买</v>
      </c>
      <c r="Q197" s="17">
        <v>195</v>
      </c>
    </row>
    <row r="198" spans="8:17" x14ac:dyDescent="0.15">
      <c r="H198" s="17">
        <v>196</v>
      </c>
      <c r="I198">
        <v>113602</v>
      </c>
      <c r="J198" t="s">
        <v>1869</v>
      </c>
      <c r="K198">
        <v>122.7</v>
      </c>
      <c r="L198" s="20">
        <v>32.880000000000003</v>
      </c>
      <c r="M198" s="21">
        <v>17.798739999999999</v>
      </c>
      <c r="N198" s="5" t="str">
        <f t="shared" si="9"/>
        <v>未买</v>
      </c>
      <c r="Q198" s="17">
        <v>196</v>
      </c>
    </row>
    <row r="199" spans="8:17" x14ac:dyDescent="0.15">
      <c r="H199" s="17">
        <v>197</v>
      </c>
      <c r="I199">
        <v>113635</v>
      </c>
      <c r="J199" t="s">
        <v>1888</v>
      </c>
      <c r="K199">
        <v>128.19999999999999</v>
      </c>
      <c r="L199" s="20">
        <v>33.11</v>
      </c>
      <c r="M199" s="21">
        <v>13.498659999999999</v>
      </c>
      <c r="N199" s="5" t="str">
        <f t="shared" si="9"/>
        <v>未买</v>
      </c>
      <c r="Q199" s="17">
        <v>197</v>
      </c>
    </row>
    <row r="200" spans="8:17" x14ac:dyDescent="0.15">
      <c r="H200" s="17">
        <v>198</v>
      </c>
      <c r="I200">
        <v>113647</v>
      </c>
      <c r="J200" t="s">
        <v>1859</v>
      </c>
      <c r="K200">
        <v>125.94</v>
      </c>
      <c r="L200" s="20">
        <v>33.21</v>
      </c>
      <c r="M200" s="21">
        <v>15</v>
      </c>
      <c r="N200" s="5" t="str">
        <f t="shared" si="9"/>
        <v>未买</v>
      </c>
      <c r="Q200" s="17">
        <v>198</v>
      </c>
    </row>
    <row r="201" spans="8:17" x14ac:dyDescent="0.15">
      <c r="H201" s="17">
        <v>199</v>
      </c>
      <c r="I201">
        <v>128135</v>
      </c>
      <c r="J201" t="s">
        <v>1856</v>
      </c>
      <c r="K201">
        <v>124.56</v>
      </c>
      <c r="L201" s="20">
        <v>33.42</v>
      </c>
      <c r="M201" s="21">
        <v>13.398632999999998</v>
      </c>
      <c r="N201" s="5" t="str">
        <f t="shared" si="9"/>
        <v>未买</v>
      </c>
      <c r="Q201" s="17">
        <v>199</v>
      </c>
    </row>
    <row r="202" spans="8:17" x14ac:dyDescent="0.15">
      <c r="H202" s="17">
        <v>200</v>
      </c>
      <c r="I202">
        <v>128137</v>
      </c>
      <c r="J202" t="s">
        <v>2039</v>
      </c>
      <c r="K202">
        <v>129.102</v>
      </c>
      <c r="L202" s="20">
        <v>33.78</v>
      </c>
      <c r="M202" s="21">
        <v>5.9940730000000002</v>
      </c>
      <c r="N202" s="5" t="str">
        <f t="shared" si="9"/>
        <v>未买</v>
      </c>
      <c r="Q202" s="17">
        <v>200</v>
      </c>
    </row>
    <row r="203" spans="8:17" x14ac:dyDescent="0.15">
      <c r="H203" s="17">
        <v>201</v>
      </c>
      <c r="I203">
        <v>128144</v>
      </c>
      <c r="J203" t="s">
        <v>224</v>
      </c>
      <c r="K203">
        <v>118.902</v>
      </c>
      <c r="L203" s="20">
        <v>34.25</v>
      </c>
      <c r="M203" s="21">
        <v>9.7941780000000005</v>
      </c>
      <c r="N203" s="5" t="str">
        <f t="shared" si="9"/>
        <v>未买</v>
      </c>
      <c r="Q203" s="17">
        <v>201</v>
      </c>
    </row>
    <row r="204" spans="8:17" x14ac:dyDescent="0.15">
      <c r="H204" s="17">
        <v>202</v>
      </c>
      <c r="I204">
        <v>128044</v>
      </c>
      <c r="J204" t="s">
        <v>130</v>
      </c>
      <c r="K204">
        <v>114.294</v>
      </c>
      <c r="L204" s="20">
        <v>34.26</v>
      </c>
      <c r="M204" s="21">
        <v>6.5742089999999997</v>
      </c>
      <c r="N204" s="5" t="str">
        <f t="shared" si="9"/>
        <v>未买</v>
      </c>
      <c r="Q204" s="17">
        <v>202</v>
      </c>
    </row>
    <row r="205" spans="8:17" x14ac:dyDescent="0.15">
      <c r="H205" s="17">
        <v>203</v>
      </c>
      <c r="I205">
        <v>128090</v>
      </c>
      <c r="J205" t="s">
        <v>121</v>
      </c>
      <c r="K205">
        <v>139.4</v>
      </c>
      <c r="L205" s="20">
        <v>34.32</v>
      </c>
      <c r="M205" s="21">
        <v>3.0994130000000002</v>
      </c>
      <c r="N205" s="5" t="str">
        <f t="shared" si="9"/>
        <v>未买</v>
      </c>
      <c r="Q205" s="17">
        <v>203</v>
      </c>
    </row>
    <row r="206" spans="8:17" x14ac:dyDescent="0.15">
      <c r="H206" s="17">
        <v>204</v>
      </c>
      <c r="I206">
        <v>128129</v>
      </c>
      <c r="J206" t="s">
        <v>1860</v>
      </c>
      <c r="K206">
        <v>103.869</v>
      </c>
      <c r="L206" s="20">
        <v>34.75</v>
      </c>
      <c r="M206" s="21">
        <v>49.997459999999997</v>
      </c>
      <c r="N206" s="5" t="str">
        <f t="shared" si="9"/>
        <v>未买</v>
      </c>
      <c r="Q206" s="17">
        <v>204</v>
      </c>
    </row>
    <row r="207" spans="8:17" x14ac:dyDescent="0.15">
      <c r="H207" s="17">
        <v>205</v>
      </c>
      <c r="I207">
        <v>127042</v>
      </c>
      <c r="J207" t="s">
        <v>93</v>
      </c>
      <c r="K207">
        <v>112.8</v>
      </c>
      <c r="L207" s="20">
        <v>35.03</v>
      </c>
      <c r="M207" s="21">
        <v>7.4982360000000003</v>
      </c>
      <c r="N207" s="5" t="str">
        <f t="shared" si="9"/>
        <v>未买</v>
      </c>
      <c r="Q207" s="17">
        <v>205</v>
      </c>
    </row>
    <row r="208" spans="8:17" x14ac:dyDescent="0.15">
      <c r="H208" s="17">
        <v>206</v>
      </c>
      <c r="I208">
        <v>113030</v>
      </c>
      <c r="J208" t="s">
        <v>96</v>
      </c>
      <c r="K208">
        <v>127</v>
      </c>
      <c r="L208" s="20">
        <v>35.18</v>
      </c>
      <c r="M208" s="21">
        <v>2.9510800000000001</v>
      </c>
      <c r="N208" s="5" t="str">
        <f t="shared" si="9"/>
        <v>未买</v>
      </c>
      <c r="Q208" s="17">
        <v>206</v>
      </c>
    </row>
    <row r="209" spans="8:17" x14ac:dyDescent="0.15">
      <c r="H209" s="17">
        <v>207</v>
      </c>
      <c r="I209">
        <v>123077</v>
      </c>
      <c r="J209" t="s">
        <v>213</v>
      </c>
      <c r="K209">
        <v>125</v>
      </c>
      <c r="L209" s="20">
        <v>35.340000000000003</v>
      </c>
      <c r="M209" s="21">
        <v>9.3675669999999993</v>
      </c>
      <c r="N209" s="5" t="str">
        <f t="shared" si="9"/>
        <v>未买</v>
      </c>
      <c r="Q209" s="17">
        <v>207</v>
      </c>
    </row>
    <row r="210" spans="8:17" x14ac:dyDescent="0.15">
      <c r="H210" s="17">
        <v>208</v>
      </c>
      <c r="I210">
        <v>127053</v>
      </c>
      <c r="J210" t="s">
        <v>790</v>
      </c>
      <c r="K210">
        <v>121.206</v>
      </c>
      <c r="L210" s="20">
        <v>35.46</v>
      </c>
      <c r="M210" s="21">
        <v>8.24</v>
      </c>
      <c r="N210" s="5" t="str">
        <f t="shared" si="9"/>
        <v>未买</v>
      </c>
      <c r="Q210" s="17">
        <v>208</v>
      </c>
    </row>
    <row r="211" spans="8:17" x14ac:dyDescent="0.15">
      <c r="H211" s="17">
        <v>209</v>
      </c>
      <c r="I211">
        <v>113059</v>
      </c>
      <c r="J211" t="s">
        <v>2040</v>
      </c>
      <c r="K211">
        <v>128.06</v>
      </c>
      <c r="L211" s="20">
        <v>36.049999999999997</v>
      </c>
      <c r="M211" s="21">
        <v>40</v>
      </c>
      <c r="N211" s="5" t="str">
        <f t="shared" si="9"/>
        <v>未买</v>
      </c>
      <c r="Q211" s="17">
        <v>209</v>
      </c>
    </row>
    <row r="212" spans="8:17" x14ac:dyDescent="0.15">
      <c r="H212" s="17">
        <v>210</v>
      </c>
      <c r="I212">
        <v>113024</v>
      </c>
      <c r="J212" t="s">
        <v>1855</v>
      </c>
      <c r="K212">
        <v>117.37</v>
      </c>
      <c r="L212" s="20">
        <v>36.18</v>
      </c>
      <c r="M212" s="21">
        <v>29.953800000000001</v>
      </c>
      <c r="N212" s="5" t="str">
        <f t="shared" si="9"/>
        <v>未买</v>
      </c>
      <c r="Q212" s="17">
        <v>210</v>
      </c>
    </row>
    <row r="213" spans="8:17" x14ac:dyDescent="0.15">
      <c r="H213" s="17">
        <v>211</v>
      </c>
      <c r="I213">
        <v>128097</v>
      </c>
      <c r="J213" t="s">
        <v>110</v>
      </c>
      <c r="K213">
        <v>119.19</v>
      </c>
      <c r="L213" s="20">
        <v>36.200000000000003</v>
      </c>
      <c r="M213" s="21">
        <v>4.5856839999999996</v>
      </c>
      <c r="N213" s="5" t="str">
        <f t="shared" si="9"/>
        <v>未买</v>
      </c>
      <c r="Q213" s="17">
        <v>211</v>
      </c>
    </row>
    <row r="214" spans="8:17" x14ac:dyDescent="0.15">
      <c r="H214" s="17">
        <v>212</v>
      </c>
      <c r="I214">
        <v>123031</v>
      </c>
      <c r="J214" t="s">
        <v>2041</v>
      </c>
      <c r="K214">
        <v>387.38600000000002</v>
      </c>
      <c r="L214" s="20">
        <v>36.25</v>
      </c>
      <c r="M214" s="21">
        <v>0.52995999999999999</v>
      </c>
      <c r="N214" s="5" t="str">
        <f t="shared" si="9"/>
        <v>未买</v>
      </c>
      <c r="Q214" s="17">
        <v>212</v>
      </c>
    </row>
    <row r="215" spans="8:17" x14ac:dyDescent="0.15">
      <c r="H215" s="17">
        <v>213</v>
      </c>
      <c r="I215">
        <v>123082</v>
      </c>
      <c r="J215" t="s">
        <v>75</v>
      </c>
      <c r="K215">
        <v>116.2</v>
      </c>
      <c r="L215" s="20">
        <v>36.5</v>
      </c>
      <c r="M215" s="21">
        <v>4.9930149999999998</v>
      </c>
      <c r="N215" s="5" t="str">
        <f t="shared" si="9"/>
        <v>未买</v>
      </c>
      <c r="Q215" s="17">
        <v>213</v>
      </c>
    </row>
    <row r="216" spans="8:17" x14ac:dyDescent="0.15">
      <c r="H216" s="17">
        <v>214</v>
      </c>
      <c r="I216">
        <v>113579</v>
      </c>
      <c r="J216" t="s">
        <v>107</v>
      </c>
      <c r="K216">
        <v>124.9</v>
      </c>
      <c r="L216" s="20">
        <v>36.520000000000003</v>
      </c>
      <c r="M216" s="21">
        <v>5.0250199999999996</v>
      </c>
      <c r="N216" s="5" t="str">
        <f t="shared" si="9"/>
        <v>未买</v>
      </c>
      <c r="Q216" s="17">
        <v>214</v>
      </c>
    </row>
    <row r="217" spans="8:17" x14ac:dyDescent="0.15">
      <c r="H217" s="17">
        <v>215</v>
      </c>
      <c r="I217">
        <v>113013</v>
      </c>
      <c r="J217" t="s">
        <v>1861</v>
      </c>
      <c r="K217">
        <v>112.9</v>
      </c>
      <c r="L217" s="20">
        <v>37.049999999999997</v>
      </c>
      <c r="M217" s="21">
        <v>69.901759999999996</v>
      </c>
      <c r="N217" s="5" t="str">
        <f t="shared" si="9"/>
        <v>未买</v>
      </c>
      <c r="Q217" s="17">
        <v>215</v>
      </c>
    </row>
    <row r="218" spans="8:17" x14ac:dyDescent="0.15">
      <c r="H218" s="17">
        <v>216</v>
      </c>
      <c r="I218">
        <v>110086</v>
      </c>
      <c r="J218" t="s">
        <v>1846</v>
      </c>
      <c r="K218">
        <v>118.05</v>
      </c>
      <c r="L218" s="20">
        <v>37.590000000000003</v>
      </c>
      <c r="M218" s="21">
        <v>20</v>
      </c>
      <c r="N218" s="5" t="str">
        <f t="shared" si="9"/>
        <v>未买</v>
      </c>
      <c r="Q218" s="17">
        <v>216</v>
      </c>
    </row>
    <row r="219" spans="8:17" x14ac:dyDescent="0.15">
      <c r="H219" s="17">
        <v>217</v>
      </c>
      <c r="I219">
        <v>127005</v>
      </c>
      <c r="J219" t="s">
        <v>1864</v>
      </c>
      <c r="K219">
        <v>115.501</v>
      </c>
      <c r="L219" s="20">
        <v>37.71</v>
      </c>
      <c r="M219" s="21">
        <v>49.964184000000003</v>
      </c>
      <c r="N219" s="5" t="str">
        <f t="shared" si="9"/>
        <v>未买</v>
      </c>
      <c r="Q219" s="17">
        <v>217</v>
      </c>
    </row>
    <row r="220" spans="8:17" x14ac:dyDescent="0.15">
      <c r="H220" s="17">
        <v>218</v>
      </c>
      <c r="I220">
        <v>113644</v>
      </c>
      <c r="J220" t="s">
        <v>1881</v>
      </c>
      <c r="K220">
        <v>116.51</v>
      </c>
      <c r="L220" s="20">
        <v>38.19</v>
      </c>
      <c r="M220" s="21">
        <v>10</v>
      </c>
      <c r="N220" s="5" t="str">
        <f t="shared" si="9"/>
        <v>未买</v>
      </c>
      <c r="Q220" s="17">
        <v>218</v>
      </c>
    </row>
    <row r="221" spans="8:17" x14ac:dyDescent="0.15">
      <c r="H221" s="17">
        <v>219</v>
      </c>
      <c r="I221">
        <v>127025</v>
      </c>
      <c r="J221" t="s">
        <v>1867</v>
      </c>
      <c r="K221">
        <v>112</v>
      </c>
      <c r="L221" s="20">
        <v>39.06</v>
      </c>
      <c r="M221" s="21">
        <v>17.76455</v>
      </c>
      <c r="N221" s="5" t="str">
        <f t="shared" si="9"/>
        <v>未买</v>
      </c>
      <c r="Q221" s="17">
        <v>219</v>
      </c>
    </row>
    <row r="222" spans="8:17" x14ac:dyDescent="0.15">
      <c r="H222" s="17">
        <v>220</v>
      </c>
      <c r="I222">
        <v>127016</v>
      </c>
      <c r="J222" t="s">
        <v>1854</v>
      </c>
      <c r="K222">
        <v>115.005</v>
      </c>
      <c r="L222" s="20">
        <v>39.08</v>
      </c>
      <c r="M222" s="21">
        <v>13.998533999999999</v>
      </c>
      <c r="N222" s="5" t="str">
        <f t="shared" si="9"/>
        <v>未买</v>
      </c>
      <c r="Q222" s="17">
        <v>220</v>
      </c>
    </row>
    <row r="223" spans="8:17" x14ac:dyDescent="0.15">
      <c r="H223" s="17">
        <v>221</v>
      </c>
      <c r="I223">
        <v>128101</v>
      </c>
      <c r="J223" t="s">
        <v>2042</v>
      </c>
      <c r="K223">
        <v>150.79</v>
      </c>
      <c r="L223" s="20">
        <v>39.409999999999997</v>
      </c>
      <c r="M223" s="21">
        <v>2.9944609999999998</v>
      </c>
      <c r="N223" s="5" t="str">
        <f t="shared" si="9"/>
        <v>未买</v>
      </c>
      <c r="Q223" s="17">
        <v>221</v>
      </c>
    </row>
    <row r="224" spans="8:17" x14ac:dyDescent="0.15">
      <c r="H224" s="17">
        <v>222</v>
      </c>
      <c r="I224">
        <v>128071</v>
      </c>
      <c r="J224" t="s">
        <v>88</v>
      </c>
      <c r="K224">
        <v>115.25</v>
      </c>
      <c r="L224" s="20">
        <v>39.630000000000003</v>
      </c>
      <c r="M224" s="21">
        <v>2.999336</v>
      </c>
      <c r="N224" s="5" t="str">
        <f t="shared" si="9"/>
        <v>未买</v>
      </c>
      <c r="Q224" s="17">
        <v>222</v>
      </c>
    </row>
    <row r="225" spans="8:17" x14ac:dyDescent="0.15">
      <c r="H225" s="17">
        <v>223</v>
      </c>
      <c r="I225">
        <v>113621</v>
      </c>
      <c r="J225" t="s">
        <v>245</v>
      </c>
      <c r="K225">
        <v>136.02000000000001</v>
      </c>
      <c r="L225" s="20">
        <v>39.67</v>
      </c>
      <c r="M225" s="21">
        <v>5.3671432979999993</v>
      </c>
      <c r="N225" s="5" t="str">
        <f t="shared" si="9"/>
        <v>未买</v>
      </c>
      <c r="Q225" s="17">
        <v>223</v>
      </c>
    </row>
    <row r="226" spans="8:17" x14ac:dyDescent="0.15">
      <c r="H226" s="17">
        <v>224</v>
      </c>
      <c r="I226">
        <v>123139</v>
      </c>
      <c r="J226" t="s">
        <v>785</v>
      </c>
      <c r="K226">
        <v>175.3</v>
      </c>
      <c r="L226" s="20">
        <v>39.68</v>
      </c>
      <c r="M226" s="21">
        <v>4.3</v>
      </c>
      <c r="N226" s="5" t="str">
        <f t="shared" si="9"/>
        <v>未买</v>
      </c>
      <c r="Q226" s="17">
        <v>224</v>
      </c>
    </row>
    <row r="227" spans="8:17" x14ac:dyDescent="0.15">
      <c r="H227" s="17">
        <v>225</v>
      </c>
      <c r="I227">
        <v>110060</v>
      </c>
      <c r="J227" t="s">
        <v>212</v>
      </c>
      <c r="K227">
        <v>114.5</v>
      </c>
      <c r="L227" s="20">
        <v>39.770000000000003</v>
      </c>
      <c r="M227" s="21">
        <v>7.0625299999999998</v>
      </c>
      <c r="N227" s="5" t="str">
        <f t="shared" si="9"/>
        <v>未买</v>
      </c>
      <c r="Q227" s="17">
        <v>225</v>
      </c>
    </row>
    <row r="228" spans="8:17" x14ac:dyDescent="0.15">
      <c r="H228" s="17">
        <v>226</v>
      </c>
      <c r="I228">
        <v>118003</v>
      </c>
      <c r="J228" t="s">
        <v>250</v>
      </c>
      <c r="K228">
        <v>127.36</v>
      </c>
      <c r="L228" s="20">
        <v>39.86</v>
      </c>
      <c r="M228" s="21">
        <v>7.9993499999999997</v>
      </c>
      <c r="N228" s="5" t="str">
        <f t="shared" si="9"/>
        <v>未买</v>
      </c>
      <c r="Q228" s="17">
        <v>226</v>
      </c>
    </row>
    <row r="229" spans="8:17" x14ac:dyDescent="0.15">
      <c r="H229" s="17">
        <v>227</v>
      </c>
      <c r="I229">
        <v>127033</v>
      </c>
      <c r="J229" t="s">
        <v>1845</v>
      </c>
      <c r="K229">
        <v>114.369</v>
      </c>
      <c r="L229" s="20">
        <v>39.869999999999997</v>
      </c>
      <c r="M229" s="21">
        <v>11.594339</v>
      </c>
      <c r="N229" s="5" t="str">
        <f t="shared" si="9"/>
        <v>未买</v>
      </c>
      <c r="Q229" s="17">
        <v>227</v>
      </c>
    </row>
    <row r="230" spans="8:17" x14ac:dyDescent="0.15">
      <c r="H230" s="17">
        <v>228</v>
      </c>
      <c r="I230">
        <v>113054</v>
      </c>
      <c r="J230" t="s">
        <v>1868</v>
      </c>
      <c r="K230">
        <v>109</v>
      </c>
      <c r="L230" s="20">
        <v>39.92</v>
      </c>
      <c r="M230" s="21">
        <v>23.6</v>
      </c>
      <c r="N230" s="5" t="str">
        <f t="shared" si="9"/>
        <v>未买</v>
      </c>
      <c r="Q230" s="17">
        <v>228</v>
      </c>
    </row>
    <row r="231" spans="8:17" x14ac:dyDescent="0.15">
      <c r="H231" s="17">
        <v>229</v>
      </c>
      <c r="I231">
        <v>123133</v>
      </c>
      <c r="J231" t="s">
        <v>275</v>
      </c>
      <c r="K231">
        <v>126.70099999999999</v>
      </c>
      <c r="L231" s="20">
        <v>39.92</v>
      </c>
      <c r="M231" s="21">
        <v>7.2</v>
      </c>
      <c r="N231" s="5" t="str">
        <f t="shared" si="9"/>
        <v>未买</v>
      </c>
      <c r="Q231" s="17">
        <v>229</v>
      </c>
    </row>
    <row r="232" spans="8:17" x14ac:dyDescent="0.15">
      <c r="H232" s="17">
        <v>230</v>
      </c>
      <c r="I232">
        <v>113058</v>
      </c>
      <c r="J232" t="s">
        <v>1852</v>
      </c>
      <c r="K232">
        <v>116.02</v>
      </c>
      <c r="L232" s="20">
        <v>40.04</v>
      </c>
      <c r="M232" s="21">
        <v>20</v>
      </c>
      <c r="N232" s="5" t="str">
        <f t="shared" si="9"/>
        <v>未买</v>
      </c>
      <c r="Q232" s="17">
        <v>230</v>
      </c>
    </row>
    <row r="233" spans="8:17" x14ac:dyDescent="0.15">
      <c r="H233" s="17">
        <v>231</v>
      </c>
      <c r="I233">
        <v>123132</v>
      </c>
      <c r="J233" t="s">
        <v>251</v>
      </c>
      <c r="K233">
        <v>123.32</v>
      </c>
      <c r="L233" s="20">
        <v>40.07</v>
      </c>
      <c r="M233" s="21">
        <v>6.9999900000000004</v>
      </c>
      <c r="N233" s="5" t="str">
        <f t="shared" si="9"/>
        <v>未买</v>
      </c>
      <c r="Q233" s="17">
        <v>231</v>
      </c>
    </row>
    <row r="234" spans="8:17" x14ac:dyDescent="0.15">
      <c r="H234" s="17">
        <v>232</v>
      </c>
      <c r="I234">
        <v>113628</v>
      </c>
      <c r="J234" t="s">
        <v>226</v>
      </c>
      <c r="K234">
        <v>110.62</v>
      </c>
      <c r="L234" s="20">
        <v>40.130000000000003</v>
      </c>
      <c r="M234" s="21">
        <v>4.1498100000000004</v>
      </c>
      <c r="N234" s="5" t="str">
        <f t="shared" si="9"/>
        <v>未买</v>
      </c>
      <c r="Q234" s="17">
        <v>232</v>
      </c>
    </row>
    <row r="235" spans="8:17" x14ac:dyDescent="0.15">
      <c r="H235" s="17">
        <v>233</v>
      </c>
      <c r="I235">
        <v>113052</v>
      </c>
      <c r="J235" t="s">
        <v>1862</v>
      </c>
      <c r="K235">
        <v>109.92</v>
      </c>
      <c r="L235" s="20">
        <v>40.22</v>
      </c>
      <c r="M235" s="21">
        <v>500</v>
      </c>
      <c r="N235" s="5" t="str">
        <f t="shared" si="9"/>
        <v>未买</v>
      </c>
      <c r="Q235" s="17">
        <v>233</v>
      </c>
    </row>
    <row r="236" spans="8:17" x14ac:dyDescent="0.15">
      <c r="H236" s="17">
        <v>234</v>
      </c>
      <c r="I236">
        <v>113601</v>
      </c>
      <c r="J236" t="s">
        <v>65</v>
      </c>
      <c r="K236">
        <v>114.64</v>
      </c>
      <c r="L236" s="20">
        <v>40.44</v>
      </c>
      <c r="M236" s="21">
        <v>5.4289199999999997</v>
      </c>
      <c r="N236" s="5" t="str">
        <f t="shared" si="9"/>
        <v>未买</v>
      </c>
      <c r="Q236" s="17">
        <v>234</v>
      </c>
    </row>
    <row r="237" spans="8:17" x14ac:dyDescent="0.15">
      <c r="H237" s="17">
        <v>235</v>
      </c>
      <c r="I237">
        <v>113524</v>
      </c>
      <c r="J237" t="s">
        <v>219</v>
      </c>
      <c r="K237">
        <v>121.23</v>
      </c>
      <c r="L237" s="20">
        <v>40.54</v>
      </c>
      <c r="M237" s="21">
        <v>3.2980100000000001</v>
      </c>
      <c r="N237" s="5" t="str">
        <f t="shared" si="9"/>
        <v>未买</v>
      </c>
      <c r="Q237" s="17">
        <v>235</v>
      </c>
    </row>
    <row r="238" spans="8:17" x14ac:dyDescent="0.15">
      <c r="H238" s="17">
        <v>236</v>
      </c>
      <c r="I238">
        <v>128023</v>
      </c>
      <c r="J238" t="s">
        <v>211</v>
      </c>
      <c r="K238">
        <v>126.926</v>
      </c>
      <c r="L238" s="20">
        <v>40.67</v>
      </c>
      <c r="M238" s="21">
        <v>9.9863879999999998</v>
      </c>
      <c r="N238" s="5" t="str">
        <f t="shared" si="9"/>
        <v>未买</v>
      </c>
      <c r="Q238" s="17">
        <v>236</v>
      </c>
    </row>
    <row r="239" spans="8:17" x14ac:dyDescent="0.15">
      <c r="H239" s="17">
        <v>237</v>
      </c>
      <c r="I239">
        <v>127056</v>
      </c>
      <c r="J239" t="s">
        <v>1875</v>
      </c>
      <c r="K239">
        <v>118.7</v>
      </c>
      <c r="L239" s="20">
        <v>41.23</v>
      </c>
      <c r="M239" s="21">
        <v>50</v>
      </c>
      <c r="N239" s="5" t="str">
        <f t="shared" si="9"/>
        <v>未买</v>
      </c>
      <c r="Q239" s="17">
        <v>237</v>
      </c>
    </row>
    <row r="240" spans="8:17" x14ac:dyDescent="0.15">
      <c r="H240" s="17">
        <v>238</v>
      </c>
      <c r="I240">
        <v>127054</v>
      </c>
      <c r="J240" t="s">
        <v>782</v>
      </c>
      <c r="K240">
        <v>115.3</v>
      </c>
      <c r="L240" s="20">
        <v>41.33</v>
      </c>
      <c r="M240" s="21">
        <v>5.1364000000000001</v>
      </c>
      <c r="N240" s="5" t="str">
        <f t="shared" si="9"/>
        <v>未买</v>
      </c>
      <c r="Q240" s="17">
        <v>238</v>
      </c>
    </row>
    <row r="241" spans="8:17" x14ac:dyDescent="0.15">
      <c r="H241" s="17">
        <v>239</v>
      </c>
      <c r="I241">
        <v>128033</v>
      </c>
      <c r="J241" t="s">
        <v>69</v>
      </c>
      <c r="K241">
        <v>119.86</v>
      </c>
      <c r="L241" s="20">
        <v>41.85</v>
      </c>
      <c r="M241" s="21">
        <v>2.973023</v>
      </c>
      <c r="N241" s="5" t="str">
        <f t="shared" si="9"/>
        <v>未买</v>
      </c>
      <c r="Q241" s="17">
        <v>239</v>
      </c>
    </row>
    <row r="242" spans="8:17" x14ac:dyDescent="0.15">
      <c r="H242" s="17">
        <v>240</v>
      </c>
      <c r="I242">
        <v>127017</v>
      </c>
      <c r="J242" t="s">
        <v>194</v>
      </c>
      <c r="K242">
        <v>119.93</v>
      </c>
      <c r="L242" s="20">
        <v>42.16</v>
      </c>
      <c r="M242" s="21">
        <v>9.9959450000000007</v>
      </c>
      <c r="N242" s="5" t="str">
        <f t="shared" si="9"/>
        <v>未买</v>
      </c>
      <c r="Q242" s="17">
        <v>240</v>
      </c>
    </row>
    <row r="243" spans="8:17" x14ac:dyDescent="0.15">
      <c r="H243" s="17">
        <v>241</v>
      </c>
      <c r="I243">
        <v>128049</v>
      </c>
      <c r="J243" t="s">
        <v>202</v>
      </c>
      <c r="K243">
        <v>112.29900000000001</v>
      </c>
      <c r="L243" s="20">
        <v>42.2</v>
      </c>
      <c r="M243" s="21">
        <v>3.6314389999999999</v>
      </c>
      <c r="N243" s="5" t="str">
        <f t="shared" si="9"/>
        <v>未买</v>
      </c>
      <c r="Q243" s="17">
        <v>241</v>
      </c>
    </row>
    <row r="244" spans="8:17" x14ac:dyDescent="0.15">
      <c r="H244" s="17">
        <v>242</v>
      </c>
      <c r="I244">
        <v>123131</v>
      </c>
      <c r="J244" t="s">
        <v>247</v>
      </c>
      <c r="K244">
        <v>127.44</v>
      </c>
      <c r="L244" s="20">
        <v>42.63</v>
      </c>
      <c r="M244" s="21">
        <v>6.3498260000000002</v>
      </c>
      <c r="N244" s="5" t="str">
        <f t="shared" si="9"/>
        <v>未买</v>
      </c>
      <c r="Q244" s="17">
        <v>242</v>
      </c>
    </row>
    <row r="245" spans="8:17" x14ac:dyDescent="0.15">
      <c r="H245" s="17">
        <v>243</v>
      </c>
      <c r="I245">
        <v>113037</v>
      </c>
      <c r="J245" t="s">
        <v>1871</v>
      </c>
      <c r="K245">
        <v>103.97</v>
      </c>
      <c r="L245" s="20">
        <v>43.09</v>
      </c>
      <c r="M245" s="21">
        <v>44.996189999999999</v>
      </c>
      <c r="N245" s="5" t="str">
        <f t="shared" si="9"/>
        <v>未买</v>
      </c>
      <c r="Q245" s="17">
        <v>243</v>
      </c>
    </row>
    <row r="246" spans="8:17" x14ac:dyDescent="0.15">
      <c r="H246" s="17">
        <v>244</v>
      </c>
      <c r="I246">
        <v>123050</v>
      </c>
      <c r="J246" t="s">
        <v>68</v>
      </c>
      <c r="K246">
        <v>128.49700000000001</v>
      </c>
      <c r="L246" s="20">
        <v>43.16</v>
      </c>
      <c r="M246" s="21">
        <v>3.7459980000000006</v>
      </c>
      <c r="N246" s="5" t="str">
        <f t="shared" si="9"/>
        <v>未买</v>
      </c>
      <c r="Q246" s="17">
        <v>244</v>
      </c>
    </row>
    <row r="247" spans="8:17" x14ac:dyDescent="0.15">
      <c r="H247" s="17">
        <v>245</v>
      </c>
      <c r="I247">
        <v>113056</v>
      </c>
      <c r="J247" t="s">
        <v>1874</v>
      </c>
      <c r="K247">
        <v>100.8</v>
      </c>
      <c r="L247" s="20">
        <v>43.2</v>
      </c>
      <c r="M247" s="21">
        <v>130</v>
      </c>
      <c r="N247" s="5" t="str">
        <f t="shared" si="9"/>
        <v>未买</v>
      </c>
      <c r="Q247" s="17">
        <v>245</v>
      </c>
    </row>
    <row r="248" spans="8:17" x14ac:dyDescent="0.15">
      <c r="H248" s="17">
        <v>246</v>
      </c>
      <c r="I248">
        <v>123142</v>
      </c>
      <c r="J248" t="s">
        <v>779</v>
      </c>
      <c r="K248">
        <v>120.795</v>
      </c>
      <c r="L248" s="20">
        <v>43.36</v>
      </c>
      <c r="M248" s="21">
        <v>5.5</v>
      </c>
      <c r="N248" s="5" t="str">
        <f t="shared" si="9"/>
        <v>未买</v>
      </c>
      <c r="Q248" s="17">
        <v>246</v>
      </c>
    </row>
    <row r="249" spans="8:17" x14ac:dyDescent="0.15">
      <c r="H249" s="17">
        <v>247</v>
      </c>
      <c r="I249">
        <v>128076</v>
      </c>
      <c r="J249" t="s">
        <v>129</v>
      </c>
      <c r="K249">
        <v>133</v>
      </c>
      <c r="L249" s="20">
        <v>43.47</v>
      </c>
      <c r="M249" s="21">
        <v>2.1373919999999997</v>
      </c>
      <c r="N249" s="5" t="str">
        <f t="shared" si="9"/>
        <v>Yes</v>
      </c>
      <c r="Q249" s="17">
        <v>247</v>
      </c>
    </row>
    <row r="250" spans="8:17" x14ac:dyDescent="0.15">
      <c r="H250" s="17">
        <v>248</v>
      </c>
      <c r="I250">
        <v>113546</v>
      </c>
      <c r="J250" t="s">
        <v>87</v>
      </c>
      <c r="K250">
        <v>125.35</v>
      </c>
      <c r="L250" s="20">
        <v>43.55</v>
      </c>
      <c r="M250" s="21">
        <v>2.2968000000000002</v>
      </c>
      <c r="N250" s="5" t="str">
        <f t="shared" si="9"/>
        <v>未买</v>
      </c>
      <c r="Q250" s="17">
        <v>248</v>
      </c>
    </row>
    <row r="251" spans="8:17" x14ac:dyDescent="0.15">
      <c r="H251" s="17">
        <v>249</v>
      </c>
      <c r="I251">
        <v>123048</v>
      </c>
      <c r="J251" t="s">
        <v>233</v>
      </c>
      <c r="K251">
        <v>124.6</v>
      </c>
      <c r="L251" s="20">
        <v>43.88</v>
      </c>
      <c r="M251" s="21">
        <v>3.7914160000000008</v>
      </c>
      <c r="N251" s="5" t="str">
        <f t="shared" si="9"/>
        <v>未买</v>
      </c>
      <c r="Q251" s="17">
        <v>249</v>
      </c>
    </row>
    <row r="252" spans="8:17" x14ac:dyDescent="0.15">
      <c r="H252" s="17">
        <v>250</v>
      </c>
      <c r="I252">
        <v>128078</v>
      </c>
      <c r="J252" t="s">
        <v>2043</v>
      </c>
      <c r="K252">
        <v>124.271</v>
      </c>
      <c r="L252" s="20">
        <v>43.9</v>
      </c>
      <c r="M252" s="21">
        <v>9.5993570000000012</v>
      </c>
      <c r="N252" s="5" t="str">
        <f t="shared" si="9"/>
        <v>未买</v>
      </c>
      <c r="Q252" s="17">
        <v>250</v>
      </c>
    </row>
    <row r="253" spans="8:17" x14ac:dyDescent="0.15">
      <c r="H253" s="17">
        <v>251</v>
      </c>
      <c r="I253">
        <v>110045</v>
      </c>
      <c r="J253" t="s">
        <v>1876</v>
      </c>
      <c r="K253">
        <v>108.44</v>
      </c>
      <c r="L253" s="20">
        <v>44.05</v>
      </c>
      <c r="M253" s="21">
        <v>29.496179999999999</v>
      </c>
      <c r="N253" s="5" t="str">
        <f t="shared" si="9"/>
        <v>未买</v>
      </c>
      <c r="Q253" s="17">
        <v>251</v>
      </c>
    </row>
    <row r="254" spans="8:17" x14ac:dyDescent="0.15">
      <c r="H254" s="17">
        <v>252</v>
      </c>
      <c r="I254">
        <v>113526</v>
      </c>
      <c r="J254" t="s">
        <v>143</v>
      </c>
      <c r="K254">
        <v>147.15</v>
      </c>
      <c r="L254" s="20">
        <v>44.12</v>
      </c>
      <c r="M254" s="21">
        <v>1.9295199999999999</v>
      </c>
      <c r="N254" s="5" t="str">
        <f t="shared" si="9"/>
        <v>Yes</v>
      </c>
      <c r="Q254" s="17">
        <v>252</v>
      </c>
    </row>
    <row r="255" spans="8:17" x14ac:dyDescent="0.15">
      <c r="H255" s="17">
        <v>253</v>
      </c>
      <c r="I255">
        <v>127021</v>
      </c>
      <c r="J255" t="s">
        <v>217</v>
      </c>
      <c r="K255">
        <v>120.96</v>
      </c>
      <c r="L255" s="20">
        <v>44.4</v>
      </c>
      <c r="M255" s="21">
        <v>4.159466000000001</v>
      </c>
      <c r="N255" s="5" t="str">
        <f t="shared" si="9"/>
        <v>未买</v>
      </c>
      <c r="Q255" s="17">
        <v>253</v>
      </c>
    </row>
    <row r="256" spans="8:17" x14ac:dyDescent="0.15">
      <c r="H256" s="17">
        <v>254</v>
      </c>
      <c r="I256">
        <v>127019</v>
      </c>
      <c r="J256" t="s">
        <v>175</v>
      </c>
      <c r="K256">
        <v>110.501</v>
      </c>
      <c r="L256" s="20">
        <v>44.63</v>
      </c>
      <c r="M256" s="21">
        <v>8.4978960000000008</v>
      </c>
      <c r="N256" s="5" t="str">
        <f t="shared" si="9"/>
        <v>未买</v>
      </c>
      <c r="Q256" s="17">
        <v>254</v>
      </c>
    </row>
    <row r="257" spans="8:17" x14ac:dyDescent="0.15">
      <c r="H257" s="17">
        <v>255</v>
      </c>
      <c r="I257">
        <v>128014</v>
      </c>
      <c r="J257" t="s">
        <v>187</v>
      </c>
      <c r="K257">
        <v>116</v>
      </c>
      <c r="L257" s="20">
        <v>45.11</v>
      </c>
      <c r="M257" s="21">
        <v>3.369688</v>
      </c>
      <c r="N257" s="5" t="str">
        <f t="shared" si="9"/>
        <v>未买</v>
      </c>
      <c r="Q257" s="17">
        <v>255</v>
      </c>
    </row>
    <row r="258" spans="8:17" x14ac:dyDescent="0.15">
      <c r="H258" s="17">
        <v>256</v>
      </c>
      <c r="I258">
        <v>113643</v>
      </c>
      <c r="J258" t="s">
        <v>814</v>
      </c>
      <c r="K258">
        <v>123.72</v>
      </c>
      <c r="L258" s="20">
        <v>45.14</v>
      </c>
      <c r="M258" s="21">
        <v>5</v>
      </c>
      <c r="N258" s="5" t="str">
        <f t="shared" si="9"/>
        <v>未买</v>
      </c>
      <c r="Q258" s="17">
        <v>256</v>
      </c>
    </row>
    <row r="259" spans="8:17" x14ac:dyDescent="0.15">
      <c r="H259" s="17">
        <v>257</v>
      </c>
      <c r="I259">
        <v>113600</v>
      </c>
      <c r="J259" t="s">
        <v>272</v>
      </c>
      <c r="K259">
        <v>129.6</v>
      </c>
      <c r="L259" s="20">
        <v>45.18</v>
      </c>
      <c r="M259" s="21">
        <v>4.5331000000000001</v>
      </c>
      <c r="N259" s="5" t="str">
        <f t="shared" si="9"/>
        <v>未买</v>
      </c>
      <c r="Q259" s="17">
        <v>257</v>
      </c>
    </row>
    <row r="260" spans="8:17" x14ac:dyDescent="0.15">
      <c r="H260" s="17">
        <v>258</v>
      </c>
      <c r="I260">
        <v>128120</v>
      </c>
      <c r="J260" t="s">
        <v>116</v>
      </c>
      <c r="K260">
        <v>121.251</v>
      </c>
      <c r="L260" s="20">
        <v>45.26</v>
      </c>
      <c r="M260" s="21">
        <v>2.5996240000000004</v>
      </c>
      <c r="N260" s="5" t="str">
        <f t="shared" ref="N260:N323" si="10">IF(ISNA(MATCH(I260,$A$3:$A$1000,0)),"未买","Yes")</f>
        <v>未买</v>
      </c>
      <c r="Q260" s="17">
        <v>258</v>
      </c>
    </row>
    <row r="261" spans="8:17" x14ac:dyDescent="0.15">
      <c r="H261" s="17">
        <v>259</v>
      </c>
      <c r="I261">
        <v>123044</v>
      </c>
      <c r="J261" t="s">
        <v>169</v>
      </c>
      <c r="K261">
        <v>117.523</v>
      </c>
      <c r="L261" s="20">
        <v>45.88</v>
      </c>
      <c r="M261" s="21">
        <v>5.4958900000000002</v>
      </c>
      <c r="N261" s="5" t="str">
        <f t="shared" si="10"/>
        <v>未买</v>
      </c>
      <c r="Q261" s="17">
        <v>259</v>
      </c>
    </row>
    <row r="262" spans="8:17" x14ac:dyDescent="0.15">
      <c r="H262" s="17">
        <v>260</v>
      </c>
      <c r="I262">
        <v>127026</v>
      </c>
      <c r="J262" t="s">
        <v>232</v>
      </c>
      <c r="K262">
        <v>117.611</v>
      </c>
      <c r="L262" s="20">
        <v>45.96</v>
      </c>
      <c r="M262" s="21">
        <v>6.99709</v>
      </c>
      <c r="N262" s="5" t="str">
        <f t="shared" si="10"/>
        <v>未买</v>
      </c>
      <c r="Q262" s="17">
        <v>260</v>
      </c>
    </row>
    <row r="263" spans="8:17" x14ac:dyDescent="0.15">
      <c r="H263" s="17">
        <v>261</v>
      </c>
      <c r="I263">
        <v>123118</v>
      </c>
      <c r="J263" t="s">
        <v>238</v>
      </c>
      <c r="K263">
        <v>115.65600000000001</v>
      </c>
      <c r="L263" s="20">
        <v>46.16</v>
      </c>
      <c r="M263" s="21">
        <v>3.1992880000000001</v>
      </c>
      <c r="N263" s="5" t="str">
        <f t="shared" si="10"/>
        <v>未买</v>
      </c>
      <c r="Q263" s="17">
        <v>261</v>
      </c>
    </row>
    <row r="264" spans="8:17" x14ac:dyDescent="0.15">
      <c r="H264" s="17">
        <v>262</v>
      </c>
      <c r="I264">
        <v>123025</v>
      </c>
      <c r="J264" t="s">
        <v>67</v>
      </c>
      <c r="K264">
        <v>127</v>
      </c>
      <c r="L264" s="20">
        <v>46.21</v>
      </c>
      <c r="M264" s="21">
        <v>3.0864669999999998</v>
      </c>
      <c r="N264" s="5" t="str">
        <f t="shared" si="10"/>
        <v>未买</v>
      </c>
      <c r="Q264" s="17">
        <v>262</v>
      </c>
    </row>
    <row r="265" spans="8:17" x14ac:dyDescent="0.15">
      <c r="H265" s="17">
        <v>263</v>
      </c>
      <c r="I265">
        <v>128091</v>
      </c>
      <c r="J265" t="s">
        <v>2044</v>
      </c>
      <c r="K265">
        <v>213</v>
      </c>
      <c r="L265" s="20">
        <v>46.71</v>
      </c>
      <c r="M265" s="21">
        <v>1.5406930000000001</v>
      </c>
      <c r="N265" s="5" t="str">
        <f t="shared" si="10"/>
        <v>Yes</v>
      </c>
      <c r="Q265" s="17">
        <v>263</v>
      </c>
    </row>
    <row r="266" spans="8:17" x14ac:dyDescent="0.15">
      <c r="H266" s="17">
        <v>264</v>
      </c>
      <c r="I266">
        <v>123002</v>
      </c>
      <c r="J266" t="s">
        <v>81</v>
      </c>
      <c r="K266">
        <v>117.346</v>
      </c>
      <c r="L266" s="20">
        <v>46.72</v>
      </c>
      <c r="M266" s="21">
        <v>2.5214889999999999</v>
      </c>
      <c r="N266" s="5" t="str">
        <f t="shared" si="10"/>
        <v>未买</v>
      </c>
      <c r="Q266" s="17">
        <v>264</v>
      </c>
    </row>
    <row r="267" spans="8:17" x14ac:dyDescent="0.15">
      <c r="H267" s="17">
        <v>265</v>
      </c>
      <c r="I267">
        <v>127015</v>
      </c>
      <c r="J267" t="s">
        <v>168</v>
      </c>
      <c r="K267">
        <v>117.319</v>
      </c>
      <c r="L267" s="20">
        <v>46.83</v>
      </c>
      <c r="M267" s="21">
        <v>9.4967559999999995</v>
      </c>
      <c r="N267" s="5" t="str">
        <f t="shared" si="10"/>
        <v>未买</v>
      </c>
      <c r="Q267" s="17">
        <v>265</v>
      </c>
    </row>
    <row r="268" spans="8:17" x14ac:dyDescent="0.15">
      <c r="H268" s="17">
        <v>266</v>
      </c>
      <c r="I268">
        <v>113606</v>
      </c>
      <c r="J268" t="s">
        <v>209</v>
      </c>
      <c r="K268">
        <v>112.48</v>
      </c>
      <c r="L268" s="20">
        <v>46.99</v>
      </c>
      <c r="M268" s="21">
        <v>5.9988799999999998</v>
      </c>
      <c r="N268" s="5" t="str">
        <f t="shared" si="10"/>
        <v>未买</v>
      </c>
      <c r="Q268" s="17">
        <v>266</v>
      </c>
    </row>
    <row r="269" spans="8:17" x14ac:dyDescent="0.15">
      <c r="H269" s="17">
        <v>267</v>
      </c>
      <c r="I269">
        <v>128143</v>
      </c>
      <c r="J269" t="s">
        <v>117</v>
      </c>
      <c r="K269">
        <v>126.5</v>
      </c>
      <c r="L269" s="20">
        <v>47.33</v>
      </c>
      <c r="M269" s="21">
        <v>2.4437419999999999</v>
      </c>
      <c r="N269" s="5" t="str">
        <f t="shared" si="10"/>
        <v>未买</v>
      </c>
      <c r="Q269" s="17">
        <v>267</v>
      </c>
    </row>
    <row r="270" spans="8:17" x14ac:dyDescent="0.15">
      <c r="H270" s="17">
        <v>268</v>
      </c>
      <c r="I270">
        <v>123010</v>
      </c>
      <c r="J270" t="s">
        <v>195</v>
      </c>
      <c r="K270">
        <v>111.11</v>
      </c>
      <c r="L270" s="20">
        <v>47.38</v>
      </c>
      <c r="M270" s="21">
        <v>4.2960060000000002</v>
      </c>
      <c r="N270" s="5" t="str">
        <f t="shared" si="10"/>
        <v>未买</v>
      </c>
      <c r="Q270" s="17">
        <v>268</v>
      </c>
    </row>
    <row r="271" spans="8:17" x14ac:dyDescent="0.15">
      <c r="H271" s="17">
        <v>269</v>
      </c>
      <c r="I271">
        <v>127006</v>
      </c>
      <c r="J271" t="s">
        <v>1879</v>
      </c>
      <c r="K271">
        <v>110.095</v>
      </c>
      <c r="L271" s="20">
        <v>47.56</v>
      </c>
      <c r="M271" s="21">
        <v>24.072253</v>
      </c>
      <c r="N271" s="5" t="str">
        <f t="shared" si="10"/>
        <v>未买</v>
      </c>
      <c r="Q271" s="17">
        <v>269</v>
      </c>
    </row>
    <row r="272" spans="8:17" x14ac:dyDescent="0.15">
      <c r="H272" s="17">
        <v>270</v>
      </c>
      <c r="I272">
        <v>123062</v>
      </c>
      <c r="J272" t="s">
        <v>102</v>
      </c>
      <c r="K272">
        <v>136.69</v>
      </c>
      <c r="L272" s="20">
        <v>47.73</v>
      </c>
      <c r="M272" s="21">
        <v>1.947703</v>
      </c>
      <c r="N272" s="5" t="str">
        <f t="shared" si="10"/>
        <v>未买</v>
      </c>
      <c r="Q272" s="17">
        <v>270</v>
      </c>
    </row>
    <row r="273" spans="8:17" x14ac:dyDescent="0.15">
      <c r="H273" s="17">
        <v>271</v>
      </c>
      <c r="I273">
        <v>128132</v>
      </c>
      <c r="J273" t="s">
        <v>159</v>
      </c>
      <c r="K273">
        <v>116.703</v>
      </c>
      <c r="L273" s="20">
        <v>47.91</v>
      </c>
      <c r="M273" s="21">
        <v>8.4894379999999998</v>
      </c>
      <c r="N273" s="5" t="str">
        <f t="shared" si="10"/>
        <v>未买</v>
      </c>
      <c r="Q273" s="17">
        <v>271</v>
      </c>
    </row>
    <row r="274" spans="8:17" x14ac:dyDescent="0.15">
      <c r="H274" s="17">
        <v>272</v>
      </c>
      <c r="I274">
        <v>110082</v>
      </c>
      <c r="J274" t="s">
        <v>1890</v>
      </c>
      <c r="K274">
        <v>122.52</v>
      </c>
      <c r="L274" s="20">
        <v>48.01</v>
      </c>
      <c r="M274" s="21">
        <v>19.99661</v>
      </c>
      <c r="N274" s="5" t="str">
        <f t="shared" si="10"/>
        <v>未买</v>
      </c>
      <c r="Q274" s="17">
        <v>272</v>
      </c>
    </row>
    <row r="275" spans="8:17" x14ac:dyDescent="0.15">
      <c r="H275" s="17">
        <v>273</v>
      </c>
      <c r="I275">
        <v>110067</v>
      </c>
      <c r="J275" t="s">
        <v>1884</v>
      </c>
      <c r="K275">
        <v>109.81</v>
      </c>
      <c r="L275" s="20">
        <v>48.35</v>
      </c>
      <c r="M275" s="21">
        <v>27.995080000000002</v>
      </c>
      <c r="N275" s="5" t="str">
        <f t="shared" si="10"/>
        <v>未买</v>
      </c>
      <c r="Q275" s="17">
        <v>273</v>
      </c>
    </row>
    <row r="276" spans="8:17" x14ac:dyDescent="0.15">
      <c r="H276" s="17">
        <v>274</v>
      </c>
      <c r="I276">
        <v>110072</v>
      </c>
      <c r="J276" t="s">
        <v>1873</v>
      </c>
      <c r="K276">
        <v>99.09</v>
      </c>
      <c r="L276" s="20">
        <v>49.57</v>
      </c>
      <c r="M276" s="21">
        <v>33.662689999999998</v>
      </c>
      <c r="N276" s="5" t="str">
        <f t="shared" si="10"/>
        <v>未买</v>
      </c>
      <c r="Q276" s="17">
        <v>274</v>
      </c>
    </row>
    <row r="277" spans="8:17" x14ac:dyDescent="0.15">
      <c r="H277" s="17">
        <v>275</v>
      </c>
      <c r="I277">
        <v>113527</v>
      </c>
      <c r="J277" t="s">
        <v>118</v>
      </c>
      <c r="K277">
        <v>122.6</v>
      </c>
      <c r="L277" s="20">
        <v>49.99</v>
      </c>
      <c r="M277" s="21">
        <v>2.8627899999999999</v>
      </c>
      <c r="N277" s="5" t="str">
        <f t="shared" si="10"/>
        <v>未买</v>
      </c>
      <c r="Q277" s="17">
        <v>275</v>
      </c>
    </row>
    <row r="278" spans="8:17" x14ac:dyDescent="0.15">
      <c r="H278" s="17">
        <v>276</v>
      </c>
      <c r="I278">
        <v>128039</v>
      </c>
      <c r="J278" t="s">
        <v>119</v>
      </c>
      <c r="K278">
        <v>125.45</v>
      </c>
      <c r="L278" s="20">
        <v>50.17</v>
      </c>
      <c r="M278" s="21">
        <v>2.024089</v>
      </c>
      <c r="N278" s="5" t="str">
        <f t="shared" si="10"/>
        <v>未买</v>
      </c>
      <c r="Q278" s="17">
        <v>276</v>
      </c>
    </row>
    <row r="279" spans="8:17" x14ac:dyDescent="0.15">
      <c r="H279" s="17">
        <v>277</v>
      </c>
      <c r="I279">
        <v>123115</v>
      </c>
      <c r="J279" t="s">
        <v>1887</v>
      </c>
      <c r="K279">
        <v>119.3</v>
      </c>
      <c r="L279" s="20">
        <v>50.4</v>
      </c>
      <c r="M279" s="21">
        <v>11.946248000000001</v>
      </c>
      <c r="N279" s="5" t="str">
        <f t="shared" si="10"/>
        <v>未买</v>
      </c>
      <c r="Q279" s="17">
        <v>277</v>
      </c>
    </row>
    <row r="280" spans="8:17" x14ac:dyDescent="0.15">
      <c r="H280" s="17">
        <v>278</v>
      </c>
      <c r="I280">
        <v>113588</v>
      </c>
      <c r="J280" t="s">
        <v>216</v>
      </c>
      <c r="K280">
        <v>112.09</v>
      </c>
      <c r="L280" s="20">
        <v>50.48</v>
      </c>
      <c r="M280" s="21">
        <v>5.49885</v>
      </c>
      <c r="N280" s="5" t="str">
        <f t="shared" si="10"/>
        <v>未买</v>
      </c>
      <c r="Q280" s="17">
        <v>278</v>
      </c>
    </row>
    <row r="281" spans="8:17" x14ac:dyDescent="0.15">
      <c r="H281" s="17">
        <v>279</v>
      </c>
      <c r="I281">
        <v>127034</v>
      </c>
      <c r="J281" t="s">
        <v>201</v>
      </c>
      <c r="K281">
        <v>105.15</v>
      </c>
      <c r="L281" s="20">
        <v>50.67</v>
      </c>
      <c r="M281" s="21">
        <v>7.1177669999999997</v>
      </c>
      <c r="N281" s="5" t="str">
        <f t="shared" si="10"/>
        <v>未买</v>
      </c>
      <c r="Q281" s="17">
        <v>279</v>
      </c>
    </row>
    <row r="282" spans="8:17" x14ac:dyDescent="0.15">
      <c r="H282" s="17">
        <v>280</v>
      </c>
      <c r="I282">
        <v>113577</v>
      </c>
      <c r="J282" t="s">
        <v>115</v>
      </c>
      <c r="K282">
        <v>133.1</v>
      </c>
      <c r="L282" s="20">
        <v>51.06</v>
      </c>
      <c r="M282" s="21">
        <v>1.7774799999999999</v>
      </c>
      <c r="N282" s="5" t="str">
        <f t="shared" si="10"/>
        <v>未买</v>
      </c>
      <c r="Q282" s="17">
        <v>280</v>
      </c>
    </row>
    <row r="283" spans="8:17" x14ac:dyDescent="0.15">
      <c r="H283" s="17">
        <v>281</v>
      </c>
      <c r="I283">
        <v>123059</v>
      </c>
      <c r="J283" t="s">
        <v>208</v>
      </c>
      <c r="K283">
        <v>120.3</v>
      </c>
      <c r="L283" s="20">
        <v>51.24</v>
      </c>
      <c r="M283" s="21">
        <v>3.912433</v>
      </c>
      <c r="N283" s="5" t="str">
        <f t="shared" si="10"/>
        <v>未买</v>
      </c>
      <c r="Q283" s="17">
        <v>281</v>
      </c>
    </row>
    <row r="284" spans="8:17" x14ac:dyDescent="0.15">
      <c r="H284" s="17">
        <v>282</v>
      </c>
      <c r="I284">
        <v>113565</v>
      </c>
      <c r="J284" t="s">
        <v>122</v>
      </c>
      <c r="K284">
        <v>124.65</v>
      </c>
      <c r="L284" s="20">
        <v>51.4</v>
      </c>
      <c r="M284" s="21">
        <v>2.24926</v>
      </c>
      <c r="N284" s="5" t="str">
        <f t="shared" si="10"/>
        <v>Yes</v>
      </c>
      <c r="Q284" s="17">
        <v>282</v>
      </c>
    </row>
    <row r="285" spans="8:17" x14ac:dyDescent="0.15">
      <c r="H285" s="17">
        <v>283</v>
      </c>
      <c r="I285">
        <v>123122</v>
      </c>
      <c r="J285" t="s">
        <v>176</v>
      </c>
      <c r="K285">
        <v>119.7</v>
      </c>
      <c r="L285" s="20">
        <v>51.69</v>
      </c>
      <c r="M285" s="21">
        <v>5.8070950000000003</v>
      </c>
      <c r="N285" s="5" t="str">
        <f t="shared" si="10"/>
        <v>未买</v>
      </c>
      <c r="Q285" s="17">
        <v>283</v>
      </c>
    </row>
    <row r="286" spans="8:17" x14ac:dyDescent="0.15">
      <c r="H286" s="17">
        <v>284</v>
      </c>
      <c r="I286">
        <v>113610</v>
      </c>
      <c r="J286" t="s">
        <v>111</v>
      </c>
      <c r="K286">
        <v>112.68</v>
      </c>
      <c r="L286" s="20">
        <v>51.82</v>
      </c>
      <c r="M286" s="21">
        <v>4.5794600000000001</v>
      </c>
      <c r="N286" s="5" t="str">
        <f t="shared" si="10"/>
        <v>未买</v>
      </c>
      <c r="Q286" s="17">
        <v>284</v>
      </c>
    </row>
    <row r="287" spans="8:17" x14ac:dyDescent="0.15">
      <c r="H287" s="17">
        <v>285</v>
      </c>
      <c r="I287">
        <v>123090</v>
      </c>
      <c r="J287" t="s">
        <v>182</v>
      </c>
      <c r="K287">
        <v>117.9</v>
      </c>
      <c r="L287" s="20">
        <v>52.58</v>
      </c>
      <c r="M287" s="21">
        <v>4.9994690000000004</v>
      </c>
      <c r="N287" s="5" t="str">
        <f t="shared" si="10"/>
        <v>未买</v>
      </c>
      <c r="Q287" s="17">
        <v>285</v>
      </c>
    </row>
    <row r="288" spans="8:17" x14ac:dyDescent="0.15">
      <c r="H288" s="17">
        <v>286</v>
      </c>
      <c r="I288">
        <v>128036</v>
      </c>
      <c r="J288" t="s">
        <v>181</v>
      </c>
      <c r="K288">
        <v>156.30000000000001</v>
      </c>
      <c r="L288" s="20">
        <v>53</v>
      </c>
      <c r="M288" s="21">
        <v>1.4565330000000001</v>
      </c>
      <c r="N288" s="5" t="str">
        <f t="shared" si="10"/>
        <v>Yes</v>
      </c>
      <c r="Q288" s="17">
        <v>286</v>
      </c>
    </row>
    <row r="289" spans="8:17" x14ac:dyDescent="0.15">
      <c r="H289" s="17">
        <v>287</v>
      </c>
      <c r="I289">
        <v>113519</v>
      </c>
      <c r="J289" t="s">
        <v>173</v>
      </c>
      <c r="K289">
        <v>117.32</v>
      </c>
      <c r="L289" s="20">
        <v>53.1</v>
      </c>
      <c r="M289" s="21">
        <v>6.9611099999999997</v>
      </c>
      <c r="N289" s="5" t="str">
        <f t="shared" si="10"/>
        <v>未买</v>
      </c>
      <c r="Q289" s="17">
        <v>287</v>
      </c>
    </row>
    <row r="290" spans="8:17" x14ac:dyDescent="0.15">
      <c r="H290" s="17">
        <v>288</v>
      </c>
      <c r="I290">
        <v>113021</v>
      </c>
      <c r="J290" t="s">
        <v>1885</v>
      </c>
      <c r="K290">
        <v>109.2</v>
      </c>
      <c r="L290" s="20">
        <v>54.06</v>
      </c>
      <c r="M290" s="21">
        <v>399.99664999999999</v>
      </c>
      <c r="N290" s="5" t="str">
        <f t="shared" si="10"/>
        <v>未买</v>
      </c>
      <c r="Q290" s="17">
        <v>288</v>
      </c>
    </row>
    <row r="291" spans="8:17" x14ac:dyDescent="0.15">
      <c r="H291" s="17">
        <v>289</v>
      </c>
      <c r="I291">
        <v>123106</v>
      </c>
      <c r="J291" t="s">
        <v>64</v>
      </c>
      <c r="K291">
        <v>115.60299999999999</v>
      </c>
      <c r="L291" s="20">
        <v>54.34</v>
      </c>
      <c r="M291" s="21">
        <v>3.199684</v>
      </c>
      <c r="N291" s="5" t="str">
        <f t="shared" si="10"/>
        <v>未买</v>
      </c>
      <c r="Q291" s="17">
        <v>289</v>
      </c>
    </row>
    <row r="292" spans="8:17" x14ac:dyDescent="0.15">
      <c r="H292" s="17">
        <v>290</v>
      </c>
      <c r="I292">
        <v>113561</v>
      </c>
      <c r="J292" t="s">
        <v>86</v>
      </c>
      <c r="K292">
        <v>132.27000000000001</v>
      </c>
      <c r="L292" s="20">
        <v>54.39</v>
      </c>
      <c r="M292" s="21">
        <v>1.4991000000000001</v>
      </c>
      <c r="N292" s="5" t="str">
        <f t="shared" si="10"/>
        <v>未买</v>
      </c>
      <c r="Q292" s="17">
        <v>290</v>
      </c>
    </row>
    <row r="293" spans="8:17" x14ac:dyDescent="0.15">
      <c r="H293" s="17">
        <v>291</v>
      </c>
      <c r="I293" s="7">
        <v>123088</v>
      </c>
      <c r="J293" s="7" t="s">
        <v>235</v>
      </c>
      <c r="K293" s="7">
        <v>124.238</v>
      </c>
      <c r="L293" s="33">
        <v>54.43</v>
      </c>
      <c r="M293" s="36">
        <v>3.011755</v>
      </c>
      <c r="N293" s="5" t="str">
        <f t="shared" si="10"/>
        <v>未买</v>
      </c>
    </row>
    <row r="294" spans="8:17" x14ac:dyDescent="0.15">
      <c r="H294" s="17">
        <v>292</v>
      </c>
      <c r="I294" s="7">
        <v>127055</v>
      </c>
      <c r="J294" s="7" t="s">
        <v>778</v>
      </c>
      <c r="K294" s="7">
        <v>114.57299999999999</v>
      </c>
      <c r="L294" s="33">
        <v>54.43</v>
      </c>
      <c r="M294" s="36">
        <v>5.77</v>
      </c>
      <c r="N294" s="5" t="str">
        <f t="shared" si="10"/>
        <v>未买</v>
      </c>
    </row>
    <row r="295" spans="8:17" x14ac:dyDescent="0.15">
      <c r="H295" s="17">
        <v>293</v>
      </c>
      <c r="I295" s="7">
        <v>128056</v>
      </c>
      <c r="J295" s="7" t="s">
        <v>79</v>
      </c>
      <c r="K295" s="7">
        <v>131.80000000000001</v>
      </c>
      <c r="L295" s="33">
        <v>54.46</v>
      </c>
      <c r="M295" s="36">
        <v>1.7224740000000003</v>
      </c>
      <c r="N295" s="5" t="str">
        <f t="shared" si="10"/>
        <v>未买</v>
      </c>
    </row>
    <row r="296" spans="8:17" x14ac:dyDescent="0.15">
      <c r="H296" s="17">
        <v>294</v>
      </c>
      <c r="I296" s="7">
        <v>128123</v>
      </c>
      <c r="J296" s="7" t="s">
        <v>164</v>
      </c>
      <c r="K296" s="7">
        <v>115.45</v>
      </c>
      <c r="L296" s="33">
        <v>54.51</v>
      </c>
      <c r="M296" s="36">
        <v>3.1992560000000001</v>
      </c>
      <c r="N296" s="5" t="str">
        <f t="shared" si="10"/>
        <v>未买</v>
      </c>
    </row>
    <row r="297" spans="8:17" x14ac:dyDescent="0.15">
      <c r="H297" s="17">
        <v>295</v>
      </c>
      <c r="I297" s="7">
        <v>113638</v>
      </c>
      <c r="J297" s="7" t="s">
        <v>274</v>
      </c>
      <c r="K297" s="7">
        <v>119.98</v>
      </c>
      <c r="L297" s="33">
        <v>55.09</v>
      </c>
      <c r="M297" s="36">
        <v>6</v>
      </c>
      <c r="N297" s="5" t="str">
        <f t="shared" si="10"/>
        <v>未买</v>
      </c>
    </row>
    <row r="298" spans="8:17" x14ac:dyDescent="0.15">
      <c r="H298" s="17">
        <v>296</v>
      </c>
      <c r="I298" s="7">
        <v>113046</v>
      </c>
      <c r="J298" s="7" t="s">
        <v>1886</v>
      </c>
      <c r="K298" s="7">
        <v>110.23</v>
      </c>
      <c r="L298" s="33">
        <v>55.14</v>
      </c>
      <c r="M298" s="36">
        <v>14.998810000000001</v>
      </c>
      <c r="N298" s="5" t="str">
        <f t="shared" si="10"/>
        <v>未买</v>
      </c>
    </row>
    <row r="299" spans="8:17" x14ac:dyDescent="0.15">
      <c r="H299" s="17">
        <v>297</v>
      </c>
      <c r="I299" s="7">
        <v>123064</v>
      </c>
      <c r="J299" s="7" t="s">
        <v>141</v>
      </c>
      <c r="K299" s="7">
        <v>122.251</v>
      </c>
      <c r="L299" s="33">
        <v>55.73</v>
      </c>
      <c r="M299" s="36">
        <v>5.9814829999999999</v>
      </c>
      <c r="N299" s="5" t="str">
        <f t="shared" si="10"/>
        <v>未买</v>
      </c>
    </row>
    <row r="300" spans="8:17" x14ac:dyDescent="0.15">
      <c r="H300" s="17">
        <v>298</v>
      </c>
      <c r="I300" s="7">
        <v>123061</v>
      </c>
      <c r="J300" s="7" t="s">
        <v>95</v>
      </c>
      <c r="K300" s="7">
        <v>123.13</v>
      </c>
      <c r="L300" s="33">
        <v>56.81</v>
      </c>
      <c r="M300" s="36">
        <v>2.4961600000000002</v>
      </c>
      <c r="N300" s="5" t="str">
        <f t="shared" si="10"/>
        <v>未买</v>
      </c>
    </row>
    <row r="301" spans="8:17" x14ac:dyDescent="0.15">
      <c r="H301" s="17">
        <v>299</v>
      </c>
      <c r="I301" s="7">
        <v>127047</v>
      </c>
      <c r="J301" s="7" t="s">
        <v>1878</v>
      </c>
      <c r="K301" s="7">
        <v>103</v>
      </c>
      <c r="L301" s="33">
        <v>57.08</v>
      </c>
      <c r="M301" s="36">
        <v>14.999142000000003</v>
      </c>
      <c r="N301" s="5" t="str">
        <f t="shared" si="10"/>
        <v>未买</v>
      </c>
    </row>
    <row r="302" spans="8:17" x14ac:dyDescent="0.15">
      <c r="H302" s="17">
        <v>300</v>
      </c>
      <c r="I302" s="7">
        <v>113043</v>
      </c>
      <c r="J302" s="7" t="s">
        <v>1892</v>
      </c>
      <c r="K302" s="7">
        <v>109.31</v>
      </c>
      <c r="L302" s="33">
        <v>57.19</v>
      </c>
      <c r="M302" s="36">
        <v>37.99765</v>
      </c>
      <c r="N302" s="5" t="str">
        <f t="shared" si="10"/>
        <v>未买</v>
      </c>
    </row>
    <row r="303" spans="8:17" x14ac:dyDescent="0.15">
      <c r="H303" s="17">
        <v>301</v>
      </c>
      <c r="I303" s="7">
        <v>113563</v>
      </c>
      <c r="J303" s="7" t="s">
        <v>166</v>
      </c>
      <c r="K303" s="7">
        <v>109.53</v>
      </c>
      <c r="L303" s="33">
        <v>57.55</v>
      </c>
      <c r="M303" s="36">
        <v>8.0190199999999994</v>
      </c>
      <c r="N303" s="5" t="str">
        <f t="shared" si="10"/>
        <v>未买</v>
      </c>
    </row>
    <row r="304" spans="8:17" x14ac:dyDescent="0.15">
      <c r="H304" s="17">
        <v>302</v>
      </c>
      <c r="I304" s="7">
        <v>128053</v>
      </c>
      <c r="J304" s="7" t="s">
        <v>61</v>
      </c>
      <c r="K304" s="7">
        <v>142.422</v>
      </c>
      <c r="L304" s="33">
        <v>57.6</v>
      </c>
      <c r="M304" s="36">
        <v>1.90018</v>
      </c>
      <c r="N304" s="5" t="str">
        <f t="shared" si="10"/>
        <v>Yes</v>
      </c>
    </row>
    <row r="305" spans="8:14" x14ac:dyDescent="0.15">
      <c r="H305" s="17">
        <v>303</v>
      </c>
      <c r="I305" s="7">
        <v>118006</v>
      </c>
      <c r="J305" s="7" t="s">
        <v>807</v>
      </c>
      <c r="K305" s="7">
        <v>194.47</v>
      </c>
      <c r="L305" s="33">
        <v>58.29</v>
      </c>
      <c r="M305" s="36">
        <v>3.8740000000000001</v>
      </c>
      <c r="N305" s="5" t="str">
        <f t="shared" si="10"/>
        <v>未买</v>
      </c>
    </row>
    <row r="306" spans="8:14" x14ac:dyDescent="0.15">
      <c r="H306" s="17">
        <v>304</v>
      </c>
      <c r="I306" s="7">
        <v>123099</v>
      </c>
      <c r="J306" s="7" t="s">
        <v>242</v>
      </c>
      <c r="K306" s="7">
        <v>114.54</v>
      </c>
      <c r="L306" s="33">
        <v>58.55</v>
      </c>
      <c r="M306" s="36">
        <v>8.4993130000000008</v>
      </c>
      <c r="N306" s="5" t="str">
        <f t="shared" si="10"/>
        <v>未买</v>
      </c>
    </row>
    <row r="307" spans="8:14" x14ac:dyDescent="0.15">
      <c r="H307" s="17">
        <v>305</v>
      </c>
      <c r="I307" s="7">
        <v>128122</v>
      </c>
      <c r="J307" s="7" t="s">
        <v>200</v>
      </c>
      <c r="K307" s="7">
        <v>124.38</v>
      </c>
      <c r="L307" s="33">
        <v>59.32</v>
      </c>
      <c r="M307" s="36">
        <v>2.6856749999999998</v>
      </c>
      <c r="N307" s="5" t="str">
        <f t="shared" si="10"/>
        <v>未买</v>
      </c>
    </row>
    <row r="308" spans="8:14" x14ac:dyDescent="0.15">
      <c r="H308" s="17">
        <v>306</v>
      </c>
      <c r="I308" s="7">
        <v>123014</v>
      </c>
      <c r="J308" s="7" t="s">
        <v>55</v>
      </c>
      <c r="K308" s="7">
        <v>165</v>
      </c>
      <c r="L308" s="33">
        <v>59.64</v>
      </c>
      <c r="M308" s="36">
        <v>1.160385</v>
      </c>
      <c r="N308" s="5" t="str">
        <f t="shared" si="10"/>
        <v>未买</v>
      </c>
    </row>
    <row r="309" spans="8:14" x14ac:dyDescent="0.15">
      <c r="H309" s="17">
        <v>307</v>
      </c>
      <c r="I309" s="7">
        <v>123054</v>
      </c>
      <c r="J309" s="7" t="s">
        <v>82</v>
      </c>
      <c r="K309" s="7">
        <v>140</v>
      </c>
      <c r="L309" s="33">
        <v>59.87</v>
      </c>
      <c r="M309" s="36">
        <v>2.073102</v>
      </c>
      <c r="N309" s="5" t="str">
        <f t="shared" si="10"/>
        <v>未买</v>
      </c>
    </row>
    <row r="310" spans="8:14" x14ac:dyDescent="0.15">
      <c r="H310" s="17">
        <v>308</v>
      </c>
      <c r="I310" s="7">
        <v>110058</v>
      </c>
      <c r="J310" s="7" t="s">
        <v>78</v>
      </c>
      <c r="K310" s="7">
        <v>117</v>
      </c>
      <c r="L310" s="33">
        <v>60.23</v>
      </c>
      <c r="M310" s="36">
        <v>2.6102099999999999</v>
      </c>
      <c r="N310" s="5" t="str">
        <f t="shared" si="10"/>
        <v>未买</v>
      </c>
    </row>
    <row r="311" spans="8:14" x14ac:dyDescent="0.15">
      <c r="H311" s="17">
        <v>309</v>
      </c>
      <c r="I311" s="7">
        <v>110081</v>
      </c>
      <c r="J311" s="7" t="s">
        <v>1897</v>
      </c>
      <c r="K311" s="7">
        <v>117.6</v>
      </c>
      <c r="L311" s="33">
        <v>60.55</v>
      </c>
      <c r="M311" s="36">
        <v>85.983329999999995</v>
      </c>
      <c r="N311" s="5" t="str">
        <f t="shared" si="10"/>
        <v>未买</v>
      </c>
    </row>
    <row r="312" spans="8:14" x14ac:dyDescent="0.15">
      <c r="H312" s="17">
        <v>310</v>
      </c>
      <c r="I312" s="7">
        <v>113045</v>
      </c>
      <c r="J312" s="7" t="s">
        <v>1894</v>
      </c>
      <c r="K312" s="7">
        <v>113.24</v>
      </c>
      <c r="L312" s="33">
        <v>60.99</v>
      </c>
      <c r="M312" s="36">
        <v>34.499510000000001</v>
      </c>
      <c r="N312" s="5" t="str">
        <f t="shared" si="10"/>
        <v>未买</v>
      </c>
    </row>
    <row r="313" spans="8:14" x14ac:dyDescent="0.15">
      <c r="H313" s="17">
        <v>311</v>
      </c>
      <c r="I313" s="7">
        <v>110073</v>
      </c>
      <c r="J313" s="7" t="s">
        <v>1891</v>
      </c>
      <c r="K313" s="7">
        <v>106.66</v>
      </c>
      <c r="L313" s="33">
        <v>61.73</v>
      </c>
      <c r="M313" s="36">
        <v>79.993290000000002</v>
      </c>
      <c r="N313" s="5" t="str">
        <f t="shared" si="10"/>
        <v>未买</v>
      </c>
    </row>
    <row r="314" spans="8:14" x14ac:dyDescent="0.15">
      <c r="H314" s="17">
        <v>312</v>
      </c>
      <c r="I314" s="7">
        <v>113535</v>
      </c>
      <c r="J314" s="7" t="s">
        <v>214</v>
      </c>
      <c r="K314" s="7">
        <v>112.05</v>
      </c>
      <c r="L314" s="33">
        <v>64.319999999999993</v>
      </c>
      <c r="M314" s="36">
        <v>4.9961200000000003</v>
      </c>
      <c r="N314" s="5" t="str">
        <f t="shared" si="10"/>
        <v>未买</v>
      </c>
    </row>
    <row r="315" spans="8:14" x14ac:dyDescent="0.15">
      <c r="H315" s="17">
        <v>313</v>
      </c>
      <c r="I315" s="7">
        <v>113623</v>
      </c>
      <c r="J315" s="7" t="s">
        <v>1889</v>
      </c>
      <c r="K315" s="7">
        <v>111.93</v>
      </c>
      <c r="L315" s="33">
        <v>65.209999999999994</v>
      </c>
      <c r="M315" s="36">
        <v>24.99952</v>
      </c>
      <c r="N315" s="5" t="str">
        <f t="shared" si="10"/>
        <v>未买</v>
      </c>
    </row>
    <row r="316" spans="8:14" x14ac:dyDescent="0.15">
      <c r="H316" s="17">
        <v>314</v>
      </c>
      <c r="I316" s="7">
        <v>128069</v>
      </c>
      <c r="J316" s="7" t="s">
        <v>172</v>
      </c>
      <c r="K316" s="7">
        <v>117.22199999999999</v>
      </c>
      <c r="L316" s="33">
        <v>68.5</v>
      </c>
      <c r="M316" s="36">
        <v>2.99343</v>
      </c>
      <c r="N316" s="5" t="str">
        <f t="shared" si="10"/>
        <v>未买</v>
      </c>
    </row>
    <row r="317" spans="8:14" x14ac:dyDescent="0.15">
      <c r="H317" s="17">
        <v>315</v>
      </c>
      <c r="I317" s="7">
        <v>128142</v>
      </c>
      <c r="J317" s="7" t="s">
        <v>198</v>
      </c>
      <c r="K317" s="7">
        <v>112.61</v>
      </c>
      <c r="L317" s="33">
        <v>69.290000000000006</v>
      </c>
      <c r="M317" s="36">
        <v>7.1797839999999997</v>
      </c>
      <c r="N317" s="5" t="str">
        <f t="shared" si="10"/>
        <v>未买</v>
      </c>
    </row>
    <row r="318" spans="8:14" x14ac:dyDescent="0.15">
      <c r="H318" s="17">
        <v>316</v>
      </c>
      <c r="I318" s="7">
        <v>123004</v>
      </c>
      <c r="J318" s="7" t="s">
        <v>180</v>
      </c>
      <c r="K318" s="7">
        <v>107.03</v>
      </c>
      <c r="L318" s="33">
        <v>70.349999999999994</v>
      </c>
      <c r="M318" s="36">
        <v>8.0317070000000008</v>
      </c>
      <c r="N318" s="5" t="str">
        <f t="shared" si="10"/>
        <v>未买</v>
      </c>
    </row>
    <row r="319" spans="8:14" x14ac:dyDescent="0.15">
      <c r="H319" s="17">
        <v>317</v>
      </c>
      <c r="I319" s="7">
        <v>113530</v>
      </c>
      <c r="J319" s="7" t="s">
        <v>189</v>
      </c>
      <c r="K319" s="7">
        <v>115.64</v>
      </c>
      <c r="L319" s="33">
        <v>70.489999999999995</v>
      </c>
      <c r="M319" s="36">
        <v>6.29765</v>
      </c>
      <c r="N319" s="5" t="str">
        <f t="shared" si="10"/>
        <v>未买</v>
      </c>
    </row>
    <row r="320" spans="8:14" x14ac:dyDescent="0.15">
      <c r="H320" s="17">
        <v>318</v>
      </c>
      <c r="I320" s="7">
        <v>113566</v>
      </c>
      <c r="J320" s="7" t="s">
        <v>192</v>
      </c>
      <c r="K320" s="7">
        <v>124.48</v>
      </c>
      <c r="L320" s="33">
        <v>71.010000000000005</v>
      </c>
      <c r="M320" s="36">
        <v>1.6127199999999999</v>
      </c>
      <c r="N320" s="5" t="str">
        <f t="shared" si="10"/>
        <v>未买</v>
      </c>
    </row>
    <row r="321" spans="8:14" x14ac:dyDescent="0.15">
      <c r="H321" s="17">
        <v>319</v>
      </c>
      <c r="I321" s="7">
        <v>113616</v>
      </c>
      <c r="J321" s="7" t="s">
        <v>1899</v>
      </c>
      <c r="K321" s="7">
        <v>122.79</v>
      </c>
      <c r="L321" s="33">
        <v>71.23</v>
      </c>
      <c r="M321" s="36">
        <v>24.333670000000001</v>
      </c>
      <c r="N321" s="5" t="str">
        <f t="shared" si="10"/>
        <v>未买</v>
      </c>
    </row>
    <row r="322" spans="8:14" x14ac:dyDescent="0.15">
      <c r="H322" s="17">
        <v>320</v>
      </c>
      <c r="I322" s="7">
        <v>128105</v>
      </c>
      <c r="J322" s="7" t="s">
        <v>185</v>
      </c>
      <c r="K322" s="7">
        <v>101.642</v>
      </c>
      <c r="L322" s="33">
        <v>71.430000000000007</v>
      </c>
      <c r="M322" s="36">
        <v>7.9952110000000003</v>
      </c>
      <c r="N322" s="5" t="str">
        <f t="shared" si="10"/>
        <v>未买</v>
      </c>
    </row>
    <row r="323" spans="8:14" x14ac:dyDescent="0.15">
      <c r="H323" s="17">
        <v>321</v>
      </c>
      <c r="I323" s="7">
        <v>123096</v>
      </c>
      <c r="J323" s="7" t="s">
        <v>207</v>
      </c>
      <c r="K323" s="7">
        <v>105.75</v>
      </c>
      <c r="L323" s="33">
        <v>71.81</v>
      </c>
      <c r="M323" s="36">
        <v>8.1692780000000003</v>
      </c>
      <c r="N323" s="5" t="str">
        <f t="shared" si="10"/>
        <v>未买</v>
      </c>
    </row>
    <row r="324" spans="8:14" x14ac:dyDescent="0.15">
      <c r="H324" s="17">
        <v>322</v>
      </c>
      <c r="I324" s="7">
        <v>113042</v>
      </c>
      <c r="J324" s="7" t="s">
        <v>1893</v>
      </c>
      <c r="K324" s="7">
        <v>105.08</v>
      </c>
      <c r="L324" s="33">
        <v>71.84</v>
      </c>
      <c r="M324" s="36">
        <v>199.98687000000001</v>
      </c>
      <c r="N324" s="5" t="str">
        <f t="shared" ref="N324:N387" si="11">IF(ISNA(MATCH(I324,$A$3:$A$1000,0)),"未买","Yes")</f>
        <v>未买</v>
      </c>
    </row>
    <row r="325" spans="8:14" x14ac:dyDescent="0.15">
      <c r="H325" s="17">
        <v>323</v>
      </c>
      <c r="I325" s="7">
        <v>113542</v>
      </c>
      <c r="J325" s="7" t="s">
        <v>177</v>
      </c>
      <c r="K325" s="7">
        <v>108.46</v>
      </c>
      <c r="L325" s="33">
        <v>71.989999999999995</v>
      </c>
      <c r="M325" s="36">
        <v>6.02719</v>
      </c>
      <c r="N325" s="5" t="str">
        <f t="shared" si="11"/>
        <v>未买</v>
      </c>
    </row>
    <row r="326" spans="8:14" x14ac:dyDescent="0.15">
      <c r="H326" s="17">
        <v>324</v>
      </c>
      <c r="I326" s="7">
        <v>110062</v>
      </c>
      <c r="J326" s="7" t="s">
        <v>1898</v>
      </c>
      <c r="K326" s="7">
        <v>107.69</v>
      </c>
      <c r="L326" s="33">
        <v>72.19</v>
      </c>
      <c r="M326" s="36">
        <v>30.87631</v>
      </c>
      <c r="N326" s="5" t="str">
        <f t="shared" si="11"/>
        <v>未买</v>
      </c>
    </row>
    <row r="327" spans="8:14" x14ac:dyDescent="0.15">
      <c r="H327" s="17">
        <v>325</v>
      </c>
      <c r="I327" s="7">
        <v>128015</v>
      </c>
      <c r="J327" s="7" t="s">
        <v>162</v>
      </c>
      <c r="K327" s="7">
        <v>110.05</v>
      </c>
      <c r="L327" s="33">
        <v>72.36</v>
      </c>
      <c r="M327" s="36">
        <v>7.7922679999999991</v>
      </c>
      <c r="N327" s="5" t="str">
        <f t="shared" si="11"/>
        <v>未买</v>
      </c>
    </row>
    <row r="328" spans="8:14" x14ac:dyDescent="0.15">
      <c r="H328" s="17">
        <v>326</v>
      </c>
      <c r="I328" s="7">
        <v>128131</v>
      </c>
      <c r="J328" s="7" t="s">
        <v>1905</v>
      </c>
      <c r="K328" s="7">
        <v>112.386</v>
      </c>
      <c r="L328" s="33">
        <v>72.69</v>
      </c>
      <c r="M328" s="36">
        <v>13.997867000000003</v>
      </c>
      <c r="N328" s="5" t="str">
        <f t="shared" si="11"/>
        <v>未买</v>
      </c>
    </row>
    <row r="329" spans="8:14" x14ac:dyDescent="0.15">
      <c r="H329" s="17">
        <v>327</v>
      </c>
      <c r="I329" s="7">
        <v>128026</v>
      </c>
      <c r="J329" s="7" t="s">
        <v>190</v>
      </c>
      <c r="K329" s="7">
        <v>107.21</v>
      </c>
      <c r="L329" s="33">
        <v>72.7</v>
      </c>
      <c r="M329" s="36">
        <v>4.0879250000000003</v>
      </c>
      <c r="N329" s="5" t="str">
        <f t="shared" si="11"/>
        <v>未买</v>
      </c>
    </row>
    <row r="330" spans="8:14" x14ac:dyDescent="0.15">
      <c r="H330" s="17">
        <v>328</v>
      </c>
      <c r="I330" s="7">
        <v>128063</v>
      </c>
      <c r="J330" s="7" t="s">
        <v>203</v>
      </c>
      <c r="K330" s="7">
        <v>114.33799999999999</v>
      </c>
      <c r="L330" s="33">
        <v>72.72</v>
      </c>
      <c r="M330" s="36">
        <v>6.293526</v>
      </c>
      <c r="N330" s="5" t="str">
        <f t="shared" si="11"/>
        <v>未买</v>
      </c>
    </row>
    <row r="331" spans="8:14" x14ac:dyDescent="0.15">
      <c r="H331" s="17">
        <v>329</v>
      </c>
      <c r="I331" s="7">
        <v>118004</v>
      </c>
      <c r="J331" s="7" t="s">
        <v>276</v>
      </c>
      <c r="K331" s="7">
        <v>121.14</v>
      </c>
      <c r="L331" s="33">
        <v>74.05</v>
      </c>
      <c r="M331" s="36">
        <v>4.6500000000000004</v>
      </c>
      <c r="N331" s="5" t="str">
        <f t="shared" si="11"/>
        <v>未买</v>
      </c>
    </row>
    <row r="332" spans="8:14" x14ac:dyDescent="0.15">
      <c r="H332" s="17">
        <v>330</v>
      </c>
      <c r="I332" s="7">
        <v>113594</v>
      </c>
      <c r="J332" s="7" t="s">
        <v>76</v>
      </c>
      <c r="K332" s="7">
        <v>118.69</v>
      </c>
      <c r="L332" s="33">
        <v>74.260000000000005</v>
      </c>
      <c r="M332" s="36">
        <v>2.9975200000000002</v>
      </c>
      <c r="N332" s="5" t="str">
        <f t="shared" si="11"/>
        <v>未买</v>
      </c>
    </row>
    <row r="333" spans="8:14" x14ac:dyDescent="0.15">
      <c r="H333" s="17">
        <v>331</v>
      </c>
      <c r="I333" s="7">
        <v>113639</v>
      </c>
      <c r="J333" s="7" t="s">
        <v>789</v>
      </c>
      <c r="K333" s="7">
        <v>109.46</v>
      </c>
      <c r="L333" s="33">
        <v>74.47</v>
      </c>
      <c r="M333" s="36">
        <v>5.7</v>
      </c>
      <c r="N333" s="5" t="str">
        <f t="shared" si="11"/>
        <v>未买</v>
      </c>
    </row>
    <row r="334" spans="8:14" x14ac:dyDescent="0.15">
      <c r="H334" s="17">
        <v>332</v>
      </c>
      <c r="I334" s="7">
        <v>123049</v>
      </c>
      <c r="J334" s="7" t="s">
        <v>191</v>
      </c>
      <c r="K334" s="7">
        <v>109.56</v>
      </c>
      <c r="L334" s="33">
        <v>74.540000000000006</v>
      </c>
      <c r="M334" s="36">
        <v>9.1698649999999997</v>
      </c>
      <c r="N334" s="5" t="str">
        <f t="shared" si="11"/>
        <v>未买</v>
      </c>
    </row>
    <row r="335" spans="8:14" x14ac:dyDescent="0.15">
      <c r="H335" s="17">
        <v>333</v>
      </c>
      <c r="I335" s="7">
        <v>113593</v>
      </c>
      <c r="J335" s="7" t="s">
        <v>60</v>
      </c>
      <c r="K335" s="7">
        <v>115.66</v>
      </c>
      <c r="L335" s="33">
        <v>74.739999999999995</v>
      </c>
      <c r="M335" s="36">
        <v>3.9977800000000001</v>
      </c>
      <c r="N335" s="5" t="str">
        <f t="shared" si="11"/>
        <v>未买</v>
      </c>
    </row>
    <row r="336" spans="8:14" x14ac:dyDescent="0.15">
      <c r="H336" s="17">
        <v>334</v>
      </c>
      <c r="I336" s="7">
        <v>127062</v>
      </c>
      <c r="J336" s="7" t="s">
        <v>1895</v>
      </c>
      <c r="K336" s="7">
        <v>141.38900000000001</v>
      </c>
      <c r="L336" s="33">
        <v>74.81</v>
      </c>
      <c r="M336" s="36">
        <v>3.9630000000000001</v>
      </c>
      <c r="N336" s="5" t="str">
        <f t="shared" si="11"/>
        <v>未买</v>
      </c>
    </row>
    <row r="337" spans="8:14" x14ac:dyDescent="0.15">
      <c r="H337" s="17">
        <v>335</v>
      </c>
      <c r="I337" s="7">
        <v>110076</v>
      </c>
      <c r="J337" s="7" t="s">
        <v>1907</v>
      </c>
      <c r="K337" s="7">
        <v>111.21</v>
      </c>
      <c r="L337" s="33">
        <v>75.849999999999994</v>
      </c>
      <c r="M337" s="36">
        <v>18.424399999999999</v>
      </c>
      <c r="N337" s="5" t="str">
        <f t="shared" si="11"/>
        <v>未买</v>
      </c>
    </row>
    <row r="338" spans="8:14" x14ac:dyDescent="0.15">
      <c r="H338" s="17">
        <v>336</v>
      </c>
      <c r="I338" s="7">
        <v>123119</v>
      </c>
      <c r="J338" s="7" t="s">
        <v>1908</v>
      </c>
      <c r="K338" s="7">
        <v>113.166</v>
      </c>
      <c r="L338" s="33">
        <v>77.77</v>
      </c>
      <c r="M338" s="36">
        <v>19.997207</v>
      </c>
      <c r="N338" s="5" t="str">
        <f t="shared" si="11"/>
        <v>未买</v>
      </c>
    </row>
    <row r="339" spans="8:14" x14ac:dyDescent="0.15">
      <c r="H339" s="17">
        <v>337</v>
      </c>
      <c r="I339" s="7">
        <v>128035</v>
      </c>
      <c r="J339" s="7" t="s">
        <v>1906</v>
      </c>
      <c r="K339" s="7">
        <v>111.096</v>
      </c>
      <c r="L339" s="33">
        <v>78.010000000000005</v>
      </c>
      <c r="M339" s="36">
        <v>22.994976000000001</v>
      </c>
      <c r="N339" s="5" t="str">
        <f t="shared" si="11"/>
        <v>未买</v>
      </c>
    </row>
    <row r="340" spans="8:14" x14ac:dyDescent="0.15">
      <c r="H340" s="17">
        <v>338</v>
      </c>
      <c r="I340" s="7">
        <v>123056</v>
      </c>
      <c r="J340" s="7" t="s">
        <v>157</v>
      </c>
      <c r="K340" s="7">
        <v>107.869</v>
      </c>
      <c r="L340" s="33">
        <v>78.650000000000006</v>
      </c>
      <c r="M340" s="36">
        <v>5.8400559999999997</v>
      </c>
      <c r="N340" s="5" t="str">
        <f t="shared" si="11"/>
        <v>未买</v>
      </c>
    </row>
    <row r="341" spans="8:14" x14ac:dyDescent="0.15">
      <c r="H341" s="17">
        <v>339</v>
      </c>
      <c r="I341" s="7">
        <v>128116</v>
      </c>
      <c r="J341" s="7" t="s">
        <v>184</v>
      </c>
      <c r="K341" s="7">
        <v>109.899</v>
      </c>
      <c r="L341" s="33">
        <v>78.989999999999995</v>
      </c>
      <c r="M341" s="36">
        <v>6.4919989999999999</v>
      </c>
      <c r="N341" s="5" t="str">
        <f t="shared" si="11"/>
        <v>未买</v>
      </c>
    </row>
    <row r="342" spans="8:14" x14ac:dyDescent="0.15">
      <c r="H342" s="17">
        <v>340</v>
      </c>
      <c r="I342" s="7">
        <v>123108</v>
      </c>
      <c r="J342" s="7" t="s">
        <v>1903</v>
      </c>
      <c r="K342" s="7">
        <v>111.88</v>
      </c>
      <c r="L342" s="33">
        <v>79.38</v>
      </c>
      <c r="M342" s="36">
        <v>16.377441000000001</v>
      </c>
      <c r="N342" s="5" t="str">
        <f t="shared" si="11"/>
        <v>未买</v>
      </c>
    </row>
    <row r="343" spans="8:14" x14ac:dyDescent="0.15">
      <c r="H343" s="17">
        <v>341</v>
      </c>
      <c r="I343" s="7">
        <v>127024</v>
      </c>
      <c r="J343" s="7" t="s">
        <v>1902</v>
      </c>
      <c r="K343" s="7">
        <v>105.91</v>
      </c>
      <c r="L343" s="33">
        <v>79.599999999999994</v>
      </c>
      <c r="M343" s="36">
        <v>14.761056999999999</v>
      </c>
      <c r="N343" s="5" t="str">
        <f t="shared" si="11"/>
        <v>未买</v>
      </c>
    </row>
    <row r="344" spans="8:14" x14ac:dyDescent="0.15">
      <c r="H344" s="17">
        <v>342</v>
      </c>
      <c r="I344" s="7">
        <v>113608</v>
      </c>
      <c r="J344" s="7" t="s">
        <v>66</v>
      </c>
      <c r="K344" s="7">
        <v>110.85</v>
      </c>
      <c r="L344" s="33">
        <v>79.72</v>
      </c>
      <c r="M344" s="36">
        <v>4.1998499999999996</v>
      </c>
      <c r="N344" s="5" t="str">
        <f t="shared" si="11"/>
        <v>未买</v>
      </c>
    </row>
    <row r="345" spans="8:14" x14ac:dyDescent="0.15">
      <c r="H345" s="17">
        <v>343</v>
      </c>
      <c r="I345" s="7">
        <v>113597</v>
      </c>
      <c r="J345" s="7" t="s">
        <v>156</v>
      </c>
      <c r="K345" s="7">
        <v>128.79</v>
      </c>
      <c r="L345" s="33">
        <v>80.08</v>
      </c>
      <c r="M345" s="36">
        <v>2.98447</v>
      </c>
      <c r="N345" s="5" t="str">
        <f t="shared" si="11"/>
        <v>未买</v>
      </c>
    </row>
    <row r="346" spans="8:14" x14ac:dyDescent="0.15">
      <c r="H346" s="17">
        <v>344</v>
      </c>
      <c r="I346" s="7">
        <v>113632</v>
      </c>
      <c r="J346" s="7" t="s">
        <v>1913</v>
      </c>
      <c r="K346" s="7">
        <v>116.05</v>
      </c>
      <c r="L346" s="33">
        <v>80.959999999999994</v>
      </c>
      <c r="M346" s="36">
        <v>20.499829999999999</v>
      </c>
      <c r="N346" s="5" t="str">
        <f t="shared" si="11"/>
        <v>未买</v>
      </c>
    </row>
    <row r="347" spans="8:14" x14ac:dyDescent="0.15">
      <c r="H347" s="17">
        <v>345</v>
      </c>
      <c r="I347" s="7">
        <v>128079</v>
      </c>
      <c r="J347" s="7" t="s">
        <v>94</v>
      </c>
      <c r="K347" s="7">
        <v>141</v>
      </c>
      <c r="L347" s="33">
        <v>82.36</v>
      </c>
      <c r="M347" s="36">
        <v>1.520079</v>
      </c>
      <c r="N347" s="5" t="str">
        <f t="shared" si="11"/>
        <v>未买</v>
      </c>
    </row>
    <row r="348" spans="8:14" x14ac:dyDescent="0.15">
      <c r="H348" s="17">
        <v>346</v>
      </c>
      <c r="I348" s="7">
        <v>113604</v>
      </c>
      <c r="J348" s="7" t="s">
        <v>161</v>
      </c>
      <c r="K348" s="7">
        <v>104.86</v>
      </c>
      <c r="L348" s="33">
        <v>82.68</v>
      </c>
      <c r="M348" s="36">
        <v>6.3988699999999996</v>
      </c>
      <c r="N348" s="5" t="str">
        <f t="shared" si="11"/>
        <v>未买</v>
      </c>
    </row>
    <row r="349" spans="8:14" x14ac:dyDescent="0.15">
      <c r="H349" s="17">
        <v>347</v>
      </c>
      <c r="I349" s="7">
        <v>127044</v>
      </c>
      <c r="J349" s="7" t="s">
        <v>1912</v>
      </c>
      <c r="K349" s="7">
        <v>112.97</v>
      </c>
      <c r="L349" s="33">
        <v>82.98</v>
      </c>
      <c r="M349" s="36">
        <v>11.688847000000001</v>
      </c>
      <c r="N349" s="5" t="str">
        <f t="shared" si="11"/>
        <v>未买</v>
      </c>
    </row>
    <row r="350" spans="8:14" x14ac:dyDescent="0.15">
      <c r="H350" s="17">
        <v>348</v>
      </c>
      <c r="I350" s="7">
        <v>113578</v>
      </c>
      <c r="J350" s="7" t="s">
        <v>174</v>
      </c>
      <c r="K350" s="7">
        <v>104.41</v>
      </c>
      <c r="L350" s="33">
        <v>83.34</v>
      </c>
      <c r="M350" s="36">
        <v>3.8380299999999998</v>
      </c>
      <c r="N350" s="5" t="str">
        <f t="shared" si="11"/>
        <v>未买</v>
      </c>
    </row>
    <row r="351" spans="8:14" x14ac:dyDescent="0.15">
      <c r="H351" s="17">
        <v>349</v>
      </c>
      <c r="I351" s="7">
        <v>113633</v>
      </c>
      <c r="J351" s="7" t="s">
        <v>1909</v>
      </c>
      <c r="K351" s="7">
        <v>115.86</v>
      </c>
      <c r="L351" s="33">
        <v>84.14</v>
      </c>
      <c r="M351" s="36">
        <v>10.399050000000001</v>
      </c>
      <c r="N351" s="5" t="str">
        <f t="shared" si="11"/>
        <v>未买</v>
      </c>
    </row>
    <row r="352" spans="8:14" x14ac:dyDescent="0.15">
      <c r="H352" s="17">
        <v>350</v>
      </c>
      <c r="I352" s="7">
        <v>113622</v>
      </c>
      <c r="J352" s="7" t="s">
        <v>1901</v>
      </c>
      <c r="K352" s="7">
        <v>121.51</v>
      </c>
      <c r="L352" s="33">
        <v>84.33</v>
      </c>
      <c r="M352" s="36">
        <v>11.499700000000001</v>
      </c>
      <c r="N352" s="5" t="str">
        <f t="shared" si="11"/>
        <v>未买</v>
      </c>
    </row>
    <row r="353" spans="8:14" x14ac:dyDescent="0.15">
      <c r="H353" s="17">
        <v>351</v>
      </c>
      <c r="I353" s="7">
        <v>113625</v>
      </c>
      <c r="J353" s="7" t="s">
        <v>150</v>
      </c>
      <c r="K353" s="7">
        <v>113.69</v>
      </c>
      <c r="L353" s="33">
        <v>85.13</v>
      </c>
      <c r="M353" s="36">
        <v>5.8255400000000002</v>
      </c>
      <c r="N353" s="5" t="str">
        <f t="shared" si="11"/>
        <v>未买</v>
      </c>
    </row>
    <row r="354" spans="8:14" x14ac:dyDescent="0.15">
      <c r="H354" s="17">
        <v>352</v>
      </c>
      <c r="I354" s="7">
        <v>127041</v>
      </c>
      <c r="J354" s="7" t="s">
        <v>197</v>
      </c>
      <c r="K354" s="7">
        <v>111.41</v>
      </c>
      <c r="L354" s="33">
        <v>85.62</v>
      </c>
      <c r="M354" s="36">
        <v>5.9995950000000002</v>
      </c>
      <c r="N354" s="5" t="str">
        <f t="shared" si="11"/>
        <v>未买</v>
      </c>
    </row>
    <row r="355" spans="8:14" x14ac:dyDescent="0.15">
      <c r="H355" s="17">
        <v>353</v>
      </c>
      <c r="I355" s="7">
        <v>123141</v>
      </c>
      <c r="J355" s="7" t="s">
        <v>787</v>
      </c>
      <c r="K355" s="7">
        <v>164.23099999999999</v>
      </c>
      <c r="L355" s="33">
        <v>85.7</v>
      </c>
      <c r="M355" s="36">
        <v>3.2126000000000001</v>
      </c>
      <c r="N355" s="5" t="str">
        <f t="shared" si="11"/>
        <v>未买</v>
      </c>
    </row>
    <row r="356" spans="8:14" x14ac:dyDescent="0.15">
      <c r="H356" s="17">
        <v>354</v>
      </c>
      <c r="I356" s="7">
        <v>110059</v>
      </c>
      <c r="J356" s="7" t="s">
        <v>1900</v>
      </c>
      <c r="K356" s="7">
        <v>106.04</v>
      </c>
      <c r="L356" s="33">
        <v>86.33</v>
      </c>
      <c r="M356" s="36">
        <v>499.98649</v>
      </c>
      <c r="N356" s="5" t="str">
        <f t="shared" si="11"/>
        <v>未买</v>
      </c>
    </row>
    <row r="357" spans="8:14" x14ac:dyDescent="0.15">
      <c r="H357" s="17">
        <v>355</v>
      </c>
      <c r="I357" s="7">
        <v>128030</v>
      </c>
      <c r="J357" s="7" t="s">
        <v>2045</v>
      </c>
      <c r="K357" s="7">
        <v>247.77699999999999</v>
      </c>
      <c r="L357" s="33">
        <v>86.52</v>
      </c>
      <c r="M357" s="36">
        <v>0.84863900000000003</v>
      </c>
      <c r="N357" s="5" t="str">
        <f t="shared" si="11"/>
        <v>未买</v>
      </c>
    </row>
    <row r="358" spans="8:14" x14ac:dyDescent="0.15">
      <c r="H358" s="17">
        <v>356</v>
      </c>
      <c r="I358" s="7">
        <v>123038</v>
      </c>
      <c r="J358" s="7" t="s">
        <v>74</v>
      </c>
      <c r="K358" s="7">
        <v>132.4</v>
      </c>
      <c r="L358" s="33">
        <v>86.61</v>
      </c>
      <c r="M358" s="36">
        <v>1.4726779999999999</v>
      </c>
      <c r="N358" s="5" t="str">
        <f t="shared" si="11"/>
        <v>未买</v>
      </c>
    </row>
    <row r="359" spans="8:14" x14ac:dyDescent="0.15">
      <c r="H359" s="17">
        <v>357</v>
      </c>
      <c r="I359" s="7">
        <v>123109</v>
      </c>
      <c r="J359" s="7" t="s">
        <v>2046</v>
      </c>
      <c r="K359" s="7">
        <v>113.7</v>
      </c>
      <c r="L359" s="33">
        <v>87.01</v>
      </c>
      <c r="M359" s="36">
        <v>4.5955410000000008</v>
      </c>
      <c r="N359" s="5" t="str">
        <f t="shared" si="11"/>
        <v>未买</v>
      </c>
    </row>
    <row r="360" spans="8:14" x14ac:dyDescent="0.15">
      <c r="H360" s="17">
        <v>358</v>
      </c>
      <c r="I360" s="7">
        <v>128074</v>
      </c>
      <c r="J360" s="7" t="s">
        <v>205</v>
      </c>
      <c r="K360" s="7">
        <v>110.5</v>
      </c>
      <c r="L360" s="33">
        <v>88.28</v>
      </c>
      <c r="M360" s="36">
        <v>6.824916</v>
      </c>
      <c r="N360" s="5" t="str">
        <f t="shared" si="11"/>
        <v>未买</v>
      </c>
    </row>
    <row r="361" spans="8:14" x14ac:dyDescent="0.15">
      <c r="H361" s="17">
        <v>359</v>
      </c>
      <c r="I361" s="7">
        <v>123124</v>
      </c>
      <c r="J361" s="7" t="s">
        <v>196</v>
      </c>
      <c r="K361" s="7">
        <v>113</v>
      </c>
      <c r="L361" s="33">
        <v>88.49</v>
      </c>
      <c r="M361" s="36">
        <v>5.227792</v>
      </c>
      <c r="N361" s="5" t="str">
        <f t="shared" si="11"/>
        <v>未买</v>
      </c>
    </row>
    <row r="362" spans="8:14" x14ac:dyDescent="0.15">
      <c r="H362" s="17">
        <v>360</v>
      </c>
      <c r="I362" s="7">
        <v>123128</v>
      </c>
      <c r="J362" s="7" t="s">
        <v>1904</v>
      </c>
      <c r="K362" s="7">
        <v>105.01300000000001</v>
      </c>
      <c r="L362" s="33">
        <v>89.14</v>
      </c>
      <c r="M362" s="36">
        <v>13.794360999999997</v>
      </c>
      <c r="N362" s="5" t="str">
        <f t="shared" si="11"/>
        <v>未买</v>
      </c>
    </row>
    <row r="363" spans="8:14" x14ac:dyDescent="0.15">
      <c r="H363" s="17">
        <v>361</v>
      </c>
      <c r="I363" s="7">
        <v>123116</v>
      </c>
      <c r="J363" s="7" t="s">
        <v>210</v>
      </c>
      <c r="K363" s="7">
        <v>117.608</v>
      </c>
      <c r="L363" s="33">
        <v>90.74</v>
      </c>
      <c r="M363" s="36">
        <v>3.7816160000000005</v>
      </c>
      <c r="N363" s="5" t="str">
        <f t="shared" si="11"/>
        <v>未买</v>
      </c>
    </row>
    <row r="364" spans="8:14" x14ac:dyDescent="0.15">
      <c r="H364" s="17">
        <v>362</v>
      </c>
      <c r="I364" s="7">
        <v>123011</v>
      </c>
      <c r="J364" s="7" t="s">
        <v>171</v>
      </c>
      <c r="K364" s="7">
        <v>120</v>
      </c>
      <c r="L364" s="33">
        <v>93.52</v>
      </c>
      <c r="M364" s="36">
        <v>2.5060280000000001</v>
      </c>
      <c r="N364" s="5" t="str">
        <f t="shared" si="11"/>
        <v>未买</v>
      </c>
    </row>
    <row r="365" spans="8:14" x14ac:dyDescent="0.15">
      <c r="H365" s="17">
        <v>363</v>
      </c>
      <c r="I365" s="7">
        <v>123126</v>
      </c>
      <c r="J365" s="7" t="s">
        <v>183</v>
      </c>
      <c r="K365" s="7">
        <v>115.45</v>
      </c>
      <c r="L365" s="33">
        <v>94.07</v>
      </c>
      <c r="M365" s="36">
        <v>3.399626</v>
      </c>
      <c r="N365" s="5" t="str">
        <f t="shared" si="11"/>
        <v>未买</v>
      </c>
    </row>
    <row r="366" spans="8:14" x14ac:dyDescent="0.15">
      <c r="H366" s="17">
        <v>364</v>
      </c>
      <c r="I366" s="7">
        <v>127051</v>
      </c>
      <c r="J366" s="7" t="s">
        <v>252</v>
      </c>
      <c r="K366" s="7">
        <v>117.38800000000001</v>
      </c>
      <c r="L366" s="33">
        <v>95.45</v>
      </c>
      <c r="M366" s="36">
        <v>5.2599260000000001</v>
      </c>
      <c r="N366" s="5" t="str">
        <f t="shared" si="11"/>
        <v>未买</v>
      </c>
    </row>
    <row r="367" spans="8:14" x14ac:dyDescent="0.15">
      <c r="H367" s="17">
        <v>365</v>
      </c>
      <c r="I367" s="7">
        <v>127046</v>
      </c>
      <c r="J367" s="7" t="s">
        <v>1916</v>
      </c>
      <c r="K367" s="7">
        <v>115</v>
      </c>
      <c r="L367" s="33">
        <v>95.98</v>
      </c>
      <c r="M367" s="36">
        <v>11.278155999999999</v>
      </c>
      <c r="N367" s="5" t="str">
        <f t="shared" si="11"/>
        <v>未买</v>
      </c>
    </row>
    <row r="368" spans="8:14" x14ac:dyDescent="0.15">
      <c r="H368" s="17">
        <v>366</v>
      </c>
      <c r="I368" s="7">
        <v>127052</v>
      </c>
      <c r="J368" s="7" t="s">
        <v>1915</v>
      </c>
      <c r="K368" s="7">
        <v>114.8</v>
      </c>
      <c r="L368" s="33">
        <v>96.44</v>
      </c>
      <c r="M368" s="36">
        <v>11.1</v>
      </c>
      <c r="N368" s="5" t="str">
        <f t="shared" si="11"/>
        <v>未买</v>
      </c>
    </row>
    <row r="369" spans="8:14" x14ac:dyDescent="0.15">
      <c r="H369" s="17">
        <v>367</v>
      </c>
      <c r="I369" s="7">
        <v>118007</v>
      </c>
      <c r="J369" s="7" t="s">
        <v>816</v>
      </c>
      <c r="K369" s="7">
        <v>164.37</v>
      </c>
      <c r="L369" s="33">
        <v>97.09</v>
      </c>
      <c r="M369" s="36">
        <v>2.6743000000000001</v>
      </c>
      <c r="N369" s="5" t="str">
        <f t="shared" si="11"/>
        <v>未买</v>
      </c>
    </row>
    <row r="370" spans="8:14" x14ac:dyDescent="0.15">
      <c r="H370" s="17">
        <v>368</v>
      </c>
      <c r="I370" s="7">
        <v>128072</v>
      </c>
      <c r="J370" s="7" t="s">
        <v>155</v>
      </c>
      <c r="K370" s="7">
        <v>111</v>
      </c>
      <c r="L370" s="33">
        <v>99.89</v>
      </c>
      <c r="M370" s="36">
        <v>3.0179149999999999</v>
      </c>
      <c r="N370" s="5" t="str">
        <f t="shared" si="11"/>
        <v>未买</v>
      </c>
    </row>
    <row r="371" spans="8:14" x14ac:dyDescent="0.15">
      <c r="H371" s="17">
        <v>369</v>
      </c>
      <c r="I371" s="7">
        <v>128108</v>
      </c>
      <c r="J371" s="7" t="s">
        <v>1911</v>
      </c>
      <c r="K371" s="7">
        <v>101.175</v>
      </c>
      <c r="L371" s="33">
        <v>100.82</v>
      </c>
      <c r="M371" s="36">
        <v>15.214282000000001</v>
      </c>
      <c r="N371" s="5" t="str">
        <f t="shared" si="11"/>
        <v>未买</v>
      </c>
    </row>
    <row r="372" spans="8:14" x14ac:dyDescent="0.15">
      <c r="H372" s="17">
        <v>370</v>
      </c>
      <c r="I372" s="7">
        <v>123117</v>
      </c>
      <c r="J372" s="7" t="s">
        <v>146</v>
      </c>
      <c r="K372" s="7">
        <v>111.628</v>
      </c>
      <c r="L372" s="33">
        <v>101.02</v>
      </c>
      <c r="M372" s="36">
        <v>9.9991240000000001</v>
      </c>
      <c r="N372" s="5" t="str">
        <f t="shared" si="11"/>
        <v>未买</v>
      </c>
    </row>
    <row r="373" spans="8:14" x14ac:dyDescent="0.15">
      <c r="H373" s="17">
        <v>371</v>
      </c>
      <c r="I373" s="7">
        <v>128136</v>
      </c>
      <c r="J373" s="7" t="s">
        <v>1910</v>
      </c>
      <c r="K373" s="7">
        <v>112.622</v>
      </c>
      <c r="L373" s="33">
        <v>101.22</v>
      </c>
      <c r="M373" s="36">
        <v>29.993306</v>
      </c>
      <c r="N373" s="5" t="str">
        <f t="shared" si="11"/>
        <v>未买</v>
      </c>
    </row>
    <row r="374" spans="8:14" x14ac:dyDescent="0.15">
      <c r="H374" s="17">
        <v>372</v>
      </c>
      <c r="I374" s="7">
        <v>113605</v>
      </c>
      <c r="J374" s="7" t="s">
        <v>1914</v>
      </c>
      <c r="K374" s="7">
        <v>110.35</v>
      </c>
      <c r="L374" s="33">
        <v>104.24</v>
      </c>
      <c r="M374" s="36">
        <v>14.04745</v>
      </c>
      <c r="N374" s="5" t="str">
        <f t="shared" si="11"/>
        <v>未买</v>
      </c>
    </row>
    <row r="375" spans="8:14" x14ac:dyDescent="0.15">
      <c r="H375" s="17">
        <v>373</v>
      </c>
      <c r="I375" s="7">
        <v>128070</v>
      </c>
      <c r="J375" s="7" t="s">
        <v>165</v>
      </c>
      <c r="K375" s="7">
        <v>140.25</v>
      </c>
      <c r="L375" s="33">
        <v>108.06</v>
      </c>
      <c r="M375" s="36">
        <v>2.295741</v>
      </c>
      <c r="N375" s="5" t="str">
        <f t="shared" si="11"/>
        <v>未买</v>
      </c>
    </row>
    <row r="376" spans="8:14" x14ac:dyDescent="0.15">
      <c r="H376" s="17">
        <v>374</v>
      </c>
      <c r="I376" s="7">
        <v>113595</v>
      </c>
      <c r="J376" s="7" t="s">
        <v>140</v>
      </c>
      <c r="K376" s="7">
        <v>106.26</v>
      </c>
      <c r="L376" s="33">
        <v>108.89</v>
      </c>
      <c r="M376" s="36">
        <v>3.2978900000000002</v>
      </c>
      <c r="N376" s="5" t="str">
        <f t="shared" si="11"/>
        <v>未买</v>
      </c>
    </row>
    <row r="377" spans="8:14" x14ac:dyDescent="0.15">
      <c r="H377" s="17">
        <v>375</v>
      </c>
      <c r="I377" s="7">
        <v>128125</v>
      </c>
      <c r="J377" s="7" t="s">
        <v>149</v>
      </c>
      <c r="K377" s="7">
        <v>109.40300000000001</v>
      </c>
      <c r="L377" s="33">
        <v>111.82</v>
      </c>
      <c r="M377" s="36">
        <v>4.4980339999999996</v>
      </c>
      <c r="N377" s="5" t="str">
        <f t="shared" si="11"/>
        <v>未买</v>
      </c>
    </row>
    <row r="378" spans="8:14" x14ac:dyDescent="0.15">
      <c r="H378" s="17">
        <v>376</v>
      </c>
      <c r="I378" s="7">
        <v>113624</v>
      </c>
      <c r="J378" s="7" t="s">
        <v>179</v>
      </c>
      <c r="K378" s="7">
        <v>109.74</v>
      </c>
      <c r="L378" s="33">
        <v>112.26</v>
      </c>
      <c r="M378" s="36">
        <v>4.0492699999999999</v>
      </c>
      <c r="N378" s="5" t="str">
        <f t="shared" si="11"/>
        <v>未买</v>
      </c>
    </row>
    <row r="379" spans="8:14" x14ac:dyDescent="0.15">
      <c r="H379" s="17">
        <v>377</v>
      </c>
      <c r="I379" s="7">
        <v>123076</v>
      </c>
      <c r="J379" s="7" t="s">
        <v>160</v>
      </c>
      <c r="K379" s="7">
        <v>107.2</v>
      </c>
      <c r="L379" s="33">
        <v>116.22</v>
      </c>
      <c r="M379" s="36">
        <v>8.4985510000000009</v>
      </c>
      <c r="N379" s="5" t="str">
        <f t="shared" si="11"/>
        <v>未买</v>
      </c>
    </row>
    <row r="380" spans="8:14" x14ac:dyDescent="0.15">
      <c r="H380" s="17">
        <v>378</v>
      </c>
      <c r="I380" s="7">
        <v>123101</v>
      </c>
      <c r="J380" s="7" t="s">
        <v>152</v>
      </c>
      <c r="K380" s="7">
        <v>108.9</v>
      </c>
      <c r="L380" s="33">
        <v>118.15</v>
      </c>
      <c r="M380" s="36">
        <v>6.697616</v>
      </c>
      <c r="N380" s="5" t="str">
        <f t="shared" si="11"/>
        <v>未买</v>
      </c>
    </row>
    <row r="381" spans="8:14" x14ac:dyDescent="0.15">
      <c r="H381" s="17">
        <v>379</v>
      </c>
      <c r="I381" s="7">
        <v>113573</v>
      </c>
      <c r="J381" s="7" t="s">
        <v>144</v>
      </c>
      <c r="K381" s="7">
        <v>116.14</v>
      </c>
      <c r="L381" s="33">
        <v>119.88</v>
      </c>
      <c r="M381" s="36">
        <v>2.6983299999999999</v>
      </c>
      <c r="N381" s="5" t="str">
        <f t="shared" si="11"/>
        <v>未买</v>
      </c>
    </row>
    <row r="382" spans="8:14" x14ac:dyDescent="0.15">
      <c r="H382" s="17">
        <v>380</v>
      </c>
      <c r="I382" s="7">
        <v>123113</v>
      </c>
      <c r="J382" s="7" t="s">
        <v>1917</v>
      </c>
      <c r="K382" s="7">
        <v>108.19</v>
      </c>
      <c r="L382" s="33">
        <v>125.49</v>
      </c>
      <c r="M382" s="36">
        <v>10.248582000000001</v>
      </c>
      <c r="N382" s="5" t="str">
        <f t="shared" si="11"/>
        <v>未买</v>
      </c>
    </row>
    <row r="383" spans="8:14" x14ac:dyDescent="0.15">
      <c r="H383" s="17">
        <v>381</v>
      </c>
      <c r="I383" s="7">
        <v>111003</v>
      </c>
      <c r="J383" s="7" t="s">
        <v>818</v>
      </c>
      <c r="K383" s="7">
        <v>193.19</v>
      </c>
      <c r="L383" s="33">
        <v>126.67</v>
      </c>
      <c r="M383" s="36">
        <v>2.04</v>
      </c>
      <c r="N383" s="5" t="str">
        <f t="shared" si="11"/>
        <v>未买</v>
      </c>
    </row>
    <row r="384" spans="8:14" x14ac:dyDescent="0.15">
      <c r="H384" s="17">
        <v>382</v>
      </c>
      <c r="I384" s="7">
        <v>128117</v>
      </c>
      <c r="J384" s="7" t="s">
        <v>154</v>
      </c>
      <c r="K384" s="7">
        <v>194</v>
      </c>
      <c r="L384" s="33">
        <v>128.56</v>
      </c>
      <c r="M384" s="36">
        <v>3.5988519999999995</v>
      </c>
      <c r="N384" s="5" t="str">
        <f t="shared" si="11"/>
        <v>未买</v>
      </c>
    </row>
    <row r="385" spans="8:14" x14ac:dyDescent="0.15">
      <c r="H385" s="17">
        <v>383</v>
      </c>
      <c r="I385" s="7">
        <v>123138</v>
      </c>
      <c r="J385" s="7" t="s">
        <v>786</v>
      </c>
      <c r="K385" s="7">
        <v>164.19300000000001</v>
      </c>
      <c r="L385" s="33">
        <v>128.74</v>
      </c>
      <c r="M385" s="36">
        <v>2.4</v>
      </c>
      <c r="N385" s="5" t="str">
        <f t="shared" si="11"/>
        <v>未买</v>
      </c>
    </row>
    <row r="386" spans="8:14" x14ac:dyDescent="0.15">
      <c r="H386" s="17">
        <v>384</v>
      </c>
      <c r="I386" s="7">
        <v>128118</v>
      </c>
      <c r="J386" s="7" t="s">
        <v>153</v>
      </c>
      <c r="K386" s="7">
        <v>111.40300000000001</v>
      </c>
      <c r="L386" s="33">
        <v>130.93</v>
      </c>
      <c r="M386" s="36">
        <v>2.9983399999999998</v>
      </c>
      <c r="N386" s="5" t="str">
        <f t="shared" si="11"/>
        <v>未买</v>
      </c>
    </row>
    <row r="387" spans="8:14" x14ac:dyDescent="0.15">
      <c r="H387" s="17">
        <v>385</v>
      </c>
      <c r="I387" s="7">
        <v>123104</v>
      </c>
      <c r="J387" s="7" t="s">
        <v>178</v>
      </c>
      <c r="K387" s="7">
        <v>115.2</v>
      </c>
      <c r="L387" s="33">
        <v>132.21</v>
      </c>
      <c r="M387" s="36">
        <v>9.7010769999999997</v>
      </c>
      <c r="N387" s="5" t="str">
        <f t="shared" si="11"/>
        <v>未买</v>
      </c>
    </row>
    <row r="388" spans="8:14" x14ac:dyDescent="0.15">
      <c r="H388" s="17">
        <v>386</v>
      </c>
      <c r="I388" s="7">
        <v>128138</v>
      </c>
      <c r="J388" s="7" t="s">
        <v>147</v>
      </c>
      <c r="K388" s="7">
        <v>115.5</v>
      </c>
      <c r="L388" s="33">
        <v>138.44</v>
      </c>
      <c r="M388" s="36">
        <v>4.1991089999999991</v>
      </c>
      <c r="N388" s="5" t="str">
        <f t="shared" ref="N388:N416" si="12">IF(ISNA(MATCH(I388,$A$3:$A$1000,0)),"未买","Yes")</f>
        <v>未买</v>
      </c>
    </row>
    <row r="389" spans="8:14" x14ac:dyDescent="0.15">
      <c r="H389" s="17">
        <v>387</v>
      </c>
      <c r="I389" s="7">
        <v>123039</v>
      </c>
      <c r="J389" s="7" t="s">
        <v>167</v>
      </c>
      <c r="K389" s="7">
        <v>125.96</v>
      </c>
      <c r="L389" s="33">
        <v>144.54</v>
      </c>
      <c r="M389" s="36">
        <v>2.2170109999999998</v>
      </c>
      <c r="N389" s="5" t="str">
        <f t="shared" si="12"/>
        <v>未买</v>
      </c>
    </row>
    <row r="390" spans="8:14" x14ac:dyDescent="0.15">
      <c r="H390" s="17">
        <v>388</v>
      </c>
      <c r="I390" s="7">
        <v>128124</v>
      </c>
      <c r="J390" s="7" t="s">
        <v>170</v>
      </c>
      <c r="K390" s="7">
        <v>100.455</v>
      </c>
      <c r="L390" s="33">
        <v>153.04</v>
      </c>
      <c r="M390" s="36">
        <v>7.3764519999999996</v>
      </c>
      <c r="N390" s="5" t="str">
        <f t="shared" si="12"/>
        <v>未买</v>
      </c>
    </row>
    <row r="391" spans="8:14" x14ac:dyDescent="0.15">
      <c r="H391" s="17">
        <v>389</v>
      </c>
      <c r="I391" s="7">
        <v>127057</v>
      </c>
      <c r="J391" s="7" t="s">
        <v>777</v>
      </c>
      <c r="K391" s="7">
        <v>391.88</v>
      </c>
      <c r="L391" s="33">
        <v>153.61000000000001</v>
      </c>
      <c r="M391" s="36">
        <v>2.76</v>
      </c>
      <c r="N391" s="5" t="str">
        <f t="shared" si="12"/>
        <v>未买</v>
      </c>
    </row>
    <row r="392" spans="8:14" x14ac:dyDescent="0.15">
      <c r="H392" s="17">
        <v>390</v>
      </c>
      <c r="I392" s="7">
        <v>123018</v>
      </c>
      <c r="J392" s="7" t="s">
        <v>77</v>
      </c>
      <c r="K392" s="7">
        <v>330</v>
      </c>
      <c r="L392" s="33">
        <v>153.96</v>
      </c>
      <c r="M392" s="36">
        <v>0.54233200000000004</v>
      </c>
      <c r="N392" s="5" t="str">
        <f t="shared" si="12"/>
        <v>未买</v>
      </c>
    </row>
    <row r="393" spans="8:14" x14ac:dyDescent="0.15">
      <c r="H393" s="17">
        <v>391</v>
      </c>
      <c r="I393" s="7">
        <v>123093</v>
      </c>
      <c r="J393" s="7" t="s">
        <v>142</v>
      </c>
      <c r="K393" s="7">
        <v>137.9</v>
      </c>
      <c r="L393" s="33">
        <v>157.37</v>
      </c>
      <c r="M393" s="36">
        <v>2.4998309999999999</v>
      </c>
      <c r="N393" s="5" t="str">
        <f t="shared" si="12"/>
        <v>未买</v>
      </c>
    </row>
    <row r="394" spans="8:14" x14ac:dyDescent="0.15">
      <c r="H394" s="17">
        <v>392</v>
      </c>
      <c r="I394" s="7">
        <v>113589</v>
      </c>
      <c r="J394" s="7" t="s">
        <v>145</v>
      </c>
      <c r="K394" s="7">
        <v>98.44</v>
      </c>
      <c r="L394" s="33">
        <v>163.56</v>
      </c>
      <c r="M394" s="36">
        <v>5.9959100000000003</v>
      </c>
      <c r="N394" s="5" t="str">
        <f t="shared" si="12"/>
        <v>未买</v>
      </c>
    </row>
    <row r="395" spans="8:14" x14ac:dyDescent="0.15">
      <c r="H395" s="17">
        <v>393</v>
      </c>
      <c r="I395" s="7">
        <v>123143</v>
      </c>
      <c r="J395" s="7" t="s">
        <v>817</v>
      </c>
      <c r="K395" s="7">
        <v>270.29199999999997</v>
      </c>
      <c r="L395" s="33">
        <v>163.62</v>
      </c>
      <c r="M395" s="36">
        <v>3.3</v>
      </c>
      <c r="N395" s="5" t="str">
        <f t="shared" si="12"/>
        <v>未买</v>
      </c>
    </row>
    <row r="396" spans="8:14" x14ac:dyDescent="0.15">
      <c r="H396" s="17">
        <v>394</v>
      </c>
      <c r="I396" s="7">
        <v>123140</v>
      </c>
      <c r="J396" s="7" t="s">
        <v>788</v>
      </c>
      <c r="K396" s="7">
        <v>245.708</v>
      </c>
      <c r="L396" s="33">
        <v>167.36</v>
      </c>
      <c r="M396" s="36">
        <v>1.72</v>
      </c>
      <c r="N396" s="5" t="str">
        <f t="shared" si="12"/>
        <v>未买</v>
      </c>
    </row>
    <row r="397" spans="8:14" x14ac:dyDescent="0.15">
      <c r="H397" s="17">
        <v>395</v>
      </c>
      <c r="I397" s="7">
        <v>113569</v>
      </c>
      <c r="J397" s="7" t="s">
        <v>139</v>
      </c>
      <c r="K397" s="7">
        <v>105.93</v>
      </c>
      <c r="L397" s="33">
        <v>171.27</v>
      </c>
      <c r="M397" s="36">
        <v>5.1559499999999998</v>
      </c>
      <c r="N397" s="5" t="str">
        <f t="shared" si="12"/>
        <v>未买</v>
      </c>
    </row>
    <row r="398" spans="8:14" x14ac:dyDescent="0.15">
      <c r="H398" s="17">
        <v>396</v>
      </c>
      <c r="I398" s="7">
        <v>110044</v>
      </c>
      <c r="J398" s="7" t="s">
        <v>135</v>
      </c>
      <c r="K398" s="7">
        <v>241.21</v>
      </c>
      <c r="L398" s="33">
        <v>171.66</v>
      </c>
      <c r="M398" s="36">
        <v>0.70747000000000004</v>
      </c>
      <c r="N398" s="5" t="str">
        <f t="shared" si="12"/>
        <v>未买</v>
      </c>
    </row>
    <row r="399" spans="8:14" x14ac:dyDescent="0.15">
      <c r="H399" s="17">
        <v>397</v>
      </c>
      <c r="I399" s="7">
        <v>123065</v>
      </c>
      <c r="J399" s="7" t="s">
        <v>136</v>
      </c>
      <c r="K399" s="7">
        <v>120</v>
      </c>
      <c r="L399" s="33">
        <v>171.86</v>
      </c>
      <c r="M399" s="36">
        <v>2.1885789999999998</v>
      </c>
      <c r="N399" s="5" t="str">
        <f t="shared" si="12"/>
        <v>未买</v>
      </c>
    </row>
    <row r="400" spans="8:14" x14ac:dyDescent="0.15">
      <c r="H400" s="17">
        <v>398</v>
      </c>
      <c r="I400" s="7">
        <v>113627</v>
      </c>
      <c r="J400" s="7" t="s">
        <v>148</v>
      </c>
      <c r="K400" s="7">
        <v>109.05</v>
      </c>
      <c r="L400" s="33">
        <v>173.58</v>
      </c>
      <c r="M400" s="36">
        <v>7.99979</v>
      </c>
      <c r="N400" s="5" t="str">
        <f t="shared" si="12"/>
        <v>未买</v>
      </c>
    </row>
    <row r="401" spans="8:14" x14ac:dyDescent="0.15">
      <c r="H401" s="17">
        <v>399</v>
      </c>
      <c r="I401" s="7">
        <v>113584</v>
      </c>
      <c r="J401" s="7" t="s">
        <v>1918</v>
      </c>
      <c r="K401" s="7">
        <v>104.21</v>
      </c>
      <c r="L401" s="33">
        <v>183.8</v>
      </c>
      <c r="M401" s="36">
        <v>6.4491300000000003</v>
      </c>
      <c r="N401" s="5" t="str">
        <f t="shared" si="12"/>
        <v>未买</v>
      </c>
    </row>
    <row r="402" spans="8:14" x14ac:dyDescent="0.15">
      <c r="H402" s="17">
        <v>400</v>
      </c>
      <c r="I402" s="7">
        <v>128041</v>
      </c>
      <c r="J402" s="7" t="s">
        <v>134</v>
      </c>
      <c r="K402" s="7">
        <v>290.8</v>
      </c>
      <c r="L402" s="33">
        <v>194.69</v>
      </c>
      <c r="M402" s="36">
        <v>0.52935699999999997</v>
      </c>
      <c r="N402" s="5" t="str">
        <f t="shared" si="12"/>
        <v>未买</v>
      </c>
    </row>
    <row r="403" spans="8:14" x14ac:dyDescent="0.15">
      <c r="H403" s="17">
        <v>401</v>
      </c>
      <c r="I403" s="7">
        <v>113596</v>
      </c>
      <c r="J403" s="7" t="s">
        <v>1919</v>
      </c>
      <c r="K403" s="7">
        <v>97.12</v>
      </c>
      <c r="L403" s="33">
        <v>204.83</v>
      </c>
      <c r="M403" s="36">
        <v>11.986980000000001</v>
      </c>
      <c r="N403" s="5" t="str">
        <f t="shared" si="12"/>
        <v>未买</v>
      </c>
    </row>
    <row r="404" spans="8:14" x14ac:dyDescent="0.15">
      <c r="H404" s="17">
        <v>402</v>
      </c>
      <c r="I404" s="7">
        <v>128062</v>
      </c>
      <c r="J404" s="7" t="s">
        <v>1920</v>
      </c>
      <c r="K404" s="7">
        <v>99.34</v>
      </c>
      <c r="L404" s="33">
        <v>205.76</v>
      </c>
      <c r="M404" s="36">
        <v>9.6197039999999987</v>
      </c>
      <c r="N404" s="5" t="str">
        <f t="shared" si="12"/>
        <v>未买</v>
      </c>
    </row>
    <row r="405" spans="8:14" x14ac:dyDescent="0.15">
      <c r="H405" s="17">
        <v>403</v>
      </c>
      <c r="I405" s="7">
        <v>123034</v>
      </c>
      <c r="J405" s="7" t="s">
        <v>2047</v>
      </c>
      <c r="K405" s="7">
        <v>375</v>
      </c>
      <c r="L405" s="33">
        <v>231.16</v>
      </c>
      <c r="M405" s="36">
        <v>0.77857100000000001</v>
      </c>
      <c r="N405" s="5" t="str">
        <f t="shared" si="12"/>
        <v>未买</v>
      </c>
    </row>
    <row r="406" spans="8:14" x14ac:dyDescent="0.15">
      <c r="H406" s="17">
        <v>404</v>
      </c>
      <c r="I406" s="7">
        <v>123136</v>
      </c>
      <c r="J406" s="7" t="s">
        <v>271</v>
      </c>
      <c r="K406" s="7">
        <v>297.18</v>
      </c>
      <c r="L406" s="33">
        <v>237.86</v>
      </c>
      <c r="M406" s="36">
        <v>4.5999999999999996</v>
      </c>
      <c r="N406" s="5" t="str">
        <f t="shared" si="12"/>
        <v>未买</v>
      </c>
    </row>
    <row r="407" spans="8:14" x14ac:dyDescent="0.15">
      <c r="H407" s="17">
        <v>405</v>
      </c>
      <c r="I407" s="7">
        <v>113576</v>
      </c>
      <c r="J407" s="7" t="s">
        <v>138</v>
      </c>
      <c r="K407" s="7">
        <v>119.81</v>
      </c>
      <c r="L407" s="33">
        <v>250.12</v>
      </c>
      <c r="M407" s="36">
        <v>2.65808</v>
      </c>
      <c r="N407" s="5" t="str">
        <f t="shared" si="12"/>
        <v>未买</v>
      </c>
    </row>
    <row r="408" spans="8:14" x14ac:dyDescent="0.15">
      <c r="H408" s="17">
        <v>406</v>
      </c>
      <c r="I408" s="7">
        <v>127004</v>
      </c>
      <c r="J408" s="7" t="s">
        <v>137</v>
      </c>
      <c r="K408" s="7">
        <v>280.81099999999998</v>
      </c>
      <c r="L408" s="33">
        <v>254.83</v>
      </c>
      <c r="M408" s="36">
        <v>1.3110879999999998</v>
      </c>
      <c r="N408" s="5" t="str">
        <f t="shared" si="12"/>
        <v>未买</v>
      </c>
    </row>
    <row r="409" spans="8:14" x14ac:dyDescent="0.15">
      <c r="H409" s="17">
        <v>407</v>
      </c>
      <c r="I409" s="7">
        <v>113575</v>
      </c>
      <c r="J409" s="7" t="s">
        <v>151</v>
      </c>
      <c r="K409" s="7">
        <v>173.09</v>
      </c>
      <c r="L409" s="33">
        <v>259.48</v>
      </c>
      <c r="M409" s="36">
        <v>0.98397999999999997</v>
      </c>
      <c r="N409" s="5" t="str">
        <f t="shared" si="12"/>
        <v>未买</v>
      </c>
    </row>
    <row r="410" spans="8:14" x14ac:dyDescent="0.15">
      <c r="H410" s="17">
        <v>408</v>
      </c>
      <c r="I410" s="7">
        <v>113574</v>
      </c>
      <c r="J410" s="7" t="s">
        <v>1921</v>
      </c>
      <c r="K410" s="7">
        <v>117.51</v>
      </c>
      <c r="L410" s="33">
        <v>261.24</v>
      </c>
      <c r="M410" s="36">
        <v>2.0874100000000002</v>
      </c>
      <c r="N410" s="5" t="str">
        <f t="shared" si="12"/>
        <v>未买</v>
      </c>
    </row>
    <row r="411" spans="8:14" x14ac:dyDescent="0.15">
      <c r="H411" s="17">
        <v>409</v>
      </c>
      <c r="I411" s="7">
        <v>113646</v>
      </c>
      <c r="J411" s="7" t="s">
        <v>1922</v>
      </c>
      <c r="K411" s="7">
        <v>296.33999999999997</v>
      </c>
      <c r="L411" s="33">
        <v>263.07</v>
      </c>
      <c r="M411" s="36">
        <v>1.45868</v>
      </c>
      <c r="N411" s="5" t="str">
        <f t="shared" si="12"/>
        <v>未买</v>
      </c>
    </row>
    <row r="412" spans="8:14" x14ac:dyDescent="0.15">
      <c r="H412" s="17">
        <v>410</v>
      </c>
      <c r="I412" s="7">
        <v>123134</v>
      </c>
      <c r="J412" s="7" t="s">
        <v>277</v>
      </c>
      <c r="K412" s="7">
        <v>392.52699999999999</v>
      </c>
      <c r="L412" s="33">
        <v>273.87</v>
      </c>
      <c r="M412" s="36">
        <v>2.79</v>
      </c>
      <c r="N412" s="5" t="str">
        <f t="shared" si="12"/>
        <v>未买</v>
      </c>
    </row>
    <row r="413" spans="8:14" x14ac:dyDescent="0.15">
      <c r="H413" s="17">
        <v>411</v>
      </c>
      <c r="I413" s="7">
        <v>123072</v>
      </c>
      <c r="J413" s="7" t="s">
        <v>1923</v>
      </c>
      <c r="K413" s="7">
        <v>138.80000000000001</v>
      </c>
      <c r="L413" s="33">
        <v>277.69</v>
      </c>
      <c r="M413" s="36">
        <v>1.419144</v>
      </c>
      <c r="N413" s="5" t="str">
        <f t="shared" si="12"/>
        <v>未买</v>
      </c>
    </row>
    <row r="414" spans="8:14" x14ac:dyDescent="0.15">
      <c r="H414" s="17">
        <v>412</v>
      </c>
      <c r="I414" s="7">
        <v>123135</v>
      </c>
      <c r="J414" s="7" t="s">
        <v>1924</v>
      </c>
      <c r="K414" s="7">
        <v>318.5</v>
      </c>
      <c r="L414" s="33">
        <v>321.41000000000003</v>
      </c>
      <c r="M414" s="36">
        <v>2.1</v>
      </c>
      <c r="N414" s="5" t="str">
        <f t="shared" si="12"/>
        <v>未买</v>
      </c>
    </row>
    <row r="415" spans="8:14" x14ac:dyDescent="0.15">
      <c r="H415" s="17">
        <v>413</v>
      </c>
      <c r="I415" s="7">
        <v>123013</v>
      </c>
      <c r="J415" s="7" t="s">
        <v>1925</v>
      </c>
      <c r="K415" s="7">
        <v>475.5</v>
      </c>
      <c r="L415" s="33">
        <v>460.6</v>
      </c>
      <c r="M415" s="36">
        <v>0.37926300000000002</v>
      </c>
      <c r="N415" s="5" t="str">
        <f t="shared" si="12"/>
        <v>未买</v>
      </c>
    </row>
    <row r="416" spans="8:14" x14ac:dyDescent="0.15">
      <c r="H416" s="17">
        <v>414</v>
      </c>
      <c r="I416" s="7">
        <v>123015</v>
      </c>
      <c r="J416" s="7" t="s">
        <v>1926</v>
      </c>
      <c r="K416" s="7">
        <v>287</v>
      </c>
      <c r="L416" s="33">
        <v>883.21</v>
      </c>
      <c r="M416" s="36">
        <v>1.001309</v>
      </c>
      <c r="N416" s="5" t="str">
        <f t="shared" si="12"/>
        <v>未买</v>
      </c>
    </row>
  </sheetData>
  <autoFilter ref="A2:U402"/>
  <phoneticPr fontId="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refresh_premium_rate_convertible_bond">
                <anchor moveWithCells="1" sizeWithCells="1">
                  <from>
                    <xdr:col>13</xdr:col>
                    <xdr:colOff>485775</xdr:colOff>
                    <xdr:row>2</xdr:row>
                    <xdr:rowOff>123825</xdr:rowOff>
                  </from>
                  <to>
                    <xdr:col>14</xdr:col>
                    <xdr:colOff>485775</xdr:colOff>
                    <xdr:row>5</xdr:row>
                    <xdr:rowOff>38100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V750"/>
  <sheetViews>
    <sheetView zoomScaleNormal="100" workbookViewId="0">
      <pane ySplit="2" topLeftCell="A389" activePane="bottomLeft" state="frozen"/>
      <selection pane="bottomLeft" activeCell="N402" sqref="N402"/>
    </sheetView>
  </sheetViews>
  <sheetFormatPr defaultRowHeight="14.25" x14ac:dyDescent="0.15"/>
  <cols>
    <col min="1" max="2" width="12.25" style="7" bestFit="1" customWidth="1"/>
    <col min="3" max="3" width="8.5" style="7" bestFit="1" customWidth="1"/>
    <col min="4" max="4" width="15.875" style="5" customWidth="1"/>
    <col min="5" max="5" width="14.25" style="15" customWidth="1"/>
    <col min="6" max="7" width="9" style="7"/>
    <col min="8" max="8" width="4.125" style="17" customWidth="1"/>
    <col min="9" max="10" width="12.25" style="7" bestFit="1" customWidth="1"/>
    <col min="11" max="11" width="8.5" style="7" bestFit="1" customWidth="1"/>
    <col min="12" max="12" width="10.125" style="7" bestFit="1" customWidth="1"/>
    <col min="13" max="13" width="10.125" style="7" customWidth="1"/>
    <col min="14" max="14" width="10.125" style="36" customWidth="1"/>
    <col min="15" max="15" width="12.25" style="7" bestFit="1" customWidth="1"/>
    <col min="16" max="17" width="9" style="7"/>
    <col min="18" max="18" width="3.75" style="17" customWidth="1"/>
    <col min="19" max="20" width="12.25" style="7" bestFit="1" customWidth="1"/>
    <col min="21" max="21" width="8.5" style="7" bestFit="1" customWidth="1"/>
    <col min="22" max="22" width="12.25" style="7" bestFit="1" customWidth="1"/>
    <col min="23" max="16384" width="9" style="7"/>
  </cols>
  <sheetData>
    <row r="1" spans="1:22" x14ac:dyDescent="0.15">
      <c r="A1" s="8" t="s">
        <v>279</v>
      </c>
      <c r="B1" s="8"/>
      <c r="C1" s="55" t="s">
        <v>1949</v>
      </c>
      <c r="D1" s="7"/>
      <c r="E1" s="7"/>
      <c r="I1" s="8" t="s">
        <v>1933</v>
      </c>
      <c r="J1" s="8"/>
      <c r="K1" s="37" t="s">
        <v>1935</v>
      </c>
      <c r="L1" s="37"/>
      <c r="M1" s="37"/>
      <c r="N1" s="37"/>
      <c r="O1" s="37"/>
      <c r="P1" s="37"/>
      <c r="S1" s="8" t="s">
        <v>812</v>
      </c>
    </row>
    <row r="2" spans="1:22" s="6" customFormat="1" x14ac:dyDescent="0.15">
      <c r="A2" s="6" t="s">
        <v>59</v>
      </c>
      <c r="B2" s="6" t="s">
        <v>58</v>
      </c>
      <c r="C2" s="6" t="s">
        <v>57</v>
      </c>
      <c r="D2" s="4" t="s">
        <v>804</v>
      </c>
      <c r="E2" s="14" t="s">
        <v>801</v>
      </c>
      <c r="H2" s="18"/>
      <c r="I2" s="6" t="s">
        <v>1927</v>
      </c>
      <c r="J2" s="6" t="s">
        <v>1928</v>
      </c>
      <c r="K2" s="6" t="s">
        <v>1810</v>
      </c>
      <c r="L2" s="6" t="s">
        <v>35</v>
      </c>
      <c r="M2" s="6" t="s">
        <v>1929</v>
      </c>
      <c r="N2" s="35" t="s">
        <v>1930</v>
      </c>
      <c r="O2" s="4" t="s">
        <v>253</v>
      </c>
      <c r="R2" s="18"/>
      <c r="S2" s="6" t="s">
        <v>59</v>
      </c>
      <c r="T2" s="6" t="s">
        <v>58</v>
      </c>
      <c r="U2" s="6" t="s">
        <v>57</v>
      </c>
      <c r="V2" s="4" t="s">
        <v>253</v>
      </c>
    </row>
    <row r="3" spans="1:22" s="3" customFormat="1" x14ac:dyDescent="0.15">
      <c r="A3" s="3">
        <v>110070</v>
      </c>
      <c r="B3" s="3" t="s">
        <v>89</v>
      </c>
      <c r="C3" s="3">
        <f>VLOOKUP(A3,$I$1:$K$1000,3,FALSE)</f>
        <v>127.77</v>
      </c>
      <c r="D3" s="5">
        <f>MATCH(A3,$I$1:$I$1000,0)-2</f>
        <v>71</v>
      </c>
      <c r="E3" s="5">
        <f t="shared" ref="E3:E16" si="0">MATCH(A3,$S$1:$S$200,0)-2</f>
        <v>24</v>
      </c>
      <c r="H3" s="19">
        <v>1</v>
      </c>
      <c r="I3">
        <v>128013</v>
      </c>
      <c r="J3" t="s">
        <v>1988</v>
      </c>
      <c r="K3">
        <v>110.5</v>
      </c>
      <c r="L3">
        <v>0.49</v>
      </c>
      <c r="M3">
        <v>110.99</v>
      </c>
      <c r="N3" s="21">
        <v>7.4863169999999997</v>
      </c>
      <c r="O3" s="5" t="str">
        <f>IF(ISNA(MATCH(I3,$A$3:$A$1000,0)),"未买","Yes")</f>
        <v>Yes</v>
      </c>
      <c r="R3" s="19">
        <v>1</v>
      </c>
      <c r="S3" s="7">
        <v>128085</v>
      </c>
      <c r="T3" s="7" t="s">
        <v>798</v>
      </c>
      <c r="U3" s="7">
        <f>VLOOKUP(S3,$I$1:$K$1000,3,FALSE)</f>
        <v>119.547</v>
      </c>
      <c r="V3" s="5" t="str">
        <f>IF(ISNA(MATCH(S3,$A$3:$A$1000,0)),"未买","Yes")</f>
        <v>未买</v>
      </c>
    </row>
    <row r="4" spans="1:22" s="3" customFormat="1" x14ac:dyDescent="0.15">
      <c r="A4" s="3">
        <v>110080</v>
      </c>
      <c r="B4" s="3" t="s">
        <v>229</v>
      </c>
      <c r="C4" s="3">
        <f t="shared" ref="C4:C8" si="1">VLOOKUP(A4,$I$1:$K$1000,3,FALSE)</f>
        <v>116.18</v>
      </c>
      <c r="D4" s="5">
        <f t="shared" ref="D4:D8" si="2">MATCH(A4,$I$1:$I$1000,0)-2</f>
        <v>17</v>
      </c>
      <c r="E4" s="5" t="e">
        <f t="shared" si="0"/>
        <v>#N/A</v>
      </c>
      <c r="H4" s="19">
        <v>2</v>
      </c>
      <c r="I4">
        <v>128114</v>
      </c>
      <c r="J4" t="s">
        <v>1818</v>
      </c>
      <c r="K4">
        <v>108.72799999999999</v>
      </c>
      <c r="L4">
        <v>5.44</v>
      </c>
      <c r="M4">
        <v>114.16799999999999</v>
      </c>
      <c r="N4" s="21">
        <v>15.936507999999998</v>
      </c>
      <c r="O4" s="5" t="str">
        <f t="shared" ref="O4:O67" si="3">IF(ISNA(MATCH(I4,$A$3:$A$1000,0)),"未买","Yes")</f>
        <v>未买</v>
      </c>
      <c r="R4" s="19">
        <v>2</v>
      </c>
      <c r="S4" s="7">
        <v>128100</v>
      </c>
      <c r="T4" s="7" t="s">
        <v>48</v>
      </c>
      <c r="U4" s="7">
        <f t="shared" ref="U4:U28" si="4">VLOOKUP(S4,$I$1:$K$1000,3,FALSE)</f>
        <v>98.599000000000004</v>
      </c>
      <c r="V4" s="5" t="str">
        <f t="shared" ref="V4:V28" si="5">IF(ISNA(MATCH(S4,$A$3:$A$1000,0)),"未买","Yes")</f>
        <v>Yes</v>
      </c>
    </row>
    <row r="5" spans="1:22" x14ac:dyDescent="0.15">
      <c r="A5" s="7">
        <v>113017</v>
      </c>
      <c r="B5" s="7" t="s">
        <v>109</v>
      </c>
      <c r="C5" s="3">
        <f t="shared" si="1"/>
        <v>114.91</v>
      </c>
      <c r="D5" s="5">
        <f t="shared" si="2"/>
        <v>36</v>
      </c>
      <c r="E5" s="5" t="e">
        <f t="shared" si="0"/>
        <v>#N/A</v>
      </c>
      <c r="H5" s="19">
        <v>3</v>
      </c>
      <c r="I5">
        <v>128100</v>
      </c>
      <c r="J5" t="s">
        <v>48</v>
      </c>
      <c r="K5">
        <v>98.599000000000004</v>
      </c>
      <c r="L5">
        <v>24.21</v>
      </c>
      <c r="M5">
        <v>122.809</v>
      </c>
      <c r="N5" s="21">
        <v>7.981973</v>
      </c>
      <c r="O5" s="5" t="str">
        <f t="shared" si="3"/>
        <v>Yes</v>
      </c>
      <c r="R5" s="19">
        <v>3</v>
      </c>
      <c r="S5" s="7">
        <v>113567</v>
      </c>
      <c r="T5" s="7" t="s">
        <v>43</v>
      </c>
      <c r="U5" s="7">
        <f t="shared" si="4"/>
        <v>134.59</v>
      </c>
      <c r="V5" s="5" t="str">
        <f t="shared" si="5"/>
        <v>未买</v>
      </c>
    </row>
    <row r="6" spans="1:22" x14ac:dyDescent="0.15">
      <c r="A6" s="7">
        <v>113033</v>
      </c>
      <c r="B6" s="7" t="s">
        <v>90</v>
      </c>
      <c r="C6" s="3">
        <f t="shared" si="1"/>
        <v>108.54</v>
      </c>
      <c r="D6" s="5">
        <f t="shared" si="2"/>
        <v>8</v>
      </c>
      <c r="E6" s="5" t="e">
        <f t="shared" si="0"/>
        <v>#N/A</v>
      </c>
      <c r="H6" s="19">
        <v>4</v>
      </c>
      <c r="I6">
        <v>113011</v>
      </c>
      <c r="J6" t="s">
        <v>1828</v>
      </c>
      <c r="K6">
        <v>106.85</v>
      </c>
      <c r="L6">
        <v>18.170000000000002</v>
      </c>
      <c r="M6">
        <v>125.02</v>
      </c>
      <c r="N6" s="21">
        <v>241.98864</v>
      </c>
      <c r="O6" s="5" t="str">
        <f t="shared" si="3"/>
        <v>未买</v>
      </c>
      <c r="R6" s="19">
        <v>4</v>
      </c>
      <c r="S6" s="7">
        <v>128076</v>
      </c>
      <c r="T6" s="7" t="s">
        <v>129</v>
      </c>
      <c r="U6" s="7">
        <f t="shared" si="4"/>
        <v>133</v>
      </c>
      <c r="V6" s="5" t="str">
        <f t="shared" si="5"/>
        <v>未买</v>
      </c>
    </row>
    <row r="7" spans="1:22" x14ac:dyDescent="0.15">
      <c r="A7" s="7">
        <v>113591</v>
      </c>
      <c r="B7" s="7" t="s">
        <v>41</v>
      </c>
      <c r="C7" s="3">
        <f t="shared" si="1"/>
        <v>120.07</v>
      </c>
      <c r="D7" s="5">
        <f t="shared" si="2"/>
        <v>18</v>
      </c>
      <c r="E7" s="5">
        <f t="shared" si="0"/>
        <v>22</v>
      </c>
      <c r="H7" s="19">
        <v>5</v>
      </c>
      <c r="I7">
        <v>113044</v>
      </c>
      <c r="J7" t="s">
        <v>1825</v>
      </c>
      <c r="K7">
        <v>108.88</v>
      </c>
      <c r="L7">
        <v>19.18</v>
      </c>
      <c r="M7">
        <v>128.06</v>
      </c>
      <c r="N7" s="21">
        <v>319.98989999999998</v>
      </c>
      <c r="O7" s="5" t="str">
        <f t="shared" si="3"/>
        <v>未买</v>
      </c>
      <c r="R7" s="19">
        <v>5</v>
      </c>
      <c r="S7" s="7">
        <v>113570</v>
      </c>
      <c r="T7" s="7" t="s">
        <v>42</v>
      </c>
      <c r="U7" s="7">
        <f t="shared" si="4"/>
        <v>128.4</v>
      </c>
      <c r="V7" s="5" t="str">
        <f t="shared" si="5"/>
        <v>未买</v>
      </c>
    </row>
    <row r="8" spans="1:22" x14ac:dyDescent="0.15">
      <c r="A8" s="7">
        <v>123002</v>
      </c>
      <c r="B8" s="7" t="s">
        <v>81</v>
      </c>
      <c r="C8" s="3">
        <f t="shared" si="1"/>
        <v>117.346</v>
      </c>
      <c r="D8" s="5">
        <f t="shared" si="2"/>
        <v>193</v>
      </c>
      <c r="E8" s="5">
        <f t="shared" si="0"/>
        <v>14</v>
      </c>
      <c r="H8" s="19">
        <v>6</v>
      </c>
      <c r="I8">
        <v>113541</v>
      </c>
      <c r="J8" t="s">
        <v>1983</v>
      </c>
      <c r="K8">
        <v>129.82</v>
      </c>
      <c r="L8">
        <v>-0.31</v>
      </c>
      <c r="M8">
        <v>129.51</v>
      </c>
      <c r="N8" s="21">
        <v>0.90873999999999999</v>
      </c>
      <c r="O8" s="5" t="str">
        <f t="shared" si="3"/>
        <v>未买</v>
      </c>
      <c r="R8" s="19">
        <v>6</v>
      </c>
      <c r="S8" s="7">
        <v>123057</v>
      </c>
      <c r="T8" s="7" t="s">
        <v>792</v>
      </c>
      <c r="U8" s="7">
        <f t="shared" si="4"/>
        <v>184.90199999999999</v>
      </c>
      <c r="V8" s="5" t="str">
        <f t="shared" si="5"/>
        <v>未买</v>
      </c>
    </row>
    <row r="9" spans="1:22" s="3" customFormat="1" x14ac:dyDescent="0.15">
      <c r="A9" s="7">
        <v>127027</v>
      </c>
      <c r="B9" s="7" t="s">
        <v>237</v>
      </c>
      <c r="C9" s="3">
        <f t="shared" ref="C9:C16" si="6">VLOOKUP(A9,$I$1:$K$1000,3,FALSE)</f>
        <v>141.43799999999999</v>
      </c>
      <c r="D9" s="5">
        <f t="shared" ref="D9:D16" si="7">MATCH(A9,$I$1:$I$1000,0)-2</f>
        <v>53</v>
      </c>
      <c r="E9" s="5" t="e">
        <f t="shared" si="0"/>
        <v>#N/A</v>
      </c>
      <c r="H9" s="19">
        <v>7</v>
      </c>
      <c r="I9">
        <v>128107</v>
      </c>
      <c r="J9" t="s">
        <v>1984</v>
      </c>
      <c r="K9">
        <v>130.04</v>
      </c>
      <c r="L9">
        <v>-0.21</v>
      </c>
      <c r="M9">
        <v>129.82999999999998</v>
      </c>
      <c r="N9" s="21">
        <v>2.1411120000000001</v>
      </c>
      <c r="O9" s="5" t="str">
        <f t="shared" si="3"/>
        <v>未买</v>
      </c>
      <c r="R9" s="19">
        <v>7</v>
      </c>
      <c r="S9" s="7">
        <v>128053</v>
      </c>
      <c r="T9" s="7" t="s">
        <v>61</v>
      </c>
      <c r="U9" s="7">
        <f t="shared" si="4"/>
        <v>142.422</v>
      </c>
      <c r="V9" s="5" t="str">
        <f t="shared" si="5"/>
        <v>未买</v>
      </c>
    </row>
    <row r="10" spans="1:22" x14ac:dyDescent="0.15">
      <c r="A10" s="7">
        <v>127042</v>
      </c>
      <c r="B10" s="7" t="s">
        <v>93</v>
      </c>
      <c r="C10" s="3">
        <f t="shared" si="6"/>
        <v>112.8</v>
      </c>
      <c r="D10" s="5">
        <f t="shared" si="7"/>
        <v>80</v>
      </c>
      <c r="E10" s="5" t="e">
        <f t="shared" si="0"/>
        <v>#N/A</v>
      </c>
      <c r="H10" s="19">
        <v>8</v>
      </c>
      <c r="I10">
        <v>113033</v>
      </c>
      <c r="J10" t="s">
        <v>90</v>
      </c>
      <c r="K10">
        <v>108.54</v>
      </c>
      <c r="L10">
        <v>21.93</v>
      </c>
      <c r="M10">
        <v>130.47</v>
      </c>
      <c r="N10" s="21">
        <v>17.99794</v>
      </c>
      <c r="O10" s="5" t="str">
        <f t="shared" si="3"/>
        <v>Yes</v>
      </c>
      <c r="R10" s="19">
        <v>8</v>
      </c>
      <c r="S10" s="7">
        <v>113565</v>
      </c>
      <c r="T10" s="7" t="s">
        <v>122</v>
      </c>
      <c r="U10" s="7">
        <f t="shared" si="4"/>
        <v>124.65</v>
      </c>
      <c r="V10" s="5" t="str">
        <f t="shared" si="5"/>
        <v>未买</v>
      </c>
    </row>
    <row r="11" spans="1:22" x14ac:dyDescent="0.15">
      <c r="A11" s="7">
        <v>128013</v>
      </c>
      <c r="B11" s="7" t="s">
        <v>52</v>
      </c>
      <c r="C11" s="3">
        <f t="shared" si="6"/>
        <v>110.5</v>
      </c>
      <c r="D11" s="5">
        <f t="shared" si="7"/>
        <v>1</v>
      </c>
      <c r="E11" s="5">
        <f t="shared" si="0"/>
        <v>16</v>
      </c>
      <c r="H11" s="19">
        <v>9</v>
      </c>
      <c r="I11">
        <v>128130</v>
      </c>
      <c r="J11" t="s">
        <v>105</v>
      </c>
      <c r="K11">
        <v>121.839</v>
      </c>
      <c r="L11">
        <v>9.8800000000000008</v>
      </c>
      <c r="M11">
        <v>131.71899999999999</v>
      </c>
      <c r="N11" s="21">
        <v>9.9868059999999996</v>
      </c>
      <c r="O11" s="5" t="str">
        <f t="shared" si="3"/>
        <v>Yes</v>
      </c>
      <c r="R11" s="19">
        <v>9</v>
      </c>
      <c r="S11" s="7">
        <v>113561</v>
      </c>
      <c r="T11" s="7" t="s">
        <v>86</v>
      </c>
      <c r="U11" s="7">
        <f t="shared" si="4"/>
        <v>132.27000000000001</v>
      </c>
      <c r="V11" s="5" t="str">
        <f t="shared" si="5"/>
        <v>未买</v>
      </c>
    </row>
    <row r="12" spans="1:22" x14ac:dyDescent="0.15">
      <c r="A12" s="7">
        <v>128081</v>
      </c>
      <c r="B12" s="7" t="s">
        <v>92</v>
      </c>
      <c r="C12" s="3">
        <f t="shared" si="6"/>
        <v>126.35299999999999</v>
      </c>
      <c r="D12" s="5">
        <f t="shared" si="7"/>
        <v>14</v>
      </c>
      <c r="E12" s="5" t="e">
        <f t="shared" si="0"/>
        <v>#N/A</v>
      </c>
      <c r="H12" s="19">
        <v>10</v>
      </c>
      <c r="I12">
        <v>113599</v>
      </c>
      <c r="J12" t="s">
        <v>63</v>
      </c>
      <c r="K12">
        <v>129.62</v>
      </c>
      <c r="L12">
        <v>3</v>
      </c>
      <c r="M12">
        <v>132.62</v>
      </c>
      <c r="N12" s="21">
        <v>7.0939500000000004</v>
      </c>
      <c r="O12" s="5" t="str">
        <f t="shared" si="3"/>
        <v>未买</v>
      </c>
      <c r="R12" s="19">
        <v>10</v>
      </c>
      <c r="S12" s="7">
        <v>113526</v>
      </c>
      <c r="T12" s="7" t="s">
        <v>143</v>
      </c>
      <c r="U12" s="7">
        <f t="shared" si="4"/>
        <v>147.15</v>
      </c>
      <c r="V12" s="5" t="str">
        <f t="shared" si="5"/>
        <v>未买</v>
      </c>
    </row>
    <row r="13" spans="1:22" x14ac:dyDescent="0.15">
      <c r="A13" s="7">
        <v>128087</v>
      </c>
      <c r="B13" s="7" t="s">
        <v>120</v>
      </c>
      <c r="C13" s="3">
        <f t="shared" si="6"/>
        <v>123.85</v>
      </c>
      <c r="D13" s="5">
        <f t="shared" si="7"/>
        <v>26</v>
      </c>
      <c r="E13" s="5">
        <f t="shared" si="0"/>
        <v>25</v>
      </c>
      <c r="H13" s="19">
        <v>11</v>
      </c>
      <c r="I13">
        <v>127040</v>
      </c>
      <c r="J13" t="s">
        <v>1812</v>
      </c>
      <c r="K13">
        <v>132.58600000000001</v>
      </c>
      <c r="L13">
        <v>0.16</v>
      </c>
      <c r="M13">
        <v>132.74600000000001</v>
      </c>
      <c r="N13" s="21">
        <v>40.151668999999998</v>
      </c>
      <c r="O13" s="5" t="str">
        <f t="shared" si="3"/>
        <v>未买</v>
      </c>
      <c r="R13" s="19">
        <v>11</v>
      </c>
      <c r="S13" s="7">
        <v>113030</v>
      </c>
      <c r="T13" s="7" t="s">
        <v>96</v>
      </c>
      <c r="U13" s="7">
        <f t="shared" si="4"/>
        <v>127</v>
      </c>
      <c r="V13" s="5" t="str">
        <f t="shared" si="5"/>
        <v>未买</v>
      </c>
    </row>
    <row r="14" spans="1:22" x14ac:dyDescent="0.15">
      <c r="A14" s="7">
        <v>128100</v>
      </c>
      <c r="B14" s="7" t="s">
        <v>48</v>
      </c>
      <c r="C14" s="3">
        <f t="shared" si="6"/>
        <v>98.599000000000004</v>
      </c>
      <c r="D14" s="5">
        <f t="shared" si="7"/>
        <v>3</v>
      </c>
      <c r="E14" s="5">
        <f t="shared" si="0"/>
        <v>2</v>
      </c>
      <c r="H14" s="19">
        <v>12</v>
      </c>
      <c r="I14">
        <v>110071</v>
      </c>
      <c r="J14" t="s">
        <v>1980</v>
      </c>
      <c r="K14">
        <v>133.32</v>
      </c>
      <c r="L14">
        <v>-0.45</v>
      </c>
      <c r="M14">
        <v>132.87</v>
      </c>
      <c r="N14" s="21">
        <v>2.9503200000000001</v>
      </c>
      <c r="O14" s="5" t="str">
        <f t="shared" si="3"/>
        <v>未买</v>
      </c>
      <c r="R14" s="19">
        <v>12</v>
      </c>
      <c r="S14" s="7">
        <v>113628</v>
      </c>
      <c r="T14" s="7" t="s">
        <v>226</v>
      </c>
      <c r="U14" s="7">
        <f t="shared" si="4"/>
        <v>110.62</v>
      </c>
      <c r="V14" s="5" t="str">
        <f t="shared" si="5"/>
        <v>未买</v>
      </c>
    </row>
    <row r="15" spans="1:22" x14ac:dyDescent="0.15">
      <c r="A15" s="7">
        <v>128127</v>
      </c>
      <c r="B15" s="7" t="s">
        <v>215</v>
      </c>
      <c r="C15" s="3">
        <f t="shared" si="6"/>
        <v>110.5</v>
      </c>
      <c r="D15" s="5">
        <f t="shared" si="7"/>
        <v>51</v>
      </c>
      <c r="E15" s="5">
        <f t="shared" si="0"/>
        <v>15</v>
      </c>
      <c r="H15" s="19">
        <v>13</v>
      </c>
      <c r="I15">
        <v>110084</v>
      </c>
      <c r="J15" t="s">
        <v>273</v>
      </c>
      <c r="K15">
        <v>122.63</v>
      </c>
      <c r="L15">
        <v>11.03</v>
      </c>
      <c r="M15">
        <v>133.66</v>
      </c>
      <c r="N15" s="21">
        <v>10</v>
      </c>
      <c r="O15" s="5" t="str">
        <f t="shared" si="3"/>
        <v>未买</v>
      </c>
      <c r="R15" s="19">
        <v>13</v>
      </c>
      <c r="S15" s="7">
        <v>113039</v>
      </c>
      <c r="T15" s="7" t="s">
        <v>45</v>
      </c>
      <c r="U15" s="7">
        <f t="shared" si="4"/>
        <v>139.76</v>
      </c>
      <c r="V15" s="5" t="str">
        <f t="shared" si="5"/>
        <v>未买</v>
      </c>
    </row>
    <row r="16" spans="1:22" x14ac:dyDescent="0.15">
      <c r="A16" s="7">
        <v>128130</v>
      </c>
      <c r="B16" s="7" t="s">
        <v>105</v>
      </c>
      <c r="C16" s="3">
        <f t="shared" si="6"/>
        <v>121.839</v>
      </c>
      <c r="D16" s="5">
        <f t="shared" si="7"/>
        <v>9</v>
      </c>
      <c r="E16" s="5" t="e">
        <f t="shared" si="0"/>
        <v>#N/A</v>
      </c>
      <c r="H16" s="19">
        <v>14</v>
      </c>
      <c r="I16">
        <v>128081</v>
      </c>
      <c r="J16" t="s">
        <v>92</v>
      </c>
      <c r="K16">
        <v>126.35299999999999</v>
      </c>
      <c r="L16">
        <v>7.31</v>
      </c>
      <c r="M16">
        <v>133.66299999999998</v>
      </c>
      <c r="N16" s="21">
        <v>30.054890999999994</v>
      </c>
      <c r="O16" s="5" t="str">
        <f t="shared" si="3"/>
        <v>Yes</v>
      </c>
      <c r="R16" s="19">
        <v>14</v>
      </c>
      <c r="S16" s="7">
        <v>123002</v>
      </c>
      <c r="T16" s="7" t="s">
        <v>81</v>
      </c>
      <c r="U16" s="7">
        <f t="shared" si="4"/>
        <v>117.346</v>
      </c>
      <c r="V16" s="5" t="str">
        <f t="shared" si="5"/>
        <v>Yes</v>
      </c>
    </row>
    <row r="17" spans="3:22" x14ac:dyDescent="0.15">
      <c r="H17" s="19">
        <v>15</v>
      </c>
      <c r="I17">
        <v>110053</v>
      </c>
      <c r="J17" t="s">
        <v>1815</v>
      </c>
      <c r="K17">
        <v>122.64</v>
      </c>
      <c r="L17">
        <v>12.12</v>
      </c>
      <c r="M17">
        <v>134.76</v>
      </c>
      <c r="N17" s="21">
        <v>199.99203</v>
      </c>
      <c r="O17" s="5" t="str">
        <f t="shared" si="3"/>
        <v>未买</v>
      </c>
      <c r="R17" s="19">
        <v>15</v>
      </c>
      <c r="S17" s="7">
        <v>128127</v>
      </c>
      <c r="T17" s="7" t="s">
        <v>215</v>
      </c>
      <c r="U17" s="7">
        <f t="shared" si="4"/>
        <v>110.5</v>
      </c>
      <c r="V17" s="5" t="str">
        <f t="shared" si="5"/>
        <v>Yes</v>
      </c>
    </row>
    <row r="18" spans="3:22" x14ac:dyDescent="0.15">
      <c r="C18" s="3"/>
      <c r="E18" s="5"/>
      <c r="H18" s="19">
        <v>16</v>
      </c>
      <c r="I18">
        <v>128034</v>
      </c>
      <c r="J18" t="s">
        <v>1827</v>
      </c>
      <c r="K18">
        <v>119</v>
      </c>
      <c r="L18">
        <v>15.92</v>
      </c>
      <c r="M18">
        <v>134.91999999999999</v>
      </c>
      <c r="N18" s="21">
        <v>17.579694</v>
      </c>
      <c r="O18" s="5" t="str">
        <f t="shared" si="3"/>
        <v>未买</v>
      </c>
      <c r="R18" s="19">
        <v>16</v>
      </c>
      <c r="S18" s="7">
        <v>128013</v>
      </c>
      <c r="T18" s="7" t="s">
        <v>52</v>
      </c>
      <c r="U18" s="7">
        <f t="shared" si="4"/>
        <v>110.5</v>
      </c>
      <c r="V18" s="5" t="str">
        <f t="shared" si="5"/>
        <v>Yes</v>
      </c>
    </row>
    <row r="19" spans="3:22" x14ac:dyDescent="0.15">
      <c r="C19" s="3"/>
      <c r="E19" s="5"/>
      <c r="H19" s="19">
        <v>17</v>
      </c>
      <c r="I19">
        <v>110080</v>
      </c>
      <c r="J19" t="s">
        <v>229</v>
      </c>
      <c r="K19">
        <v>116.18</v>
      </c>
      <c r="L19">
        <v>18.93</v>
      </c>
      <c r="M19">
        <v>135.11000000000001</v>
      </c>
      <c r="N19" s="21">
        <v>15.49118</v>
      </c>
      <c r="O19" s="5" t="str">
        <f t="shared" si="3"/>
        <v>Yes</v>
      </c>
      <c r="R19" s="19">
        <v>17</v>
      </c>
      <c r="S19" s="7">
        <v>128090</v>
      </c>
      <c r="T19" s="7" t="s">
        <v>121</v>
      </c>
      <c r="U19" s="7">
        <f t="shared" si="4"/>
        <v>139.4</v>
      </c>
      <c r="V19" s="5" t="str">
        <f t="shared" si="5"/>
        <v>未买</v>
      </c>
    </row>
    <row r="20" spans="3:22" x14ac:dyDescent="0.15">
      <c r="C20" s="3"/>
      <c r="E20" s="5"/>
      <c r="H20" s="19">
        <v>18</v>
      </c>
      <c r="I20">
        <v>113591</v>
      </c>
      <c r="J20" t="s">
        <v>41</v>
      </c>
      <c r="K20">
        <v>120.07</v>
      </c>
      <c r="L20">
        <v>15.06</v>
      </c>
      <c r="M20">
        <v>135.13</v>
      </c>
      <c r="N20" s="21">
        <v>4.7749800000000002</v>
      </c>
      <c r="O20" s="5" t="str">
        <f t="shared" si="3"/>
        <v>Yes</v>
      </c>
      <c r="R20" s="19">
        <v>18</v>
      </c>
      <c r="S20" s="7">
        <v>123052</v>
      </c>
      <c r="T20" s="7" t="s">
        <v>791</v>
      </c>
      <c r="U20" s="7">
        <f t="shared" si="4"/>
        <v>148.5</v>
      </c>
      <c r="V20" s="5" t="str">
        <f t="shared" si="5"/>
        <v>未买</v>
      </c>
    </row>
    <row r="21" spans="3:22" x14ac:dyDescent="0.15">
      <c r="C21" s="3"/>
      <c r="E21" s="5"/>
      <c r="H21" s="19">
        <v>19</v>
      </c>
      <c r="I21">
        <v>110083</v>
      </c>
      <c r="J21" t="s">
        <v>1829</v>
      </c>
      <c r="K21">
        <v>118.72</v>
      </c>
      <c r="L21">
        <v>16.43</v>
      </c>
      <c r="M21">
        <v>135.15</v>
      </c>
      <c r="N21" s="21">
        <v>49.982370000000003</v>
      </c>
      <c r="O21" s="5" t="str">
        <f t="shared" si="3"/>
        <v>未买</v>
      </c>
      <c r="R21" s="19">
        <v>19</v>
      </c>
      <c r="S21" s="7">
        <v>123080</v>
      </c>
      <c r="T21" s="7" t="s">
        <v>54</v>
      </c>
      <c r="U21" s="7">
        <f t="shared" si="4"/>
        <v>129.721</v>
      </c>
      <c r="V21" s="5" t="str">
        <f t="shared" si="5"/>
        <v>未买</v>
      </c>
    </row>
    <row r="22" spans="3:22" x14ac:dyDescent="0.15">
      <c r="C22" s="3"/>
      <c r="E22" s="5"/>
      <c r="H22" s="19">
        <v>20</v>
      </c>
      <c r="I22">
        <v>113050</v>
      </c>
      <c r="J22" t="s">
        <v>1817</v>
      </c>
      <c r="K22">
        <v>123.16</v>
      </c>
      <c r="L22">
        <v>12.12</v>
      </c>
      <c r="M22">
        <v>135.28</v>
      </c>
      <c r="N22" s="21">
        <v>169.83005</v>
      </c>
      <c r="O22" s="5" t="str">
        <f t="shared" si="3"/>
        <v>未买</v>
      </c>
      <c r="R22" s="19">
        <v>20</v>
      </c>
      <c r="S22" s="7">
        <v>113598</v>
      </c>
      <c r="T22" s="7" t="s">
        <v>100</v>
      </c>
      <c r="U22" s="7">
        <f t="shared" si="4"/>
        <v>127.69</v>
      </c>
      <c r="V22" s="5" t="str">
        <f t="shared" si="5"/>
        <v>未买</v>
      </c>
    </row>
    <row r="23" spans="3:22" x14ac:dyDescent="0.15">
      <c r="C23" s="3"/>
      <c r="E23" s="5"/>
      <c r="H23" s="19">
        <v>21</v>
      </c>
      <c r="I23">
        <v>128048</v>
      </c>
      <c r="J23" t="s">
        <v>1819</v>
      </c>
      <c r="K23">
        <v>124.5</v>
      </c>
      <c r="L23">
        <v>11.02</v>
      </c>
      <c r="M23">
        <v>135.52000000000001</v>
      </c>
      <c r="N23" s="21">
        <v>24.970395</v>
      </c>
      <c r="O23" s="5" t="str">
        <f t="shared" si="3"/>
        <v>未买</v>
      </c>
      <c r="R23" s="19">
        <v>21</v>
      </c>
      <c r="S23" s="7">
        <v>128071</v>
      </c>
      <c r="T23" s="7" t="s">
        <v>88</v>
      </c>
      <c r="U23" s="7">
        <f t="shared" si="4"/>
        <v>115.25</v>
      </c>
      <c r="V23" s="5" t="str">
        <f t="shared" si="5"/>
        <v>未买</v>
      </c>
    </row>
    <row r="24" spans="3:22" x14ac:dyDescent="0.15">
      <c r="C24" s="3"/>
      <c r="E24" s="5"/>
      <c r="H24" s="19">
        <v>22</v>
      </c>
      <c r="I24">
        <v>110043</v>
      </c>
      <c r="J24" t="s">
        <v>1811</v>
      </c>
      <c r="K24">
        <v>116.83</v>
      </c>
      <c r="L24">
        <v>18.73</v>
      </c>
      <c r="M24">
        <v>135.56</v>
      </c>
      <c r="N24" s="21">
        <v>29.2134</v>
      </c>
      <c r="O24" s="5" t="str">
        <f t="shared" si="3"/>
        <v>未买</v>
      </c>
      <c r="R24" s="19">
        <v>22</v>
      </c>
      <c r="S24" s="7">
        <v>113591</v>
      </c>
      <c r="T24" s="7" t="s">
        <v>41</v>
      </c>
      <c r="U24" s="7">
        <f t="shared" si="4"/>
        <v>120.07</v>
      </c>
      <c r="V24" s="5" t="str">
        <f t="shared" si="5"/>
        <v>Yes</v>
      </c>
    </row>
    <row r="25" spans="3:22" x14ac:dyDescent="0.15">
      <c r="C25" s="3"/>
      <c r="E25" s="5"/>
      <c r="H25" s="19">
        <v>23</v>
      </c>
      <c r="I25">
        <v>127020</v>
      </c>
      <c r="J25" t="s">
        <v>1840</v>
      </c>
      <c r="K25">
        <v>116.876</v>
      </c>
      <c r="L25">
        <v>18.7</v>
      </c>
      <c r="M25">
        <v>135.57599999999999</v>
      </c>
      <c r="N25" s="21">
        <v>30.227959000000006</v>
      </c>
      <c r="O25" s="5" t="str">
        <f t="shared" si="3"/>
        <v>未买</v>
      </c>
      <c r="R25" s="19">
        <v>23</v>
      </c>
      <c r="S25" s="7">
        <v>128039</v>
      </c>
      <c r="T25" s="7" t="s">
        <v>119</v>
      </c>
      <c r="U25" s="7">
        <f t="shared" si="4"/>
        <v>125.45</v>
      </c>
      <c r="V25" s="5" t="str">
        <f t="shared" si="5"/>
        <v>未买</v>
      </c>
    </row>
    <row r="26" spans="3:22" x14ac:dyDescent="0.15">
      <c r="E26" s="5"/>
      <c r="H26" s="19">
        <v>24</v>
      </c>
      <c r="I26">
        <v>123023</v>
      </c>
      <c r="J26" t="s">
        <v>206</v>
      </c>
      <c r="K26">
        <v>120.20699999999999</v>
      </c>
      <c r="L26">
        <v>15.42</v>
      </c>
      <c r="M26">
        <v>135.62699999999998</v>
      </c>
      <c r="N26" s="21">
        <v>5.2936360000000002</v>
      </c>
      <c r="O26" s="5" t="str">
        <f t="shared" si="3"/>
        <v>未买</v>
      </c>
      <c r="R26" s="19">
        <v>24</v>
      </c>
      <c r="S26" s="7">
        <v>110070</v>
      </c>
      <c r="T26" s="7" t="s">
        <v>89</v>
      </c>
      <c r="U26" s="7">
        <f t="shared" si="4"/>
        <v>127.77</v>
      </c>
      <c r="V26" s="5" t="str">
        <f t="shared" si="5"/>
        <v>Yes</v>
      </c>
    </row>
    <row r="27" spans="3:22" x14ac:dyDescent="0.15">
      <c r="E27" s="5"/>
      <c r="H27" s="19">
        <v>25</v>
      </c>
      <c r="I27">
        <v>128083</v>
      </c>
      <c r="J27" t="s">
        <v>188</v>
      </c>
      <c r="K27">
        <v>120.5</v>
      </c>
      <c r="L27">
        <v>15.13</v>
      </c>
      <c r="M27">
        <v>135.63</v>
      </c>
      <c r="N27" s="21">
        <v>8.7687390000000001</v>
      </c>
      <c r="O27" s="5" t="str">
        <f t="shared" si="3"/>
        <v>未买</v>
      </c>
      <c r="R27" s="19">
        <v>25</v>
      </c>
      <c r="S27" s="7">
        <v>128087</v>
      </c>
      <c r="T27" s="7" t="s">
        <v>120</v>
      </c>
      <c r="U27" s="7">
        <f t="shared" si="4"/>
        <v>123.85</v>
      </c>
      <c r="V27" s="5" t="str">
        <f t="shared" si="5"/>
        <v>Yes</v>
      </c>
    </row>
    <row r="28" spans="3:22" x14ac:dyDescent="0.15">
      <c r="E28" s="5"/>
      <c r="H28" s="19">
        <v>26</v>
      </c>
      <c r="I28">
        <v>128087</v>
      </c>
      <c r="J28" t="s">
        <v>120</v>
      </c>
      <c r="K28">
        <v>123.85</v>
      </c>
      <c r="L28">
        <v>12.49</v>
      </c>
      <c r="M28">
        <v>136.34</v>
      </c>
      <c r="N28" s="21">
        <v>6.4940579999999999</v>
      </c>
      <c r="O28" s="5" t="str">
        <f t="shared" si="3"/>
        <v>Yes</v>
      </c>
      <c r="R28" s="19">
        <v>26</v>
      </c>
      <c r="S28" s="7">
        <v>128120</v>
      </c>
      <c r="T28" s="7" t="s">
        <v>116</v>
      </c>
      <c r="U28" s="7">
        <f t="shared" si="4"/>
        <v>121.251</v>
      </c>
      <c r="V28" s="5" t="str">
        <f t="shared" si="5"/>
        <v>未买</v>
      </c>
    </row>
    <row r="29" spans="3:22" x14ac:dyDescent="0.15">
      <c r="E29" s="5"/>
      <c r="H29" s="19">
        <v>27</v>
      </c>
      <c r="I29">
        <v>128066</v>
      </c>
      <c r="J29" t="s">
        <v>98</v>
      </c>
      <c r="K29">
        <v>117.5</v>
      </c>
      <c r="L29">
        <v>19.170000000000002</v>
      </c>
      <c r="M29">
        <v>136.67000000000002</v>
      </c>
      <c r="N29" s="21">
        <v>4.610582</v>
      </c>
      <c r="O29" s="5" t="str">
        <f t="shared" si="3"/>
        <v>未买</v>
      </c>
      <c r="R29" s="19">
        <v>27</v>
      </c>
      <c r="V29" s="5"/>
    </row>
    <row r="30" spans="3:22" x14ac:dyDescent="0.15">
      <c r="E30" s="5"/>
      <c r="H30" s="19">
        <v>28</v>
      </c>
      <c r="I30">
        <v>127045</v>
      </c>
      <c r="J30" t="s">
        <v>1830</v>
      </c>
      <c r="K30">
        <v>129.30000000000001</v>
      </c>
      <c r="L30">
        <v>7.85</v>
      </c>
      <c r="M30">
        <v>137.15</v>
      </c>
      <c r="N30" s="21">
        <v>95.473647</v>
      </c>
      <c r="O30" s="5" t="str">
        <f t="shared" si="3"/>
        <v>未买</v>
      </c>
      <c r="R30" s="19">
        <v>28</v>
      </c>
      <c r="V30" s="5"/>
    </row>
    <row r="31" spans="3:22" x14ac:dyDescent="0.15">
      <c r="E31" s="5"/>
      <c r="H31" s="19">
        <v>29</v>
      </c>
      <c r="I31">
        <v>110079</v>
      </c>
      <c r="J31" t="s">
        <v>1824</v>
      </c>
      <c r="K31">
        <v>122.87</v>
      </c>
      <c r="L31">
        <v>14.33</v>
      </c>
      <c r="M31">
        <v>137.20000000000002</v>
      </c>
      <c r="N31" s="21">
        <v>149.99047999999999</v>
      </c>
      <c r="O31" s="5" t="str">
        <f t="shared" si="3"/>
        <v>未买</v>
      </c>
      <c r="R31" s="19">
        <v>29</v>
      </c>
      <c r="V31" s="5"/>
    </row>
    <row r="32" spans="3:22" x14ac:dyDescent="0.15">
      <c r="E32" s="5"/>
      <c r="H32" s="19">
        <v>30</v>
      </c>
      <c r="I32">
        <v>123107</v>
      </c>
      <c r="J32" t="s">
        <v>1834</v>
      </c>
      <c r="K32">
        <v>132.16200000000001</v>
      </c>
      <c r="L32">
        <v>5.34</v>
      </c>
      <c r="M32">
        <v>137.50200000000001</v>
      </c>
      <c r="N32" s="21">
        <v>92.961128000000002</v>
      </c>
      <c r="O32" s="5" t="str">
        <f t="shared" si="3"/>
        <v>未买</v>
      </c>
      <c r="R32" s="19">
        <v>30</v>
      </c>
      <c r="V32" s="5"/>
    </row>
    <row r="33" spans="5:22" x14ac:dyDescent="0.15">
      <c r="E33" s="5"/>
      <c r="H33" s="19">
        <v>31</v>
      </c>
      <c r="I33">
        <v>127049</v>
      </c>
      <c r="J33" t="s">
        <v>1835</v>
      </c>
      <c r="K33">
        <v>124.205</v>
      </c>
      <c r="L33">
        <v>13.74</v>
      </c>
      <c r="M33">
        <v>137.94499999999999</v>
      </c>
      <c r="N33" s="21">
        <v>81.493176000000005</v>
      </c>
      <c r="O33" s="5" t="str">
        <f t="shared" si="3"/>
        <v>未买</v>
      </c>
      <c r="R33" s="19">
        <v>31</v>
      </c>
      <c r="V33" s="5"/>
    </row>
    <row r="34" spans="5:22" x14ac:dyDescent="0.15">
      <c r="E34" s="5"/>
      <c r="H34" s="19">
        <v>32</v>
      </c>
      <c r="I34">
        <v>113631</v>
      </c>
      <c r="J34" t="s">
        <v>221</v>
      </c>
      <c r="K34">
        <v>113.82</v>
      </c>
      <c r="L34">
        <v>24.2</v>
      </c>
      <c r="M34">
        <v>138.01999999999998</v>
      </c>
      <c r="N34" s="21">
        <v>9.2997599999999991</v>
      </c>
      <c r="O34" s="5" t="str">
        <f t="shared" si="3"/>
        <v>未买</v>
      </c>
      <c r="R34" s="19">
        <v>32</v>
      </c>
      <c r="V34" s="5"/>
    </row>
    <row r="35" spans="5:22" x14ac:dyDescent="0.15">
      <c r="E35" s="5"/>
      <c r="H35" s="19">
        <v>33</v>
      </c>
      <c r="I35">
        <v>110057</v>
      </c>
      <c r="J35" t="s">
        <v>1836</v>
      </c>
      <c r="K35">
        <v>115.36</v>
      </c>
      <c r="L35">
        <v>22.89</v>
      </c>
      <c r="M35">
        <v>138.25</v>
      </c>
      <c r="N35" s="21">
        <v>16.155080000000002</v>
      </c>
      <c r="O35" s="5" t="str">
        <f t="shared" si="3"/>
        <v>未买</v>
      </c>
      <c r="R35" s="19">
        <v>33</v>
      </c>
      <c r="V35" s="5"/>
    </row>
    <row r="36" spans="5:22" x14ac:dyDescent="0.15">
      <c r="E36" s="5"/>
      <c r="H36" s="19">
        <v>34</v>
      </c>
      <c r="I36">
        <v>123146</v>
      </c>
      <c r="J36" t="s">
        <v>1832</v>
      </c>
      <c r="K36">
        <v>116.1</v>
      </c>
      <c r="L36">
        <v>22.49</v>
      </c>
      <c r="M36">
        <v>138.59</v>
      </c>
      <c r="N36" s="21">
        <v>8.64</v>
      </c>
      <c r="O36" s="5" t="str">
        <f t="shared" si="3"/>
        <v>未买</v>
      </c>
      <c r="R36" s="19">
        <v>34</v>
      </c>
      <c r="V36" s="5"/>
    </row>
    <row r="37" spans="5:22" x14ac:dyDescent="0.15">
      <c r="E37" s="5"/>
      <c r="H37" s="19">
        <v>35</v>
      </c>
      <c r="I37">
        <v>128129</v>
      </c>
      <c r="J37" t="s">
        <v>1860</v>
      </c>
      <c r="K37">
        <v>103.869</v>
      </c>
      <c r="L37">
        <v>34.75</v>
      </c>
      <c r="M37">
        <v>138.619</v>
      </c>
      <c r="N37" s="21">
        <v>49.997459999999997</v>
      </c>
      <c r="O37" s="5" t="str">
        <f t="shared" si="3"/>
        <v>未买</v>
      </c>
      <c r="R37" s="19">
        <v>35</v>
      </c>
      <c r="V37" s="5"/>
    </row>
    <row r="38" spans="5:22" x14ac:dyDescent="0.15">
      <c r="E38" s="5"/>
      <c r="H38" s="19">
        <v>36</v>
      </c>
      <c r="I38">
        <v>113017</v>
      </c>
      <c r="J38" t="s">
        <v>109</v>
      </c>
      <c r="K38">
        <v>114.91</v>
      </c>
      <c r="L38">
        <v>23.79</v>
      </c>
      <c r="M38">
        <v>138.69999999999999</v>
      </c>
      <c r="N38" s="21">
        <v>11.34999</v>
      </c>
      <c r="O38" s="5" t="str">
        <f t="shared" si="3"/>
        <v>Yes</v>
      </c>
      <c r="R38" s="19">
        <v>36</v>
      </c>
      <c r="V38" s="5"/>
    </row>
    <row r="39" spans="5:22" x14ac:dyDescent="0.15">
      <c r="E39" s="5"/>
      <c r="H39" s="19">
        <v>37</v>
      </c>
      <c r="I39">
        <v>128119</v>
      </c>
      <c r="J39" t="s">
        <v>243</v>
      </c>
      <c r="K39">
        <v>128.29900000000001</v>
      </c>
      <c r="L39">
        <v>10.45</v>
      </c>
      <c r="M39">
        <v>138.749</v>
      </c>
      <c r="N39" s="21">
        <v>9.4607620000000008</v>
      </c>
      <c r="O39" s="5" t="str">
        <f t="shared" si="3"/>
        <v>未买</v>
      </c>
      <c r="R39" s="19">
        <v>37</v>
      </c>
      <c r="V39" s="5"/>
    </row>
    <row r="40" spans="5:22" x14ac:dyDescent="0.15">
      <c r="E40" s="5"/>
      <c r="H40" s="19">
        <v>38</v>
      </c>
      <c r="I40">
        <v>110063</v>
      </c>
      <c r="J40" t="s">
        <v>1843</v>
      </c>
      <c r="K40">
        <v>111.5</v>
      </c>
      <c r="L40">
        <v>27.25</v>
      </c>
      <c r="M40">
        <v>138.75</v>
      </c>
      <c r="N40" s="21">
        <v>18.444659999999999</v>
      </c>
      <c r="O40" s="5" t="str">
        <f t="shared" si="3"/>
        <v>未买</v>
      </c>
      <c r="R40" s="19">
        <v>38</v>
      </c>
      <c r="V40" s="5"/>
    </row>
    <row r="41" spans="5:22" x14ac:dyDescent="0.15">
      <c r="E41" s="5"/>
      <c r="H41" s="19">
        <v>39</v>
      </c>
      <c r="I41">
        <v>110077</v>
      </c>
      <c r="J41" t="s">
        <v>1814</v>
      </c>
      <c r="K41">
        <v>130.21</v>
      </c>
      <c r="L41">
        <v>8.5399999999999991</v>
      </c>
      <c r="M41">
        <v>138.75</v>
      </c>
      <c r="N41" s="21">
        <v>17.676639999999999</v>
      </c>
      <c r="O41" s="5" t="str">
        <f t="shared" si="3"/>
        <v>未买</v>
      </c>
      <c r="R41" s="19">
        <v>39</v>
      </c>
      <c r="V41" s="5"/>
    </row>
    <row r="42" spans="5:22" x14ac:dyDescent="0.15">
      <c r="E42" s="5"/>
      <c r="H42" s="19">
        <v>40</v>
      </c>
      <c r="I42">
        <v>110068</v>
      </c>
      <c r="J42" t="s">
        <v>1816</v>
      </c>
      <c r="K42">
        <v>136.77000000000001</v>
      </c>
      <c r="L42">
        <v>3.81</v>
      </c>
      <c r="M42">
        <v>140.58000000000001</v>
      </c>
      <c r="N42" s="21">
        <v>19.995090000000001</v>
      </c>
      <c r="O42" s="5" t="str">
        <f t="shared" si="3"/>
        <v>未买</v>
      </c>
      <c r="R42" s="19">
        <v>40</v>
      </c>
      <c r="V42" s="5"/>
    </row>
    <row r="43" spans="5:22" x14ac:dyDescent="0.15">
      <c r="E43" s="5"/>
      <c r="H43" s="19">
        <v>41</v>
      </c>
      <c r="I43">
        <v>123063</v>
      </c>
      <c r="J43" t="s">
        <v>91</v>
      </c>
      <c r="K43">
        <v>130.86099999999999</v>
      </c>
      <c r="L43">
        <v>9.9</v>
      </c>
      <c r="M43">
        <v>140.761</v>
      </c>
      <c r="N43" s="21">
        <v>6.3456489999999999</v>
      </c>
      <c r="O43" s="5" t="str">
        <f t="shared" si="3"/>
        <v>未买</v>
      </c>
      <c r="R43" s="19">
        <v>41</v>
      </c>
      <c r="V43" s="16"/>
    </row>
    <row r="44" spans="5:22" x14ac:dyDescent="0.15">
      <c r="E44" s="5"/>
      <c r="H44" s="19">
        <v>42</v>
      </c>
      <c r="I44">
        <v>127029</v>
      </c>
      <c r="J44" t="s">
        <v>1821</v>
      </c>
      <c r="K44">
        <v>125.8</v>
      </c>
      <c r="L44">
        <v>14.99</v>
      </c>
      <c r="M44">
        <v>140.79</v>
      </c>
      <c r="N44" s="21">
        <v>8.1911360000000002</v>
      </c>
      <c r="O44" s="5" t="str">
        <f t="shared" si="3"/>
        <v>未买</v>
      </c>
      <c r="R44" s="19">
        <v>42</v>
      </c>
      <c r="V44" s="16"/>
    </row>
    <row r="45" spans="5:22" x14ac:dyDescent="0.15">
      <c r="E45" s="5"/>
      <c r="H45" s="19">
        <v>43</v>
      </c>
      <c r="I45">
        <v>123129</v>
      </c>
      <c r="J45" t="s">
        <v>244</v>
      </c>
      <c r="K45">
        <v>115.15600000000001</v>
      </c>
      <c r="L45">
        <v>25.67</v>
      </c>
      <c r="M45">
        <v>140.82600000000002</v>
      </c>
      <c r="N45" s="21">
        <v>5.9999149999999997</v>
      </c>
      <c r="O45" s="5" t="str">
        <f t="shared" si="3"/>
        <v>未买</v>
      </c>
      <c r="R45" s="19">
        <v>43</v>
      </c>
    </row>
    <row r="46" spans="5:22" x14ac:dyDescent="0.15">
      <c r="E46" s="5"/>
      <c r="H46" s="19">
        <v>44</v>
      </c>
      <c r="I46">
        <v>110047</v>
      </c>
      <c r="J46" t="s">
        <v>1848</v>
      </c>
      <c r="K46">
        <v>111.76</v>
      </c>
      <c r="L46">
        <v>29.17</v>
      </c>
      <c r="M46">
        <v>140.93</v>
      </c>
      <c r="N46" s="21">
        <v>22.461279999999999</v>
      </c>
      <c r="O46" s="5" t="str">
        <f t="shared" si="3"/>
        <v>未买</v>
      </c>
      <c r="R46" s="19">
        <v>44</v>
      </c>
      <c r="V46" s="16"/>
    </row>
    <row r="47" spans="5:22" x14ac:dyDescent="0.15">
      <c r="E47" s="5"/>
      <c r="H47" s="19">
        <v>45</v>
      </c>
      <c r="I47">
        <v>113055</v>
      </c>
      <c r="J47" t="s">
        <v>1823</v>
      </c>
      <c r="K47">
        <v>127.62</v>
      </c>
      <c r="L47">
        <v>13.41</v>
      </c>
      <c r="M47">
        <v>141.03</v>
      </c>
      <c r="N47" s="21">
        <v>80</v>
      </c>
      <c r="O47" s="5" t="str">
        <f t="shared" si="3"/>
        <v>未买</v>
      </c>
      <c r="R47" s="19">
        <v>45</v>
      </c>
      <c r="V47" s="16"/>
    </row>
    <row r="48" spans="5:22" x14ac:dyDescent="0.15">
      <c r="E48" s="5"/>
      <c r="H48" s="19">
        <v>46</v>
      </c>
      <c r="I48">
        <v>113516</v>
      </c>
      <c r="J48" t="s">
        <v>1837</v>
      </c>
      <c r="K48">
        <v>118.1</v>
      </c>
      <c r="L48">
        <v>23.81</v>
      </c>
      <c r="M48">
        <v>141.91</v>
      </c>
      <c r="N48" s="21">
        <v>12.886039999999999</v>
      </c>
      <c r="O48" s="5" t="str">
        <f t="shared" si="3"/>
        <v>未买</v>
      </c>
      <c r="R48" s="19">
        <v>46</v>
      </c>
      <c r="V48" s="16"/>
    </row>
    <row r="49" spans="5:18" x14ac:dyDescent="0.15">
      <c r="E49" s="5"/>
      <c r="H49" s="19">
        <v>47</v>
      </c>
      <c r="I49">
        <v>128085</v>
      </c>
      <c r="J49" t="s">
        <v>2028</v>
      </c>
      <c r="K49">
        <v>119.547</v>
      </c>
      <c r="L49">
        <v>22.69</v>
      </c>
      <c r="M49">
        <v>142.23699999999999</v>
      </c>
      <c r="N49" s="21">
        <v>3.3736280000000001</v>
      </c>
      <c r="O49" s="5" t="str">
        <f t="shared" si="3"/>
        <v>未买</v>
      </c>
      <c r="R49" s="19">
        <v>47</v>
      </c>
    </row>
    <row r="50" spans="5:18" x14ac:dyDescent="0.15">
      <c r="E50" s="5"/>
      <c r="H50" s="19">
        <v>48</v>
      </c>
      <c r="I50">
        <v>127018</v>
      </c>
      <c r="J50" t="s">
        <v>1838</v>
      </c>
      <c r="K50">
        <v>116.63</v>
      </c>
      <c r="L50">
        <v>25.87</v>
      </c>
      <c r="M50">
        <v>142.5</v>
      </c>
      <c r="N50" s="21">
        <v>56.310654</v>
      </c>
      <c r="O50" s="5" t="str">
        <f t="shared" si="3"/>
        <v>未买</v>
      </c>
      <c r="R50" s="19">
        <v>48</v>
      </c>
    </row>
    <row r="51" spans="5:18" x14ac:dyDescent="0.15">
      <c r="E51" s="5"/>
      <c r="H51" s="19">
        <v>49</v>
      </c>
      <c r="I51">
        <v>128037</v>
      </c>
      <c r="J51" t="s">
        <v>73</v>
      </c>
      <c r="K51">
        <v>114.666</v>
      </c>
      <c r="L51">
        <v>27.86</v>
      </c>
      <c r="M51">
        <v>142.52600000000001</v>
      </c>
      <c r="N51" s="21">
        <v>6.0227360000000001</v>
      </c>
      <c r="O51" s="5" t="str">
        <f t="shared" si="3"/>
        <v>未买</v>
      </c>
      <c r="R51" s="19">
        <v>49</v>
      </c>
    </row>
    <row r="52" spans="5:18" x14ac:dyDescent="0.15">
      <c r="E52" s="5"/>
      <c r="H52" s="19">
        <v>50</v>
      </c>
      <c r="I52">
        <v>127028</v>
      </c>
      <c r="J52" t="s">
        <v>62</v>
      </c>
      <c r="K52">
        <v>120.05</v>
      </c>
      <c r="L52">
        <v>22.54</v>
      </c>
      <c r="M52">
        <v>142.59</v>
      </c>
      <c r="N52" s="21">
        <v>5.982475</v>
      </c>
      <c r="O52" s="5" t="str">
        <f t="shared" si="3"/>
        <v>未买</v>
      </c>
      <c r="R52" s="19">
        <v>50</v>
      </c>
    </row>
    <row r="53" spans="5:18" x14ac:dyDescent="0.15">
      <c r="E53" s="5"/>
      <c r="H53" s="19">
        <v>51</v>
      </c>
      <c r="I53">
        <v>128127</v>
      </c>
      <c r="J53" t="s">
        <v>215</v>
      </c>
      <c r="K53">
        <v>110.5</v>
      </c>
      <c r="L53">
        <v>32.159999999999997</v>
      </c>
      <c r="M53">
        <v>142.66</v>
      </c>
      <c r="N53" s="21">
        <v>9.4930299999999992</v>
      </c>
      <c r="O53" s="5" t="str">
        <f t="shared" si="3"/>
        <v>Yes</v>
      </c>
      <c r="R53" s="19">
        <v>51</v>
      </c>
    </row>
    <row r="54" spans="5:18" x14ac:dyDescent="0.15">
      <c r="E54" s="5"/>
      <c r="H54" s="19">
        <v>52</v>
      </c>
      <c r="I54">
        <v>128042</v>
      </c>
      <c r="J54" t="s">
        <v>204</v>
      </c>
      <c r="K54">
        <v>122.42100000000001</v>
      </c>
      <c r="L54">
        <v>20.27</v>
      </c>
      <c r="M54">
        <v>142.691</v>
      </c>
      <c r="N54" s="21">
        <v>4.1551119999999999</v>
      </c>
      <c r="O54" s="5" t="str">
        <f t="shared" si="3"/>
        <v>未买</v>
      </c>
      <c r="R54" s="19">
        <v>52</v>
      </c>
    </row>
    <row r="55" spans="5:18" x14ac:dyDescent="0.15">
      <c r="E55" s="5"/>
      <c r="H55" s="19">
        <v>53</v>
      </c>
      <c r="I55">
        <v>127027</v>
      </c>
      <c r="J55" t="s">
        <v>1993</v>
      </c>
      <c r="K55">
        <v>141.43799999999999</v>
      </c>
      <c r="L55">
        <v>1.31</v>
      </c>
      <c r="M55">
        <v>142.74799999999999</v>
      </c>
      <c r="N55" s="21">
        <v>19.473997000000001</v>
      </c>
      <c r="O55" s="5" t="str">
        <f t="shared" si="3"/>
        <v>Yes</v>
      </c>
      <c r="R55" s="19">
        <v>53</v>
      </c>
    </row>
    <row r="56" spans="5:18" x14ac:dyDescent="0.15">
      <c r="E56" s="5"/>
      <c r="H56" s="19">
        <v>54</v>
      </c>
      <c r="I56">
        <v>113570</v>
      </c>
      <c r="J56" t="s">
        <v>42</v>
      </c>
      <c r="K56">
        <v>128.4</v>
      </c>
      <c r="L56">
        <v>14.75</v>
      </c>
      <c r="M56">
        <v>143.15</v>
      </c>
      <c r="N56" s="21">
        <v>2.7993100000000002</v>
      </c>
      <c r="O56" s="5" t="str">
        <f t="shared" si="3"/>
        <v>未买</v>
      </c>
      <c r="R56" s="19">
        <v>54</v>
      </c>
    </row>
    <row r="57" spans="5:18" x14ac:dyDescent="0.15">
      <c r="E57" s="5"/>
      <c r="H57" s="19">
        <v>55</v>
      </c>
      <c r="I57">
        <v>123105</v>
      </c>
      <c r="J57" t="s">
        <v>231</v>
      </c>
      <c r="K57">
        <v>129.75</v>
      </c>
      <c r="L57">
        <v>13.49</v>
      </c>
      <c r="M57">
        <v>143.24</v>
      </c>
      <c r="N57" s="21">
        <v>7.9986300000000004</v>
      </c>
      <c r="O57" s="5" t="str">
        <f t="shared" si="3"/>
        <v>未买</v>
      </c>
      <c r="R57" s="19">
        <v>55</v>
      </c>
    </row>
    <row r="58" spans="5:18" x14ac:dyDescent="0.15">
      <c r="E58" s="5"/>
      <c r="H58" s="19">
        <v>56</v>
      </c>
      <c r="I58">
        <v>113609</v>
      </c>
      <c r="J58" t="s">
        <v>83</v>
      </c>
      <c r="K58">
        <v>113.9</v>
      </c>
      <c r="L58">
        <v>29.39</v>
      </c>
      <c r="M58">
        <v>143.29000000000002</v>
      </c>
      <c r="N58" s="21">
        <v>7.3419100000000004</v>
      </c>
      <c r="O58" s="5" t="str">
        <f t="shared" si="3"/>
        <v>未买</v>
      </c>
      <c r="R58" s="19">
        <v>56</v>
      </c>
    </row>
    <row r="59" spans="5:18" x14ac:dyDescent="0.15">
      <c r="E59" s="5"/>
      <c r="H59" s="19">
        <v>57</v>
      </c>
      <c r="I59">
        <v>127061</v>
      </c>
      <c r="J59" t="s">
        <v>2032</v>
      </c>
      <c r="K59">
        <v>118.20099999999999</v>
      </c>
      <c r="L59">
        <v>25.12</v>
      </c>
      <c r="M59">
        <v>143.321</v>
      </c>
      <c r="N59" s="21">
        <v>35.9</v>
      </c>
      <c r="O59" s="5" t="str">
        <f t="shared" si="3"/>
        <v>未买</v>
      </c>
      <c r="R59" s="19">
        <v>57</v>
      </c>
    </row>
    <row r="60" spans="5:18" x14ac:dyDescent="0.15">
      <c r="E60" s="5"/>
      <c r="H60" s="19">
        <v>58</v>
      </c>
      <c r="I60">
        <v>128075</v>
      </c>
      <c r="J60" t="s">
        <v>124</v>
      </c>
      <c r="K60">
        <v>122.649</v>
      </c>
      <c r="L60">
        <v>21.05</v>
      </c>
      <c r="M60">
        <v>143.69900000000001</v>
      </c>
      <c r="N60" s="21">
        <v>5.4374609999999999</v>
      </c>
      <c r="O60" s="5" t="str">
        <f t="shared" si="3"/>
        <v>未买</v>
      </c>
      <c r="R60" s="19">
        <v>58</v>
      </c>
    </row>
    <row r="61" spans="5:18" x14ac:dyDescent="0.15">
      <c r="E61" s="5"/>
      <c r="H61" s="19">
        <v>59</v>
      </c>
      <c r="I61">
        <v>127012</v>
      </c>
      <c r="J61" t="s">
        <v>1842</v>
      </c>
      <c r="K61">
        <v>113.14</v>
      </c>
      <c r="L61">
        <v>30.71</v>
      </c>
      <c r="M61">
        <v>143.85</v>
      </c>
      <c r="N61" s="21">
        <v>49.998221000000001</v>
      </c>
      <c r="O61" s="5" t="str">
        <f t="shared" si="3"/>
        <v>未买</v>
      </c>
      <c r="R61" s="19">
        <v>59</v>
      </c>
    </row>
    <row r="62" spans="5:18" x14ac:dyDescent="0.15">
      <c r="E62" s="5"/>
      <c r="H62" s="19">
        <v>60</v>
      </c>
      <c r="I62">
        <v>113056</v>
      </c>
      <c r="J62" t="s">
        <v>1874</v>
      </c>
      <c r="K62">
        <v>100.8</v>
      </c>
      <c r="L62">
        <v>43.2</v>
      </c>
      <c r="M62">
        <v>144</v>
      </c>
      <c r="N62" s="21">
        <v>130</v>
      </c>
      <c r="O62" s="5" t="str">
        <f t="shared" si="3"/>
        <v>未买</v>
      </c>
      <c r="R62" s="19">
        <v>60</v>
      </c>
    </row>
    <row r="63" spans="5:18" x14ac:dyDescent="0.15">
      <c r="E63" s="5"/>
      <c r="H63" s="19">
        <v>61</v>
      </c>
      <c r="I63">
        <v>113057</v>
      </c>
      <c r="J63" t="s">
        <v>1844</v>
      </c>
      <c r="K63">
        <v>118.51</v>
      </c>
      <c r="L63">
        <v>25.62</v>
      </c>
      <c r="M63">
        <v>144.13</v>
      </c>
      <c r="N63" s="21">
        <v>78</v>
      </c>
      <c r="O63" s="5" t="str">
        <f t="shared" si="3"/>
        <v>未买</v>
      </c>
      <c r="R63" s="19">
        <v>61</v>
      </c>
    </row>
    <row r="64" spans="5:18" x14ac:dyDescent="0.15">
      <c r="E64" s="5"/>
      <c r="H64" s="19">
        <v>62</v>
      </c>
      <c r="I64">
        <v>127032</v>
      </c>
      <c r="J64" t="s">
        <v>1849</v>
      </c>
      <c r="K64">
        <v>111.994</v>
      </c>
      <c r="L64">
        <v>32.270000000000003</v>
      </c>
      <c r="M64">
        <v>144.26400000000001</v>
      </c>
      <c r="N64" s="21">
        <v>49.995671999999999</v>
      </c>
      <c r="O64" s="5" t="str">
        <f t="shared" si="3"/>
        <v>未买</v>
      </c>
      <c r="R64" s="19">
        <v>62</v>
      </c>
    </row>
    <row r="65" spans="5:18" x14ac:dyDescent="0.15">
      <c r="E65" s="5"/>
      <c r="H65" s="19">
        <v>63</v>
      </c>
      <c r="I65">
        <v>123127</v>
      </c>
      <c r="J65" t="s">
        <v>114</v>
      </c>
      <c r="K65">
        <v>127.339</v>
      </c>
      <c r="L65">
        <v>16.940000000000001</v>
      </c>
      <c r="M65">
        <v>144.279</v>
      </c>
      <c r="N65" s="21">
        <v>3.9997019999999992</v>
      </c>
      <c r="O65" s="5" t="str">
        <f t="shared" si="3"/>
        <v>未买</v>
      </c>
      <c r="R65" s="19">
        <v>63</v>
      </c>
    </row>
    <row r="66" spans="5:18" x14ac:dyDescent="0.15">
      <c r="E66" s="5"/>
      <c r="H66" s="19">
        <v>64</v>
      </c>
      <c r="I66">
        <v>128141</v>
      </c>
      <c r="J66" t="s">
        <v>1813</v>
      </c>
      <c r="K66">
        <v>134.5</v>
      </c>
      <c r="L66">
        <v>10.4</v>
      </c>
      <c r="M66">
        <v>144.9</v>
      </c>
      <c r="N66" s="21">
        <v>12.701738000000001</v>
      </c>
      <c r="O66" s="5" t="str">
        <f t="shared" si="3"/>
        <v>未买</v>
      </c>
      <c r="R66" s="19">
        <v>64</v>
      </c>
    </row>
    <row r="67" spans="5:18" x14ac:dyDescent="0.15">
      <c r="E67" s="5"/>
      <c r="H67" s="19">
        <v>65</v>
      </c>
      <c r="I67">
        <v>110052</v>
      </c>
      <c r="J67" t="s">
        <v>1841</v>
      </c>
      <c r="K67">
        <v>117.28</v>
      </c>
      <c r="L67">
        <v>27.91</v>
      </c>
      <c r="M67">
        <v>145.19</v>
      </c>
      <c r="N67" s="21">
        <v>14.217739999999999</v>
      </c>
      <c r="O67" s="5" t="str">
        <f t="shared" si="3"/>
        <v>未买</v>
      </c>
      <c r="R67" s="19">
        <v>65</v>
      </c>
    </row>
    <row r="68" spans="5:18" x14ac:dyDescent="0.15">
      <c r="E68" s="5"/>
      <c r="H68" s="19">
        <v>66</v>
      </c>
      <c r="I68">
        <v>128022</v>
      </c>
      <c r="J68" t="s">
        <v>158</v>
      </c>
      <c r="K68">
        <v>126</v>
      </c>
      <c r="L68">
        <v>19.37</v>
      </c>
      <c r="M68">
        <v>145.37</v>
      </c>
      <c r="N68" s="21">
        <v>4.5522299999999998</v>
      </c>
      <c r="O68" s="5" t="str">
        <f t="shared" ref="O68:O131" si="8">IF(ISNA(MATCH(I68,$A$3:$A$1000,0)),"未买","Yes")</f>
        <v>未买</v>
      </c>
      <c r="R68" s="19">
        <v>66</v>
      </c>
    </row>
    <row r="69" spans="5:18" x14ac:dyDescent="0.15">
      <c r="E69" s="5"/>
      <c r="H69" s="19">
        <v>67</v>
      </c>
      <c r="I69">
        <v>127013</v>
      </c>
      <c r="J69" t="s">
        <v>1991</v>
      </c>
      <c r="K69">
        <v>144.39099999999999</v>
      </c>
      <c r="L69">
        <v>0.99</v>
      </c>
      <c r="M69">
        <v>145.381</v>
      </c>
      <c r="N69" s="21">
        <v>1.0176700000000001</v>
      </c>
      <c r="O69" s="5" t="str">
        <f t="shared" si="8"/>
        <v>未买</v>
      </c>
      <c r="R69" s="19">
        <v>67</v>
      </c>
    </row>
    <row r="70" spans="5:18" x14ac:dyDescent="0.15">
      <c r="E70" s="5"/>
      <c r="H70" s="19">
        <v>68</v>
      </c>
      <c r="I70">
        <v>128133</v>
      </c>
      <c r="J70" t="s">
        <v>223</v>
      </c>
      <c r="K70">
        <v>125.773</v>
      </c>
      <c r="L70">
        <v>19.97</v>
      </c>
      <c r="M70">
        <v>145.74299999999999</v>
      </c>
      <c r="N70" s="21">
        <v>7.9943039999999987</v>
      </c>
      <c r="O70" s="5" t="str">
        <f t="shared" si="8"/>
        <v>未买</v>
      </c>
      <c r="R70" s="19">
        <v>68</v>
      </c>
    </row>
    <row r="71" spans="5:18" x14ac:dyDescent="0.15">
      <c r="E71" s="5"/>
      <c r="H71" s="19">
        <v>69</v>
      </c>
      <c r="I71">
        <v>128121</v>
      </c>
      <c r="J71" t="s">
        <v>47</v>
      </c>
      <c r="K71">
        <v>125.801</v>
      </c>
      <c r="L71">
        <v>20.18</v>
      </c>
      <c r="M71">
        <v>145.98099999999999</v>
      </c>
      <c r="N71" s="21">
        <v>6.6985929999999989</v>
      </c>
      <c r="O71" s="5" t="str">
        <f t="shared" si="8"/>
        <v>未买</v>
      </c>
      <c r="R71" s="19">
        <v>69</v>
      </c>
    </row>
    <row r="72" spans="5:18" x14ac:dyDescent="0.15">
      <c r="E72" s="5"/>
      <c r="H72" s="19">
        <v>70</v>
      </c>
      <c r="I72">
        <v>127058</v>
      </c>
      <c r="J72" t="s">
        <v>1826</v>
      </c>
      <c r="K72">
        <v>132.44999999999999</v>
      </c>
      <c r="L72">
        <v>13.83</v>
      </c>
      <c r="M72">
        <v>146.28</v>
      </c>
      <c r="N72" s="21">
        <v>30</v>
      </c>
      <c r="O72" s="5" t="str">
        <f t="shared" si="8"/>
        <v>未买</v>
      </c>
      <c r="R72" s="19">
        <v>70</v>
      </c>
    </row>
    <row r="73" spans="5:18" x14ac:dyDescent="0.15">
      <c r="E73" s="5"/>
      <c r="H73" s="19">
        <v>71</v>
      </c>
      <c r="I73">
        <v>110070</v>
      </c>
      <c r="J73" t="s">
        <v>89</v>
      </c>
      <c r="K73">
        <v>127.77</v>
      </c>
      <c r="L73">
        <v>18.61</v>
      </c>
      <c r="M73">
        <v>146.38</v>
      </c>
      <c r="N73" s="21">
        <v>2.17056</v>
      </c>
      <c r="O73" s="5" t="str">
        <f t="shared" si="8"/>
        <v>Yes</v>
      </c>
      <c r="R73" s="19">
        <v>71</v>
      </c>
    </row>
    <row r="74" spans="5:18" x14ac:dyDescent="0.15">
      <c r="E74" s="5"/>
      <c r="H74" s="19">
        <v>72</v>
      </c>
      <c r="I74">
        <v>113549</v>
      </c>
      <c r="J74" t="s">
        <v>99</v>
      </c>
      <c r="K74">
        <v>116.97</v>
      </c>
      <c r="L74">
        <v>29.55</v>
      </c>
      <c r="M74">
        <v>146.52000000000001</v>
      </c>
      <c r="N74" s="21">
        <v>8.0473300000000005</v>
      </c>
      <c r="O74" s="5" t="str">
        <f t="shared" si="8"/>
        <v>未买</v>
      </c>
      <c r="R74" s="19">
        <v>72</v>
      </c>
    </row>
    <row r="75" spans="5:18" x14ac:dyDescent="0.15">
      <c r="E75" s="5"/>
      <c r="H75" s="19">
        <v>73</v>
      </c>
      <c r="I75">
        <v>113532</v>
      </c>
      <c r="J75" t="s">
        <v>199</v>
      </c>
      <c r="K75">
        <v>114.47</v>
      </c>
      <c r="L75">
        <v>32.32</v>
      </c>
      <c r="M75">
        <v>146.79</v>
      </c>
      <c r="N75" s="21">
        <v>4.5855300000000003</v>
      </c>
      <c r="O75" s="5" t="str">
        <f t="shared" si="8"/>
        <v>未买</v>
      </c>
      <c r="R75" s="19">
        <v>73</v>
      </c>
    </row>
    <row r="76" spans="5:18" x14ac:dyDescent="0.15">
      <c r="E76" s="5"/>
      <c r="H76" s="19">
        <v>74</v>
      </c>
      <c r="I76">
        <v>123080</v>
      </c>
      <c r="J76" t="s">
        <v>54</v>
      </c>
      <c r="K76">
        <v>129.721</v>
      </c>
      <c r="L76">
        <v>17.13</v>
      </c>
      <c r="M76">
        <v>146.851</v>
      </c>
      <c r="N76" s="21">
        <v>2.4344640000000002</v>
      </c>
      <c r="O76" s="5" t="str">
        <f t="shared" si="8"/>
        <v>未买</v>
      </c>
      <c r="R76" s="19">
        <v>74</v>
      </c>
    </row>
    <row r="77" spans="5:18" x14ac:dyDescent="0.15">
      <c r="E77" s="5"/>
      <c r="H77" s="19">
        <v>75</v>
      </c>
      <c r="I77">
        <v>113630</v>
      </c>
      <c r="J77" t="s">
        <v>1979</v>
      </c>
      <c r="K77">
        <v>149.38</v>
      </c>
      <c r="L77">
        <v>-2.33</v>
      </c>
      <c r="M77">
        <v>147.04999999999998</v>
      </c>
      <c r="N77" s="21">
        <v>6.9934399999999997</v>
      </c>
      <c r="O77" s="5" t="str">
        <f t="shared" si="8"/>
        <v>未买</v>
      </c>
      <c r="R77" s="19">
        <v>75</v>
      </c>
    </row>
    <row r="78" spans="5:18" x14ac:dyDescent="0.15">
      <c r="E78" s="5"/>
      <c r="H78" s="19">
        <v>76</v>
      </c>
      <c r="I78">
        <v>113037</v>
      </c>
      <c r="J78" t="s">
        <v>1871</v>
      </c>
      <c r="K78">
        <v>103.97</v>
      </c>
      <c r="L78">
        <v>43.09</v>
      </c>
      <c r="M78">
        <v>147.06</v>
      </c>
      <c r="N78" s="21">
        <v>44.996189999999999</v>
      </c>
      <c r="O78" s="5" t="str">
        <f t="shared" si="8"/>
        <v>未买</v>
      </c>
      <c r="R78" s="19">
        <v>76</v>
      </c>
    </row>
    <row r="79" spans="5:18" x14ac:dyDescent="0.15">
      <c r="E79" s="5"/>
      <c r="H79" s="19">
        <v>77</v>
      </c>
      <c r="I79">
        <v>127035</v>
      </c>
      <c r="J79" t="s">
        <v>225</v>
      </c>
      <c r="K79">
        <v>116.935</v>
      </c>
      <c r="L79">
        <v>30.16</v>
      </c>
      <c r="M79">
        <v>147.095</v>
      </c>
      <c r="N79" s="21">
        <v>6.2622609999999996</v>
      </c>
      <c r="O79" s="5" t="str">
        <f t="shared" si="8"/>
        <v>未买</v>
      </c>
      <c r="R79" s="19">
        <v>77</v>
      </c>
    </row>
    <row r="80" spans="5:18" x14ac:dyDescent="0.15">
      <c r="E80" s="5"/>
      <c r="H80" s="19">
        <v>78</v>
      </c>
      <c r="I80">
        <v>123097</v>
      </c>
      <c r="J80" t="s">
        <v>125</v>
      </c>
      <c r="K80">
        <v>136.99</v>
      </c>
      <c r="L80">
        <v>10.45</v>
      </c>
      <c r="M80">
        <v>147.44</v>
      </c>
      <c r="N80" s="21">
        <v>2.9987979999999999</v>
      </c>
      <c r="O80" s="5" t="str">
        <f t="shared" si="8"/>
        <v>未买</v>
      </c>
      <c r="R80" s="19">
        <v>78</v>
      </c>
    </row>
    <row r="81" spans="5:18" x14ac:dyDescent="0.15">
      <c r="E81" s="5"/>
      <c r="H81" s="19">
        <v>79</v>
      </c>
      <c r="I81">
        <v>113640</v>
      </c>
      <c r="J81" t="s">
        <v>781</v>
      </c>
      <c r="K81">
        <v>123.98</v>
      </c>
      <c r="L81">
        <v>23.79</v>
      </c>
      <c r="M81">
        <v>147.77000000000001</v>
      </c>
      <c r="N81" s="21">
        <v>9.5721100000000003</v>
      </c>
      <c r="O81" s="5" t="str">
        <f t="shared" si="8"/>
        <v>未买</v>
      </c>
      <c r="R81" s="19">
        <v>79</v>
      </c>
    </row>
    <row r="82" spans="5:18" x14ac:dyDescent="0.15">
      <c r="E82" s="5"/>
      <c r="H82" s="19">
        <v>80</v>
      </c>
      <c r="I82">
        <v>127042</v>
      </c>
      <c r="J82" t="s">
        <v>93</v>
      </c>
      <c r="K82">
        <v>112.8</v>
      </c>
      <c r="L82">
        <v>35.03</v>
      </c>
      <c r="M82">
        <v>147.82999999999998</v>
      </c>
      <c r="N82" s="21">
        <v>7.4982360000000003</v>
      </c>
      <c r="O82" s="5" t="str">
        <f t="shared" si="8"/>
        <v>Yes</v>
      </c>
      <c r="R82" s="19">
        <v>80</v>
      </c>
    </row>
    <row r="83" spans="5:18" x14ac:dyDescent="0.15">
      <c r="E83" s="5"/>
      <c r="H83" s="19">
        <v>81</v>
      </c>
      <c r="I83">
        <v>127039</v>
      </c>
      <c r="J83" t="s">
        <v>1831</v>
      </c>
      <c r="K83">
        <v>121.2</v>
      </c>
      <c r="L83">
        <v>27.11</v>
      </c>
      <c r="M83">
        <v>148.31</v>
      </c>
      <c r="N83" s="21">
        <v>17.631454000000002</v>
      </c>
      <c r="O83" s="5" t="str">
        <f t="shared" si="8"/>
        <v>未买</v>
      </c>
      <c r="R83" s="19">
        <v>81</v>
      </c>
    </row>
    <row r="84" spans="5:18" x14ac:dyDescent="0.15">
      <c r="E84" s="5"/>
      <c r="H84" s="19">
        <v>82</v>
      </c>
      <c r="I84">
        <v>128044</v>
      </c>
      <c r="J84" t="s">
        <v>130</v>
      </c>
      <c r="K84">
        <v>114.294</v>
      </c>
      <c r="L84">
        <v>34.26</v>
      </c>
      <c r="M84">
        <v>148.554</v>
      </c>
      <c r="N84" s="21">
        <v>6.5742089999999997</v>
      </c>
      <c r="O84" s="5" t="str">
        <f t="shared" si="8"/>
        <v>未买</v>
      </c>
      <c r="R84" s="19">
        <v>82</v>
      </c>
    </row>
    <row r="85" spans="5:18" x14ac:dyDescent="0.15">
      <c r="E85" s="5"/>
      <c r="H85" s="19">
        <v>83</v>
      </c>
      <c r="I85">
        <v>110072</v>
      </c>
      <c r="J85" t="s">
        <v>1873</v>
      </c>
      <c r="K85">
        <v>99.09</v>
      </c>
      <c r="L85">
        <v>49.57</v>
      </c>
      <c r="M85">
        <v>148.66</v>
      </c>
      <c r="N85" s="21">
        <v>33.662689999999998</v>
      </c>
      <c r="O85" s="5" t="str">
        <f t="shared" si="8"/>
        <v>未买</v>
      </c>
      <c r="R85" s="19">
        <v>83</v>
      </c>
    </row>
    <row r="86" spans="5:18" x14ac:dyDescent="0.15">
      <c r="E86" s="5"/>
      <c r="H86" s="19">
        <v>84</v>
      </c>
      <c r="I86">
        <v>128128</v>
      </c>
      <c r="J86" t="s">
        <v>1996</v>
      </c>
      <c r="K86">
        <v>145.44</v>
      </c>
      <c r="L86">
        <v>3.44</v>
      </c>
      <c r="M86">
        <v>148.88</v>
      </c>
      <c r="N86" s="21">
        <v>6.8042189999999998</v>
      </c>
      <c r="O86" s="5" t="str">
        <f t="shared" si="8"/>
        <v>未买</v>
      </c>
      <c r="R86" s="19">
        <v>84</v>
      </c>
    </row>
    <row r="87" spans="5:18" x14ac:dyDescent="0.15">
      <c r="E87" s="5"/>
      <c r="H87" s="19">
        <v>85</v>
      </c>
      <c r="I87">
        <v>113054</v>
      </c>
      <c r="J87" t="s">
        <v>1868</v>
      </c>
      <c r="K87">
        <v>109</v>
      </c>
      <c r="L87">
        <v>39.92</v>
      </c>
      <c r="M87">
        <v>148.92000000000002</v>
      </c>
      <c r="N87" s="21">
        <v>23.6</v>
      </c>
      <c r="O87" s="5" t="str">
        <f t="shared" si="8"/>
        <v>未买</v>
      </c>
      <c r="R87" s="19">
        <v>85</v>
      </c>
    </row>
    <row r="88" spans="5:18" x14ac:dyDescent="0.15">
      <c r="E88" s="5"/>
      <c r="H88" s="19">
        <v>86</v>
      </c>
      <c r="I88">
        <v>113598</v>
      </c>
      <c r="J88" t="s">
        <v>100</v>
      </c>
      <c r="K88">
        <v>127.69</v>
      </c>
      <c r="L88">
        <v>21.67</v>
      </c>
      <c r="M88">
        <v>149.36000000000001</v>
      </c>
      <c r="N88" s="21">
        <v>2.7526000000000002</v>
      </c>
      <c r="O88" s="5" t="str">
        <f t="shared" si="8"/>
        <v>未买</v>
      </c>
      <c r="R88" s="19">
        <v>86</v>
      </c>
    </row>
    <row r="89" spans="5:18" x14ac:dyDescent="0.15">
      <c r="E89" s="5"/>
      <c r="H89" s="19">
        <v>87</v>
      </c>
      <c r="I89">
        <v>128073</v>
      </c>
      <c r="J89" t="s">
        <v>97</v>
      </c>
      <c r="K89">
        <v>129.124</v>
      </c>
      <c r="L89">
        <v>20.239999999999998</v>
      </c>
      <c r="M89">
        <v>149.364</v>
      </c>
      <c r="N89" s="21">
        <v>2.9874589999999999</v>
      </c>
      <c r="O89" s="5" t="str">
        <f t="shared" si="8"/>
        <v>未买</v>
      </c>
      <c r="R89" s="19">
        <v>87</v>
      </c>
    </row>
    <row r="90" spans="5:18" x14ac:dyDescent="0.15">
      <c r="E90" s="5"/>
      <c r="H90" s="19">
        <v>88</v>
      </c>
      <c r="I90">
        <v>110075</v>
      </c>
      <c r="J90" t="s">
        <v>1839</v>
      </c>
      <c r="K90">
        <v>130.63</v>
      </c>
      <c r="L90">
        <v>18.989999999999998</v>
      </c>
      <c r="M90">
        <v>149.62</v>
      </c>
      <c r="N90" s="21">
        <v>58.964379999999998</v>
      </c>
      <c r="O90" s="5" t="str">
        <f t="shared" si="8"/>
        <v>未买</v>
      </c>
      <c r="R90" s="19">
        <v>88</v>
      </c>
    </row>
    <row r="91" spans="5:18" x14ac:dyDescent="0.15">
      <c r="E91" s="5"/>
      <c r="H91" s="19">
        <v>89</v>
      </c>
      <c r="I91">
        <v>113545</v>
      </c>
      <c r="J91" t="s">
        <v>85</v>
      </c>
      <c r="K91">
        <v>126.64</v>
      </c>
      <c r="L91">
        <v>23.21</v>
      </c>
      <c r="M91">
        <v>149.85</v>
      </c>
      <c r="N91" s="21">
        <v>9.8657599999999999</v>
      </c>
      <c r="O91" s="5" t="str">
        <f t="shared" si="8"/>
        <v>未买</v>
      </c>
      <c r="R91" s="19">
        <v>89</v>
      </c>
    </row>
    <row r="92" spans="5:18" x14ac:dyDescent="0.15">
      <c r="E92" s="5"/>
      <c r="H92" s="19">
        <v>90</v>
      </c>
      <c r="I92">
        <v>110061</v>
      </c>
      <c r="J92" t="s">
        <v>2002</v>
      </c>
      <c r="K92">
        <v>140.66999999999999</v>
      </c>
      <c r="L92">
        <v>9.2200000000000006</v>
      </c>
      <c r="M92">
        <v>149.88999999999999</v>
      </c>
      <c r="N92" s="21">
        <v>39.615589999999997</v>
      </c>
      <c r="O92" s="5" t="str">
        <f t="shared" si="8"/>
        <v>未买</v>
      </c>
      <c r="R92" s="19">
        <v>90</v>
      </c>
    </row>
    <row r="93" spans="5:18" x14ac:dyDescent="0.15">
      <c r="E93" s="5"/>
      <c r="H93" s="19">
        <v>91</v>
      </c>
      <c r="I93">
        <v>113013</v>
      </c>
      <c r="J93" t="s">
        <v>1861</v>
      </c>
      <c r="K93">
        <v>112.9</v>
      </c>
      <c r="L93">
        <v>37.049999999999997</v>
      </c>
      <c r="M93">
        <v>149.94999999999999</v>
      </c>
      <c r="N93" s="21">
        <v>69.901759999999996</v>
      </c>
      <c r="O93" s="5" t="str">
        <f t="shared" si="8"/>
        <v>未买</v>
      </c>
      <c r="R93" s="19">
        <v>91</v>
      </c>
    </row>
    <row r="94" spans="5:18" x14ac:dyDescent="0.15">
      <c r="E94" s="5"/>
      <c r="H94" s="19">
        <v>92</v>
      </c>
      <c r="I94">
        <v>110064</v>
      </c>
      <c r="J94" t="s">
        <v>1820</v>
      </c>
      <c r="K94">
        <v>122.01</v>
      </c>
      <c r="L94">
        <v>27.95</v>
      </c>
      <c r="M94">
        <v>149.96</v>
      </c>
      <c r="N94" s="21">
        <v>12.645960000000001</v>
      </c>
      <c r="O94" s="5" t="str">
        <f t="shared" si="8"/>
        <v>未买</v>
      </c>
      <c r="R94" s="19">
        <v>92</v>
      </c>
    </row>
    <row r="95" spans="5:18" x14ac:dyDescent="0.15">
      <c r="E95" s="5"/>
      <c r="H95" s="19">
        <v>93</v>
      </c>
      <c r="I95">
        <v>113052</v>
      </c>
      <c r="J95" t="s">
        <v>1862</v>
      </c>
      <c r="K95">
        <v>109.92</v>
      </c>
      <c r="L95">
        <v>40.22</v>
      </c>
      <c r="M95">
        <v>150.13999999999999</v>
      </c>
      <c r="N95" s="21">
        <v>500</v>
      </c>
      <c r="O95" s="5" t="str">
        <f t="shared" si="8"/>
        <v>未买</v>
      </c>
      <c r="R95" s="19">
        <v>93</v>
      </c>
    </row>
    <row r="96" spans="5:18" x14ac:dyDescent="0.15">
      <c r="E96" s="5"/>
      <c r="H96" s="19">
        <v>94</v>
      </c>
      <c r="I96">
        <v>123091</v>
      </c>
      <c r="J96" t="s">
        <v>241</v>
      </c>
      <c r="K96">
        <v>136.59700000000001</v>
      </c>
      <c r="L96">
        <v>13.88</v>
      </c>
      <c r="M96">
        <v>150.477</v>
      </c>
      <c r="N96" s="21">
        <v>5.4975870000000002</v>
      </c>
      <c r="O96" s="5" t="str">
        <f t="shared" si="8"/>
        <v>未买</v>
      </c>
      <c r="R96" s="19">
        <v>94</v>
      </c>
    </row>
    <row r="97" spans="5:18" x14ac:dyDescent="0.15">
      <c r="E97" s="5"/>
      <c r="H97" s="19">
        <v>95</v>
      </c>
      <c r="I97">
        <v>128021</v>
      </c>
      <c r="J97" t="s">
        <v>51</v>
      </c>
      <c r="K97">
        <v>139.6</v>
      </c>
      <c r="L97">
        <v>10.95</v>
      </c>
      <c r="M97">
        <v>150.54999999999998</v>
      </c>
      <c r="N97" s="21">
        <v>2.6517419999999996</v>
      </c>
      <c r="O97" s="5" t="str">
        <f t="shared" si="8"/>
        <v>未买</v>
      </c>
      <c r="R97" s="19">
        <v>95</v>
      </c>
    </row>
    <row r="98" spans="5:18" x14ac:dyDescent="0.15">
      <c r="E98" s="5"/>
      <c r="H98" s="19">
        <v>96</v>
      </c>
      <c r="I98">
        <v>123125</v>
      </c>
      <c r="J98" t="s">
        <v>222</v>
      </c>
      <c r="K98">
        <v>118.77200000000001</v>
      </c>
      <c r="L98">
        <v>31.95</v>
      </c>
      <c r="M98">
        <v>150.72200000000001</v>
      </c>
      <c r="N98" s="21">
        <v>8.9996899999999993</v>
      </c>
      <c r="O98" s="5" t="str">
        <f t="shared" si="8"/>
        <v>未买</v>
      </c>
      <c r="R98" s="19">
        <v>96</v>
      </c>
    </row>
    <row r="99" spans="5:18" x14ac:dyDescent="0.15">
      <c r="E99" s="5"/>
      <c r="H99" s="19">
        <v>97</v>
      </c>
      <c r="I99">
        <v>113628</v>
      </c>
      <c r="J99" t="s">
        <v>226</v>
      </c>
      <c r="K99">
        <v>110.62</v>
      </c>
      <c r="L99">
        <v>40.130000000000003</v>
      </c>
      <c r="M99">
        <v>150.75</v>
      </c>
      <c r="N99" s="21">
        <v>4.1498100000000004</v>
      </c>
      <c r="O99" s="5" t="str">
        <f t="shared" si="8"/>
        <v>未买</v>
      </c>
      <c r="R99" s="19">
        <v>97</v>
      </c>
    </row>
    <row r="100" spans="5:18" x14ac:dyDescent="0.15">
      <c r="E100" s="5"/>
      <c r="H100" s="19">
        <v>98</v>
      </c>
      <c r="I100">
        <v>123100</v>
      </c>
      <c r="J100" t="s">
        <v>103</v>
      </c>
      <c r="K100">
        <v>125.5</v>
      </c>
      <c r="L100">
        <v>25.39</v>
      </c>
      <c r="M100">
        <v>150.88999999999999</v>
      </c>
      <c r="N100" s="21">
        <v>3.7985269999999995</v>
      </c>
      <c r="O100" s="5" t="str">
        <f t="shared" si="8"/>
        <v>未买</v>
      </c>
      <c r="R100" s="19">
        <v>98</v>
      </c>
    </row>
    <row r="101" spans="5:18" x14ac:dyDescent="0.15">
      <c r="E101" s="5"/>
      <c r="H101" s="19">
        <v>99</v>
      </c>
      <c r="I101">
        <v>113505</v>
      </c>
      <c r="J101" t="s">
        <v>239</v>
      </c>
      <c r="K101">
        <v>118.91</v>
      </c>
      <c r="L101">
        <v>32.06</v>
      </c>
      <c r="M101">
        <v>150.97</v>
      </c>
      <c r="N101" s="21">
        <v>7.4973799999999997</v>
      </c>
      <c r="O101" s="5" t="str">
        <f t="shared" si="8"/>
        <v>未买</v>
      </c>
      <c r="R101" s="19">
        <v>99</v>
      </c>
    </row>
    <row r="102" spans="5:18" x14ac:dyDescent="0.15">
      <c r="E102" s="5"/>
      <c r="H102" s="19">
        <v>100</v>
      </c>
      <c r="I102">
        <v>127025</v>
      </c>
      <c r="J102" t="s">
        <v>1867</v>
      </c>
      <c r="K102">
        <v>112</v>
      </c>
      <c r="L102">
        <v>39.06</v>
      </c>
      <c r="M102">
        <v>151.06</v>
      </c>
      <c r="N102" s="21">
        <v>17.76455</v>
      </c>
      <c r="O102" s="5" t="str">
        <f t="shared" si="8"/>
        <v>未买</v>
      </c>
      <c r="R102" s="19">
        <v>100</v>
      </c>
    </row>
    <row r="103" spans="5:18" x14ac:dyDescent="0.15">
      <c r="E103" s="5"/>
      <c r="H103" s="19">
        <v>101</v>
      </c>
      <c r="I103">
        <v>127063</v>
      </c>
      <c r="J103" t="s">
        <v>2030</v>
      </c>
      <c r="K103">
        <v>127.89</v>
      </c>
      <c r="L103">
        <v>23.33</v>
      </c>
      <c r="M103">
        <v>151.22</v>
      </c>
      <c r="N103" s="21">
        <v>18</v>
      </c>
      <c r="O103" s="5" t="str">
        <f t="shared" si="8"/>
        <v>未买</v>
      </c>
      <c r="R103" s="19">
        <v>101</v>
      </c>
    </row>
    <row r="104" spans="5:18" x14ac:dyDescent="0.15">
      <c r="E104" s="5"/>
      <c r="H104" s="19">
        <v>102</v>
      </c>
      <c r="I104">
        <v>128139</v>
      </c>
      <c r="J104" t="s">
        <v>163</v>
      </c>
      <c r="K104">
        <v>143.06299999999999</v>
      </c>
      <c r="L104">
        <v>8.5399999999999991</v>
      </c>
      <c r="M104">
        <v>151.60299999999998</v>
      </c>
      <c r="N104" s="21">
        <v>6.4690849999999998</v>
      </c>
      <c r="O104" s="5" t="str">
        <f t="shared" si="8"/>
        <v>未买</v>
      </c>
      <c r="R104" s="19">
        <v>102</v>
      </c>
    </row>
    <row r="105" spans="5:18" x14ac:dyDescent="0.15">
      <c r="E105" s="5"/>
      <c r="H105" s="19">
        <v>103</v>
      </c>
      <c r="I105">
        <v>123137</v>
      </c>
      <c r="J105" t="s">
        <v>783</v>
      </c>
      <c r="K105">
        <v>144.6</v>
      </c>
      <c r="L105">
        <v>7.23</v>
      </c>
      <c r="M105">
        <v>151.82999999999998</v>
      </c>
      <c r="N105" s="21">
        <v>8.9700000000000006</v>
      </c>
      <c r="O105" s="5" t="str">
        <f t="shared" si="8"/>
        <v>未买</v>
      </c>
      <c r="R105" s="19">
        <v>103</v>
      </c>
    </row>
    <row r="106" spans="5:18" x14ac:dyDescent="0.15">
      <c r="E106" s="5"/>
      <c r="H106" s="19">
        <v>104</v>
      </c>
      <c r="I106">
        <v>113039</v>
      </c>
      <c r="J106" t="s">
        <v>45</v>
      </c>
      <c r="K106">
        <v>139.76</v>
      </c>
      <c r="L106">
        <v>12.35</v>
      </c>
      <c r="M106">
        <v>152.10999999999999</v>
      </c>
      <c r="N106" s="21">
        <v>2.88409</v>
      </c>
      <c r="O106" s="5" t="str">
        <f t="shared" si="8"/>
        <v>未买</v>
      </c>
      <c r="R106" s="19">
        <v>104</v>
      </c>
    </row>
    <row r="107" spans="5:18" x14ac:dyDescent="0.15">
      <c r="E107" s="5"/>
      <c r="H107" s="19">
        <v>105</v>
      </c>
      <c r="I107">
        <v>113053</v>
      </c>
      <c r="J107" t="s">
        <v>1853</v>
      </c>
      <c r="K107">
        <v>131.69999999999999</v>
      </c>
      <c r="L107">
        <v>20.440000000000001</v>
      </c>
      <c r="M107">
        <v>152.13999999999999</v>
      </c>
      <c r="N107" s="21">
        <v>70</v>
      </c>
      <c r="O107" s="5" t="str">
        <f t="shared" si="8"/>
        <v>未买</v>
      </c>
      <c r="R107" s="19">
        <v>105</v>
      </c>
    </row>
    <row r="108" spans="5:18" x14ac:dyDescent="0.15">
      <c r="E108" s="5"/>
      <c r="H108" s="19">
        <v>106</v>
      </c>
      <c r="I108">
        <v>123144</v>
      </c>
      <c r="J108" t="s">
        <v>1872</v>
      </c>
      <c r="K108">
        <v>131.15100000000001</v>
      </c>
      <c r="L108">
        <v>21.01</v>
      </c>
      <c r="M108">
        <v>152.161</v>
      </c>
      <c r="N108" s="21">
        <v>6</v>
      </c>
      <c r="O108" s="5" t="str">
        <f t="shared" si="8"/>
        <v>未买</v>
      </c>
      <c r="R108" s="19">
        <v>106</v>
      </c>
    </row>
    <row r="109" spans="5:18" x14ac:dyDescent="0.15">
      <c r="E109" s="5"/>
      <c r="H109" s="19">
        <v>107</v>
      </c>
      <c r="I109">
        <v>110045</v>
      </c>
      <c r="J109" t="s">
        <v>1876</v>
      </c>
      <c r="K109">
        <v>108.44</v>
      </c>
      <c r="L109">
        <v>44.05</v>
      </c>
      <c r="M109">
        <v>152.49</v>
      </c>
      <c r="N109" s="21">
        <v>29.496179999999999</v>
      </c>
      <c r="O109" s="5" t="str">
        <f t="shared" si="8"/>
        <v>未买</v>
      </c>
      <c r="R109" s="19">
        <v>107</v>
      </c>
    </row>
    <row r="110" spans="5:18" x14ac:dyDescent="0.15">
      <c r="E110" s="5"/>
      <c r="H110" s="19">
        <v>108</v>
      </c>
      <c r="I110">
        <v>123082</v>
      </c>
      <c r="J110" t="s">
        <v>75</v>
      </c>
      <c r="K110">
        <v>116.2</v>
      </c>
      <c r="L110">
        <v>36.5</v>
      </c>
      <c r="M110">
        <v>152.69999999999999</v>
      </c>
      <c r="N110" s="21">
        <v>4.9930149999999998</v>
      </c>
      <c r="O110" s="5" t="str">
        <f t="shared" si="8"/>
        <v>未买</v>
      </c>
      <c r="R110" s="19">
        <v>108</v>
      </c>
    </row>
    <row r="111" spans="5:18" x14ac:dyDescent="0.15">
      <c r="E111" s="5"/>
      <c r="H111" s="19">
        <v>109</v>
      </c>
      <c r="I111">
        <v>113634</v>
      </c>
      <c r="J111" t="s">
        <v>249</v>
      </c>
      <c r="K111">
        <v>133.80000000000001</v>
      </c>
      <c r="L111">
        <v>18.95</v>
      </c>
      <c r="M111">
        <v>152.75</v>
      </c>
      <c r="N111" s="21">
        <v>7.5144200000000003</v>
      </c>
      <c r="O111" s="5" t="str">
        <f t="shared" si="8"/>
        <v>未买</v>
      </c>
      <c r="R111" s="19">
        <v>109</v>
      </c>
    </row>
    <row r="112" spans="5:18" x14ac:dyDescent="0.15">
      <c r="E112" s="5"/>
      <c r="H112" s="19">
        <v>110</v>
      </c>
      <c r="I112">
        <v>113620</v>
      </c>
      <c r="J112" t="s">
        <v>1992</v>
      </c>
      <c r="K112">
        <v>151.69</v>
      </c>
      <c r="L112">
        <v>1.1499999999999999</v>
      </c>
      <c r="M112">
        <v>152.84</v>
      </c>
      <c r="N112" s="21">
        <v>8.4636899999999997</v>
      </c>
      <c r="O112" s="5" t="str">
        <f t="shared" si="8"/>
        <v>未买</v>
      </c>
      <c r="R112" s="19">
        <v>110</v>
      </c>
    </row>
    <row r="113" spans="5:18" x14ac:dyDescent="0.15">
      <c r="E113" s="5"/>
      <c r="H113" s="19">
        <v>111</v>
      </c>
      <c r="I113">
        <v>123120</v>
      </c>
      <c r="J113" t="s">
        <v>236</v>
      </c>
      <c r="K113">
        <v>142.65799999999999</v>
      </c>
      <c r="L113">
        <v>10.27</v>
      </c>
      <c r="M113">
        <v>152.928</v>
      </c>
      <c r="N113" s="21">
        <v>7.9850760000000003</v>
      </c>
      <c r="O113" s="5" t="str">
        <f t="shared" si="8"/>
        <v>未买</v>
      </c>
      <c r="R113" s="19">
        <v>111</v>
      </c>
    </row>
    <row r="114" spans="5:18" x14ac:dyDescent="0.15">
      <c r="E114" s="5"/>
      <c r="H114" s="19">
        <v>112</v>
      </c>
      <c r="I114">
        <v>128144</v>
      </c>
      <c r="J114" t="s">
        <v>224</v>
      </c>
      <c r="K114">
        <v>118.902</v>
      </c>
      <c r="L114">
        <v>34.25</v>
      </c>
      <c r="M114">
        <v>153.15199999999999</v>
      </c>
      <c r="N114" s="21">
        <v>9.7941780000000005</v>
      </c>
      <c r="O114" s="5" t="str">
        <f t="shared" si="8"/>
        <v>未买</v>
      </c>
      <c r="R114" s="19">
        <v>112</v>
      </c>
    </row>
    <row r="115" spans="5:18" x14ac:dyDescent="0.15">
      <c r="E115" s="5"/>
      <c r="H115" s="19">
        <v>113</v>
      </c>
      <c r="I115">
        <v>127005</v>
      </c>
      <c r="J115" t="s">
        <v>1864</v>
      </c>
      <c r="K115">
        <v>115.501</v>
      </c>
      <c r="L115">
        <v>37.71</v>
      </c>
      <c r="M115">
        <v>153.21100000000001</v>
      </c>
      <c r="N115" s="21">
        <v>49.964184000000003</v>
      </c>
      <c r="O115" s="5" t="str">
        <f t="shared" si="8"/>
        <v>未买</v>
      </c>
      <c r="R115" s="19">
        <v>113</v>
      </c>
    </row>
    <row r="116" spans="5:18" x14ac:dyDescent="0.15">
      <c r="E116" s="5"/>
      <c r="H116" s="19">
        <v>114</v>
      </c>
      <c r="I116">
        <v>113641</v>
      </c>
      <c r="J116" t="s">
        <v>1870</v>
      </c>
      <c r="K116">
        <v>130.41</v>
      </c>
      <c r="L116">
        <v>23.09</v>
      </c>
      <c r="M116">
        <v>153.5</v>
      </c>
      <c r="N116" s="21">
        <v>76</v>
      </c>
      <c r="O116" s="5" t="str">
        <f t="shared" si="8"/>
        <v>未买</v>
      </c>
      <c r="R116" s="19">
        <v>114</v>
      </c>
    </row>
    <row r="117" spans="5:18" x14ac:dyDescent="0.15">
      <c r="E117" s="5"/>
      <c r="H117" s="19">
        <v>115</v>
      </c>
      <c r="I117">
        <v>113024</v>
      </c>
      <c r="J117" t="s">
        <v>1855</v>
      </c>
      <c r="K117">
        <v>117.37</v>
      </c>
      <c r="L117">
        <v>36.18</v>
      </c>
      <c r="M117">
        <v>153.55000000000001</v>
      </c>
      <c r="N117" s="21">
        <v>29.953800000000001</v>
      </c>
      <c r="O117" s="5" t="str">
        <f t="shared" si="8"/>
        <v>未买</v>
      </c>
      <c r="R117" s="19">
        <v>115</v>
      </c>
    </row>
    <row r="118" spans="5:18" x14ac:dyDescent="0.15">
      <c r="E118" s="5"/>
      <c r="H118" s="19">
        <v>116</v>
      </c>
      <c r="I118">
        <v>127022</v>
      </c>
      <c r="J118" t="s">
        <v>1857</v>
      </c>
      <c r="K118">
        <v>124.3</v>
      </c>
      <c r="L118">
        <v>29.38</v>
      </c>
      <c r="M118">
        <v>153.68</v>
      </c>
      <c r="N118" s="21">
        <v>19.9983</v>
      </c>
      <c r="O118" s="5" t="str">
        <f t="shared" si="8"/>
        <v>未买</v>
      </c>
      <c r="R118" s="19">
        <v>116</v>
      </c>
    </row>
    <row r="119" spans="5:18" x14ac:dyDescent="0.15">
      <c r="E119" s="5"/>
      <c r="H119" s="19">
        <v>117</v>
      </c>
      <c r="I119">
        <v>123123</v>
      </c>
      <c r="J119" t="s">
        <v>193</v>
      </c>
      <c r="K119">
        <v>137.703</v>
      </c>
      <c r="L119">
        <v>16.11</v>
      </c>
      <c r="M119">
        <v>153.81299999999999</v>
      </c>
      <c r="N119" s="21">
        <v>5.1604000000000001</v>
      </c>
      <c r="O119" s="5" t="str">
        <f t="shared" si="8"/>
        <v>未买</v>
      </c>
      <c r="R119" s="19">
        <v>117</v>
      </c>
    </row>
    <row r="120" spans="5:18" x14ac:dyDescent="0.15">
      <c r="E120" s="5"/>
      <c r="H120" s="19">
        <v>118</v>
      </c>
      <c r="I120">
        <v>123087</v>
      </c>
      <c r="J120" t="s">
        <v>72</v>
      </c>
      <c r="K120">
        <v>126.5</v>
      </c>
      <c r="L120">
        <v>27.46</v>
      </c>
      <c r="M120">
        <v>153.96</v>
      </c>
      <c r="N120" s="21">
        <v>4.1892620000000003</v>
      </c>
      <c r="O120" s="5" t="str">
        <f t="shared" si="8"/>
        <v>未买</v>
      </c>
      <c r="R120" s="19">
        <v>118</v>
      </c>
    </row>
    <row r="121" spans="5:18" x14ac:dyDescent="0.15">
      <c r="E121" s="5"/>
      <c r="H121" s="19">
        <v>119</v>
      </c>
      <c r="I121">
        <v>128025</v>
      </c>
      <c r="J121" t="s">
        <v>50</v>
      </c>
      <c r="K121">
        <v>132.07499999999999</v>
      </c>
      <c r="L121">
        <v>21.96</v>
      </c>
      <c r="M121">
        <v>154.035</v>
      </c>
      <c r="N121" s="21">
        <v>2.976604</v>
      </c>
      <c r="O121" s="5" t="str">
        <f t="shared" si="8"/>
        <v>未买</v>
      </c>
      <c r="R121" s="19">
        <v>119</v>
      </c>
    </row>
    <row r="122" spans="5:18" x14ac:dyDescent="0.15">
      <c r="E122" s="5"/>
      <c r="H122" s="19">
        <v>120</v>
      </c>
      <c r="I122">
        <v>127016</v>
      </c>
      <c r="J122" t="s">
        <v>1854</v>
      </c>
      <c r="K122">
        <v>115.005</v>
      </c>
      <c r="L122">
        <v>39.08</v>
      </c>
      <c r="M122">
        <v>154.08499999999998</v>
      </c>
      <c r="N122" s="21">
        <v>13.998533999999999</v>
      </c>
      <c r="O122" s="5" t="str">
        <f t="shared" si="8"/>
        <v>未买</v>
      </c>
      <c r="R122" s="19">
        <v>120</v>
      </c>
    </row>
    <row r="123" spans="5:18" x14ac:dyDescent="0.15">
      <c r="E123" s="5"/>
      <c r="H123" s="19">
        <v>121</v>
      </c>
      <c r="I123">
        <v>111000</v>
      </c>
      <c r="J123" t="s">
        <v>84</v>
      </c>
      <c r="K123">
        <v>132.5</v>
      </c>
      <c r="L123">
        <v>21.66</v>
      </c>
      <c r="M123">
        <v>154.16</v>
      </c>
      <c r="N123" s="21">
        <v>9.9947199999999992</v>
      </c>
      <c r="O123" s="5" t="str">
        <f t="shared" si="8"/>
        <v>未买</v>
      </c>
      <c r="R123" s="19">
        <v>121</v>
      </c>
    </row>
    <row r="124" spans="5:18" x14ac:dyDescent="0.15">
      <c r="E124" s="5"/>
      <c r="H124" s="19">
        <v>122</v>
      </c>
      <c r="I124">
        <v>127033</v>
      </c>
      <c r="J124" t="s">
        <v>1845</v>
      </c>
      <c r="K124">
        <v>114.369</v>
      </c>
      <c r="L124">
        <v>39.869999999999997</v>
      </c>
      <c r="M124">
        <v>154.239</v>
      </c>
      <c r="N124" s="21">
        <v>11.594339</v>
      </c>
      <c r="O124" s="5" t="str">
        <f t="shared" si="8"/>
        <v>未买</v>
      </c>
      <c r="R124" s="19">
        <v>122</v>
      </c>
    </row>
    <row r="125" spans="5:18" x14ac:dyDescent="0.15">
      <c r="E125" s="5"/>
      <c r="H125" s="19">
        <v>123</v>
      </c>
      <c r="I125">
        <v>110060</v>
      </c>
      <c r="J125" t="s">
        <v>212</v>
      </c>
      <c r="K125">
        <v>114.5</v>
      </c>
      <c r="L125">
        <v>39.770000000000003</v>
      </c>
      <c r="M125">
        <v>154.27000000000001</v>
      </c>
      <c r="N125" s="21">
        <v>7.0625299999999998</v>
      </c>
      <c r="O125" s="5" t="str">
        <f t="shared" si="8"/>
        <v>未买</v>
      </c>
      <c r="R125" s="19">
        <v>123</v>
      </c>
    </row>
    <row r="126" spans="5:18" x14ac:dyDescent="0.15">
      <c r="E126" s="5"/>
      <c r="H126" s="19">
        <v>124</v>
      </c>
      <c r="I126">
        <v>111001</v>
      </c>
      <c r="J126" t="s">
        <v>220</v>
      </c>
      <c r="K126">
        <v>124.92</v>
      </c>
      <c r="L126">
        <v>29.42</v>
      </c>
      <c r="M126">
        <v>154.34</v>
      </c>
      <c r="N126" s="21">
        <v>5.9994699999999996</v>
      </c>
      <c r="O126" s="5" t="str">
        <f t="shared" si="8"/>
        <v>未买</v>
      </c>
      <c r="R126" s="19">
        <v>124</v>
      </c>
    </row>
    <row r="127" spans="5:18" x14ac:dyDescent="0.15">
      <c r="E127" s="5"/>
      <c r="H127" s="19">
        <v>125</v>
      </c>
      <c r="I127">
        <v>123089</v>
      </c>
      <c r="J127" t="s">
        <v>795</v>
      </c>
      <c r="K127">
        <v>144.79</v>
      </c>
      <c r="L127">
        <v>9.56</v>
      </c>
      <c r="M127">
        <v>154.35</v>
      </c>
      <c r="N127" s="21">
        <v>3.062408</v>
      </c>
      <c r="O127" s="5" t="str">
        <f t="shared" si="8"/>
        <v>未买</v>
      </c>
      <c r="R127" s="19">
        <v>125</v>
      </c>
    </row>
    <row r="128" spans="5:18" x14ac:dyDescent="0.15">
      <c r="E128" s="5"/>
      <c r="H128" s="19">
        <v>126</v>
      </c>
      <c r="I128">
        <v>127036</v>
      </c>
      <c r="J128" t="s">
        <v>1882</v>
      </c>
      <c r="K128">
        <v>137.30000000000001</v>
      </c>
      <c r="L128">
        <v>17.059999999999999</v>
      </c>
      <c r="M128">
        <v>154.36000000000001</v>
      </c>
      <c r="N128" s="21">
        <v>29.991821999999996</v>
      </c>
      <c r="O128" s="5" t="str">
        <f t="shared" si="8"/>
        <v>未买</v>
      </c>
      <c r="R128" s="19">
        <v>126</v>
      </c>
    </row>
    <row r="129" spans="5:18" x14ac:dyDescent="0.15">
      <c r="E129" s="5"/>
      <c r="H129" s="19">
        <v>127</v>
      </c>
      <c r="I129">
        <v>123098</v>
      </c>
      <c r="J129" t="s">
        <v>2027</v>
      </c>
      <c r="K129">
        <v>132.6</v>
      </c>
      <c r="L129">
        <v>21.85</v>
      </c>
      <c r="M129">
        <v>154.44999999999999</v>
      </c>
      <c r="N129" s="21">
        <v>4.2360870000000004</v>
      </c>
      <c r="O129" s="5" t="str">
        <f t="shared" si="8"/>
        <v>未买</v>
      </c>
      <c r="R129" s="19">
        <v>127</v>
      </c>
    </row>
    <row r="130" spans="5:18" x14ac:dyDescent="0.15">
      <c r="E130" s="5"/>
      <c r="H130" s="19">
        <v>128</v>
      </c>
      <c r="I130">
        <v>128049</v>
      </c>
      <c r="J130" t="s">
        <v>202</v>
      </c>
      <c r="K130">
        <v>112.29900000000001</v>
      </c>
      <c r="L130">
        <v>42.2</v>
      </c>
      <c r="M130">
        <v>154.49900000000002</v>
      </c>
      <c r="N130" s="21">
        <v>3.6314389999999999</v>
      </c>
      <c r="O130" s="5" t="str">
        <f t="shared" si="8"/>
        <v>未买</v>
      </c>
      <c r="R130" s="19">
        <v>128</v>
      </c>
    </row>
    <row r="131" spans="5:18" x14ac:dyDescent="0.15">
      <c r="E131" s="5"/>
      <c r="H131" s="19">
        <v>129</v>
      </c>
      <c r="I131">
        <v>113644</v>
      </c>
      <c r="J131" t="s">
        <v>1881</v>
      </c>
      <c r="K131">
        <v>116.51</v>
      </c>
      <c r="L131">
        <v>38.19</v>
      </c>
      <c r="M131">
        <v>154.69999999999999</v>
      </c>
      <c r="N131" s="21">
        <v>10</v>
      </c>
      <c r="O131" s="5" t="str">
        <f t="shared" si="8"/>
        <v>未买</v>
      </c>
      <c r="R131" s="19">
        <v>129</v>
      </c>
    </row>
    <row r="132" spans="5:18" x14ac:dyDescent="0.15">
      <c r="E132" s="5"/>
      <c r="H132" s="19">
        <v>130</v>
      </c>
      <c r="I132">
        <v>110085</v>
      </c>
      <c r="J132" t="s">
        <v>1822</v>
      </c>
      <c r="K132">
        <v>153.33000000000001</v>
      </c>
      <c r="L132">
        <v>1.48</v>
      </c>
      <c r="M132">
        <v>154.81</v>
      </c>
      <c r="N132" s="21">
        <v>120</v>
      </c>
      <c r="O132" s="5" t="str">
        <f t="shared" ref="O132:O195" si="9">IF(ISNA(MATCH(I132,$A$3:$A$1000,0)),"未买","Yes")</f>
        <v>未买</v>
      </c>
      <c r="R132" s="19">
        <v>130</v>
      </c>
    </row>
    <row r="133" spans="5:18" x14ac:dyDescent="0.15">
      <c r="E133" s="5"/>
      <c r="H133" s="19">
        <v>131</v>
      </c>
      <c r="I133">
        <v>128071</v>
      </c>
      <c r="J133" t="s">
        <v>88</v>
      </c>
      <c r="K133">
        <v>115.25</v>
      </c>
      <c r="L133">
        <v>39.630000000000003</v>
      </c>
      <c r="M133">
        <v>154.88</v>
      </c>
      <c r="N133" s="21">
        <v>2.999336</v>
      </c>
      <c r="O133" s="5" t="str">
        <f t="shared" si="9"/>
        <v>未买</v>
      </c>
      <c r="R133" s="19">
        <v>131</v>
      </c>
    </row>
    <row r="134" spans="5:18" x14ac:dyDescent="0.15">
      <c r="E134" s="5"/>
      <c r="H134" s="19">
        <v>132</v>
      </c>
      <c r="I134">
        <v>123112</v>
      </c>
      <c r="J134" t="s">
        <v>126</v>
      </c>
      <c r="K134">
        <v>133.69999999999999</v>
      </c>
      <c r="L134">
        <v>21.2</v>
      </c>
      <c r="M134">
        <v>154.89999999999998</v>
      </c>
      <c r="N134" s="21">
        <v>2.4541909999999998</v>
      </c>
      <c r="O134" s="5" t="str">
        <f t="shared" si="9"/>
        <v>未买</v>
      </c>
      <c r="R134" s="19">
        <v>132</v>
      </c>
    </row>
    <row r="135" spans="5:18" x14ac:dyDescent="0.15">
      <c r="E135" s="5"/>
      <c r="H135" s="19">
        <v>133</v>
      </c>
      <c r="I135">
        <v>113601</v>
      </c>
      <c r="J135" t="s">
        <v>65</v>
      </c>
      <c r="K135">
        <v>114.64</v>
      </c>
      <c r="L135">
        <v>40.44</v>
      </c>
      <c r="M135">
        <v>155.07999999999998</v>
      </c>
      <c r="N135" s="21">
        <v>5.4289199999999997</v>
      </c>
      <c r="O135" s="5" t="str">
        <f t="shared" si="9"/>
        <v>未买</v>
      </c>
      <c r="R135" s="19">
        <v>133</v>
      </c>
    </row>
    <row r="136" spans="5:18" x14ac:dyDescent="0.15">
      <c r="E136" s="5"/>
      <c r="H136" s="19">
        <v>134</v>
      </c>
      <c r="I136">
        <v>127019</v>
      </c>
      <c r="J136" t="s">
        <v>175</v>
      </c>
      <c r="K136">
        <v>110.501</v>
      </c>
      <c r="L136">
        <v>44.63</v>
      </c>
      <c r="M136">
        <v>155.131</v>
      </c>
      <c r="N136" s="21">
        <v>8.4978960000000008</v>
      </c>
      <c r="O136" s="5" t="str">
        <f t="shared" si="9"/>
        <v>未买</v>
      </c>
      <c r="R136" s="19">
        <v>134</v>
      </c>
    </row>
    <row r="137" spans="5:18" x14ac:dyDescent="0.15">
      <c r="E137" s="5"/>
      <c r="H137" s="19">
        <v>135</v>
      </c>
      <c r="I137">
        <v>113048</v>
      </c>
      <c r="J137" t="s">
        <v>1847</v>
      </c>
      <c r="K137">
        <v>127.87</v>
      </c>
      <c r="L137">
        <v>27.4</v>
      </c>
      <c r="M137">
        <v>155.27000000000001</v>
      </c>
      <c r="N137" s="21">
        <v>22.964970000000001</v>
      </c>
      <c r="O137" s="5" t="str">
        <f t="shared" si="9"/>
        <v>未买</v>
      </c>
      <c r="R137" s="19">
        <v>135</v>
      </c>
    </row>
    <row r="138" spans="5:18" x14ac:dyDescent="0.15">
      <c r="E138" s="5"/>
      <c r="H138" s="19">
        <v>136</v>
      </c>
      <c r="I138">
        <v>128109</v>
      </c>
      <c r="J138" t="s">
        <v>2024</v>
      </c>
      <c r="K138">
        <v>134.9</v>
      </c>
      <c r="L138">
        <v>20.39</v>
      </c>
      <c r="M138">
        <v>155.29000000000002</v>
      </c>
      <c r="N138" s="21">
        <v>18.225546000000001</v>
      </c>
      <c r="O138" s="5" t="str">
        <f t="shared" si="9"/>
        <v>未买</v>
      </c>
      <c r="R138" s="19">
        <v>136</v>
      </c>
    </row>
    <row r="139" spans="5:18" x14ac:dyDescent="0.15">
      <c r="E139" s="5"/>
      <c r="H139" s="19">
        <v>137</v>
      </c>
      <c r="I139">
        <v>128097</v>
      </c>
      <c r="J139" t="s">
        <v>110</v>
      </c>
      <c r="K139">
        <v>119.19</v>
      </c>
      <c r="L139">
        <v>36.200000000000003</v>
      </c>
      <c r="M139">
        <v>155.38999999999999</v>
      </c>
      <c r="N139" s="21">
        <v>4.5856839999999996</v>
      </c>
      <c r="O139" s="5" t="str">
        <f t="shared" si="9"/>
        <v>未买</v>
      </c>
      <c r="R139" s="19">
        <v>137</v>
      </c>
    </row>
    <row r="140" spans="5:18" x14ac:dyDescent="0.15">
      <c r="E140" s="5"/>
      <c r="H140" s="19">
        <v>138</v>
      </c>
      <c r="I140">
        <v>113602</v>
      </c>
      <c r="J140" t="s">
        <v>1869</v>
      </c>
      <c r="K140">
        <v>122.7</v>
      </c>
      <c r="L140">
        <v>32.880000000000003</v>
      </c>
      <c r="M140">
        <v>155.58000000000001</v>
      </c>
      <c r="N140" s="21">
        <v>17.798739999999999</v>
      </c>
      <c r="O140" s="5" t="str">
        <f t="shared" si="9"/>
        <v>未买</v>
      </c>
      <c r="R140" s="19">
        <v>138</v>
      </c>
    </row>
    <row r="141" spans="5:18" x14ac:dyDescent="0.15">
      <c r="E141" s="5"/>
      <c r="H141" s="19">
        <v>139</v>
      </c>
      <c r="I141">
        <v>110086</v>
      </c>
      <c r="J141" t="s">
        <v>1846</v>
      </c>
      <c r="K141">
        <v>118.05</v>
      </c>
      <c r="L141">
        <v>37.590000000000003</v>
      </c>
      <c r="M141">
        <v>155.63999999999999</v>
      </c>
      <c r="N141" s="21">
        <v>20</v>
      </c>
      <c r="O141" s="5" t="str">
        <f t="shared" si="9"/>
        <v>未买</v>
      </c>
      <c r="R141" s="19">
        <v>139</v>
      </c>
    </row>
    <row r="142" spans="5:18" x14ac:dyDescent="0.15">
      <c r="E142" s="5"/>
      <c r="H142" s="19">
        <v>140</v>
      </c>
      <c r="I142">
        <v>127034</v>
      </c>
      <c r="J142" t="s">
        <v>201</v>
      </c>
      <c r="K142">
        <v>105.15</v>
      </c>
      <c r="L142">
        <v>50.67</v>
      </c>
      <c r="M142">
        <v>155.82</v>
      </c>
      <c r="N142" s="21">
        <v>7.1177669999999997</v>
      </c>
      <c r="O142" s="5" t="str">
        <f t="shared" si="9"/>
        <v>未买</v>
      </c>
      <c r="R142" s="19">
        <v>140</v>
      </c>
    </row>
    <row r="143" spans="5:18" x14ac:dyDescent="0.15">
      <c r="E143" s="5"/>
      <c r="H143" s="19">
        <v>141</v>
      </c>
      <c r="I143">
        <v>113058</v>
      </c>
      <c r="J143" t="s">
        <v>1852</v>
      </c>
      <c r="K143">
        <v>116.02</v>
      </c>
      <c r="L143">
        <v>40.04</v>
      </c>
      <c r="M143">
        <v>156.06</v>
      </c>
      <c r="N143" s="21">
        <v>20</v>
      </c>
      <c r="O143" s="5" t="str">
        <f t="shared" si="9"/>
        <v>未买</v>
      </c>
      <c r="R143" s="19">
        <v>141</v>
      </c>
    </row>
    <row r="144" spans="5:18" x14ac:dyDescent="0.15">
      <c r="E144" s="5"/>
      <c r="H144" s="19">
        <v>142</v>
      </c>
      <c r="I144">
        <v>123110</v>
      </c>
      <c r="J144" t="s">
        <v>106</v>
      </c>
      <c r="K144">
        <v>135.6</v>
      </c>
      <c r="L144">
        <v>20.69</v>
      </c>
      <c r="M144">
        <v>156.29</v>
      </c>
      <c r="N144" s="21">
        <v>2.6979579999999999</v>
      </c>
      <c r="O144" s="5" t="str">
        <f t="shared" si="9"/>
        <v>未买</v>
      </c>
      <c r="R144" s="19">
        <v>142</v>
      </c>
    </row>
    <row r="145" spans="5:18" x14ac:dyDescent="0.15">
      <c r="E145" s="5"/>
      <c r="H145" s="19">
        <v>143</v>
      </c>
      <c r="I145">
        <v>127031</v>
      </c>
      <c r="J145" t="s">
        <v>186</v>
      </c>
      <c r="K145">
        <v>125.875</v>
      </c>
      <c r="L145">
        <v>30.63</v>
      </c>
      <c r="M145">
        <v>156.505</v>
      </c>
      <c r="N145" s="21">
        <v>9.9994130000000006</v>
      </c>
      <c r="O145" s="5" t="str">
        <f t="shared" si="9"/>
        <v>未买</v>
      </c>
      <c r="R145" s="19">
        <v>143</v>
      </c>
    </row>
    <row r="146" spans="5:18" x14ac:dyDescent="0.15">
      <c r="E146" s="5"/>
      <c r="H146" s="19">
        <v>144</v>
      </c>
      <c r="I146">
        <v>127054</v>
      </c>
      <c r="J146" t="s">
        <v>782</v>
      </c>
      <c r="K146">
        <v>115.3</v>
      </c>
      <c r="L146">
        <v>41.33</v>
      </c>
      <c r="M146">
        <v>156.63</v>
      </c>
      <c r="N146" s="21">
        <v>5.1364000000000001</v>
      </c>
      <c r="O146" s="5" t="str">
        <f t="shared" si="9"/>
        <v>未买</v>
      </c>
      <c r="R146" s="19">
        <v>144</v>
      </c>
    </row>
    <row r="147" spans="5:18" x14ac:dyDescent="0.15">
      <c r="E147" s="5"/>
      <c r="H147" s="19">
        <v>145</v>
      </c>
      <c r="I147">
        <v>127053</v>
      </c>
      <c r="J147" t="s">
        <v>790</v>
      </c>
      <c r="K147">
        <v>121.206</v>
      </c>
      <c r="L147">
        <v>35.46</v>
      </c>
      <c r="M147">
        <v>156.666</v>
      </c>
      <c r="N147" s="21">
        <v>8.24</v>
      </c>
      <c r="O147" s="5" t="str">
        <f t="shared" si="9"/>
        <v>未买</v>
      </c>
      <c r="R147" s="19">
        <v>145</v>
      </c>
    </row>
    <row r="148" spans="5:18" x14ac:dyDescent="0.15">
      <c r="E148" s="5"/>
      <c r="H148" s="19">
        <v>146</v>
      </c>
      <c r="I148">
        <v>123035</v>
      </c>
      <c r="J148" t="s">
        <v>123</v>
      </c>
      <c r="K148">
        <v>125.39</v>
      </c>
      <c r="L148">
        <v>31.48</v>
      </c>
      <c r="M148">
        <v>156.87</v>
      </c>
      <c r="N148" s="21">
        <v>7.9877429999999991</v>
      </c>
      <c r="O148" s="5" t="str">
        <f t="shared" si="9"/>
        <v>未买</v>
      </c>
      <c r="R148" s="19">
        <v>146</v>
      </c>
    </row>
    <row r="149" spans="5:18" x14ac:dyDescent="0.15">
      <c r="E149" s="5"/>
      <c r="H149" s="19">
        <v>147</v>
      </c>
      <c r="I149">
        <v>113049</v>
      </c>
      <c r="J149" t="s">
        <v>1851</v>
      </c>
      <c r="K149">
        <v>131.78</v>
      </c>
      <c r="L149">
        <v>25.11</v>
      </c>
      <c r="M149">
        <v>156.88999999999999</v>
      </c>
      <c r="N149" s="21">
        <v>34.956710000000001</v>
      </c>
      <c r="O149" s="5" t="str">
        <f t="shared" si="9"/>
        <v>未买</v>
      </c>
      <c r="R149" s="19">
        <v>147</v>
      </c>
    </row>
    <row r="150" spans="5:18" x14ac:dyDescent="0.15">
      <c r="E150" s="5"/>
      <c r="H150" s="19">
        <v>148</v>
      </c>
      <c r="I150">
        <v>128134</v>
      </c>
      <c r="J150" t="s">
        <v>1850</v>
      </c>
      <c r="K150">
        <v>127.42100000000001</v>
      </c>
      <c r="L150">
        <v>29.81</v>
      </c>
      <c r="M150">
        <v>157.23099999999999</v>
      </c>
      <c r="N150" s="21">
        <v>15.728194999999999</v>
      </c>
      <c r="O150" s="5" t="str">
        <f t="shared" si="9"/>
        <v>未买</v>
      </c>
      <c r="R150" s="19">
        <v>148</v>
      </c>
    </row>
    <row r="151" spans="5:18" x14ac:dyDescent="0.15">
      <c r="E151" s="5"/>
      <c r="H151" s="19">
        <v>149</v>
      </c>
      <c r="I151">
        <v>113567</v>
      </c>
      <c r="J151" t="s">
        <v>2029</v>
      </c>
      <c r="K151">
        <v>134.59</v>
      </c>
      <c r="L151">
        <v>22.73</v>
      </c>
      <c r="M151">
        <v>157.32</v>
      </c>
      <c r="N151" s="21">
        <v>1.9354</v>
      </c>
      <c r="O151" s="5" t="str">
        <f t="shared" si="9"/>
        <v>未买</v>
      </c>
      <c r="R151" s="19">
        <v>149</v>
      </c>
    </row>
    <row r="152" spans="5:18" x14ac:dyDescent="0.15">
      <c r="E152" s="5"/>
      <c r="H152" s="19">
        <v>150</v>
      </c>
      <c r="I152">
        <v>127006</v>
      </c>
      <c r="J152" t="s">
        <v>1879</v>
      </c>
      <c r="K152">
        <v>110.095</v>
      </c>
      <c r="L152">
        <v>47.56</v>
      </c>
      <c r="M152">
        <v>157.655</v>
      </c>
      <c r="N152" s="21">
        <v>24.072253</v>
      </c>
      <c r="O152" s="5" t="str">
        <f t="shared" si="9"/>
        <v>未买</v>
      </c>
      <c r="R152" s="19">
        <v>150</v>
      </c>
    </row>
    <row r="153" spans="5:18" x14ac:dyDescent="0.15">
      <c r="E153" s="5"/>
      <c r="H153" s="19">
        <v>151</v>
      </c>
      <c r="I153">
        <v>113051</v>
      </c>
      <c r="J153" t="s">
        <v>2021</v>
      </c>
      <c r="K153">
        <v>140.41999999999999</v>
      </c>
      <c r="L153">
        <v>17.260000000000002</v>
      </c>
      <c r="M153">
        <v>157.67999999999998</v>
      </c>
      <c r="N153" s="21">
        <v>29.990480000000002</v>
      </c>
      <c r="O153" s="5" t="str">
        <f t="shared" si="9"/>
        <v>未买</v>
      </c>
      <c r="R153" s="19">
        <v>151</v>
      </c>
    </row>
    <row r="154" spans="5:18" x14ac:dyDescent="0.15">
      <c r="E154" s="5"/>
      <c r="H154" s="19">
        <v>152</v>
      </c>
      <c r="I154">
        <v>128135</v>
      </c>
      <c r="J154" t="s">
        <v>1856</v>
      </c>
      <c r="K154">
        <v>124.56</v>
      </c>
      <c r="L154">
        <v>33.42</v>
      </c>
      <c r="M154">
        <v>157.98000000000002</v>
      </c>
      <c r="N154" s="21">
        <v>13.398632999999998</v>
      </c>
      <c r="O154" s="5" t="str">
        <f t="shared" si="9"/>
        <v>未买</v>
      </c>
      <c r="R154" s="19">
        <v>152</v>
      </c>
    </row>
    <row r="155" spans="5:18" x14ac:dyDescent="0.15">
      <c r="E155" s="5"/>
      <c r="H155" s="19">
        <v>153</v>
      </c>
      <c r="I155">
        <v>127060</v>
      </c>
      <c r="J155" t="s">
        <v>2036</v>
      </c>
      <c r="K155">
        <v>128.80000000000001</v>
      </c>
      <c r="L155">
        <v>29.23</v>
      </c>
      <c r="M155">
        <v>158.03</v>
      </c>
      <c r="N155" s="21">
        <v>6.4</v>
      </c>
      <c r="O155" s="5" t="str">
        <f t="shared" si="9"/>
        <v>未买</v>
      </c>
      <c r="R155" s="19">
        <v>153</v>
      </c>
    </row>
    <row r="156" spans="5:18" x14ac:dyDescent="0.15">
      <c r="E156" s="5"/>
      <c r="H156" s="19">
        <v>154</v>
      </c>
      <c r="I156">
        <v>113618</v>
      </c>
      <c r="J156" t="s">
        <v>1833</v>
      </c>
      <c r="K156">
        <v>140.61000000000001</v>
      </c>
      <c r="L156">
        <v>17.440000000000001</v>
      </c>
      <c r="M156">
        <v>158.05000000000001</v>
      </c>
      <c r="N156" s="21">
        <v>4.7701500000000001</v>
      </c>
      <c r="O156" s="5" t="str">
        <f t="shared" si="9"/>
        <v>未买</v>
      </c>
      <c r="R156" s="19">
        <v>154</v>
      </c>
    </row>
    <row r="157" spans="5:18" x14ac:dyDescent="0.15">
      <c r="E157" s="5"/>
      <c r="H157" s="19">
        <v>155</v>
      </c>
      <c r="I157">
        <v>110067</v>
      </c>
      <c r="J157" t="s">
        <v>1884</v>
      </c>
      <c r="K157">
        <v>109.81</v>
      </c>
      <c r="L157">
        <v>48.35</v>
      </c>
      <c r="M157">
        <v>158.16</v>
      </c>
      <c r="N157" s="21">
        <v>27.995080000000002</v>
      </c>
      <c r="O157" s="5" t="str">
        <f t="shared" si="9"/>
        <v>未买</v>
      </c>
      <c r="R157" s="19">
        <v>155</v>
      </c>
    </row>
    <row r="158" spans="5:18" x14ac:dyDescent="0.15">
      <c r="E158" s="5"/>
      <c r="H158" s="19">
        <v>156</v>
      </c>
      <c r="I158">
        <v>118001</v>
      </c>
      <c r="J158" t="s">
        <v>240</v>
      </c>
      <c r="K158">
        <v>137.19</v>
      </c>
      <c r="L158">
        <v>21.18</v>
      </c>
      <c r="M158">
        <v>158.37</v>
      </c>
      <c r="N158" s="21">
        <v>5.9983599999999999</v>
      </c>
      <c r="O158" s="5" t="str">
        <f t="shared" si="9"/>
        <v>未买</v>
      </c>
      <c r="R158" s="19">
        <v>156</v>
      </c>
    </row>
    <row r="159" spans="5:18" x14ac:dyDescent="0.15">
      <c r="E159" s="5"/>
      <c r="H159" s="19">
        <v>157</v>
      </c>
      <c r="I159">
        <v>113636</v>
      </c>
      <c r="J159" t="s">
        <v>248</v>
      </c>
      <c r="K159">
        <v>125.66</v>
      </c>
      <c r="L159">
        <v>32.76</v>
      </c>
      <c r="M159">
        <v>158.41999999999999</v>
      </c>
      <c r="N159" s="21">
        <v>9.9996799999999997</v>
      </c>
      <c r="O159" s="5" t="str">
        <f t="shared" si="9"/>
        <v>未买</v>
      </c>
      <c r="R159" s="19">
        <v>157</v>
      </c>
    </row>
    <row r="160" spans="5:18" x14ac:dyDescent="0.15">
      <c r="E160" s="5"/>
      <c r="H160" s="19">
        <v>158</v>
      </c>
      <c r="I160">
        <v>123010</v>
      </c>
      <c r="J160" t="s">
        <v>195</v>
      </c>
      <c r="K160">
        <v>111.11</v>
      </c>
      <c r="L160">
        <v>47.38</v>
      </c>
      <c r="M160">
        <v>158.49</v>
      </c>
      <c r="N160" s="21">
        <v>4.2960060000000002</v>
      </c>
      <c r="O160" s="5" t="str">
        <f t="shared" si="9"/>
        <v>未买</v>
      </c>
      <c r="R160" s="19">
        <v>158</v>
      </c>
    </row>
    <row r="161" spans="5:18" x14ac:dyDescent="0.15">
      <c r="E161" s="5"/>
      <c r="H161" s="19">
        <v>159</v>
      </c>
      <c r="I161">
        <v>113619</v>
      </c>
      <c r="J161" t="s">
        <v>227</v>
      </c>
      <c r="K161">
        <v>126.41</v>
      </c>
      <c r="L161">
        <v>32.520000000000003</v>
      </c>
      <c r="M161">
        <v>158.93</v>
      </c>
      <c r="N161" s="21">
        <v>9.9967699999999997</v>
      </c>
      <c r="O161" s="5" t="str">
        <f t="shared" si="9"/>
        <v>未买</v>
      </c>
      <c r="R161" s="19">
        <v>159</v>
      </c>
    </row>
    <row r="162" spans="5:18" x14ac:dyDescent="0.15">
      <c r="E162" s="5"/>
      <c r="H162" s="19">
        <v>160</v>
      </c>
      <c r="I162">
        <v>113637</v>
      </c>
      <c r="J162" t="s">
        <v>270</v>
      </c>
      <c r="K162">
        <v>143.19</v>
      </c>
      <c r="L162">
        <v>15.92</v>
      </c>
      <c r="M162">
        <v>159.10999999999999</v>
      </c>
      <c r="N162" s="21">
        <v>8</v>
      </c>
      <c r="O162" s="5" t="str">
        <f t="shared" si="9"/>
        <v>未买</v>
      </c>
      <c r="R162" s="19">
        <v>160</v>
      </c>
    </row>
    <row r="163" spans="5:18" x14ac:dyDescent="0.15">
      <c r="E163" s="5"/>
      <c r="H163" s="19">
        <v>161</v>
      </c>
      <c r="I163">
        <v>127014</v>
      </c>
      <c r="J163" t="s">
        <v>228</v>
      </c>
      <c r="K163">
        <v>131.9</v>
      </c>
      <c r="L163">
        <v>27.21</v>
      </c>
      <c r="M163">
        <v>159.11000000000001</v>
      </c>
      <c r="N163" s="21">
        <v>5.3444160000000007</v>
      </c>
      <c r="O163" s="5" t="str">
        <f t="shared" si="9"/>
        <v>未买</v>
      </c>
      <c r="R163" s="19">
        <v>161</v>
      </c>
    </row>
    <row r="164" spans="5:18" x14ac:dyDescent="0.15">
      <c r="E164" s="5"/>
      <c r="H164" s="19">
        <v>162</v>
      </c>
      <c r="I164">
        <v>113647</v>
      </c>
      <c r="J164" t="s">
        <v>1859</v>
      </c>
      <c r="K164">
        <v>125.94</v>
      </c>
      <c r="L164">
        <v>33.21</v>
      </c>
      <c r="M164">
        <v>159.15</v>
      </c>
      <c r="N164" s="21">
        <v>15</v>
      </c>
      <c r="O164" s="5" t="str">
        <f t="shared" si="9"/>
        <v>未买</v>
      </c>
      <c r="R164" s="19">
        <v>162</v>
      </c>
    </row>
    <row r="165" spans="5:18" x14ac:dyDescent="0.15">
      <c r="E165" s="5"/>
      <c r="H165" s="19">
        <v>163</v>
      </c>
      <c r="I165">
        <v>113606</v>
      </c>
      <c r="J165" t="s">
        <v>209</v>
      </c>
      <c r="K165">
        <v>112.48</v>
      </c>
      <c r="L165">
        <v>46.99</v>
      </c>
      <c r="M165">
        <v>159.47</v>
      </c>
      <c r="N165" s="21">
        <v>5.9988799999999998</v>
      </c>
      <c r="O165" s="5" t="str">
        <f t="shared" si="9"/>
        <v>未买</v>
      </c>
      <c r="R165" s="19">
        <v>163</v>
      </c>
    </row>
    <row r="166" spans="5:18" x14ac:dyDescent="0.15">
      <c r="E166" s="5"/>
      <c r="H166" s="19">
        <v>164</v>
      </c>
      <c r="I166">
        <v>128145</v>
      </c>
      <c r="J166" t="s">
        <v>104</v>
      </c>
      <c r="K166">
        <v>137</v>
      </c>
      <c r="L166">
        <v>22.76</v>
      </c>
      <c r="M166">
        <v>159.76</v>
      </c>
      <c r="N166" s="21">
        <v>3.7962730000000007</v>
      </c>
      <c r="O166" s="5" t="str">
        <f t="shared" si="9"/>
        <v>未买</v>
      </c>
      <c r="R166" s="19">
        <v>164</v>
      </c>
    </row>
    <row r="167" spans="5:18" x14ac:dyDescent="0.15">
      <c r="E167" s="5"/>
      <c r="H167" s="19">
        <v>165</v>
      </c>
      <c r="I167">
        <v>123085</v>
      </c>
      <c r="J167" t="s">
        <v>1995</v>
      </c>
      <c r="K167">
        <v>156.59</v>
      </c>
      <c r="L167">
        <v>3.28</v>
      </c>
      <c r="M167">
        <v>159.87</v>
      </c>
      <c r="N167" s="21">
        <v>8.4948669999999993</v>
      </c>
      <c r="O167" s="5" t="str">
        <f t="shared" si="9"/>
        <v>未买</v>
      </c>
      <c r="R167" s="19">
        <v>165</v>
      </c>
    </row>
    <row r="168" spans="5:18" x14ac:dyDescent="0.15">
      <c r="E168" s="5"/>
      <c r="H168" s="19">
        <v>166</v>
      </c>
      <c r="I168">
        <v>110038</v>
      </c>
      <c r="J168" t="s">
        <v>101</v>
      </c>
      <c r="K168">
        <v>146.69</v>
      </c>
      <c r="L168">
        <v>13.2</v>
      </c>
      <c r="M168">
        <v>159.88999999999999</v>
      </c>
      <c r="N168" s="21">
        <v>6.30199</v>
      </c>
      <c r="O168" s="5" t="str">
        <f t="shared" si="9"/>
        <v>未买</v>
      </c>
      <c r="R168" s="19">
        <v>166</v>
      </c>
    </row>
    <row r="169" spans="5:18" x14ac:dyDescent="0.15">
      <c r="E169" s="5"/>
      <c r="H169" s="19">
        <v>167</v>
      </c>
      <c r="I169">
        <v>113648</v>
      </c>
      <c r="J169" t="s">
        <v>1880</v>
      </c>
      <c r="K169">
        <v>131.93</v>
      </c>
      <c r="L169">
        <v>27.98</v>
      </c>
      <c r="M169">
        <v>159.91</v>
      </c>
      <c r="N169" s="21">
        <v>10</v>
      </c>
      <c r="O169" s="5" t="str">
        <f t="shared" si="9"/>
        <v>未买</v>
      </c>
      <c r="R169" s="19">
        <v>167</v>
      </c>
    </row>
    <row r="170" spans="5:18" x14ac:dyDescent="0.15">
      <c r="E170" s="5"/>
      <c r="H170" s="19">
        <v>168</v>
      </c>
      <c r="I170">
        <v>127056</v>
      </c>
      <c r="J170" t="s">
        <v>1875</v>
      </c>
      <c r="K170">
        <v>118.7</v>
      </c>
      <c r="L170">
        <v>41.23</v>
      </c>
      <c r="M170">
        <v>159.93</v>
      </c>
      <c r="N170" s="21">
        <v>50</v>
      </c>
      <c r="O170" s="5" t="str">
        <f t="shared" si="9"/>
        <v>未买</v>
      </c>
      <c r="R170" s="19">
        <v>168</v>
      </c>
    </row>
    <row r="171" spans="5:18" x14ac:dyDescent="0.15">
      <c r="E171" s="5"/>
      <c r="H171" s="19">
        <v>169</v>
      </c>
      <c r="I171">
        <v>110056</v>
      </c>
      <c r="J171" t="s">
        <v>1877</v>
      </c>
      <c r="K171">
        <v>130.41999999999999</v>
      </c>
      <c r="L171">
        <v>29.64</v>
      </c>
      <c r="M171">
        <v>160.06</v>
      </c>
      <c r="N171" s="21">
        <v>17.100950000000001</v>
      </c>
      <c r="O171" s="5" t="str">
        <f t="shared" si="9"/>
        <v>未买</v>
      </c>
      <c r="R171" s="19">
        <v>169</v>
      </c>
    </row>
    <row r="172" spans="5:18" x14ac:dyDescent="0.15">
      <c r="E172" s="5"/>
      <c r="H172" s="19">
        <v>170</v>
      </c>
      <c r="I172">
        <v>127047</v>
      </c>
      <c r="J172" t="s">
        <v>1878</v>
      </c>
      <c r="K172">
        <v>103</v>
      </c>
      <c r="L172">
        <v>57.08</v>
      </c>
      <c r="M172">
        <v>160.07999999999998</v>
      </c>
      <c r="N172" s="21">
        <v>14.999142000000003</v>
      </c>
      <c r="O172" s="5" t="str">
        <f t="shared" si="9"/>
        <v>未买</v>
      </c>
      <c r="R172" s="19">
        <v>170</v>
      </c>
    </row>
    <row r="173" spans="5:18" x14ac:dyDescent="0.15">
      <c r="E173" s="5"/>
      <c r="H173" s="19">
        <v>171</v>
      </c>
      <c r="I173">
        <v>123075</v>
      </c>
      <c r="J173" t="s">
        <v>70</v>
      </c>
      <c r="K173">
        <v>129.82300000000001</v>
      </c>
      <c r="L173">
        <v>30.37</v>
      </c>
      <c r="M173">
        <v>160.19300000000001</v>
      </c>
      <c r="N173" s="21">
        <v>5.99613</v>
      </c>
      <c r="O173" s="5" t="str">
        <f t="shared" si="9"/>
        <v>未买</v>
      </c>
      <c r="R173" s="19">
        <v>171</v>
      </c>
    </row>
    <row r="174" spans="5:18" x14ac:dyDescent="0.15">
      <c r="E174" s="5"/>
      <c r="H174" s="19">
        <v>172</v>
      </c>
      <c r="I174">
        <v>123077</v>
      </c>
      <c r="J174" t="s">
        <v>213</v>
      </c>
      <c r="K174">
        <v>125</v>
      </c>
      <c r="L174">
        <v>35.340000000000003</v>
      </c>
      <c r="M174">
        <v>160.34</v>
      </c>
      <c r="N174" s="21">
        <v>9.3675669999999993</v>
      </c>
      <c r="O174" s="5" t="str">
        <f t="shared" si="9"/>
        <v>未买</v>
      </c>
      <c r="R174" s="19">
        <v>172</v>
      </c>
    </row>
    <row r="175" spans="5:18" x14ac:dyDescent="0.15">
      <c r="E175" s="5"/>
      <c r="H175" s="19">
        <v>173</v>
      </c>
      <c r="I175">
        <v>128014</v>
      </c>
      <c r="J175" t="s">
        <v>187</v>
      </c>
      <c r="K175">
        <v>116</v>
      </c>
      <c r="L175">
        <v>45.11</v>
      </c>
      <c r="M175">
        <v>161.11000000000001</v>
      </c>
      <c r="N175" s="21">
        <v>3.369688</v>
      </c>
      <c r="O175" s="5" t="str">
        <f t="shared" si="9"/>
        <v>未买</v>
      </c>
      <c r="R175" s="19">
        <v>173</v>
      </c>
    </row>
    <row r="176" spans="5:18" x14ac:dyDescent="0.15">
      <c r="E176" s="5"/>
      <c r="H176" s="19">
        <v>174</v>
      </c>
      <c r="I176">
        <v>113635</v>
      </c>
      <c r="J176" t="s">
        <v>1888</v>
      </c>
      <c r="K176">
        <v>128.19999999999999</v>
      </c>
      <c r="L176">
        <v>33.11</v>
      </c>
      <c r="M176">
        <v>161.31</v>
      </c>
      <c r="N176" s="21">
        <v>13.498659999999999</v>
      </c>
      <c r="O176" s="5" t="str">
        <f t="shared" si="9"/>
        <v>未买</v>
      </c>
      <c r="R176" s="19">
        <v>174</v>
      </c>
    </row>
    <row r="177" spans="5:18" x14ac:dyDescent="0.15">
      <c r="E177" s="5"/>
      <c r="H177" s="19">
        <v>175</v>
      </c>
      <c r="I177">
        <v>113579</v>
      </c>
      <c r="J177" t="s">
        <v>107</v>
      </c>
      <c r="K177">
        <v>124.9</v>
      </c>
      <c r="L177">
        <v>36.520000000000003</v>
      </c>
      <c r="M177">
        <v>161.42000000000002</v>
      </c>
      <c r="N177" s="21">
        <v>5.0250199999999996</v>
      </c>
      <c r="O177" s="5" t="str">
        <f t="shared" si="9"/>
        <v>未买</v>
      </c>
      <c r="R177" s="19">
        <v>175</v>
      </c>
    </row>
    <row r="178" spans="5:18" x14ac:dyDescent="0.15">
      <c r="E178" s="5"/>
      <c r="H178" s="19">
        <v>176</v>
      </c>
      <c r="I178">
        <v>128033</v>
      </c>
      <c r="J178" t="s">
        <v>69</v>
      </c>
      <c r="K178">
        <v>119.86</v>
      </c>
      <c r="L178">
        <v>41.85</v>
      </c>
      <c r="M178">
        <v>161.71</v>
      </c>
      <c r="N178" s="21">
        <v>2.973023</v>
      </c>
      <c r="O178" s="5" t="str">
        <f t="shared" si="9"/>
        <v>未买</v>
      </c>
      <c r="R178" s="19">
        <v>176</v>
      </c>
    </row>
    <row r="179" spans="5:18" x14ac:dyDescent="0.15">
      <c r="E179" s="5"/>
      <c r="H179" s="19">
        <v>177</v>
      </c>
      <c r="I179">
        <v>113524</v>
      </c>
      <c r="J179" t="s">
        <v>219</v>
      </c>
      <c r="K179">
        <v>121.23</v>
      </c>
      <c r="L179">
        <v>40.54</v>
      </c>
      <c r="M179">
        <v>161.77000000000001</v>
      </c>
      <c r="N179" s="21">
        <v>3.2980100000000001</v>
      </c>
      <c r="O179" s="5" t="str">
        <f t="shared" si="9"/>
        <v>未买</v>
      </c>
      <c r="R179" s="19">
        <v>177</v>
      </c>
    </row>
    <row r="180" spans="5:18" x14ac:dyDescent="0.15">
      <c r="E180" s="5"/>
      <c r="H180" s="19">
        <v>178</v>
      </c>
      <c r="I180">
        <v>123118</v>
      </c>
      <c r="J180" t="s">
        <v>238</v>
      </c>
      <c r="K180">
        <v>115.65600000000001</v>
      </c>
      <c r="L180">
        <v>46.16</v>
      </c>
      <c r="M180">
        <v>161.816</v>
      </c>
      <c r="N180" s="21">
        <v>3.1992880000000001</v>
      </c>
      <c r="O180" s="5" t="str">
        <f t="shared" si="9"/>
        <v>未买</v>
      </c>
      <c r="R180" s="19">
        <v>178</v>
      </c>
    </row>
    <row r="181" spans="5:18" x14ac:dyDescent="0.15">
      <c r="E181" s="5"/>
      <c r="H181" s="19">
        <v>179</v>
      </c>
      <c r="I181">
        <v>127017</v>
      </c>
      <c r="J181" t="s">
        <v>194</v>
      </c>
      <c r="K181">
        <v>119.93</v>
      </c>
      <c r="L181">
        <v>42.16</v>
      </c>
      <c r="M181">
        <v>162.09</v>
      </c>
      <c r="N181" s="21">
        <v>9.9959450000000007</v>
      </c>
      <c r="O181" s="5" t="str">
        <f t="shared" si="9"/>
        <v>未买</v>
      </c>
      <c r="R181" s="19">
        <v>179</v>
      </c>
    </row>
    <row r="182" spans="5:18" x14ac:dyDescent="0.15">
      <c r="E182" s="5"/>
      <c r="H182" s="19">
        <v>180</v>
      </c>
      <c r="I182">
        <v>113030</v>
      </c>
      <c r="J182" t="s">
        <v>96</v>
      </c>
      <c r="K182">
        <v>127</v>
      </c>
      <c r="L182">
        <v>35.18</v>
      </c>
      <c r="M182">
        <v>162.18</v>
      </c>
      <c r="N182" s="21">
        <v>2.9510800000000001</v>
      </c>
      <c r="O182" s="5" t="str">
        <f t="shared" si="9"/>
        <v>未买</v>
      </c>
      <c r="R182" s="19">
        <v>180</v>
      </c>
    </row>
    <row r="183" spans="5:18" x14ac:dyDescent="0.15">
      <c r="E183" s="5"/>
      <c r="H183" s="19">
        <v>181</v>
      </c>
      <c r="I183">
        <v>113588</v>
      </c>
      <c r="J183" t="s">
        <v>216</v>
      </c>
      <c r="K183">
        <v>112.09</v>
      </c>
      <c r="L183">
        <v>50.48</v>
      </c>
      <c r="M183">
        <v>162.57</v>
      </c>
      <c r="N183" s="21">
        <v>5.49885</v>
      </c>
      <c r="O183" s="5" t="str">
        <f t="shared" si="9"/>
        <v>未买</v>
      </c>
      <c r="R183" s="19">
        <v>181</v>
      </c>
    </row>
    <row r="184" spans="5:18" x14ac:dyDescent="0.15">
      <c r="E184" s="5"/>
      <c r="H184" s="19">
        <v>182</v>
      </c>
      <c r="I184">
        <v>128137</v>
      </c>
      <c r="J184" t="s">
        <v>2039</v>
      </c>
      <c r="K184">
        <v>129.102</v>
      </c>
      <c r="L184">
        <v>33.78</v>
      </c>
      <c r="M184">
        <v>162.88200000000001</v>
      </c>
      <c r="N184" s="21">
        <v>5.9940730000000002</v>
      </c>
      <c r="O184" s="5" t="str">
        <f t="shared" si="9"/>
        <v>未买</v>
      </c>
      <c r="R184" s="19">
        <v>182</v>
      </c>
    </row>
    <row r="185" spans="5:18" x14ac:dyDescent="0.15">
      <c r="E185" s="5"/>
      <c r="H185" s="19">
        <v>183</v>
      </c>
      <c r="I185">
        <v>113629</v>
      </c>
      <c r="J185" t="s">
        <v>80</v>
      </c>
      <c r="K185">
        <v>142.66999999999999</v>
      </c>
      <c r="L185">
        <v>20.32</v>
      </c>
      <c r="M185">
        <v>162.98999999999998</v>
      </c>
      <c r="N185" s="21">
        <v>6.19693</v>
      </c>
      <c r="O185" s="5" t="str">
        <f t="shared" si="9"/>
        <v>未买</v>
      </c>
      <c r="R185" s="19">
        <v>183</v>
      </c>
    </row>
    <row r="186" spans="5:18" x14ac:dyDescent="0.15">
      <c r="E186" s="5"/>
      <c r="H186" s="19">
        <v>184</v>
      </c>
      <c r="I186">
        <v>127050</v>
      </c>
      <c r="J186" t="s">
        <v>1883</v>
      </c>
      <c r="K186">
        <v>130.87</v>
      </c>
      <c r="L186">
        <v>32.29</v>
      </c>
      <c r="M186">
        <v>163.16</v>
      </c>
      <c r="N186" s="21">
        <v>21.989072</v>
      </c>
      <c r="O186" s="5" t="str">
        <f t="shared" si="9"/>
        <v>未买</v>
      </c>
      <c r="R186" s="19">
        <v>184</v>
      </c>
    </row>
    <row r="187" spans="5:18" x14ac:dyDescent="0.15">
      <c r="E187" s="5"/>
      <c r="H187" s="19">
        <v>185</v>
      </c>
      <c r="I187">
        <v>113021</v>
      </c>
      <c r="J187" t="s">
        <v>1885</v>
      </c>
      <c r="K187">
        <v>109.2</v>
      </c>
      <c r="L187">
        <v>54.06</v>
      </c>
      <c r="M187">
        <v>163.26</v>
      </c>
      <c r="N187" s="21">
        <v>399.99664999999999</v>
      </c>
      <c r="O187" s="5" t="str">
        <f t="shared" si="9"/>
        <v>未买</v>
      </c>
      <c r="R187" s="19">
        <v>185</v>
      </c>
    </row>
    <row r="188" spans="5:18" x14ac:dyDescent="0.15">
      <c r="E188" s="5"/>
      <c r="H188" s="19">
        <v>186</v>
      </c>
      <c r="I188">
        <v>113047</v>
      </c>
      <c r="J188" t="s">
        <v>1858</v>
      </c>
      <c r="K188">
        <v>132.99</v>
      </c>
      <c r="L188">
        <v>30.38</v>
      </c>
      <c r="M188">
        <v>163.37</v>
      </c>
      <c r="N188" s="21">
        <v>14.98734</v>
      </c>
      <c r="O188" s="5" t="str">
        <f t="shared" si="9"/>
        <v>未买</v>
      </c>
      <c r="R188" s="19">
        <v>186</v>
      </c>
    </row>
    <row r="189" spans="5:18" x14ac:dyDescent="0.15">
      <c r="E189" s="5"/>
      <c r="H189" s="19">
        <v>187</v>
      </c>
      <c r="I189">
        <v>123132</v>
      </c>
      <c r="J189" t="s">
        <v>251</v>
      </c>
      <c r="K189">
        <v>123.32</v>
      </c>
      <c r="L189">
        <v>40.07</v>
      </c>
      <c r="M189">
        <v>163.38999999999999</v>
      </c>
      <c r="N189" s="21">
        <v>6.9999900000000004</v>
      </c>
      <c r="O189" s="5" t="str">
        <f t="shared" si="9"/>
        <v>未买</v>
      </c>
      <c r="R189" s="19">
        <v>187</v>
      </c>
    </row>
    <row r="190" spans="5:18" x14ac:dyDescent="0.15">
      <c r="E190" s="5"/>
      <c r="H190" s="19">
        <v>188</v>
      </c>
      <c r="I190">
        <v>123044</v>
      </c>
      <c r="J190" t="s">
        <v>169</v>
      </c>
      <c r="K190">
        <v>117.523</v>
      </c>
      <c r="L190">
        <v>45.88</v>
      </c>
      <c r="M190">
        <v>163.40299999999999</v>
      </c>
      <c r="N190" s="21">
        <v>5.4958900000000002</v>
      </c>
      <c r="O190" s="5" t="str">
        <f t="shared" si="9"/>
        <v>未买</v>
      </c>
      <c r="R190" s="19">
        <v>188</v>
      </c>
    </row>
    <row r="191" spans="5:18" x14ac:dyDescent="0.15">
      <c r="E191" s="5"/>
      <c r="H191" s="19">
        <v>189</v>
      </c>
      <c r="I191">
        <v>113642</v>
      </c>
      <c r="J191" t="s">
        <v>1865</v>
      </c>
      <c r="K191">
        <v>150.38999999999999</v>
      </c>
      <c r="L191">
        <v>13.05</v>
      </c>
      <c r="M191">
        <v>163.44</v>
      </c>
      <c r="N191" s="21">
        <v>24.7</v>
      </c>
      <c r="O191" s="5" t="str">
        <f t="shared" si="9"/>
        <v>未买</v>
      </c>
      <c r="R191" s="19">
        <v>189</v>
      </c>
    </row>
    <row r="192" spans="5:18" x14ac:dyDescent="0.15">
      <c r="E192" s="5"/>
      <c r="H192" s="19">
        <v>190</v>
      </c>
      <c r="I192">
        <v>127026</v>
      </c>
      <c r="J192" t="s">
        <v>232</v>
      </c>
      <c r="K192">
        <v>117.611</v>
      </c>
      <c r="L192">
        <v>45.96</v>
      </c>
      <c r="M192">
        <v>163.571</v>
      </c>
      <c r="N192" s="21">
        <v>6.99709</v>
      </c>
      <c r="O192" s="5" t="str">
        <f t="shared" si="9"/>
        <v>未买</v>
      </c>
      <c r="R192" s="19">
        <v>190</v>
      </c>
    </row>
    <row r="193" spans="5:18" x14ac:dyDescent="0.15">
      <c r="E193" s="5"/>
      <c r="H193" s="19">
        <v>191</v>
      </c>
      <c r="I193">
        <v>127048</v>
      </c>
      <c r="J193" t="s">
        <v>218</v>
      </c>
      <c r="K193">
        <v>131.38999999999999</v>
      </c>
      <c r="L193">
        <v>32.340000000000003</v>
      </c>
      <c r="M193">
        <v>163.72999999999999</v>
      </c>
      <c r="N193" s="21">
        <v>2.6995309999999999</v>
      </c>
      <c r="O193" s="5" t="str">
        <f t="shared" si="9"/>
        <v>未买</v>
      </c>
      <c r="R193" s="19">
        <v>191</v>
      </c>
    </row>
    <row r="194" spans="5:18" x14ac:dyDescent="0.15">
      <c r="E194" s="5"/>
      <c r="H194" s="19">
        <v>192</v>
      </c>
      <c r="I194">
        <v>123145</v>
      </c>
      <c r="J194" t="s">
        <v>1866</v>
      </c>
      <c r="K194">
        <v>133.881</v>
      </c>
      <c r="L194">
        <v>29.92</v>
      </c>
      <c r="M194">
        <v>163.80099999999999</v>
      </c>
      <c r="N194" s="21">
        <v>11.5</v>
      </c>
      <c r="O194" s="5" t="str">
        <f t="shared" si="9"/>
        <v>未买</v>
      </c>
      <c r="R194" s="19">
        <v>192</v>
      </c>
    </row>
    <row r="195" spans="5:18" x14ac:dyDescent="0.15">
      <c r="E195" s="5"/>
      <c r="H195" s="19">
        <v>193</v>
      </c>
      <c r="I195">
        <v>123002</v>
      </c>
      <c r="J195" t="s">
        <v>81</v>
      </c>
      <c r="K195">
        <v>117.346</v>
      </c>
      <c r="L195">
        <v>46.72</v>
      </c>
      <c r="M195">
        <v>164.066</v>
      </c>
      <c r="N195" s="21">
        <v>2.5214889999999999</v>
      </c>
      <c r="O195" s="5" t="str">
        <f t="shared" si="9"/>
        <v>Yes</v>
      </c>
      <c r="R195" s="19">
        <v>193</v>
      </c>
    </row>
    <row r="196" spans="5:18" x14ac:dyDescent="0.15">
      <c r="E196" s="5"/>
      <c r="H196" s="19">
        <v>194</v>
      </c>
      <c r="I196">
        <v>113059</v>
      </c>
      <c r="J196" t="s">
        <v>2040</v>
      </c>
      <c r="K196">
        <v>128.06</v>
      </c>
      <c r="L196">
        <v>36.049999999999997</v>
      </c>
      <c r="M196">
        <v>164.11</v>
      </c>
      <c r="N196" s="21">
        <v>40</v>
      </c>
      <c r="O196" s="5" t="str">
        <f t="shared" ref="O196:O259" si="10">IF(ISNA(MATCH(I196,$A$3:$A$1000,0)),"未买","Yes")</f>
        <v>未买</v>
      </c>
      <c r="R196" s="19">
        <v>194</v>
      </c>
    </row>
    <row r="197" spans="5:18" x14ac:dyDescent="0.15">
      <c r="E197" s="5"/>
      <c r="H197" s="19">
        <v>195</v>
      </c>
      <c r="I197">
        <v>127015</v>
      </c>
      <c r="J197" t="s">
        <v>168</v>
      </c>
      <c r="K197">
        <v>117.319</v>
      </c>
      <c r="L197">
        <v>46.83</v>
      </c>
      <c r="M197">
        <v>164.149</v>
      </c>
      <c r="N197" s="21">
        <v>9.4967559999999995</v>
      </c>
      <c r="O197" s="5" t="str">
        <f t="shared" si="10"/>
        <v>未买</v>
      </c>
      <c r="R197" s="19">
        <v>195</v>
      </c>
    </row>
    <row r="198" spans="5:18" x14ac:dyDescent="0.15">
      <c r="E198" s="5"/>
      <c r="H198" s="19">
        <v>196</v>
      </c>
      <c r="I198">
        <v>123142</v>
      </c>
      <c r="J198" t="s">
        <v>779</v>
      </c>
      <c r="K198">
        <v>120.795</v>
      </c>
      <c r="L198">
        <v>43.36</v>
      </c>
      <c r="M198">
        <v>164.155</v>
      </c>
      <c r="N198" s="21">
        <v>5.5</v>
      </c>
      <c r="O198" s="5" t="str">
        <f t="shared" si="10"/>
        <v>未买</v>
      </c>
      <c r="R198" s="19">
        <v>196</v>
      </c>
    </row>
    <row r="199" spans="5:18" x14ac:dyDescent="0.15">
      <c r="E199" s="5"/>
      <c r="H199" s="19">
        <v>197</v>
      </c>
      <c r="I199">
        <v>113610</v>
      </c>
      <c r="J199" t="s">
        <v>111</v>
      </c>
      <c r="K199">
        <v>112.68</v>
      </c>
      <c r="L199">
        <v>51.82</v>
      </c>
      <c r="M199">
        <v>164.5</v>
      </c>
      <c r="N199" s="21">
        <v>4.5794600000000001</v>
      </c>
      <c r="O199" s="5" t="str">
        <f t="shared" si="10"/>
        <v>未买</v>
      </c>
      <c r="R199" s="19">
        <v>197</v>
      </c>
    </row>
    <row r="200" spans="5:18" x14ac:dyDescent="0.15">
      <c r="E200" s="5"/>
      <c r="H200" s="19">
        <v>198</v>
      </c>
      <c r="I200">
        <v>128132</v>
      </c>
      <c r="J200" t="s">
        <v>159</v>
      </c>
      <c r="K200">
        <v>116.703</v>
      </c>
      <c r="L200">
        <v>47.91</v>
      </c>
      <c r="M200">
        <v>164.613</v>
      </c>
      <c r="N200" s="21">
        <v>8.4894379999999998</v>
      </c>
      <c r="O200" s="5" t="str">
        <f t="shared" si="10"/>
        <v>未买</v>
      </c>
      <c r="R200" s="19">
        <v>198</v>
      </c>
    </row>
    <row r="201" spans="5:18" x14ac:dyDescent="0.15">
      <c r="E201" s="5"/>
      <c r="H201" s="19">
        <v>199</v>
      </c>
      <c r="I201">
        <v>118005</v>
      </c>
      <c r="J201" t="s">
        <v>784</v>
      </c>
      <c r="K201">
        <v>134.58000000000001</v>
      </c>
      <c r="L201">
        <v>30.15</v>
      </c>
      <c r="M201">
        <v>164.73000000000002</v>
      </c>
      <c r="N201" s="21">
        <v>8.3000000000000007</v>
      </c>
      <c r="O201" s="5" t="str">
        <f t="shared" si="10"/>
        <v>未买</v>
      </c>
      <c r="R201" s="19">
        <v>199</v>
      </c>
    </row>
    <row r="202" spans="5:18" x14ac:dyDescent="0.15">
      <c r="E202" s="5"/>
      <c r="H202" s="19">
        <v>200</v>
      </c>
      <c r="I202">
        <v>123103</v>
      </c>
      <c r="J202" t="s">
        <v>815</v>
      </c>
      <c r="K202">
        <v>146.75</v>
      </c>
      <c r="L202">
        <v>18.57</v>
      </c>
      <c r="M202">
        <v>165.32</v>
      </c>
      <c r="N202" s="21">
        <v>2.4949330000000005</v>
      </c>
      <c r="O202" s="5" t="str">
        <f t="shared" si="10"/>
        <v>未买</v>
      </c>
      <c r="R202" s="19">
        <v>200</v>
      </c>
    </row>
    <row r="203" spans="5:18" x14ac:dyDescent="0.15">
      <c r="E203" s="5"/>
      <c r="H203" s="19">
        <v>201</v>
      </c>
      <c r="I203">
        <v>127021</v>
      </c>
      <c r="J203" t="s">
        <v>217</v>
      </c>
      <c r="K203">
        <v>120.96</v>
      </c>
      <c r="L203">
        <v>44.4</v>
      </c>
      <c r="M203">
        <v>165.35999999999999</v>
      </c>
      <c r="N203" s="21">
        <v>4.159466000000001</v>
      </c>
      <c r="O203" s="5" t="str">
        <f t="shared" si="10"/>
        <v>未买</v>
      </c>
      <c r="R203" s="19">
        <v>201</v>
      </c>
    </row>
    <row r="204" spans="5:18" x14ac:dyDescent="0.15">
      <c r="E204" s="5"/>
      <c r="H204" s="19">
        <v>202</v>
      </c>
      <c r="I204">
        <v>113046</v>
      </c>
      <c r="J204" t="s">
        <v>1886</v>
      </c>
      <c r="K204">
        <v>110.23</v>
      </c>
      <c r="L204">
        <v>55.14</v>
      </c>
      <c r="M204">
        <v>165.37</v>
      </c>
      <c r="N204" s="21">
        <v>14.998810000000001</v>
      </c>
      <c r="O204" s="5" t="str">
        <f t="shared" si="10"/>
        <v>未买</v>
      </c>
      <c r="R204" s="19">
        <v>202</v>
      </c>
    </row>
    <row r="205" spans="5:18" x14ac:dyDescent="0.15">
      <c r="E205" s="5"/>
      <c r="H205" s="19">
        <v>203</v>
      </c>
      <c r="I205">
        <v>113043</v>
      </c>
      <c r="J205" t="s">
        <v>1892</v>
      </c>
      <c r="K205">
        <v>109.31</v>
      </c>
      <c r="L205">
        <v>57.19</v>
      </c>
      <c r="M205">
        <v>166.5</v>
      </c>
      <c r="N205" s="21">
        <v>37.99765</v>
      </c>
      <c r="O205" s="5" t="str">
        <f t="shared" si="10"/>
        <v>未买</v>
      </c>
      <c r="R205" s="19">
        <v>203</v>
      </c>
    </row>
    <row r="206" spans="5:18" x14ac:dyDescent="0.15">
      <c r="E206" s="5"/>
      <c r="H206" s="19">
        <v>204</v>
      </c>
      <c r="I206">
        <v>128120</v>
      </c>
      <c r="J206" t="s">
        <v>116</v>
      </c>
      <c r="K206">
        <v>121.251</v>
      </c>
      <c r="L206">
        <v>45.26</v>
      </c>
      <c r="M206">
        <v>166.511</v>
      </c>
      <c r="N206" s="21">
        <v>2.5996240000000004</v>
      </c>
      <c r="O206" s="5" t="str">
        <f t="shared" si="10"/>
        <v>未买</v>
      </c>
      <c r="R206" s="19">
        <v>204</v>
      </c>
    </row>
    <row r="207" spans="5:18" x14ac:dyDescent="0.15">
      <c r="E207" s="5"/>
      <c r="H207" s="19">
        <v>205</v>
      </c>
      <c r="I207">
        <v>123133</v>
      </c>
      <c r="J207" t="s">
        <v>275</v>
      </c>
      <c r="K207">
        <v>126.70099999999999</v>
      </c>
      <c r="L207">
        <v>39.92</v>
      </c>
      <c r="M207">
        <v>166.62099999999998</v>
      </c>
      <c r="N207" s="21">
        <v>7.2</v>
      </c>
      <c r="O207" s="5" t="str">
        <f t="shared" si="10"/>
        <v>未买</v>
      </c>
      <c r="R207" s="19">
        <v>205</v>
      </c>
    </row>
    <row r="208" spans="5:18" x14ac:dyDescent="0.15">
      <c r="E208" s="5"/>
      <c r="H208" s="19">
        <v>206</v>
      </c>
      <c r="I208">
        <v>113563</v>
      </c>
      <c r="J208" t="s">
        <v>166</v>
      </c>
      <c r="K208">
        <v>109.53</v>
      </c>
      <c r="L208">
        <v>57.55</v>
      </c>
      <c r="M208">
        <v>167.07999999999998</v>
      </c>
      <c r="N208" s="21">
        <v>8.0190199999999994</v>
      </c>
      <c r="O208" s="5" t="str">
        <f t="shared" si="10"/>
        <v>未买</v>
      </c>
      <c r="R208" s="19">
        <v>206</v>
      </c>
    </row>
    <row r="209" spans="5:18" x14ac:dyDescent="0.15">
      <c r="E209" s="5"/>
      <c r="H209" s="19">
        <v>207</v>
      </c>
      <c r="I209">
        <v>118003</v>
      </c>
      <c r="J209" t="s">
        <v>250</v>
      </c>
      <c r="K209">
        <v>127.36</v>
      </c>
      <c r="L209">
        <v>39.86</v>
      </c>
      <c r="M209">
        <v>167.22</v>
      </c>
      <c r="N209" s="21">
        <v>7.9993499999999997</v>
      </c>
      <c r="O209" s="5" t="str">
        <f t="shared" si="10"/>
        <v>未买</v>
      </c>
      <c r="R209" s="19">
        <v>207</v>
      </c>
    </row>
    <row r="210" spans="5:18" x14ac:dyDescent="0.15">
      <c r="E210" s="5"/>
      <c r="H210" s="19">
        <v>208</v>
      </c>
      <c r="I210">
        <v>113502</v>
      </c>
      <c r="J210" t="s">
        <v>132</v>
      </c>
      <c r="K210">
        <v>138.96</v>
      </c>
      <c r="L210">
        <v>28.48</v>
      </c>
      <c r="M210">
        <v>167.44</v>
      </c>
      <c r="N210" s="21">
        <v>1.84249</v>
      </c>
      <c r="O210" s="5" t="str">
        <f t="shared" si="10"/>
        <v>未买</v>
      </c>
      <c r="R210" s="19">
        <v>208</v>
      </c>
    </row>
    <row r="211" spans="5:18" x14ac:dyDescent="0.15">
      <c r="E211" s="5"/>
      <c r="H211" s="19">
        <v>209</v>
      </c>
      <c r="I211">
        <v>128023</v>
      </c>
      <c r="J211" t="s">
        <v>211</v>
      </c>
      <c r="K211">
        <v>126.926</v>
      </c>
      <c r="L211">
        <v>40.67</v>
      </c>
      <c r="M211">
        <v>167.596</v>
      </c>
      <c r="N211" s="21">
        <v>9.9863879999999998</v>
      </c>
      <c r="O211" s="5" t="str">
        <f t="shared" si="10"/>
        <v>未买</v>
      </c>
      <c r="R211" s="19">
        <v>209</v>
      </c>
    </row>
    <row r="212" spans="5:18" x14ac:dyDescent="0.15">
      <c r="E212" s="5"/>
      <c r="H212" s="19">
        <v>210</v>
      </c>
      <c r="I212">
        <v>111002</v>
      </c>
      <c r="J212" t="s">
        <v>246</v>
      </c>
      <c r="K212">
        <v>140.65</v>
      </c>
      <c r="L212">
        <v>27.1</v>
      </c>
      <c r="M212">
        <v>167.75</v>
      </c>
      <c r="N212" s="21">
        <v>6.6998300000000004</v>
      </c>
      <c r="O212" s="5" t="str">
        <f t="shared" si="10"/>
        <v>未买</v>
      </c>
      <c r="R212" s="19">
        <v>210</v>
      </c>
    </row>
    <row r="213" spans="5:18" x14ac:dyDescent="0.15">
      <c r="E213" s="5"/>
      <c r="H213" s="19">
        <v>211</v>
      </c>
      <c r="I213">
        <v>127037</v>
      </c>
      <c r="J213" t="s">
        <v>230</v>
      </c>
      <c r="K213">
        <v>145.93299999999999</v>
      </c>
      <c r="L213">
        <v>22.03</v>
      </c>
      <c r="M213">
        <v>167.96299999999999</v>
      </c>
      <c r="N213" s="21">
        <v>6.9967829999999998</v>
      </c>
      <c r="O213" s="5" t="str">
        <f t="shared" si="10"/>
        <v>未买</v>
      </c>
      <c r="R213" s="19">
        <v>211</v>
      </c>
    </row>
    <row r="214" spans="5:18" x14ac:dyDescent="0.15">
      <c r="E214" s="5"/>
      <c r="H214" s="19">
        <v>212</v>
      </c>
      <c r="I214">
        <v>128078</v>
      </c>
      <c r="J214" t="s">
        <v>2043</v>
      </c>
      <c r="K214">
        <v>124.271</v>
      </c>
      <c r="L214">
        <v>43.9</v>
      </c>
      <c r="M214">
        <v>168.17099999999999</v>
      </c>
      <c r="N214" s="21">
        <v>9.5993570000000012</v>
      </c>
      <c r="O214" s="5" t="str">
        <f t="shared" si="10"/>
        <v>未买</v>
      </c>
      <c r="R214" s="19">
        <v>212</v>
      </c>
    </row>
    <row r="215" spans="5:18" x14ac:dyDescent="0.15">
      <c r="E215" s="5"/>
      <c r="H215" s="19">
        <v>213</v>
      </c>
      <c r="I215">
        <v>110073</v>
      </c>
      <c r="J215" t="s">
        <v>1891</v>
      </c>
      <c r="K215">
        <v>106.66</v>
      </c>
      <c r="L215">
        <v>61.73</v>
      </c>
      <c r="M215">
        <v>168.39</v>
      </c>
      <c r="N215" s="21">
        <v>79.993290000000002</v>
      </c>
      <c r="O215" s="5" t="str">
        <f t="shared" si="10"/>
        <v>未买</v>
      </c>
      <c r="R215" s="19">
        <v>213</v>
      </c>
    </row>
    <row r="216" spans="5:18" x14ac:dyDescent="0.15">
      <c r="E216" s="5"/>
      <c r="H216" s="19">
        <v>214</v>
      </c>
      <c r="I216">
        <v>123048</v>
      </c>
      <c r="J216" t="s">
        <v>233</v>
      </c>
      <c r="K216">
        <v>124.6</v>
      </c>
      <c r="L216">
        <v>43.88</v>
      </c>
      <c r="M216">
        <v>168.48</v>
      </c>
      <c r="N216" s="21">
        <v>3.7914160000000008</v>
      </c>
      <c r="O216" s="5" t="str">
        <f t="shared" si="10"/>
        <v>未买</v>
      </c>
      <c r="R216" s="19">
        <v>214</v>
      </c>
    </row>
    <row r="217" spans="5:18" x14ac:dyDescent="0.15">
      <c r="E217" s="5"/>
      <c r="H217" s="19">
        <v>215</v>
      </c>
      <c r="I217">
        <v>128029</v>
      </c>
      <c r="J217" t="s">
        <v>2008</v>
      </c>
      <c r="K217">
        <v>157.59100000000001</v>
      </c>
      <c r="L217">
        <v>10.97</v>
      </c>
      <c r="M217">
        <v>168.56100000000001</v>
      </c>
      <c r="N217" s="21">
        <v>9.0857469999999996</v>
      </c>
      <c r="O217" s="5" t="str">
        <f t="shared" si="10"/>
        <v>未买</v>
      </c>
      <c r="R217" s="19">
        <v>215</v>
      </c>
    </row>
    <row r="218" spans="5:18" x14ac:dyDescent="0.15">
      <c r="E218" s="5"/>
      <c r="H218" s="19">
        <v>216</v>
      </c>
      <c r="I218">
        <v>113504</v>
      </c>
      <c r="J218" t="s">
        <v>2015</v>
      </c>
      <c r="K218">
        <v>154.15</v>
      </c>
      <c r="L218">
        <v>14.51</v>
      </c>
      <c r="M218">
        <v>168.66</v>
      </c>
      <c r="N218" s="21">
        <v>4.6275899999999996</v>
      </c>
      <c r="O218" s="5" t="str">
        <f t="shared" si="10"/>
        <v>未买</v>
      </c>
      <c r="R218" s="19">
        <v>216</v>
      </c>
    </row>
    <row r="219" spans="5:18" x14ac:dyDescent="0.15">
      <c r="E219" s="5"/>
      <c r="H219" s="19">
        <v>217</v>
      </c>
      <c r="I219">
        <v>113643</v>
      </c>
      <c r="J219" t="s">
        <v>814</v>
      </c>
      <c r="K219">
        <v>123.72</v>
      </c>
      <c r="L219">
        <v>45.14</v>
      </c>
      <c r="M219">
        <v>168.86</v>
      </c>
      <c r="N219" s="21">
        <v>5</v>
      </c>
      <c r="O219" s="5" t="str">
        <f t="shared" si="10"/>
        <v>未买</v>
      </c>
      <c r="R219" s="19">
        <v>217</v>
      </c>
    </row>
    <row r="220" spans="5:18" x14ac:dyDescent="0.15">
      <c r="E220" s="5"/>
      <c r="H220" s="19">
        <v>218</v>
      </c>
      <c r="I220">
        <v>113546</v>
      </c>
      <c r="J220" t="s">
        <v>87</v>
      </c>
      <c r="K220">
        <v>125.35</v>
      </c>
      <c r="L220">
        <v>43.55</v>
      </c>
      <c r="M220">
        <v>168.89999999999998</v>
      </c>
      <c r="N220" s="21">
        <v>2.2968000000000002</v>
      </c>
      <c r="O220" s="5" t="str">
        <f t="shared" si="10"/>
        <v>未买</v>
      </c>
      <c r="R220" s="19">
        <v>218</v>
      </c>
    </row>
    <row r="221" spans="5:18" x14ac:dyDescent="0.15">
      <c r="E221" s="5"/>
      <c r="H221" s="19">
        <v>219</v>
      </c>
      <c r="I221">
        <v>127055</v>
      </c>
      <c r="J221" t="s">
        <v>778</v>
      </c>
      <c r="K221">
        <v>114.57299999999999</v>
      </c>
      <c r="L221">
        <v>54.43</v>
      </c>
      <c r="M221">
        <v>169.00299999999999</v>
      </c>
      <c r="N221" s="21">
        <v>5.77</v>
      </c>
      <c r="O221" s="5" t="str">
        <f t="shared" si="10"/>
        <v>未买</v>
      </c>
      <c r="R221" s="19">
        <v>219</v>
      </c>
    </row>
    <row r="222" spans="5:18" x14ac:dyDescent="0.15">
      <c r="E222" s="5"/>
      <c r="H222" s="19">
        <v>220</v>
      </c>
      <c r="I222">
        <v>123115</v>
      </c>
      <c r="J222" t="s">
        <v>1887</v>
      </c>
      <c r="K222">
        <v>119.3</v>
      </c>
      <c r="L222">
        <v>50.4</v>
      </c>
      <c r="M222">
        <v>169.7</v>
      </c>
      <c r="N222" s="21">
        <v>11.946248000000001</v>
      </c>
      <c r="O222" s="5" t="str">
        <f t="shared" si="10"/>
        <v>未买</v>
      </c>
      <c r="R222" s="19">
        <v>220</v>
      </c>
    </row>
    <row r="223" spans="5:18" x14ac:dyDescent="0.15">
      <c r="E223" s="5"/>
      <c r="H223" s="19">
        <v>221</v>
      </c>
      <c r="I223">
        <v>123106</v>
      </c>
      <c r="J223" t="s">
        <v>64</v>
      </c>
      <c r="K223">
        <v>115.60299999999999</v>
      </c>
      <c r="L223">
        <v>54.34</v>
      </c>
      <c r="M223">
        <v>169.94299999999998</v>
      </c>
      <c r="N223" s="21">
        <v>3.199684</v>
      </c>
      <c r="O223" s="5" t="str">
        <f t="shared" si="10"/>
        <v>未买</v>
      </c>
      <c r="R223" s="19">
        <v>221</v>
      </c>
    </row>
    <row r="224" spans="5:18" x14ac:dyDescent="0.15">
      <c r="E224" s="5"/>
      <c r="H224" s="19">
        <v>222</v>
      </c>
      <c r="I224">
        <v>128123</v>
      </c>
      <c r="J224" t="s">
        <v>164</v>
      </c>
      <c r="K224">
        <v>115.45</v>
      </c>
      <c r="L224">
        <v>54.51</v>
      </c>
      <c r="M224">
        <v>169.96</v>
      </c>
      <c r="N224" s="21">
        <v>3.1992560000000001</v>
      </c>
      <c r="O224" s="5" t="str">
        <f t="shared" si="10"/>
        <v>未买</v>
      </c>
      <c r="R224" s="19">
        <v>222</v>
      </c>
    </row>
    <row r="225" spans="5:18" x14ac:dyDescent="0.15">
      <c r="E225" s="5"/>
      <c r="H225" s="19">
        <v>223</v>
      </c>
      <c r="I225">
        <v>123131</v>
      </c>
      <c r="J225" t="s">
        <v>247</v>
      </c>
      <c r="K225">
        <v>127.44</v>
      </c>
      <c r="L225">
        <v>42.63</v>
      </c>
      <c r="M225">
        <v>170.07</v>
      </c>
      <c r="N225" s="21">
        <v>6.3498260000000002</v>
      </c>
      <c r="O225" s="5" t="str">
        <f t="shared" si="10"/>
        <v>未买</v>
      </c>
      <c r="R225" s="19">
        <v>223</v>
      </c>
    </row>
    <row r="226" spans="5:18" x14ac:dyDescent="0.15">
      <c r="E226" s="5"/>
      <c r="H226" s="19">
        <v>224</v>
      </c>
      <c r="I226">
        <v>113519</v>
      </c>
      <c r="J226" t="s">
        <v>173</v>
      </c>
      <c r="K226">
        <v>117.32</v>
      </c>
      <c r="L226">
        <v>53.1</v>
      </c>
      <c r="M226">
        <v>170.42</v>
      </c>
      <c r="N226" s="21">
        <v>6.9611099999999997</v>
      </c>
      <c r="O226" s="5" t="str">
        <f t="shared" si="10"/>
        <v>未买</v>
      </c>
      <c r="R226" s="19">
        <v>224</v>
      </c>
    </row>
    <row r="227" spans="5:18" x14ac:dyDescent="0.15">
      <c r="E227" s="5"/>
      <c r="H227" s="19">
        <v>225</v>
      </c>
      <c r="I227">
        <v>123090</v>
      </c>
      <c r="J227" t="s">
        <v>182</v>
      </c>
      <c r="K227">
        <v>117.9</v>
      </c>
      <c r="L227">
        <v>52.58</v>
      </c>
      <c r="M227">
        <v>170.48000000000002</v>
      </c>
      <c r="N227" s="21">
        <v>4.9994690000000004</v>
      </c>
      <c r="O227" s="5" t="str">
        <f t="shared" si="10"/>
        <v>未买</v>
      </c>
      <c r="R227" s="19">
        <v>225</v>
      </c>
    </row>
    <row r="228" spans="5:18" x14ac:dyDescent="0.15">
      <c r="E228" s="5"/>
      <c r="H228" s="19">
        <v>226</v>
      </c>
      <c r="I228">
        <v>110082</v>
      </c>
      <c r="J228" t="s">
        <v>1890</v>
      </c>
      <c r="K228">
        <v>122.52</v>
      </c>
      <c r="L228">
        <v>48.01</v>
      </c>
      <c r="M228">
        <v>170.53</v>
      </c>
      <c r="N228" s="21">
        <v>19.99661</v>
      </c>
      <c r="O228" s="5" t="str">
        <f t="shared" si="10"/>
        <v>未买</v>
      </c>
      <c r="R228" s="19">
        <v>226</v>
      </c>
    </row>
    <row r="229" spans="5:18" x14ac:dyDescent="0.15">
      <c r="E229" s="5"/>
      <c r="H229" s="19">
        <v>227</v>
      </c>
      <c r="I229">
        <v>123122</v>
      </c>
      <c r="J229" t="s">
        <v>176</v>
      </c>
      <c r="K229">
        <v>119.7</v>
      </c>
      <c r="L229">
        <v>51.69</v>
      </c>
      <c r="M229">
        <v>171.39</v>
      </c>
      <c r="N229" s="21">
        <v>5.8070950000000003</v>
      </c>
      <c r="O229" s="5" t="str">
        <f t="shared" si="10"/>
        <v>未买</v>
      </c>
      <c r="R229" s="19">
        <v>227</v>
      </c>
    </row>
    <row r="230" spans="5:18" x14ac:dyDescent="0.15">
      <c r="E230" s="5"/>
      <c r="H230" s="19">
        <v>228</v>
      </c>
      <c r="I230">
        <v>123059</v>
      </c>
      <c r="J230" t="s">
        <v>208</v>
      </c>
      <c r="K230">
        <v>120.3</v>
      </c>
      <c r="L230">
        <v>51.24</v>
      </c>
      <c r="M230">
        <v>171.54</v>
      </c>
      <c r="N230" s="21">
        <v>3.912433</v>
      </c>
      <c r="O230" s="5" t="str">
        <f t="shared" si="10"/>
        <v>未买</v>
      </c>
      <c r="R230" s="19">
        <v>228</v>
      </c>
    </row>
    <row r="231" spans="5:18" x14ac:dyDescent="0.15">
      <c r="E231" s="5"/>
      <c r="H231" s="19">
        <v>229</v>
      </c>
      <c r="I231">
        <v>123050</v>
      </c>
      <c r="J231" t="s">
        <v>68</v>
      </c>
      <c r="K231">
        <v>128.49700000000001</v>
      </c>
      <c r="L231">
        <v>43.16</v>
      </c>
      <c r="M231">
        <v>171.65700000000001</v>
      </c>
      <c r="N231" s="21">
        <v>3.7459980000000006</v>
      </c>
      <c r="O231" s="5" t="str">
        <f t="shared" si="10"/>
        <v>未买</v>
      </c>
      <c r="R231" s="19">
        <v>229</v>
      </c>
    </row>
    <row r="232" spans="5:18" x14ac:dyDescent="0.15">
      <c r="E232" s="5"/>
      <c r="H232" s="19">
        <v>230</v>
      </c>
      <c r="I232">
        <v>127043</v>
      </c>
      <c r="J232" t="s">
        <v>1998</v>
      </c>
      <c r="K232">
        <v>166.93</v>
      </c>
      <c r="L232">
        <v>4.74</v>
      </c>
      <c r="M232">
        <v>171.67000000000002</v>
      </c>
      <c r="N232" s="21">
        <v>10.448228</v>
      </c>
      <c r="O232" s="5" t="str">
        <f t="shared" si="10"/>
        <v>未买</v>
      </c>
      <c r="R232" s="19">
        <v>230</v>
      </c>
    </row>
    <row r="233" spans="5:18" x14ac:dyDescent="0.15">
      <c r="E233" s="5"/>
      <c r="H233" s="19">
        <v>231</v>
      </c>
      <c r="I233">
        <v>113527</v>
      </c>
      <c r="J233" t="s">
        <v>118</v>
      </c>
      <c r="K233">
        <v>122.6</v>
      </c>
      <c r="L233">
        <v>49.99</v>
      </c>
      <c r="M233">
        <v>172.59</v>
      </c>
      <c r="N233" s="21">
        <v>2.8627899999999999</v>
      </c>
      <c r="O233" s="5" t="str">
        <f t="shared" si="10"/>
        <v>未买</v>
      </c>
      <c r="R233" s="19">
        <v>231</v>
      </c>
    </row>
    <row r="234" spans="5:18" x14ac:dyDescent="0.15">
      <c r="E234" s="5"/>
      <c r="H234" s="19">
        <v>232</v>
      </c>
      <c r="I234">
        <v>128105</v>
      </c>
      <c r="J234" t="s">
        <v>185</v>
      </c>
      <c r="K234">
        <v>101.642</v>
      </c>
      <c r="L234">
        <v>71.430000000000007</v>
      </c>
      <c r="M234">
        <v>173.072</v>
      </c>
      <c r="N234" s="21">
        <v>7.9952110000000003</v>
      </c>
      <c r="O234" s="5" t="str">
        <f t="shared" si="10"/>
        <v>未买</v>
      </c>
      <c r="R234" s="19">
        <v>232</v>
      </c>
    </row>
    <row r="235" spans="5:18" x14ac:dyDescent="0.15">
      <c r="E235" s="5"/>
      <c r="H235" s="19">
        <v>233</v>
      </c>
      <c r="I235">
        <v>123099</v>
      </c>
      <c r="J235" t="s">
        <v>242</v>
      </c>
      <c r="K235">
        <v>114.54</v>
      </c>
      <c r="L235">
        <v>58.55</v>
      </c>
      <c r="M235">
        <v>173.09</v>
      </c>
      <c r="N235" s="21">
        <v>8.4993130000000008</v>
      </c>
      <c r="O235" s="5" t="str">
        <f t="shared" si="10"/>
        <v>未买</v>
      </c>
      <c r="R235" s="19">
        <v>233</v>
      </c>
    </row>
    <row r="236" spans="5:18" x14ac:dyDescent="0.15">
      <c r="E236" s="5"/>
      <c r="H236" s="19">
        <v>234</v>
      </c>
      <c r="I236">
        <v>123025</v>
      </c>
      <c r="J236" t="s">
        <v>67</v>
      </c>
      <c r="K236">
        <v>127</v>
      </c>
      <c r="L236">
        <v>46.21</v>
      </c>
      <c r="M236">
        <v>173.21</v>
      </c>
      <c r="N236" s="21">
        <v>3.0864669999999998</v>
      </c>
      <c r="O236" s="5" t="str">
        <f t="shared" si="10"/>
        <v>未买</v>
      </c>
      <c r="R236" s="19">
        <v>234</v>
      </c>
    </row>
    <row r="237" spans="5:18" x14ac:dyDescent="0.15">
      <c r="E237" s="5"/>
      <c r="H237" s="19">
        <v>235</v>
      </c>
      <c r="I237">
        <v>123045</v>
      </c>
      <c r="J237" t="s">
        <v>108</v>
      </c>
      <c r="K237">
        <v>154.613</v>
      </c>
      <c r="L237">
        <v>18.829999999999998</v>
      </c>
      <c r="M237">
        <v>173.44299999999998</v>
      </c>
      <c r="N237" s="21">
        <v>1.6599440000000001</v>
      </c>
      <c r="O237" s="5" t="str">
        <f t="shared" si="10"/>
        <v>未买</v>
      </c>
      <c r="R237" s="19">
        <v>235</v>
      </c>
    </row>
    <row r="238" spans="5:18" x14ac:dyDescent="0.15">
      <c r="E238" s="5"/>
      <c r="H238" s="19">
        <v>236</v>
      </c>
      <c r="I238">
        <v>123147</v>
      </c>
      <c r="J238" t="s">
        <v>2037</v>
      </c>
      <c r="K238">
        <v>141.25</v>
      </c>
      <c r="L238">
        <v>32.24</v>
      </c>
      <c r="M238">
        <v>173.49</v>
      </c>
      <c r="N238" s="21">
        <v>5.7053700000000003</v>
      </c>
      <c r="O238" s="5" t="str">
        <f t="shared" si="10"/>
        <v>未买</v>
      </c>
      <c r="R238" s="19">
        <v>236</v>
      </c>
    </row>
    <row r="239" spans="5:18" x14ac:dyDescent="0.15">
      <c r="E239" s="5"/>
      <c r="H239" s="19">
        <v>237</v>
      </c>
      <c r="I239">
        <v>128090</v>
      </c>
      <c r="J239" t="s">
        <v>121</v>
      </c>
      <c r="K239">
        <v>139.4</v>
      </c>
      <c r="L239">
        <v>34.32</v>
      </c>
      <c r="M239">
        <v>173.72</v>
      </c>
      <c r="N239" s="21">
        <v>3.0994130000000002</v>
      </c>
      <c r="O239" s="5" t="str">
        <f t="shared" si="10"/>
        <v>未买</v>
      </c>
      <c r="R239" s="19">
        <v>237</v>
      </c>
    </row>
    <row r="240" spans="5:18" x14ac:dyDescent="0.15">
      <c r="E240" s="5"/>
      <c r="H240" s="19">
        <v>238</v>
      </c>
      <c r="I240">
        <v>128143</v>
      </c>
      <c r="J240" t="s">
        <v>117</v>
      </c>
      <c r="K240">
        <v>126.5</v>
      </c>
      <c r="L240">
        <v>47.33</v>
      </c>
      <c r="M240">
        <v>173.82999999999998</v>
      </c>
      <c r="N240" s="21">
        <v>2.4437419999999999</v>
      </c>
      <c r="O240" s="5" t="str">
        <f t="shared" si="10"/>
        <v>未买</v>
      </c>
      <c r="R240" s="19">
        <v>238</v>
      </c>
    </row>
    <row r="241" spans="5:18" x14ac:dyDescent="0.15">
      <c r="E241" s="5"/>
      <c r="H241" s="19">
        <v>239</v>
      </c>
      <c r="I241">
        <v>111004</v>
      </c>
      <c r="J241" t="s">
        <v>813</v>
      </c>
      <c r="K241">
        <v>142.54</v>
      </c>
      <c r="L241">
        <v>31.69</v>
      </c>
      <c r="M241">
        <v>174.23</v>
      </c>
      <c r="N241" s="21">
        <v>6.73</v>
      </c>
      <c r="O241" s="5" t="str">
        <f t="shared" si="10"/>
        <v>未买</v>
      </c>
      <c r="R241" s="19">
        <v>239</v>
      </c>
    </row>
    <row r="242" spans="5:18" x14ac:dyDescent="0.15">
      <c r="E242" s="5"/>
      <c r="H242" s="19">
        <v>240</v>
      </c>
      <c r="I242">
        <v>113045</v>
      </c>
      <c r="J242" t="s">
        <v>1894</v>
      </c>
      <c r="K242">
        <v>113.24</v>
      </c>
      <c r="L242">
        <v>60.99</v>
      </c>
      <c r="M242">
        <v>174.23</v>
      </c>
      <c r="N242" s="21">
        <v>34.499510000000001</v>
      </c>
      <c r="O242" s="5" t="str">
        <f t="shared" si="10"/>
        <v>未买</v>
      </c>
      <c r="R242" s="19">
        <v>240</v>
      </c>
    </row>
    <row r="243" spans="5:18" x14ac:dyDescent="0.15">
      <c r="E243" s="5"/>
      <c r="H243" s="19">
        <v>241</v>
      </c>
      <c r="I243">
        <v>118000</v>
      </c>
      <c r="J243" t="s">
        <v>2033</v>
      </c>
      <c r="K243">
        <v>147.51</v>
      </c>
      <c r="L243">
        <v>27</v>
      </c>
      <c r="M243">
        <v>174.51</v>
      </c>
      <c r="N243" s="21">
        <v>9.7853200000000005</v>
      </c>
      <c r="O243" s="5" t="str">
        <f t="shared" si="10"/>
        <v>未买</v>
      </c>
      <c r="R243" s="19">
        <v>241</v>
      </c>
    </row>
    <row r="244" spans="5:18" x14ac:dyDescent="0.15">
      <c r="E244" s="5"/>
      <c r="H244" s="19">
        <v>242</v>
      </c>
      <c r="I244">
        <v>113600</v>
      </c>
      <c r="J244" t="s">
        <v>272</v>
      </c>
      <c r="K244">
        <v>129.6</v>
      </c>
      <c r="L244">
        <v>45.18</v>
      </c>
      <c r="M244">
        <v>174.78</v>
      </c>
      <c r="N244" s="21">
        <v>4.5331000000000001</v>
      </c>
      <c r="O244" s="5" t="str">
        <f t="shared" si="10"/>
        <v>未买</v>
      </c>
      <c r="R244" s="19">
        <v>242</v>
      </c>
    </row>
    <row r="245" spans="5:18" x14ac:dyDescent="0.15">
      <c r="E245" s="5"/>
      <c r="H245" s="19">
        <v>243</v>
      </c>
      <c r="I245">
        <v>123130</v>
      </c>
      <c r="J245" t="s">
        <v>71</v>
      </c>
      <c r="K245">
        <v>145.01</v>
      </c>
      <c r="L245">
        <v>29.83</v>
      </c>
      <c r="M245">
        <v>174.83999999999997</v>
      </c>
      <c r="N245" s="21">
        <v>3.7559140000000002</v>
      </c>
      <c r="O245" s="5" t="str">
        <f t="shared" si="10"/>
        <v>未买</v>
      </c>
      <c r="R245" s="19">
        <v>243</v>
      </c>
    </row>
    <row r="246" spans="5:18" x14ac:dyDescent="0.15">
      <c r="E246" s="5"/>
      <c r="H246" s="19">
        <v>244</v>
      </c>
      <c r="I246">
        <v>113638</v>
      </c>
      <c r="J246" t="s">
        <v>274</v>
      </c>
      <c r="K246">
        <v>119.98</v>
      </c>
      <c r="L246">
        <v>55.09</v>
      </c>
      <c r="M246">
        <v>175.07</v>
      </c>
      <c r="N246" s="21">
        <v>6</v>
      </c>
      <c r="O246" s="5" t="str">
        <f t="shared" si="10"/>
        <v>未买</v>
      </c>
      <c r="R246" s="19">
        <v>244</v>
      </c>
    </row>
    <row r="247" spans="5:18" x14ac:dyDescent="0.15">
      <c r="E247" s="5"/>
      <c r="H247" s="19">
        <v>245</v>
      </c>
      <c r="I247">
        <v>128039</v>
      </c>
      <c r="J247" t="s">
        <v>119</v>
      </c>
      <c r="K247">
        <v>125.45</v>
      </c>
      <c r="L247">
        <v>50.17</v>
      </c>
      <c r="M247">
        <v>175.62</v>
      </c>
      <c r="N247" s="21">
        <v>2.024089</v>
      </c>
      <c r="O247" s="5" t="str">
        <f t="shared" si="10"/>
        <v>未买</v>
      </c>
      <c r="R247" s="19">
        <v>245</v>
      </c>
    </row>
    <row r="248" spans="5:18" x14ac:dyDescent="0.15">
      <c r="E248" s="5"/>
      <c r="H248" s="19">
        <v>246</v>
      </c>
      <c r="I248">
        <v>113621</v>
      </c>
      <c r="J248" t="s">
        <v>245</v>
      </c>
      <c r="K248">
        <v>136.02000000000001</v>
      </c>
      <c r="L248">
        <v>39.67</v>
      </c>
      <c r="M248">
        <v>175.69</v>
      </c>
      <c r="N248" s="21">
        <v>5.3671432979999993</v>
      </c>
      <c r="O248" s="5" t="str">
        <f t="shared" si="10"/>
        <v>未买</v>
      </c>
      <c r="R248" s="19">
        <v>246</v>
      </c>
    </row>
    <row r="249" spans="5:18" x14ac:dyDescent="0.15">
      <c r="E249" s="5"/>
      <c r="H249" s="19">
        <v>247</v>
      </c>
      <c r="I249">
        <v>113615</v>
      </c>
      <c r="J249" t="s">
        <v>2001</v>
      </c>
      <c r="K249">
        <v>167.35</v>
      </c>
      <c r="L249">
        <v>8.68</v>
      </c>
      <c r="M249">
        <v>176.03</v>
      </c>
      <c r="N249" s="21">
        <v>8.4798799999999996</v>
      </c>
      <c r="O249" s="5" t="str">
        <f t="shared" si="10"/>
        <v>未买</v>
      </c>
      <c r="R249" s="19">
        <v>247</v>
      </c>
    </row>
    <row r="250" spans="5:18" x14ac:dyDescent="0.15">
      <c r="E250" s="5"/>
      <c r="H250" s="19">
        <v>248</v>
      </c>
      <c r="I250">
        <v>113565</v>
      </c>
      <c r="J250" t="s">
        <v>122</v>
      </c>
      <c r="K250">
        <v>124.65</v>
      </c>
      <c r="L250">
        <v>51.4</v>
      </c>
      <c r="M250">
        <v>176.05</v>
      </c>
      <c r="N250" s="21">
        <v>2.24926</v>
      </c>
      <c r="O250" s="5" t="str">
        <f t="shared" si="10"/>
        <v>未买</v>
      </c>
      <c r="R250" s="19">
        <v>248</v>
      </c>
    </row>
    <row r="251" spans="5:18" x14ac:dyDescent="0.15">
      <c r="E251" s="5"/>
      <c r="H251" s="19">
        <v>249</v>
      </c>
      <c r="I251">
        <v>123121</v>
      </c>
      <c r="J251" t="s">
        <v>234</v>
      </c>
      <c r="K251">
        <v>167.49</v>
      </c>
      <c r="L251">
        <v>8.65</v>
      </c>
      <c r="M251">
        <v>176.14000000000001</v>
      </c>
      <c r="N251" s="21">
        <v>8.3948689999999999</v>
      </c>
      <c r="O251" s="5" t="str">
        <f t="shared" si="10"/>
        <v>未买</v>
      </c>
      <c r="R251" s="19">
        <v>249</v>
      </c>
    </row>
    <row r="252" spans="5:18" x14ac:dyDescent="0.15">
      <c r="E252" s="5"/>
      <c r="H252" s="19">
        <v>250</v>
      </c>
      <c r="I252">
        <v>113535</v>
      </c>
      <c r="J252" t="s">
        <v>214</v>
      </c>
      <c r="K252">
        <v>112.05</v>
      </c>
      <c r="L252">
        <v>64.319999999999993</v>
      </c>
      <c r="M252">
        <v>176.37</v>
      </c>
      <c r="N252" s="21">
        <v>4.9961200000000003</v>
      </c>
      <c r="O252" s="5" t="str">
        <f t="shared" si="10"/>
        <v>未买</v>
      </c>
      <c r="R252" s="19">
        <v>250</v>
      </c>
    </row>
    <row r="253" spans="5:18" x14ac:dyDescent="0.15">
      <c r="E253" s="5"/>
      <c r="H253" s="19">
        <v>251</v>
      </c>
      <c r="I253">
        <v>128076</v>
      </c>
      <c r="J253" t="s">
        <v>129</v>
      </c>
      <c r="K253">
        <v>133</v>
      </c>
      <c r="L253">
        <v>43.47</v>
      </c>
      <c r="M253">
        <v>176.47</v>
      </c>
      <c r="N253" s="21">
        <v>2.1373919999999997</v>
      </c>
      <c r="O253" s="5" t="str">
        <f t="shared" si="10"/>
        <v>未买</v>
      </c>
      <c r="R253" s="19">
        <v>251</v>
      </c>
    </row>
    <row r="254" spans="5:18" x14ac:dyDescent="0.15">
      <c r="E254" s="5"/>
      <c r="H254" s="19">
        <v>252</v>
      </c>
      <c r="I254">
        <v>123052</v>
      </c>
      <c r="J254" t="s">
        <v>2035</v>
      </c>
      <c r="K254">
        <v>148.5</v>
      </c>
      <c r="L254">
        <v>27.98</v>
      </c>
      <c r="M254">
        <v>176.48</v>
      </c>
      <c r="N254" s="21">
        <v>1.503663</v>
      </c>
      <c r="O254" s="5" t="str">
        <f t="shared" si="10"/>
        <v>未买</v>
      </c>
      <c r="R254" s="19">
        <v>252</v>
      </c>
    </row>
    <row r="255" spans="5:18" x14ac:dyDescent="0.15">
      <c r="E255" s="5"/>
      <c r="H255" s="19">
        <v>253</v>
      </c>
      <c r="I255">
        <v>113042</v>
      </c>
      <c r="J255" t="s">
        <v>1893</v>
      </c>
      <c r="K255">
        <v>105.08</v>
      </c>
      <c r="L255">
        <v>71.84</v>
      </c>
      <c r="M255">
        <v>176.92000000000002</v>
      </c>
      <c r="N255" s="21">
        <v>199.98687000000001</v>
      </c>
      <c r="O255" s="5" t="str">
        <f t="shared" si="10"/>
        <v>未买</v>
      </c>
      <c r="R255" s="19">
        <v>253</v>
      </c>
    </row>
    <row r="256" spans="5:18" x14ac:dyDescent="0.15">
      <c r="E256" s="5"/>
      <c r="H256" s="19">
        <v>254</v>
      </c>
      <c r="I256">
        <v>128140</v>
      </c>
      <c r="J256" t="s">
        <v>2017</v>
      </c>
      <c r="K256">
        <v>160.9</v>
      </c>
      <c r="L256">
        <v>16.22</v>
      </c>
      <c r="M256">
        <v>177.12</v>
      </c>
      <c r="N256" s="21">
        <v>10.896400999999999</v>
      </c>
      <c r="O256" s="5" t="str">
        <f t="shared" si="10"/>
        <v>未买</v>
      </c>
      <c r="R256" s="19">
        <v>254</v>
      </c>
    </row>
    <row r="257" spans="5:18" x14ac:dyDescent="0.15">
      <c r="E257" s="5"/>
      <c r="H257" s="19">
        <v>255</v>
      </c>
      <c r="I257">
        <v>113623</v>
      </c>
      <c r="J257" t="s">
        <v>1889</v>
      </c>
      <c r="K257">
        <v>111.93</v>
      </c>
      <c r="L257">
        <v>65.209999999999994</v>
      </c>
      <c r="M257">
        <v>177.14</v>
      </c>
      <c r="N257" s="21">
        <v>24.99952</v>
      </c>
      <c r="O257" s="5" t="str">
        <f t="shared" si="10"/>
        <v>未买</v>
      </c>
      <c r="R257" s="19">
        <v>255</v>
      </c>
    </row>
    <row r="258" spans="5:18" x14ac:dyDescent="0.15">
      <c r="E258" s="5"/>
      <c r="H258" s="19">
        <v>256</v>
      </c>
      <c r="I258">
        <v>110058</v>
      </c>
      <c r="J258" t="s">
        <v>78</v>
      </c>
      <c r="K258">
        <v>117</v>
      </c>
      <c r="L258">
        <v>60.23</v>
      </c>
      <c r="M258">
        <v>177.23</v>
      </c>
      <c r="N258" s="21">
        <v>2.6102099999999999</v>
      </c>
      <c r="O258" s="5" t="str">
        <f t="shared" si="10"/>
        <v>未买</v>
      </c>
      <c r="R258" s="19">
        <v>256</v>
      </c>
    </row>
    <row r="259" spans="5:18" x14ac:dyDescent="0.15">
      <c r="E259" s="5"/>
      <c r="H259" s="19">
        <v>257</v>
      </c>
      <c r="I259">
        <v>123004</v>
      </c>
      <c r="J259" t="s">
        <v>180</v>
      </c>
      <c r="K259">
        <v>107.03</v>
      </c>
      <c r="L259">
        <v>70.349999999999994</v>
      </c>
      <c r="M259">
        <v>177.38</v>
      </c>
      <c r="N259" s="21">
        <v>8.0317070000000008</v>
      </c>
      <c r="O259" s="5" t="str">
        <f t="shared" si="10"/>
        <v>未买</v>
      </c>
      <c r="R259" s="19">
        <v>257</v>
      </c>
    </row>
    <row r="260" spans="5:18" x14ac:dyDescent="0.15">
      <c r="E260" s="5"/>
      <c r="H260" s="19">
        <v>258</v>
      </c>
      <c r="I260">
        <v>123096</v>
      </c>
      <c r="J260" t="s">
        <v>207</v>
      </c>
      <c r="K260">
        <v>105.75</v>
      </c>
      <c r="L260">
        <v>71.81</v>
      </c>
      <c r="M260">
        <v>177.56</v>
      </c>
      <c r="N260" s="21">
        <v>8.1692780000000003</v>
      </c>
      <c r="O260" s="5" t="str">
        <f t="shared" ref="O260:O323" si="11">IF(ISNA(MATCH(I260,$A$3:$A$1000,0)),"未买","Yes")</f>
        <v>未买</v>
      </c>
      <c r="R260" s="19">
        <v>258</v>
      </c>
    </row>
    <row r="261" spans="5:18" x14ac:dyDescent="0.15">
      <c r="E261" s="5"/>
      <c r="H261" s="19">
        <v>259</v>
      </c>
      <c r="I261">
        <v>127007</v>
      </c>
      <c r="J261" t="s">
        <v>2004</v>
      </c>
      <c r="K261">
        <v>168.19900000000001</v>
      </c>
      <c r="L261">
        <v>9.77</v>
      </c>
      <c r="M261">
        <v>177.96900000000002</v>
      </c>
      <c r="N261" s="21">
        <v>3.6970450000000001</v>
      </c>
      <c r="O261" s="5" t="str">
        <f t="shared" si="11"/>
        <v>未买</v>
      </c>
      <c r="R261" s="19">
        <v>259</v>
      </c>
    </row>
    <row r="262" spans="5:18" x14ac:dyDescent="0.15">
      <c r="E262" s="5"/>
      <c r="H262" s="19">
        <v>260</v>
      </c>
      <c r="I262">
        <v>123064</v>
      </c>
      <c r="J262" t="s">
        <v>141</v>
      </c>
      <c r="K262">
        <v>122.251</v>
      </c>
      <c r="L262">
        <v>55.73</v>
      </c>
      <c r="M262">
        <v>177.98099999999999</v>
      </c>
      <c r="N262" s="21">
        <v>5.9814829999999999</v>
      </c>
      <c r="O262" s="5" t="str">
        <f t="shared" si="11"/>
        <v>未买</v>
      </c>
      <c r="R262" s="19">
        <v>260</v>
      </c>
    </row>
    <row r="263" spans="5:18" x14ac:dyDescent="0.15">
      <c r="E263" s="5"/>
      <c r="H263" s="19">
        <v>261</v>
      </c>
      <c r="I263">
        <v>110081</v>
      </c>
      <c r="J263" t="s">
        <v>1897</v>
      </c>
      <c r="K263">
        <v>117.6</v>
      </c>
      <c r="L263">
        <v>60.55</v>
      </c>
      <c r="M263">
        <v>178.14999999999998</v>
      </c>
      <c r="N263" s="21">
        <v>85.983329999999995</v>
      </c>
      <c r="O263" s="5" t="str">
        <f t="shared" si="11"/>
        <v>未买</v>
      </c>
      <c r="R263" s="19">
        <v>261</v>
      </c>
    </row>
    <row r="264" spans="5:18" x14ac:dyDescent="0.15">
      <c r="E264" s="5"/>
      <c r="H264" s="19">
        <v>262</v>
      </c>
      <c r="I264">
        <v>123114</v>
      </c>
      <c r="J264" t="s">
        <v>2010</v>
      </c>
      <c r="K264">
        <v>167</v>
      </c>
      <c r="L264">
        <v>11.27</v>
      </c>
      <c r="M264">
        <v>178.27</v>
      </c>
      <c r="N264" s="21">
        <v>9.0088969999999993</v>
      </c>
      <c r="O264" s="5" t="str">
        <f t="shared" si="11"/>
        <v>未买</v>
      </c>
      <c r="R264" s="19">
        <v>262</v>
      </c>
    </row>
    <row r="265" spans="5:18" x14ac:dyDescent="0.15">
      <c r="E265" s="5"/>
      <c r="H265" s="19">
        <v>263</v>
      </c>
      <c r="I265">
        <v>123088</v>
      </c>
      <c r="J265" t="s">
        <v>235</v>
      </c>
      <c r="K265">
        <v>124.238</v>
      </c>
      <c r="L265">
        <v>54.43</v>
      </c>
      <c r="M265">
        <v>178.66800000000001</v>
      </c>
      <c r="N265" s="21">
        <v>3.011755</v>
      </c>
      <c r="O265" s="5" t="str">
        <f t="shared" si="11"/>
        <v>未买</v>
      </c>
      <c r="R265" s="19">
        <v>263</v>
      </c>
    </row>
    <row r="266" spans="5:18" x14ac:dyDescent="0.15">
      <c r="E266" s="5"/>
      <c r="H266" s="19">
        <v>264</v>
      </c>
      <c r="I266">
        <v>128040</v>
      </c>
      <c r="J266" t="s">
        <v>2019</v>
      </c>
      <c r="K266">
        <v>162.34899999999999</v>
      </c>
      <c r="L266">
        <v>16.5</v>
      </c>
      <c r="M266">
        <v>178.84899999999999</v>
      </c>
      <c r="N266" s="21">
        <v>2.0052819999999998</v>
      </c>
      <c r="O266" s="5" t="str">
        <f t="shared" si="11"/>
        <v>未买</v>
      </c>
      <c r="R266" s="19">
        <v>264</v>
      </c>
    </row>
    <row r="267" spans="5:18" x14ac:dyDescent="0.15">
      <c r="E267" s="5"/>
      <c r="H267" s="19">
        <v>265</v>
      </c>
      <c r="I267">
        <v>110062</v>
      </c>
      <c r="J267" t="s">
        <v>1898</v>
      </c>
      <c r="K267">
        <v>107.69</v>
      </c>
      <c r="L267">
        <v>72.19</v>
      </c>
      <c r="M267">
        <v>179.88</v>
      </c>
      <c r="N267" s="21">
        <v>30.87631</v>
      </c>
      <c r="O267" s="5" t="str">
        <f t="shared" si="11"/>
        <v>未买</v>
      </c>
      <c r="R267" s="19">
        <v>265</v>
      </c>
    </row>
    <row r="268" spans="5:18" x14ac:dyDescent="0.15">
      <c r="E268" s="5"/>
      <c r="H268" s="19">
        <v>266</v>
      </c>
      <c r="I268">
        <v>128026</v>
      </c>
      <c r="J268" t="s">
        <v>190</v>
      </c>
      <c r="K268">
        <v>107.21</v>
      </c>
      <c r="L268">
        <v>72.7</v>
      </c>
      <c r="M268">
        <v>179.91</v>
      </c>
      <c r="N268" s="21">
        <v>4.0879250000000003</v>
      </c>
      <c r="O268" s="5" t="str">
        <f t="shared" si="11"/>
        <v>未买</v>
      </c>
      <c r="R268" s="19">
        <v>266</v>
      </c>
    </row>
    <row r="269" spans="5:18" x14ac:dyDescent="0.15">
      <c r="E269" s="5"/>
      <c r="H269" s="19">
        <v>267</v>
      </c>
      <c r="I269">
        <v>123061</v>
      </c>
      <c r="J269" t="s">
        <v>95</v>
      </c>
      <c r="K269">
        <v>123.13</v>
      </c>
      <c r="L269">
        <v>56.81</v>
      </c>
      <c r="M269">
        <v>179.94</v>
      </c>
      <c r="N269" s="21">
        <v>2.4961600000000002</v>
      </c>
      <c r="O269" s="5" t="str">
        <f t="shared" si="11"/>
        <v>未买</v>
      </c>
      <c r="R269" s="19">
        <v>267</v>
      </c>
    </row>
    <row r="270" spans="5:18" x14ac:dyDescent="0.15">
      <c r="E270" s="5"/>
      <c r="H270" s="19">
        <v>268</v>
      </c>
      <c r="I270">
        <v>123078</v>
      </c>
      <c r="J270" t="s">
        <v>2014</v>
      </c>
      <c r="K270">
        <v>166.76599999999999</v>
      </c>
      <c r="L270">
        <v>13.6</v>
      </c>
      <c r="M270">
        <v>180.36599999999999</v>
      </c>
      <c r="N270" s="21">
        <v>6.1840270000000004</v>
      </c>
      <c r="O270" s="5" t="str">
        <f t="shared" si="11"/>
        <v>未买</v>
      </c>
      <c r="R270" s="19">
        <v>268</v>
      </c>
    </row>
    <row r="271" spans="5:18" x14ac:dyDescent="0.15">
      <c r="E271" s="5"/>
      <c r="H271" s="19">
        <v>269</v>
      </c>
      <c r="I271">
        <v>113542</v>
      </c>
      <c r="J271" t="s">
        <v>177</v>
      </c>
      <c r="K271">
        <v>108.46</v>
      </c>
      <c r="L271">
        <v>71.989999999999995</v>
      </c>
      <c r="M271">
        <v>180.45</v>
      </c>
      <c r="N271" s="21">
        <v>6.02719</v>
      </c>
      <c r="O271" s="5" t="str">
        <f t="shared" si="11"/>
        <v>未买</v>
      </c>
      <c r="R271" s="19">
        <v>269</v>
      </c>
    </row>
    <row r="272" spans="5:18" x14ac:dyDescent="0.15">
      <c r="E272" s="5"/>
      <c r="H272" s="19">
        <v>270</v>
      </c>
      <c r="I272">
        <v>127059</v>
      </c>
      <c r="J272" t="s">
        <v>1896</v>
      </c>
      <c r="K272">
        <v>150</v>
      </c>
      <c r="L272">
        <v>31.86</v>
      </c>
      <c r="M272">
        <v>181.86</v>
      </c>
      <c r="N272" s="21">
        <v>3.8</v>
      </c>
      <c r="O272" s="5" t="str">
        <f t="shared" si="11"/>
        <v>未买</v>
      </c>
      <c r="R272" s="19">
        <v>270</v>
      </c>
    </row>
    <row r="273" spans="5:18" x14ac:dyDescent="0.15">
      <c r="E273" s="5"/>
      <c r="H273" s="19">
        <v>271</v>
      </c>
      <c r="I273">
        <v>128142</v>
      </c>
      <c r="J273" t="s">
        <v>198</v>
      </c>
      <c r="K273">
        <v>112.61</v>
      </c>
      <c r="L273">
        <v>69.290000000000006</v>
      </c>
      <c r="M273">
        <v>181.9</v>
      </c>
      <c r="N273" s="21">
        <v>7.1797839999999997</v>
      </c>
      <c r="O273" s="5" t="str">
        <f t="shared" si="11"/>
        <v>未买</v>
      </c>
      <c r="R273" s="19">
        <v>271</v>
      </c>
    </row>
    <row r="274" spans="5:18" x14ac:dyDescent="0.15">
      <c r="E274" s="5"/>
      <c r="H274" s="19">
        <v>272</v>
      </c>
      <c r="I274">
        <v>128015</v>
      </c>
      <c r="J274" t="s">
        <v>162</v>
      </c>
      <c r="K274">
        <v>110.05</v>
      </c>
      <c r="L274">
        <v>72.36</v>
      </c>
      <c r="M274">
        <v>182.41</v>
      </c>
      <c r="N274" s="21">
        <v>7.7922679999999991</v>
      </c>
      <c r="O274" s="5" t="str">
        <f t="shared" si="11"/>
        <v>未买</v>
      </c>
      <c r="R274" s="19">
        <v>272</v>
      </c>
    </row>
    <row r="275" spans="5:18" x14ac:dyDescent="0.15">
      <c r="E275" s="5"/>
      <c r="H275" s="19">
        <v>273</v>
      </c>
      <c r="I275">
        <v>127030</v>
      </c>
      <c r="J275" t="s">
        <v>780</v>
      </c>
      <c r="K275">
        <v>164.29300000000001</v>
      </c>
      <c r="L275">
        <v>18.32</v>
      </c>
      <c r="M275">
        <v>182.613</v>
      </c>
      <c r="N275" s="21">
        <v>49.981890999999997</v>
      </c>
      <c r="O275" s="5" t="str">
        <f t="shared" si="11"/>
        <v>未买</v>
      </c>
      <c r="R275" s="19">
        <v>273</v>
      </c>
    </row>
    <row r="276" spans="5:18" x14ac:dyDescent="0.15">
      <c r="E276" s="5"/>
      <c r="H276" s="19">
        <v>274</v>
      </c>
      <c r="I276">
        <v>127038</v>
      </c>
      <c r="J276" t="s">
        <v>2026</v>
      </c>
      <c r="K276">
        <v>162</v>
      </c>
      <c r="L276">
        <v>21.08</v>
      </c>
      <c r="M276">
        <v>183.07999999999998</v>
      </c>
      <c r="N276" s="21">
        <v>14.938231999999999</v>
      </c>
      <c r="O276" s="5" t="str">
        <f t="shared" si="11"/>
        <v>未买</v>
      </c>
      <c r="R276" s="19">
        <v>274</v>
      </c>
    </row>
    <row r="277" spans="5:18" x14ac:dyDescent="0.15">
      <c r="E277" s="5"/>
      <c r="H277" s="19">
        <v>275</v>
      </c>
      <c r="I277">
        <v>128122</v>
      </c>
      <c r="J277" t="s">
        <v>200</v>
      </c>
      <c r="K277">
        <v>124.38</v>
      </c>
      <c r="L277">
        <v>59.32</v>
      </c>
      <c r="M277">
        <v>183.7</v>
      </c>
      <c r="N277" s="21">
        <v>2.6856749999999998</v>
      </c>
      <c r="O277" s="5" t="str">
        <f t="shared" si="11"/>
        <v>未买</v>
      </c>
      <c r="R277" s="19">
        <v>275</v>
      </c>
    </row>
    <row r="278" spans="5:18" x14ac:dyDescent="0.15">
      <c r="E278" s="5"/>
      <c r="H278" s="19">
        <v>276</v>
      </c>
      <c r="I278">
        <v>113639</v>
      </c>
      <c r="J278" t="s">
        <v>789</v>
      </c>
      <c r="K278">
        <v>109.46</v>
      </c>
      <c r="L278">
        <v>74.47</v>
      </c>
      <c r="M278">
        <v>183.93</v>
      </c>
      <c r="N278" s="21">
        <v>5.7</v>
      </c>
      <c r="O278" s="5" t="str">
        <f t="shared" si="11"/>
        <v>未买</v>
      </c>
      <c r="R278" s="19">
        <v>276</v>
      </c>
    </row>
    <row r="279" spans="5:18" x14ac:dyDescent="0.15">
      <c r="E279" s="5"/>
      <c r="H279" s="19">
        <v>277</v>
      </c>
      <c r="I279">
        <v>128046</v>
      </c>
      <c r="J279" t="s">
        <v>1987</v>
      </c>
      <c r="K279">
        <v>183.81700000000001</v>
      </c>
      <c r="L279">
        <v>0.16</v>
      </c>
      <c r="M279">
        <v>183.977</v>
      </c>
      <c r="N279" s="21">
        <v>7.1903059999999996</v>
      </c>
      <c r="O279" s="5" t="str">
        <f t="shared" si="11"/>
        <v>未买</v>
      </c>
      <c r="R279" s="19">
        <v>277</v>
      </c>
    </row>
    <row r="280" spans="5:18" x14ac:dyDescent="0.15">
      <c r="E280" s="5"/>
      <c r="H280" s="19">
        <v>278</v>
      </c>
      <c r="I280">
        <v>123049</v>
      </c>
      <c r="J280" t="s">
        <v>191</v>
      </c>
      <c r="K280">
        <v>109.56</v>
      </c>
      <c r="L280">
        <v>74.540000000000006</v>
      </c>
      <c r="M280">
        <v>184.10000000000002</v>
      </c>
      <c r="N280" s="21">
        <v>9.1698649999999997</v>
      </c>
      <c r="O280" s="5" t="str">
        <f t="shared" si="11"/>
        <v>未买</v>
      </c>
      <c r="R280" s="19">
        <v>278</v>
      </c>
    </row>
    <row r="281" spans="5:18" x14ac:dyDescent="0.15">
      <c r="E281" s="5"/>
      <c r="H281" s="19">
        <v>279</v>
      </c>
      <c r="I281">
        <v>113577</v>
      </c>
      <c r="J281" t="s">
        <v>115</v>
      </c>
      <c r="K281">
        <v>133.1</v>
      </c>
      <c r="L281">
        <v>51.06</v>
      </c>
      <c r="M281">
        <v>184.16</v>
      </c>
      <c r="N281" s="21">
        <v>1.7774799999999999</v>
      </c>
      <c r="O281" s="5" t="str">
        <f t="shared" si="11"/>
        <v>未买</v>
      </c>
      <c r="R281" s="19">
        <v>279</v>
      </c>
    </row>
    <row r="282" spans="5:18" x14ac:dyDescent="0.15">
      <c r="E282" s="5"/>
      <c r="H282" s="19">
        <v>280</v>
      </c>
      <c r="I282">
        <v>123062</v>
      </c>
      <c r="J282" t="s">
        <v>102</v>
      </c>
      <c r="K282">
        <v>136.69</v>
      </c>
      <c r="L282">
        <v>47.73</v>
      </c>
      <c r="M282">
        <v>184.42</v>
      </c>
      <c r="N282" s="21">
        <v>1.947703</v>
      </c>
      <c r="O282" s="5" t="str">
        <f t="shared" si="11"/>
        <v>未买</v>
      </c>
      <c r="R282" s="19">
        <v>280</v>
      </c>
    </row>
    <row r="283" spans="5:18" x14ac:dyDescent="0.15">
      <c r="E283" s="5"/>
      <c r="H283" s="19">
        <v>281</v>
      </c>
      <c r="I283">
        <v>128131</v>
      </c>
      <c r="J283" t="s">
        <v>1905</v>
      </c>
      <c r="K283">
        <v>112.386</v>
      </c>
      <c r="L283">
        <v>72.69</v>
      </c>
      <c r="M283">
        <v>185.07599999999999</v>
      </c>
      <c r="N283" s="21">
        <v>13.997867000000003</v>
      </c>
      <c r="O283" s="5" t="str">
        <f t="shared" si="11"/>
        <v>未买</v>
      </c>
      <c r="R283" s="19">
        <v>281</v>
      </c>
    </row>
    <row r="284" spans="5:18" x14ac:dyDescent="0.15">
      <c r="E284" s="5"/>
      <c r="H284" s="19">
        <v>282</v>
      </c>
      <c r="I284">
        <v>123071</v>
      </c>
      <c r="J284" t="s">
        <v>2012</v>
      </c>
      <c r="K284">
        <v>173.48400000000001</v>
      </c>
      <c r="L284">
        <v>11.9</v>
      </c>
      <c r="M284">
        <v>185.38400000000001</v>
      </c>
      <c r="N284" s="21">
        <v>6.9423729999999999</v>
      </c>
      <c r="O284" s="5" t="str">
        <f t="shared" si="11"/>
        <v>未买</v>
      </c>
      <c r="R284" s="19">
        <v>282</v>
      </c>
    </row>
    <row r="285" spans="5:18" x14ac:dyDescent="0.15">
      <c r="E285" s="5"/>
      <c r="H285" s="19">
        <v>283</v>
      </c>
      <c r="I285">
        <v>127024</v>
      </c>
      <c r="J285" t="s">
        <v>1902</v>
      </c>
      <c r="K285">
        <v>105.91</v>
      </c>
      <c r="L285">
        <v>79.599999999999994</v>
      </c>
      <c r="M285">
        <v>185.51</v>
      </c>
      <c r="N285" s="21">
        <v>14.761056999999999</v>
      </c>
      <c r="O285" s="5" t="str">
        <f t="shared" si="11"/>
        <v>未买</v>
      </c>
      <c r="R285" s="19">
        <v>283</v>
      </c>
    </row>
    <row r="286" spans="5:18" x14ac:dyDescent="0.15">
      <c r="E286" s="5"/>
      <c r="H286" s="19">
        <v>284</v>
      </c>
      <c r="I286">
        <v>128069</v>
      </c>
      <c r="J286" t="s">
        <v>172</v>
      </c>
      <c r="K286">
        <v>117.22199999999999</v>
      </c>
      <c r="L286">
        <v>68.5</v>
      </c>
      <c r="M286">
        <v>185.72199999999998</v>
      </c>
      <c r="N286" s="21">
        <v>2.99343</v>
      </c>
      <c r="O286" s="5" t="str">
        <f t="shared" si="11"/>
        <v>未买</v>
      </c>
      <c r="R286" s="19">
        <v>284</v>
      </c>
    </row>
    <row r="287" spans="5:18" x14ac:dyDescent="0.15">
      <c r="E287" s="5"/>
      <c r="H287" s="19">
        <v>285</v>
      </c>
      <c r="I287" s="7">
        <v>113530</v>
      </c>
      <c r="J287" s="7" t="s">
        <v>189</v>
      </c>
      <c r="K287" s="7">
        <v>115.64</v>
      </c>
      <c r="L287" s="7">
        <v>70.489999999999995</v>
      </c>
      <c r="M287" s="7">
        <v>186.13</v>
      </c>
      <c r="N287" s="36">
        <v>6.29765</v>
      </c>
      <c r="O287" s="5" t="str">
        <f t="shared" si="11"/>
        <v>未买</v>
      </c>
      <c r="R287" s="19">
        <v>285</v>
      </c>
    </row>
    <row r="288" spans="5:18" x14ac:dyDescent="0.15">
      <c r="E288" s="5"/>
      <c r="H288" s="19">
        <v>286</v>
      </c>
      <c r="I288" s="7">
        <v>128056</v>
      </c>
      <c r="J288" s="7" t="s">
        <v>79</v>
      </c>
      <c r="K288" s="7">
        <v>131.80000000000001</v>
      </c>
      <c r="L288" s="7">
        <v>54.46</v>
      </c>
      <c r="M288" s="7">
        <v>186.26000000000002</v>
      </c>
      <c r="N288" s="36">
        <v>1.7224740000000003</v>
      </c>
      <c r="O288" s="5" t="str">
        <f t="shared" si="11"/>
        <v>未买</v>
      </c>
      <c r="R288" s="19">
        <v>286</v>
      </c>
    </row>
    <row r="289" spans="5:18" x14ac:dyDescent="0.15">
      <c r="E289" s="5"/>
      <c r="H289" s="19">
        <v>287</v>
      </c>
      <c r="I289" s="7">
        <v>123056</v>
      </c>
      <c r="J289" s="7" t="s">
        <v>157</v>
      </c>
      <c r="K289" s="7">
        <v>107.869</v>
      </c>
      <c r="L289" s="7">
        <v>78.650000000000006</v>
      </c>
      <c r="M289" s="7">
        <v>186.51900000000001</v>
      </c>
      <c r="N289" s="36">
        <v>5.8400559999999997</v>
      </c>
      <c r="O289" s="5" t="str">
        <f t="shared" si="11"/>
        <v>未买</v>
      </c>
      <c r="R289" s="19">
        <v>287</v>
      </c>
    </row>
    <row r="290" spans="5:18" x14ac:dyDescent="0.15">
      <c r="E290" s="5"/>
      <c r="H290" s="19">
        <v>288</v>
      </c>
      <c r="I290" s="7">
        <v>113561</v>
      </c>
      <c r="J290" s="7" t="s">
        <v>86</v>
      </c>
      <c r="K290" s="7">
        <v>132.27000000000001</v>
      </c>
      <c r="L290" s="7">
        <v>54.39</v>
      </c>
      <c r="M290" s="7">
        <v>186.66000000000003</v>
      </c>
      <c r="N290" s="36">
        <v>1.4991000000000001</v>
      </c>
      <c r="O290" s="5" t="str">
        <f t="shared" si="11"/>
        <v>未买</v>
      </c>
      <c r="R290" s="19">
        <v>288</v>
      </c>
    </row>
    <row r="291" spans="5:18" x14ac:dyDescent="0.15">
      <c r="E291" s="5"/>
      <c r="H291" s="19">
        <v>289</v>
      </c>
      <c r="I291" s="7">
        <v>128063</v>
      </c>
      <c r="J291" s="7" t="s">
        <v>203</v>
      </c>
      <c r="K291" s="7">
        <v>114.33799999999999</v>
      </c>
      <c r="L291" s="7">
        <v>72.72</v>
      </c>
      <c r="M291" s="7">
        <v>187.05799999999999</v>
      </c>
      <c r="N291" s="36">
        <v>6.293526</v>
      </c>
      <c r="O291" s="5" t="str">
        <f t="shared" si="11"/>
        <v>未买</v>
      </c>
      <c r="R291" s="19">
        <v>289</v>
      </c>
    </row>
    <row r="292" spans="5:18" x14ac:dyDescent="0.15">
      <c r="E292" s="5"/>
      <c r="H292" s="19">
        <v>290</v>
      </c>
      <c r="I292" s="7">
        <v>110076</v>
      </c>
      <c r="J292" s="7" t="s">
        <v>1907</v>
      </c>
      <c r="K292" s="7">
        <v>111.21</v>
      </c>
      <c r="L292" s="7">
        <v>75.849999999999994</v>
      </c>
      <c r="M292" s="7">
        <v>187.06</v>
      </c>
      <c r="N292" s="36">
        <v>18.424399999999999</v>
      </c>
      <c r="O292" s="5" t="str">
        <f t="shared" si="11"/>
        <v>未买</v>
      </c>
      <c r="R292" s="19">
        <v>290</v>
      </c>
    </row>
    <row r="293" spans="5:18" x14ac:dyDescent="0.15">
      <c r="E293" s="5"/>
      <c r="H293" s="19">
        <v>291</v>
      </c>
      <c r="I293" s="7">
        <v>113604</v>
      </c>
      <c r="J293" s="7" t="s">
        <v>161</v>
      </c>
      <c r="K293" s="7">
        <v>104.86</v>
      </c>
      <c r="L293" s="7">
        <v>82.68</v>
      </c>
      <c r="M293" s="7">
        <v>187.54000000000002</v>
      </c>
      <c r="N293" s="36">
        <v>6.3988699999999996</v>
      </c>
      <c r="O293" s="5" t="str">
        <f t="shared" si="11"/>
        <v>未买</v>
      </c>
      <c r="R293" s="19">
        <v>291</v>
      </c>
    </row>
    <row r="294" spans="5:18" x14ac:dyDescent="0.15">
      <c r="E294" s="5"/>
      <c r="H294" s="19">
        <v>292</v>
      </c>
      <c r="I294" s="7">
        <v>113578</v>
      </c>
      <c r="J294" s="7" t="s">
        <v>174</v>
      </c>
      <c r="K294" s="7">
        <v>104.41</v>
      </c>
      <c r="L294" s="7">
        <v>83.34</v>
      </c>
      <c r="M294" s="7">
        <v>187.75</v>
      </c>
      <c r="N294" s="36">
        <v>3.8380299999999998</v>
      </c>
      <c r="O294" s="5" t="str">
        <f t="shared" si="11"/>
        <v>未买</v>
      </c>
      <c r="R294" s="19">
        <v>292</v>
      </c>
    </row>
    <row r="295" spans="5:18" x14ac:dyDescent="0.15">
      <c r="E295" s="5"/>
      <c r="H295" s="19">
        <v>293</v>
      </c>
      <c r="I295" s="7">
        <v>123086</v>
      </c>
      <c r="J295" s="7" t="s">
        <v>1986</v>
      </c>
      <c r="K295" s="7">
        <v>187.72399999999999</v>
      </c>
      <c r="L295" s="7">
        <v>0.06</v>
      </c>
      <c r="M295" s="7">
        <v>187.78399999999999</v>
      </c>
      <c r="N295" s="36">
        <v>3.9345339999999993</v>
      </c>
      <c r="O295" s="5" t="str">
        <f t="shared" si="11"/>
        <v>未买</v>
      </c>
      <c r="R295" s="19">
        <v>293</v>
      </c>
    </row>
    <row r="296" spans="5:18" x14ac:dyDescent="0.15">
      <c r="E296" s="5"/>
      <c r="H296" s="19">
        <v>294</v>
      </c>
      <c r="I296" s="7">
        <v>110074</v>
      </c>
      <c r="J296" s="7" t="s">
        <v>2003</v>
      </c>
      <c r="K296" s="7">
        <v>178.78</v>
      </c>
      <c r="L296" s="7">
        <v>9.34</v>
      </c>
      <c r="M296" s="7">
        <v>188.12</v>
      </c>
      <c r="N296" s="36">
        <v>5.0956400000000004</v>
      </c>
      <c r="O296" s="5" t="str">
        <f t="shared" si="11"/>
        <v>未买</v>
      </c>
      <c r="R296" s="19">
        <v>294</v>
      </c>
    </row>
    <row r="297" spans="5:18" x14ac:dyDescent="0.15">
      <c r="E297" s="5"/>
      <c r="H297" s="19">
        <v>295</v>
      </c>
      <c r="I297" s="7">
        <v>123057</v>
      </c>
      <c r="J297" s="7" t="s">
        <v>792</v>
      </c>
      <c r="K297" s="7">
        <v>184.90199999999999</v>
      </c>
      <c r="L297" s="7">
        <v>3.39</v>
      </c>
      <c r="M297" s="7">
        <v>188.29199999999997</v>
      </c>
      <c r="N297" s="36">
        <v>2.0650419999999996</v>
      </c>
      <c r="O297" s="5" t="str">
        <f t="shared" si="11"/>
        <v>未买</v>
      </c>
      <c r="R297" s="19">
        <v>295</v>
      </c>
    </row>
    <row r="298" spans="5:18" x14ac:dyDescent="0.15">
      <c r="E298" s="5"/>
      <c r="H298" s="19">
        <v>296</v>
      </c>
      <c r="I298" s="7">
        <v>128116</v>
      </c>
      <c r="J298" s="7" t="s">
        <v>184</v>
      </c>
      <c r="K298" s="7">
        <v>109.899</v>
      </c>
      <c r="L298" s="7">
        <v>78.989999999999995</v>
      </c>
      <c r="M298" s="7">
        <v>188.88900000000001</v>
      </c>
      <c r="N298" s="36">
        <v>6.4919989999999999</v>
      </c>
      <c r="O298" s="5" t="str">
        <f t="shared" si="11"/>
        <v>未买</v>
      </c>
      <c r="R298" s="19">
        <v>296</v>
      </c>
    </row>
    <row r="299" spans="5:18" x14ac:dyDescent="0.15">
      <c r="E299" s="5"/>
      <c r="H299" s="19">
        <v>297</v>
      </c>
      <c r="I299" s="7">
        <v>113027</v>
      </c>
      <c r="J299" s="7" t="s">
        <v>2020</v>
      </c>
      <c r="K299" s="7">
        <v>172.28</v>
      </c>
      <c r="L299" s="7">
        <v>16.809999999999999</v>
      </c>
      <c r="M299" s="7">
        <v>189.09</v>
      </c>
      <c r="N299" s="36">
        <v>2.3872</v>
      </c>
      <c r="O299" s="5" t="str">
        <f t="shared" si="11"/>
        <v>未买</v>
      </c>
      <c r="R299" s="19">
        <v>297</v>
      </c>
    </row>
    <row r="300" spans="5:18" x14ac:dyDescent="0.15">
      <c r="E300" s="5"/>
      <c r="H300" s="19">
        <v>298</v>
      </c>
      <c r="I300" s="7">
        <v>128035</v>
      </c>
      <c r="J300" s="7" t="s">
        <v>1906</v>
      </c>
      <c r="K300" s="7">
        <v>111.096</v>
      </c>
      <c r="L300" s="7">
        <v>78.010000000000005</v>
      </c>
      <c r="M300" s="7">
        <v>189.10599999999999</v>
      </c>
      <c r="N300" s="36">
        <v>22.994976000000001</v>
      </c>
      <c r="O300" s="5" t="str">
        <f t="shared" si="11"/>
        <v>未买</v>
      </c>
      <c r="R300" s="19">
        <v>298</v>
      </c>
    </row>
    <row r="301" spans="5:18" x14ac:dyDescent="0.15">
      <c r="E301" s="5"/>
      <c r="H301" s="19">
        <v>299</v>
      </c>
      <c r="I301" s="7">
        <v>128101</v>
      </c>
      <c r="J301" s="7" t="s">
        <v>2042</v>
      </c>
      <c r="K301" s="7">
        <v>150.79</v>
      </c>
      <c r="L301" s="7">
        <v>39.409999999999997</v>
      </c>
      <c r="M301" s="7">
        <v>190.2</v>
      </c>
      <c r="N301" s="36">
        <v>2.9944609999999998</v>
      </c>
      <c r="O301" s="5" t="str">
        <f t="shared" si="11"/>
        <v>未买</v>
      </c>
      <c r="R301" s="19">
        <v>299</v>
      </c>
    </row>
    <row r="302" spans="5:18" x14ac:dyDescent="0.15">
      <c r="E302" s="5"/>
      <c r="H302" s="19">
        <v>300</v>
      </c>
      <c r="I302" s="7">
        <v>123084</v>
      </c>
      <c r="J302" s="7" t="s">
        <v>112</v>
      </c>
      <c r="K302" s="7">
        <v>171.804</v>
      </c>
      <c r="L302" s="7">
        <v>18.440000000000001</v>
      </c>
      <c r="M302" s="7">
        <v>190.244</v>
      </c>
      <c r="N302" s="36">
        <v>2.5406900000000001</v>
      </c>
      <c r="O302" s="5" t="str">
        <f t="shared" si="11"/>
        <v>未买</v>
      </c>
      <c r="R302" s="19">
        <v>300</v>
      </c>
    </row>
    <row r="303" spans="5:18" x14ac:dyDescent="0.15">
      <c r="E303" s="5"/>
      <c r="H303" s="19">
        <v>301</v>
      </c>
      <c r="I303" s="7">
        <v>113593</v>
      </c>
      <c r="J303" s="7" t="s">
        <v>60</v>
      </c>
      <c r="K303" s="7">
        <v>115.66</v>
      </c>
      <c r="L303" s="7">
        <v>74.739999999999995</v>
      </c>
      <c r="M303" s="7">
        <v>190.39999999999998</v>
      </c>
      <c r="N303" s="36">
        <v>3.9977800000000001</v>
      </c>
      <c r="O303" s="5" t="str">
        <f t="shared" si="11"/>
        <v>未买</v>
      </c>
      <c r="R303" s="19">
        <v>301</v>
      </c>
    </row>
    <row r="304" spans="5:18" x14ac:dyDescent="0.15">
      <c r="E304" s="5"/>
      <c r="H304" s="19">
        <v>302</v>
      </c>
      <c r="I304" s="7">
        <v>113608</v>
      </c>
      <c r="J304" s="7" t="s">
        <v>66</v>
      </c>
      <c r="K304" s="7">
        <v>110.85</v>
      </c>
      <c r="L304" s="7">
        <v>79.72</v>
      </c>
      <c r="M304" s="7">
        <v>190.57</v>
      </c>
      <c r="N304" s="36">
        <v>4.1998499999999996</v>
      </c>
      <c r="O304" s="5" t="str">
        <f t="shared" si="11"/>
        <v>未买</v>
      </c>
      <c r="R304" s="19">
        <v>302</v>
      </c>
    </row>
    <row r="305" spans="5:18" x14ac:dyDescent="0.15">
      <c r="E305" s="5"/>
      <c r="H305" s="19">
        <v>303</v>
      </c>
      <c r="I305" s="7">
        <v>123119</v>
      </c>
      <c r="J305" s="7" t="s">
        <v>1908</v>
      </c>
      <c r="K305" s="7">
        <v>113.166</v>
      </c>
      <c r="L305" s="7">
        <v>77.77</v>
      </c>
      <c r="M305" s="7">
        <v>190.93599999999998</v>
      </c>
      <c r="N305" s="36">
        <v>19.997207</v>
      </c>
      <c r="O305" s="5" t="str">
        <f t="shared" si="11"/>
        <v>未买</v>
      </c>
      <c r="R305" s="19">
        <v>303</v>
      </c>
    </row>
    <row r="306" spans="5:18" x14ac:dyDescent="0.15">
      <c r="E306" s="5"/>
      <c r="H306" s="19">
        <v>304</v>
      </c>
      <c r="I306" s="7">
        <v>123108</v>
      </c>
      <c r="J306" s="7" t="s">
        <v>1903</v>
      </c>
      <c r="K306" s="7">
        <v>111.88</v>
      </c>
      <c r="L306" s="7">
        <v>79.38</v>
      </c>
      <c r="M306" s="7">
        <v>191.26</v>
      </c>
      <c r="N306" s="36">
        <v>16.377441000000001</v>
      </c>
      <c r="O306" s="5" t="str">
        <f t="shared" si="11"/>
        <v>未买</v>
      </c>
      <c r="R306" s="19">
        <v>304</v>
      </c>
    </row>
    <row r="307" spans="5:18" x14ac:dyDescent="0.15">
      <c r="E307" s="5"/>
      <c r="H307" s="19">
        <v>305</v>
      </c>
      <c r="I307" s="7">
        <v>113526</v>
      </c>
      <c r="J307" s="7" t="s">
        <v>143</v>
      </c>
      <c r="K307" s="7">
        <v>147.15</v>
      </c>
      <c r="L307" s="7">
        <v>44.12</v>
      </c>
      <c r="M307" s="7">
        <v>191.27</v>
      </c>
      <c r="N307" s="36">
        <v>1.9295199999999999</v>
      </c>
      <c r="O307" s="5" t="str">
        <f t="shared" si="11"/>
        <v>未买</v>
      </c>
      <c r="R307" s="19">
        <v>305</v>
      </c>
    </row>
    <row r="308" spans="5:18" x14ac:dyDescent="0.15">
      <c r="E308" s="5"/>
      <c r="H308" s="19">
        <v>306</v>
      </c>
      <c r="I308" s="7">
        <v>123073</v>
      </c>
      <c r="J308" s="7" t="s">
        <v>794</v>
      </c>
      <c r="K308" s="7">
        <v>180.3</v>
      </c>
      <c r="L308" s="7">
        <v>11.8</v>
      </c>
      <c r="M308" s="7">
        <v>192.10000000000002</v>
      </c>
      <c r="N308" s="36">
        <v>2.5517129999999999</v>
      </c>
      <c r="O308" s="5" t="str">
        <f t="shared" si="11"/>
        <v>未买</v>
      </c>
      <c r="R308" s="19">
        <v>306</v>
      </c>
    </row>
    <row r="309" spans="5:18" x14ac:dyDescent="0.15">
      <c r="E309" s="5"/>
      <c r="H309" s="19">
        <v>307</v>
      </c>
      <c r="I309" s="7">
        <v>110059</v>
      </c>
      <c r="J309" s="7" t="s">
        <v>1900</v>
      </c>
      <c r="K309" s="7">
        <v>106.04</v>
      </c>
      <c r="L309" s="7">
        <v>86.33</v>
      </c>
      <c r="M309" s="7">
        <v>192.37</v>
      </c>
      <c r="N309" s="36">
        <v>499.98649</v>
      </c>
      <c r="O309" s="5" t="str">
        <f t="shared" si="11"/>
        <v>未买</v>
      </c>
      <c r="R309" s="19">
        <v>307</v>
      </c>
    </row>
    <row r="310" spans="5:18" x14ac:dyDescent="0.15">
      <c r="E310" s="5"/>
      <c r="H310" s="19">
        <v>308</v>
      </c>
      <c r="I310" s="7">
        <v>123022</v>
      </c>
      <c r="J310" s="7" t="s">
        <v>1863</v>
      </c>
      <c r="K310" s="7">
        <v>159.97999999999999</v>
      </c>
      <c r="L310" s="7">
        <v>32.4</v>
      </c>
      <c r="M310" s="7">
        <v>192.38</v>
      </c>
      <c r="N310" s="36">
        <v>2.5627759999999995</v>
      </c>
      <c r="O310" s="5" t="str">
        <f t="shared" si="11"/>
        <v>未买</v>
      </c>
      <c r="R310" s="19">
        <v>308</v>
      </c>
    </row>
    <row r="311" spans="5:18" x14ac:dyDescent="0.15">
      <c r="E311" s="5"/>
      <c r="H311" s="19">
        <v>309</v>
      </c>
      <c r="I311" s="7">
        <v>113594</v>
      </c>
      <c r="J311" s="7" t="s">
        <v>76</v>
      </c>
      <c r="K311" s="7">
        <v>118.69</v>
      </c>
      <c r="L311" s="7">
        <v>74.260000000000005</v>
      </c>
      <c r="M311" s="7">
        <v>192.95</v>
      </c>
      <c r="N311" s="36">
        <v>2.9975200000000002</v>
      </c>
      <c r="O311" s="5" t="str">
        <f t="shared" si="11"/>
        <v>未买</v>
      </c>
      <c r="R311" s="19">
        <v>309</v>
      </c>
    </row>
    <row r="312" spans="5:18" x14ac:dyDescent="0.15">
      <c r="E312" s="5"/>
      <c r="H312" s="19">
        <v>310</v>
      </c>
      <c r="I312" s="7">
        <v>113616</v>
      </c>
      <c r="J312" s="7" t="s">
        <v>1899</v>
      </c>
      <c r="K312" s="7">
        <v>122.79</v>
      </c>
      <c r="L312" s="7">
        <v>71.23</v>
      </c>
      <c r="M312" s="7">
        <v>194.02</v>
      </c>
      <c r="N312" s="36">
        <v>24.333670000000001</v>
      </c>
      <c r="O312" s="5" t="str">
        <f t="shared" si="11"/>
        <v>未买</v>
      </c>
      <c r="R312" s="19">
        <v>310</v>
      </c>
    </row>
    <row r="313" spans="5:18" x14ac:dyDescent="0.15">
      <c r="E313" s="5"/>
      <c r="H313" s="19">
        <v>311</v>
      </c>
      <c r="I313" s="7">
        <v>123083</v>
      </c>
      <c r="J313" s="7" t="s">
        <v>113</v>
      </c>
      <c r="K313" s="7">
        <v>187.738</v>
      </c>
      <c r="L313" s="7">
        <v>6.33</v>
      </c>
      <c r="M313" s="7">
        <v>194.06800000000001</v>
      </c>
      <c r="N313" s="36">
        <v>5.4829610000000004</v>
      </c>
      <c r="O313" s="5" t="str">
        <f t="shared" si="11"/>
        <v>未买</v>
      </c>
      <c r="R313" s="19">
        <v>311</v>
      </c>
    </row>
    <row r="314" spans="5:18" x14ac:dyDescent="0.15">
      <c r="E314" s="5"/>
      <c r="H314" s="19">
        <v>312</v>
      </c>
      <c r="I314" s="7">
        <v>123128</v>
      </c>
      <c r="J314" s="7" t="s">
        <v>1904</v>
      </c>
      <c r="K314" s="7">
        <v>105.01300000000001</v>
      </c>
      <c r="L314" s="7">
        <v>89.14</v>
      </c>
      <c r="M314" s="7">
        <v>194.15300000000002</v>
      </c>
      <c r="N314" s="36">
        <v>13.794360999999997</v>
      </c>
      <c r="O314" s="5" t="str">
        <f t="shared" si="11"/>
        <v>未买</v>
      </c>
      <c r="R314" s="19">
        <v>312</v>
      </c>
    </row>
    <row r="315" spans="5:18" x14ac:dyDescent="0.15">
      <c r="E315" s="5"/>
      <c r="H315" s="19">
        <v>313</v>
      </c>
      <c r="I315" s="7">
        <v>113525</v>
      </c>
      <c r="J315" s="7" t="s">
        <v>2007</v>
      </c>
      <c r="K315" s="7">
        <v>184.84</v>
      </c>
      <c r="L315" s="7">
        <v>10.19</v>
      </c>
      <c r="M315" s="7">
        <v>195.03</v>
      </c>
      <c r="N315" s="36">
        <v>1.8535699999999999</v>
      </c>
      <c r="O315" s="5" t="str">
        <f t="shared" si="11"/>
        <v>未买</v>
      </c>
      <c r="R315" s="19">
        <v>313</v>
      </c>
    </row>
    <row r="316" spans="5:18" x14ac:dyDescent="0.15">
      <c r="E316" s="5"/>
      <c r="H316" s="19">
        <v>314</v>
      </c>
      <c r="I316" s="7">
        <v>118004</v>
      </c>
      <c r="J316" s="7" t="s">
        <v>276</v>
      </c>
      <c r="K316" s="7">
        <v>121.14</v>
      </c>
      <c r="L316" s="7">
        <v>74.05</v>
      </c>
      <c r="M316" s="7">
        <v>195.19</v>
      </c>
      <c r="N316" s="36">
        <v>4.6500000000000004</v>
      </c>
      <c r="O316" s="5" t="str">
        <f t="shared" si="11"/>
        <v>未买</v>
      </c>
      <c r="R316" s="19">
        <v>314</v>
      </c>
    </row>
    <row r="317" spans="5:18" x14ac:dyDescent="0.15">
      <c r="E317" s="5"/>
      <c r="H317" s="19">
        <v>315</v>
      </c>
      <c r="I317" s="7">
        <v>113566</v>
      </c>
      <c r="J317" s="7" t="s">
        <v>192</v>
      </c>
      <c r="K317" s="7">
        <v>124.48</v>
      </c>
      <c r="L317" s="7">
        <v>71.010000000000005</v>
      </c>
      <c r="M317" s="7">
        <v>195.49</v>
      </c>
      <c r="N317" s="36">
        <v>1.6127199999999999</v>
      </c>
      <c r="O317" s="5" t="str">
        <f t="shared" si="11"/>
        <v>未买</v>
      </c>
      <c r="R317" s="19">
        <v>315</v>
      </c>
    </row>
    <row r="318" spans="5:18" x14ac:dyDescent="0.15">
      <c r="E318" s="5"/>
      <c r="H318" s="19">
        <v>316</v>
      </c>
      <c r="I318" s="7">
        <v>127044</v>
      </c>
      <c r="J318" s="7" t="s">
        <v>1912</v>
      </c>
      <c r="K318" s="7">
        <v>112.97</v>
      </c>
      <c r="L318" s="7">
        <v>82.98</v>
      </c>
      <c r="M318" s="7">
        <v>195.95</v>
      </c>
      <c r="N318" s="36">
        <v>11.688847000000001</v>
      </c>
      <c r="O318" s="5" t="str">
        <f t="shared" si="11"/>
        <v>未买</v>
      </c>
      <c r="R318" s="19">
        <v>316</v>
      </c>
    </row>
    <row r="319" spans="5:18" x14ac:dyDescent="0.15">
      <c r="E319" s="5"/>
      <c r="H319" s="19">
        <v>317</v>
      </c>
      <c r="I319" s="7">
        <v>113632</v>
      </c>
      <c r="J319" s="7" t="s">
        <v>1913</v>
      </c>
      <c r="K319" s="7">
        <v>116.05</v>
      </c>
      <c r="L319" s="7">
        <v>80.959999999999994</v>
      </c>
      <c r="M319" s="7">
        <v>197.01</v>
      </c>
      <c r="N319" s="36">
        <v>20.499829999999999</v>
      </c>
      <c r="O319" s="5" t="str">
        <f t="shared" si="11"/>
        <v>未买</v>
      </c>
      <c r="R319" s="19">
        <v>317</v>
      </c>
    </row>
    <row r="320" spans="5:18" x14ac:dyDescent="0.15">
      <c r="E320" s="5"/>
      <c r="H320" s="19">
        <v>318</v>
      </c>
      <c r="I320" s="7">
        <v>127041</v>
      </c>
      <c r="J320" s="7" t="s">
        <v>197</v>
      </c>
      <c r="K320" s="7">
        <v>111.41</v>
      </c>
      <c r="L320" s="7">
        <v>85.62</v>
      </c>
      <c r="M320" s="7">
        <v>197.03</v>
      </c>
      <c r="N320" s="36">
        <v>5.9995950000000002</v>
      </c>
      <c r="O320" s="5" t="str">
        <f t="shared" si="11"/>
        <v>未买</v>
      </c>
      <c r="R320" s="19">
        <v>318</v>
      </c>
    </row>
    <row r="321" spans="5:18" x14ac:dyDescent="0.15">
      <c r="E321" s="5"/>
      <c r="H321" s="19">
        <v>319</v>
      </c>
      <c r="I321" s="7">
        <v>128074</v>
      </c>
      <c r="J321" s="7" t="s">
        <v>205</v>
      </c>
      <c r="K321" s="7">
        <v>110.5</v>
      </c>
      <c r="L321" s="7">
        <v>88.28</v>
      </c>
      <c r="M321" s="7">
        <v>198.78</v>
      </c>
      <c r="N321" s="36">
        <v>6.824916</v>
      </c>
      <c r="O321" s="5" t="str">
        <f t="shared" si="11"/>
        <v>未买</v>
      </c>
      <c r="R321" s="19">
        <v>319</v>
      </c>
    </row>
    <row r="322" spans="5:18" x14ac:dyDescent="0.15">
      <c r="E322" s="5"/>
      <c r="H322" s="19">
        <v>320</v>
      </c>
      <c r="I322" s="7">
        <v>113625</v>
      </c>
      <c r="J322" s="7" t="s">
        <v>150</v>
      </c>
      <c r="K322" s="7">
        <v>113.69</v>
      </c>
      <c r="L322" s="7">
        <v>85.13</v>
      </c>
      <c r="M322" s="7">
        <v>198.82</v>
      </c>
      <c r="N322" s="36">
        <v>5.8255400000000002</v>
      </c>
      <c r="O322" s="5" t="str">
        <f t="shared" si="11"/>
        <v>未买</v>
      </c>
      <c r="R322" s="19">
        <v>320</v>
      </c>
    </row>
    <row r="323" spans="5:18" x14ac:dyDescent="0.15">
      <c r="E323" s="5"/>
      <c r="H323" s="19">
        <v>321</v>
      </c>
      <c r="I323" s="7">
        <v>123054</v>
      </c>
      <c r="J323" s="7" t="s">
        <v>82</v>
      </c>
      <c r="K323" s="7">
        <v>140</v>
      </c>
      <c r="L323" s="7">
        <v>59.87</v>
      </c>
      <c r="M323" s="7">
        <v>199.87</v>
      </c>
      <c r="N323" s="36">
        <v>2.073102</v>
      </c>
      <c r="O323" s="5" t="str">
        <f t="shared" si="11"/>
        <v>未买</v>
      </c>
      <c r="R323" s="19">
        <v>321</v>
      </c>
    </row>
    <row r="324" spans="5:18" x14ac:dyDescent="0.15">
      <c r="E324" s="5"/>
      <c r="H324" s="19">
        <v>322</v>
      </c>
      <c r="I324" s="7">
        <v>113633</v>
      </c>
      <c r="J324" s="7" t="s">
        <v>1909</v>
      </c>
      <c r="K324" s="7">
        <v>115.86</v>
      </c>
      <c r="L324" s="7">
        <v>84.14</v>
      </c>
      <c r="M324" s="7">
        <v>200</v>
      </c>
      <c r="N324" s="36">
        <v>10.399050000000001</v>
      </c>
      <c r="O324" s="5" t="str">
        <f t="shared" ref="O324:O387" si="12">IF(ISNA(MATCH(I324,$A$3:$A$1000,0)),"未买","Yes")</f>
        <v>未买</v>
      </c>
      <c r="R324" s="19">
        <v>322</v>
      </c>
    </row>
    <row r="325" spans="5:18" x14ac:dyDescent="0.15">
      <c r="E325" s="5"/>
      <c r="H325" s="19">
        <v>323</v>
      </c>
      <c r="I325" s="7">
        <v>128053</v>
      </c>
      <c r="J325" s="7" t="s">
        <v>61</v>
      </c>
      <c r="K325" s="7">
        <v>142.422</v>
      </c>
      <c r="L325" s="7">
        <v>57.6</v>
      </c>
      <c r="M325" s="7">
        <v>200.02199999999999</v>
      </c>
      <c r="N325" s="36">
        <v>1.90018</v>
      </c>
      <c r="O325" s="5" t="str">
        <f t="shared" si="12"/>
        <v>未买</v>
      </c>
      <c r="R325" s="19">
        <v>323</v>
      </c>
    </row>
    <row r="326" spans="5:18" x14ac:dyDescent="0.15">
      <c r="E326" s="5"/>
      <c r="H326" s="19">
        <v>324</v>
      </c>
      <c r="I326" s="7">
        <v>123109</v>
      </c>
      <c r="J326" s="7" t="s">
        <v>2046</v>
      </c>
      <c r="K326" s="7">
        <v>113.7</v>
      </c>
      <c r="L326" s="7">
        <v>87.01</v>
      </c>
      <c r="M326" s="7">
        <v>200.71</v>
      </c>
      <c r="N326" s="36">
        <v>4.5955410000000008</v>
      </c>
      <c r="O326" s="5" t="str">
        <f t="shared" si="12"/>
        <v>未买</v>
      </c>
      <c r="R326" s="19">
        <v>324</v>
      </c>
    </row>
    <row r="327" spans="5:18" x14ac:dyDescent="0.15">
      <c r="E327" s="5"/>
      <c r="H327" s="19">
        <v>325</v>
      </c>
      <c r="I327" s="7">
        <v>123124</v>
      </c>
      <c r="J327" s="7" t="s">
        <v>196</v>
      </c>
      <c r="K327" s="7">
        <v>113</v>
      </c>
      <c r="L327" s="7">
        <v>88.49</v>
      </c>
      <c r="M327" s="7">
        <v>201.49</v>
      </c>
      <c r="N327" s="36">
        <v>5.227792</v>
      </c>
      <c r="O327" s="5" t="str">
        <f t="shared" si="12"/>
        <v>未买</v>
      </c>
      <c r="R327" s="19">
        <v>325</v>
      </c>
    </row>
    <row r="328" spans="5:18" x14ac:dyDescent="0.15">
      <c r="E328" s="5"/>
      <c r="H328" s="19">
        <v>326</v>
      </c>
      <c r="I328" s="7">
        <v>128108</v>
      </c>
      <c r="J328" s="7" t="s">
        <v>1911</v>
      </c>
      <c r="K328" s="7">
        <v>101.175</v>
      </c>
      <c r="L328" s="7">
        <v>100.82</v>
      </c>
      <c r="M328" s="7">
        <v>201.995</v>
      </c>
      <c r="N328" s="36">
        <v>15.214282000000001</v>
      </c>
      <c r="O328" s="5" t="str">
        <f t="shared" si="12"/>
        <v>未买</v>
      </c>
      <c r="R328" s="19">
        <v>326</v>
      </c>
    </row>
    <row r="329" spans="5:18" x14ac:dyDescent="0.15">
      <c r="E329" s="5"/>
      <c r="H329" s="19">
        <v>327</v>
      </c>
      <c r="I329" s="7">
        <v>123060</v>
      </c>
      <c r="J329" s="7" t="s">
        <v>2016</v>
      </c>
      <c r="K329" s="7">
        <v>187.98500000000001</v>
      </c>
      <c r="L329" s="7">
        <v>15.97</v>
      </c>
      <c r="M329" s="7">
        <v>203.95500000000001</v>
      </c>
      <c r="N329" s="36">
        <v>3.0963069999999999</v>
      </c>
      <c r="O329" s="5" t="str">
        <f t="shared" si="12"/>
        <v>未买</v>
      </c>
      <c r="R329" s="19">
        <v>327</v>
      </c>
    </row>
    <row r="330" spans="5:18" x14ac:dyDescent="0.15">
      <c r="E330" s="5"/>
      <c r="H330" s="19">
        <v>328</v>
      </c>
      <c r="I330" s="7">
        <v>128106</v>
      </c>
      <c r="J330" s="7" t="s">
        <v>1989</v>
      </c>
      <c r="K330" s="7">
        <v>204</v>
      </c>
      <c r="L330" s="7">
        <v>0.87</v>
      </c>
      <c r="M330" s="7">
        <v>204.87</v>
      </c>
      <c r="N330" s="36">
        <v>2.8916430000000002</v>
      </c>
      <c r="O330" s="5" t="str">
        <f t="shared" si="12"/>
        <v>未买</v>
      </c>
      <c r="R330" s="19">
        <v>328</v>
      </c>
    </row>
    <row r="331" spans="5:18" x14ac:dyDescent="0.15">
      <c r="E331" s="5"/>
      <c r="H331" s="19">
        <v>329</v>
      </c>
      <c r="I331" s="7">
        <v>113622</v>
      </c>
      <c r="J331" s="7" t="s">
        <v>1901</v>
      </c>
      <c r="K331" s="7">
        <v>121.51</v>
      </c>
      <c r="L331" s="7">
        <v>84.33</v>
      </c>
      <c r="M331" s="7">
        <v>205.84</v>
      </c>
      <c r="N331" s="36">
        <v>11.499700000000001</v>
      </c>
      <c r="O331" s="5" t="str">
        <f t="shared" si="12"/>
        <v>未买</v>
      </c>
      <c r="R331" s="19">
        <v>329</v>
      </c>
    </row>
    <row r="332" spans="5:18" x14ac:dyDescent="0.15">
      <c r="E332" s="5"/>
      <c r="H332" s="19">
        <v>330</v>
      </c>
      <c r="I332" s="7">
        <v>123012</v>
      </c>
      <c r="J332" s="7" t="s">
        <v>2005</v>
      </c>
      <c r="K332" s="7">
        <v>196</v>
      </c>
      <c r="L332" s="7">
        <v>9.8800000000000008</v>
      </c>
      <c r="M332" s="7">
        <v>205.88</v>
      </c>
      <c r="N332" s="36">
        <v>1.2237709999999999</v>
      </c>
      <c r="O332" s="5" t="str">
        <f t="shared" si="12"/>
        <v>未买</v>
      </c>
      <c r="R332" s="19">
        <v>330</v>
      </c>
    </row>
    <row r="333" spans="5:18" x14ac:dyDescent="0.15">
      <c r="E333" s="5"/>
      <c r="H333" s="19">
        <v>331</v>
      </c>
      <c r="I333" s="7">
        <v>113585</v>
      </c>
      <c r="J333" s="7" t="s">
        <v>2011</v>
      </c>
      <c r="K333" s="7">
        <v>195.45</v>
      </c>
      <c r="L333" s="7">
        <v>11.34</v>
      </c>
      <c r="M333" s="7">
        <v>206.79</v>
      </c>
      <c r="N333" s="36">
        <v>1.00257</v>
      </c>
      <c r="O333" s="5" t="str">
        <f t="shared" si="12"/>
        <v>未买</v>
      </c>
      <c r="R333" s="19">
        <v>331</v>
      </c>
    </row>
    <row r="334" spans="5:18" x14ac:dyDescent="0.15">
      <c r="E334" s="5"/>
      <c r="H334" s="19">
        <v>332</v>
      </c>
      <c r="I334" s="7">
        <v>123116</v>
      </c>
      <c r="J334" s="7" t="s">
        <v>210</v>
      </c>
      <c r="K334" s="7">
        <v>117.608</v>
      </c>
      <c r="L334" s="7">
        <v>90.74</v>
      </c>
      <c r="M334" s="7">
        <v>208.34800000000001</v>
      </c>
      <c r="N334" s="36">
        <v>3.7816160000000005</v>
      </c>
      <c r="O334" s="5" t="str">
        <f t="shared" si="12"/>
        <v>未买</v>
      </c>
      <c r="R334" s="19">
        <v>332</v>
      </c>
    </row>
    <row r="335" spans="5:18" x14ac:dyDescent="0.15">
      <c r="E335" s="5"/>
      <c r="H335" s="19">
        <v>333</v>
      </c>
      <c r="I335" s="7">
        <v>113597</v>
      </c>
      <c r="J335" s="7" t="s">
        <v>156</v>
      </c>
      <c r="K335" s="7">
        <v>128.79</v>
      </c>
      <c r="L335" s="7">
        <v>80.08</v>
      </c>
      <c r="M335" s="7">
        <v>208.87</v>
      </c>
      <c r="N335" s="36">
        <v>2.98447</v>
      </c>
      <c r="O335" s="5" t="str">
        <f t="shared" si="12"/>
        <v>未买</v>
      </c>
      <c r="R335" s="19">
        <v>333</v>
      </c>
    </row>
    <row r="336" spans="5:18" x14ac:dyDescent="0.15">
      <c r="E336" s="5"/>
      <c r="H336" s="19">
        <v>334</v>
      </c>
      <c r="I336" s="7">
        <v>128036</v>
      </c>
      <c r="J336" s="7" t="s">
        <v>181</v>
      </c>
      <c r="K336" s="7">
        <v>156.30000000000001</v>
      </c>
      <c r="L336" s="7">
        <v>53</v>
      </c>
      <c r="M336" s="7">
        <v>209.3</v>
      </c>
      <c r="N336" s="36">
        <v>1.4565330000000001</v>
      </c>
      <c r="O336" s="5" t="str">
        <f t="shared" si="12"/>
        <v>未买</v>
      </c>
      <c r="R336" s="19">
        <v>334</v>
      </c>
    </row>
    <row r="337" spans="5:18" x14ac:dyDescent="0.15">
      <c r="E337" s="5"/>
      <c r="H337" s="19">
        <v>335</v>
      </c>
      <c r="I337" s="7">
        <v>123126</v>
      </c>
      <c r="J337" s="7" t="s">
        <v>183</v>
      </c>
      <c r="K337" s="7">
        <v>115.45</v>
      </c>
      <c r="L337" s="7">
        <v>94.07</v>
      </c>
      <c r="M337" s="7">
        <v>209.51999999999998</v>
      </c>
      <c r="N337" s="36">
        <v>3.399626</v>
      </c>
      <c r="O337" s="5" t="str">
        <f t="shared" si="12"/>
        <v>未买</v>
      </c>
      <c r="R337" s="19">
        <v>335</v>
      </c>
    </row>
    <row r="338" spans="5:18" x14ac:dyDescent="0.15">
      <c r="E338" s="5"/>
      <c r="H338" s="19">
        <v>336</v>
      </c>
      <c r="I338" s="7">
        <v>128072</v>
      </c>
      <c r="J338" s="7" t="s">
        <v>155</v>
      </c>
      <c r="K338" s="7">
        <v>111</v>
      </c>
      <c r="L338" s="7">
        <v>99.89</v>
      </c>
      <c r="M338" s="7">
        <v>210.89</v>
      </c>
      <c r="N338" s="36">
        <v>3.0179149999999999</v>
      </c>
      <c r="O338" s="5" t="str">
        <f t="shared" si="12"/>
        <v>未买</v>
      </c>
      <c r="R338" s="19">
        <v>336</v>
      </c>
    </row>
    <row r="339" spans="5:18" x14ac:dyDescent="0.15">
      <c r="E339" s="5"/>
      <c r="H339" s="19">
        <v>337</v>
      </c>
      <c r="I339" s="7">
        <v>127046</v>
      </c>
      <c r="J339" s="7" t="s">
        <v>1916</v>
      </c>
      <c r="K339" s="7">
        <v>115</v>
      </c>
      <c r="L339" s="7">
        <v>95.98</v>
      </c>
      <c r="M339" s="7">
        <v>210.98000000000002</v>
      </c>
      <c r="N339" s="36">
        <v>11.278155999999999</v>
      </c>
      <c r="O339" s="5" t="str">
        <f t="shared" si="12"/>
        <v>未买</v>
      </c>
      <c r="R339" s="19">
        <v>337</v>
      </c>
    </row>
    <row r="340" spans="5:18" x14ac:dyDescent="0.15">
      <c r="E340" s="5"/>
      <c r="H340" s="19">
        <v>338</v>
      </c>
      <c r="I340" s="7">
        <v>127052</v>
      </c>
      <c r="J340" s="7" t="s">
        <v>1915</v>
      </c>
      <c r="K340" s="7">
        <v>114.8</v>
      </c>
      <c r="L340" s="7">
        <v>96.44</v>
      </c>
      <c r="M340" s="7">
        <v>211.24</v>
      </c>
      <c r="N340" s="36">
        <v>11.1</v>
      </c>
      <c r="O340" s="5" t="str">
        <f t="shared" si="12"/>
        <v>未买</v>
      </c>
      <c r="R340" s="19">
        <v>338</v>
      </c>
    </row>
    <row r="341" spans="5:18" x14ac:dyDescent="0.15">
      <c r="E341" s="5"/>
      <c r="H341" s="19">
        <v>339</v>
      </c>
      <c r="I341" s="7">
        <v>123117</v>
      </c>
      <c r="J341" s="7" t="s">
        <v>146</v>
      </c>
      <c r="K341" s="7">
        <v>111.628</v>
      </c>
      <c r="L341" s="7">
        <v>101.02</v>
      </c>
      <c r="M341" s="7">
        <v>212.648</v>
      </c>
      <c r="N341" s="36">
        <v>9.9991240000000001</v>
      </c>
      <c r="O341" s="5" t="str">
        <f t="shared" si="12"/>
        <v>未买</v>
      </c>
      <c r="R341" s="19">
        <v>339</v>
      </c>
    </row>
    <row r="342" spans="5:18" x14ac:dyDescent="0.15">
      <c r="E342" s="5"/>
      <c r="H342" s="19">
        <v>340</v>
      </c>
      <c r="I342" s="7">
        <v>127051</v>
      </c>
      <c r="J342" s="7" t="s">
        <v>252</v>
      </c>
      <c r="K342" s="7">
        <v>117.38800000000001</v>
      </c>
      <c r="L342" s="7">
        <v>95.45</v>
      </c>
      <c r="M342" s="7">
        <v>212.83800000000002</v>
      </c>
      <c r="N342" s="36">
        <v>5.2599260000000001</v>
      </c>
      <c r="O342" s="5" t="str">
        <f t="shared" si="12"/>
        <v>未买</v>
      </c>
      <c r="R342" s="19">
        <v>340</v>
      </c>
    </row>
    <row r="343" spans="5:18" x14ac:dyDescent="0.15">
      <c r="E343" s="5"/>
      <c r="H343" s="19">
        <v>341</v>
      </c>
      <c r="I343" s="7">
        <v>123067</v>
      </c>
      <c r="J343" s="7" t="s">
        <v>2013</v>
      </c>
      <c r="K343" s="7">
        <v>201</v>
      </c>
      <c r="L343" s="7">
        <v>12.26</v>
      </c>
      <c r="M343" s="7">
        <v>213.26</v>
      </c>
      <c r="N343" s="36">
        <v>2.3973879999999999</v>
      </c>
      <c r="O343" s="5" t="str">
        <f t="shared" si="12"/>
        <v>未买</v>
      </c>
      <c r="R343" s="19">
        <v>341</v>
      </c>
    </row>
    <row r="344" spans="5:18" x14ac:dyDescent="0.15">
      <c r="E344" s="5"/>
      <c r="H344" s="19">
        <v>342</v>
      </c>
      <c r="I344" s="7">
        <v>123011</v>
      </c>
      <c r="J344" s="7" t="s">
        <v>171</v>
      </c>
      <c r="K344" s="7">
        <v>120</v>
      </c>
      <c r="L344" s="7">
        <v>93.52</v>
      </c>
      <c r="M344" s="7">
        <v>213.51999999999998</v>
      </c>
      <c r="N344" s="36">
        <v>2.5060280000000001</v>
      </c>
      <c r="O344" s="5" t="str">
        <f t="shared" si="12"/>
        <v>未买</v>
      </c>
      <c r="R344" s="19">
        <v>342</v>
      </c>
    </row>
    <row r="345" spans="5:18" x14ac:dyDescent="0.15">
      <c r="E345" s="5"/>
      <c r="H345" s="19">
        <v>343</v>
      </c>
      <c r="I345" s="7">
        <v>128136</v>
      </c>
      <c r="J345" s="7" t="s">
        <v>1910</v>
      </c>
      <c r="K345" s="7">
        <v>112.622</v>
      </c>
      <c r="L345" s="7">
        <v>101.22</v>
      </c>
      <c r="M345" s="7">
        <v>213.84199999999998</v>
      </c>
      <c r="N345" s="36">
        <v>29.993306</v>
      </c>
      <c r="O345" s="5" t="str">
        <f t="shared" si="12"/>
        <v>未买</v>
      </c>
      <c r="R345" s="19">
        <v>343</v>
      </c>
    </row>
    <row r="346" spans="5:18" x14ac:dyDescent="0.15">
      <c r="E346" s="5"/>
      <c r="H346" s="19">
        <v>344</v>
      </c>
      <c r="I346" s="7">
        <v>113605</v>
      </c>
      <c r="J346" s="7" t="s">
        <v>1914</v>
      </c>
      <c r="K346" s="7">
        <v>110.35</v>
      </c>
      <c r="L346" s="7">
        <v>104.24</v>
      </c>
      <c r="M346" s="7">
        <v>214.58999999999997</v>
      </c>
      <c r="N346" s="36">
        <v>14.04745</v>
      </c>
      <c r="O346" s="5" t="str">
        <f t="shared" si="12"/>
        <v>未买</v>
      </c>
      <c r="R346" s="19">
        <v>344</v>
      </c>
    </row>
    <row r="347" spans="5:18" x14ac:dyDescent="0.15">
      <c r="E347" s="5"/>
      <c r="H347" s="19">
        <v>345</v>
      </c>
      <c r="I347" s="7">
        <v>123139</v>
      </c>
      <c r="J347" s="7" t="s">
        <v>785</v>
      </c>
      <c r="K347" s="7">
        <v>175.3</v>
      </c>
      <c r="L347" s="7">
        <v>39.68</v>
      </c>
      <c r="M347" s="7">
        <v>214.98000000000002</v>
      </c>
      <c r="N347" s="36">
        <v>4.3</v>
      </c>
      <c r="O347" s="5" t="str">
        <f t="shared" si="12"/>
        <v>未买</v>
      </c>
      <c r="R347" s="19">
        <v>345</v>
      </c>
    </row>
    <row r="348" spans="5:18" x14ac:dyDescent="0.15">
      <c r="E348" s="5"/>
      <c r="H348" s="19">
        <v>346</v>
      </c>
      <c r="I348" s="7">
        <v>123092</v>
      </c>
      <c r="J348" s="7" t="s">
        <v>1997</v>
      </c>
      <c r="K348" s="7">
        <v>211.43799999999999</v>
      </c>
      <c r="L348" s="7">
        <v>3.7</v>
      </c>
      <c r="M348" s="7">
        <v>215.13799999999998</v>
      </c>
      <c r="N348" s="36">
        <v>4.1420300000000001</v>
      </c>
      <c r="O348" s="5" t="str">
        <f t="shared" si="12"/>
        <v>未买</v>
      </c>
      <c r="R348" s="19">
        <v>346</v>
      </c>
    </row>
    <row r="349" spans="5:18" x14ac:dyDescent="0.15">
      <c r="E349" s="5"/>
      <c r="H349" s="19">
        <v>347</v>
      </c>
      <c r="I349" s="7">
        <v>113595</v>
      </c>
      <c r="J349" s="7" t="s">
        <v>140</v>
      </c>
      <c r="K349" s="7">
        <v>106.26</v>
      </c>
      <c r="L349" s="7">
        <v>108.89</v>
      </c>
      <c r="M349" s="7">
        <v>215.15</v>
      </c>
      <c r="N349" s="36">
        <v>3.2978900000000002</v>
      </c>
      <c r="O349" s="5" t="str">
        <f t="shared" si="12"/>
        <v>未买</v>
      </c>
      <c r="R349" s="19">
        <v>347</v>
      </c>
    </row>
    <row r="350" spans="5:18" x14ac:dyDescent="0.15">
      <c r="E350" s="5"/>
      <c r="H350" s="19">
        <v>348</v>
      </c>
      <c r="I350" s="7">
        <v>127062</v>
      </c>
      <c r="J350" s="7" t="s">
        <v>1895</v>
      </c>
      <c r="K350" s="7">
        <v>141.38900000000001</v>
      </c>
      <c r="L350" s="7">
        <v>74.81</v>
      </c>
      <c r="M350" s="7">
        <v>216.19900000000001</v>
      </c>
      <c r="N350" s="36">
        <v>3.9630000000000001</v>
      </c>
      <c r="O350" s="5" t="str">
        <f t="shared" si="12"/>
        <v>未买</v>
      </c>
      <c r="R350" s="19">
        <v>348</v>
      </c>
    </row>
    <row r="351" spans="5:18" x14ac:dyDescent="0.15">
      <c r="E351" s="5"/>
      <c r="H351" s="19">
        <v>349</v>
      </c>
      <c r="I351" s="7">
        <v>128017</v>
      </c>
      <c r="J351" s="7" t="s">
        <v>2009</v>
      </c>
      <c r="K351" s="7">
        <v>205.822</v>
      </c>
      <c r="L351" s="7">
        <v>11.14</v>
      </c>
      <c r="M351" s="7">
        <v>216.96199999999999</v>
      </c>
      <c r="N351" s="36">
        <v>5.5181570000000004</v>
      </c>
      <c r="O351" s="5" t="str">
        <f t="shared" si="12"/>
        <v>未买</v>
      </c>
      <c r="R351" s="19">
        <v>349</v>
      </c>
    </row>
    <row r="352" spans="5:18" x14ac:dyDescent="0.15">
      <c r="E352" s="5"/>
      <c r="H352" s="19">
        <v>350</v>
      </c>
      <c r="I352" s="7">
        <v>123038</v>
      </c>
      <c r="J352" s="7" t="s">
        <v>74</v>
      </c>
      <c r="K352" s="7">
        <v>132.4</v>
      </c>
      <c r="L352" s="7">
        <v>86.61</v>
      </c>
      <c r="M352" s="7">
        <v>219.01</v>
      </c>
      <c r="N352" s="36">
        <v>1.4726779999999999</v>
      </c>
      <c r="O352" s="5" t="str">
        <f t="shared" si="12"/>
        <v>未买</v>
      </c>
      <c r="R352" s="19">
        <v>350</v>
      </c>
    </row>
    <row r="353" spans="5:18" x14ac:dyDescent="0.15">
      <c r="E353" s="5"/>
      <c r="H353" s="19">
        <v>351</v>
      </c>
      <c r="I353" s="7">
        <v>110048</v>
      </c>
      <c r="J353" s="7" t="s">
        <v>2022</v>
      </c>
      <c r="K353" s="7">
        <v>202.36</v>
      </c>
      <c r="L353" s="7">
        <v>17.670000000000002</v>
      </c>
      <c r="M353" s="7">
        <v>220.03000000000003</v>
      </c>
      <c r="N353" s="36">
        <v>12.761810000000001</v>
      </c>
      <c r="O353" s="5" t="str">
        <f t="shared" si="12"/>
        <v>未买</v>
      </c>
      <c r="R353" s="19">
        <v>351</v>
      </c>
    </row>
    <row r="354" spans="5:18" x14ac:dyDescent="0.15">
      <c r="E354" s="5"/>
      <c r="H354" s="19">
        <v>352</v>
      </c>
      <c r="I354" s="7">
        <v>128125</v>
      </c>
      <c r="J354" s="7" t="s">
        <v>149</v>
      </c>
      <c r="K354" s="7">
        <v>109.40300000000001</v>
      </c>
      <c r="L354" s="7">
        <v>111.82</v>
      </c>
      <c r="M354" s="7">
        <v>221.22300000000001</v>
      </c>
      <c r="N354" s="36">
        <v>4.4980339999999996</v>
      </c>
      <c r="O354" s="5" t="str">
        <f t="shared" si="12"/>
        <v>未买</v>
      </c>
      <c r="R354" s="19">
        <v>352</v>
      </c>
    </row>
    <row r="355" spans="5:18" x14ac:dyDescent="0.15">
      <c r="E355" s="5"/>
      <c r="H355" s="19">
        <v>353</v>
      </c>
      <c r="I355" s="7">
        <v>113624</v>
      </c>
      <c r="J355" s="7" t="s">
        <v>179</v>
      </c>
      <c r="K355" s="7">
        <v>109.74</v>
      </c>
      <c r="L355" s="7">
        <v>112.26</v>
      </c>
      <c r="M355" s="7">
        <v>222</v>
      </c>
      <c r="N355" s="36">
        <v>4.0492699999999999</v>
      </c>
      <c r="O355" s="5" t="str">
        <f t="shared" si="12"/>
        <v>未买</v>
      </c>
      <c r="R355" s="19">
        <v>353</v>
      </c>
    </row>
    <row r="356" spans="5:18" x14ac:dyDescent="0.15">
      <c r="E356" s="5"/>
      <c r="H356" s="19">
        <v>354</v>
      </c>
      <c r="I356" s="7">
        <v>128079</v>
      </c>
      <c r="J356" s="7" t="s">
        <v>94</v>
      </c>
      <c r="K356" s="7">
        <v>141</v>
      </c>
      <c r="L356" s="7">
        <v>82.36</v>
      </c>
      <c r="M356" s="7">
        <v>223.36</v>
      </c>
      <c r="N356" s="36">
        <v>1.520079</v>
      </c>
      <c r="O356" s="5" t="str">
        <f t="shared" si="12"/>
        <v>未买</v>
      </c>
      <c r="R356" s="19">
        <v>354</v>
      </c>
    </row>
    <row r="357" spans="5:18" x14ac:dyDescent="0.15">
      <c r="E357" s="5"/>
      <c r="H357" s="19">
        <v>355</v>
      </c>
      <c r="I357" s="7">
        <v>123076</v>
      </c>
      <c r="J357" s="7" t="s">
        <v>160</v>
      </c>
      <c r="K357" s="7">
        <v>107.2</v>
      </c>
      <c r="L357" s="7">
        <v>116.22</v>
      </c>
      <c r="M357" s="7">
        <v>223.42000000000002</v>
      </c>
      <c r="N357" s="36">
        <v>8.4985510000000009</v>
      </c>
      <c r="O357" s="5" t="str">
        <f t="shared" si="12"/>
        <v>未买</v>
      </c>
      <c r="R357" s="19">
        <v>355</v>
      </c>
    </row>
    <row r="358" spans="5:18" x14ac:dyDescent="0.15">
      <c r="E358" s="5"/>
      <c r="H358" s="19">
        <v>356</v>
      </c>
      <c r="I358" s="7">
        <v>128082</v>
      </c>
      <c r="J358" s="7" t="s">
        <v>2038</v>
      </c>
      <c r="K358" s="7">
        <v>191.351</v>
      </c>
      <c r="L358" s="7">
        <v>32.35</v>
      </c>
      <c r="M358" s="7">
        <v>223.70099999999999</v>
      </c>
      <c r="N358" s="36">
        <v>2.0326740000000001</v>
      </c>
      <c r="O358" s="5" t="str">
        <f t="shared" si="12"/>
        <v>未买</v>
      </c>
      <c r="R358" s="19">
        <v>356</v>
      </c>
    </row>
    <row r="359" spans="5:18" x14ac:dyDescent="0.15">
      <c r="E359" s="5"/>
      <c r="H359" s="19">
        <v>357</v>
      </c>
      <c r="I359" s="7">
        <v>123014</v>
      </c>
      <c r="J359" s="7" t="s">
        <v>55</v>
      </c>
      <c r="K359" s="7">
        <v>165</v>
      </c>
      <c r="L359" s="7">
        <v>59.64</v>
      </c>
      <c r="M359" s="7">
        <v>224.64</v>
      </c>
      <c r="N359" s="36">
        <v>1.160385</v>
      </c>
      <c r="O359" s="5" t="str">
        <f t="shared" si="12"/>
        <v>未买</v>
      </c>
      <c r="R359" s="19">
        <v>357</v>
      </c>
    </row>
    <row r="360" spans="5:18" x14ac:dyDescent="0.15">
      <c r="E360" s="5"/>
      <c r="H360" s="19">
        <v>358</v>
      </c>
      <c r="I360" s="7">
        <v>123101</v>
      </c>
      <c r="J360" s="7" t="s">
        <v>152</v>
      </c>
      <c r="K360" s="7">
        <v>108.9</v>
      </c>
      <c r="L360" s="7">
        <v>118.15</v>
      </c>
      <c r="M360" s="7">
        <v>227.05</v>
      </c>
      <c r="N360" s="36">
        <v>6.697616</v>
      </c>
      <c r="O360" s="5" t="str">
        <f t="shared" si="12"/>
        <v>未买</v>
      </c>
      <c r="R360" s="19">
        <v>358</v>
      </c>
    </row>
    <row r="361" spans="5:18" x14ac:dyDescent="0.15">
      <c r="E361" s="5"/>
      <c r="H361" s="19">
        <v>359</v>
      </c>
      <c r="I361" s="7">
        <v>110055</v>
      </c>
      <c r="J361" s="7" t="s">
        <v>2018</v>
      </c>
      <c r="K361" s="7">
        <v>213.44</v>
      </c>
      <c r="L361" s="7">
        <v>16.48</v>
      </c>
      <c r="M361" s="7">
        <v>229.92</v>
      </c>
      <c r="N361" s="36">
        <v>2.4349500000000002</v>
      </c>
      <c r="O361" s="5" t="str">
        <f t="shared" si="12"/>
        <v>未买</v>
      </c>
      <c r="R361" s="19">
        <v>359</v>
      </c>
    </row>
    <row r="362" spans="5:18" x14ac:dyDescent="0.15">
      <c r="E362" s="5"/>
      <c r="H362" s="19">
        <v>360</v>
      </c>
      <c r="I362" s="7">
        <v>123113</v>
      </c>
      <c r="J362" s="7" t="s">
        <v>1917</v>
      </c>
      <c r="K362" s="7">
        <v>108.19</v>
      </c>
      <c r="L362" s="7">
        <v>125.49</v>
      </c>
      <c r="M362" s="7">
        <v>233.68</v>
      </c>
      <c r="N362" s="36">
        <v>10.248582000000001</v>
      </c>
      <c r="O362" s="5" t="str">
        <f t="shared" si="12"/>
        <v>未买</v>
      </c>
      <c r="R362" s="19">
        <v>360</v>
      </c>
    </row>
    <row r="363" spans="5:18" x14ac:dyDescent="0.15">
      <c r="E363" s="5"/>
      <c r="H363" s="19">
        <v>361</v>
      </c>
      <c r="I363" s="7">
        <v>113573</v>
      </c>
      <c r="J363" s="7" t="s">
        <v>144</v>
      </c>
      <c r="K363" s="7">
        <v>116.14</v>
      </c>
      <c r="L363" s="7">
        <v>119.88</v>
      </c>
      <c r="M363" s="7">
        <v>236.01999999999998</v>
      </c>
      <c r="N363" s="36">
        <v>2.6983299999999999</v>
      </c>
      <c r="O363" s="5" t="str">
        <f t="shared" si="12"/>
        <v>未买</v>
      </c>
      <c r="R363" s="19">
        <v>361</v>
      </c>
    </row>
    <row r="364" spans="5:18" x14ac:dyDescent="0.15">
      <c r="E364" s="5"/>
      <c r="H364" s="19">
        <v>362</v>
      </c>
      <c r="I364" s="7">
        <v>113626</v>
      </c>
      <c r="J364" s="7" t="s">
        <v>1981</v>
      </c>
      <c r="K364" s="7">
        <v>239.41</v>
      </c>
      <c r="L364" s="7">
        <v>-0.4</v>
      </c>
      <c r="M364" s="7">
        <v>239.01</v>
      </c>
      <c r="N364" s="36">
        <v>9.0144699999999993</v>
      </c>
      <c r="O364" s="5" t="str">
        <f t="shared" si="12"/>
        <v>未买</v>
      </c>
      <c r="R364" s="19">
        <v>362</v>
      </c>
    </row>
    <row r="365" spans="5:18" x14ac:dyDescent="0.15">
      <c r="E365" s="5"/>
      <c r="H365" s="19">
        <v>363</v>
      </c>
      <c r="I365" s="7">
        <v>113582</v>
      </c>
      <c r="J365" s="7" t="s">
        <v>2023</v>
      </c>
      <c r="K365" s="7">
        <v>223.64</v>
      </c>
      <c r="L365" s="7">
        <v>18.649999999999999</v>
      </c>
      <c r="M365" s="7">
        <v>242.29</v>
      </c>
      <c r="N365" s="36">
        <v>4.17692</v>
      </c>
      <c r="O365" s="5" t="str">
        <f t="shared" si="12"/>
        <v>未买</v>
      </c>
      <c r="R365" s="19">
        <v>363</v>
      </c>
    </row>
    <row r="366" spans="5:18" x14ac:dyDescent="0.15">
      <c r="E366" s="5"/>
      <c r="H366" s="19">
        <v>364</v>
      </c>
      <c r="I366" s="7">
        <v>128118</v>
      </c>
      <c r="J366" s="7" t="s">
        <v>153</v>
      </c>
      <c r="K366" s="7">
        <v>111.40300000000001</v>
      </c>
      <c r="L366" s="7">
        <v>130.93</v>
      </c>
      <c r="M366" s="7">
        <v>242.33300000000003</v>
      </c>
      <c r="N366" s="36">
        <v>2.9983399999999998</v>
      </c>
      <c r="O366" s="5" t="str">
        <f t="shared" si="12"/>
        <v>未买</v>
      </c>
      <c r="R366" s="19">
        <v>364</v>
      </c>
    </row>
    <row r="367" spans="5:18" x14ac:dyDescent="0.15">
      <c r="E367" s="5"/>
      <c r="H367" s="19">
        <v>365</v>
      </c>
      <c r="I367" s="7">
        <v>123104</v>
      </c>
      <c r="J367" s="7" t="s">
        <v>178</v>
      </c>
      <c r="K367" s="7">
        <v>115.2</v>
      </c>
      <c r="L367" s="7">
        <v>132.21</v>
      </c>
      <c r="M367" s="7">
        <v>247.41000000000003</v>
      </c>
      <c r="N367" s="36">
        <v>9.7010769999999997</v>
      </c>
      <c r="O367" s="5" t="str">
        <f t="shared" si="12"/>
        <v>未买</v>
      </c>
      <c r="R367" s="19">
        <v>365</v>
      </c>
    </row>
    <row r="368" spans="5:18" x14ac:dyDescent="0.15">
      <c r="E368" s="5"/>
      <c r="H368" s="19">
        <v>366</v>
      </c>
      <c r="I368" s="7">
        <v>128070</v>
      </c>
      <c r="J368" s="7" t="s">
        <v>165</v>
      </c>
      <c r="K368" s="7">
        <v>140.25</v>
      </c>
      <c r="L368" s="7">
        <v>108.06</v>
      </c>
      <c r="M368" s="7">
        <v>248.31</v>
      </c>
      <c r="N368" s="36">
        <v>2.295741</v>
      </c>
      <c r="O368" s="5" t="str">
        <f t="shared" si="12"/>
        <v>未买</v>
      </c>
      <c r="R368" s="19">
        <v>366</v>
      </c>
    </row>
    <row r="369" spans="5:18" x14ac:dyDescent="0.15">
      <c r="E369" s="5"/>
      <c r="H369" s="19">
        <v>367</v>
      </c>
      <c r="I369" s="7">
        <v>123141</v>
      </c>
      <c r="J369" s="7" t="s">
        <v>787</v>
      </c>
      <c r="K369" s="7">
        <v>164.23099999999999</v>
      </c>
      <c r="L369" s="7">
        <v>85.7</v>
      </c>
      <c r="M369" s="7">
        <v>249.93099999999998</v>
      </c>
      <c r="N369" s="36">
        <v>3.2126000000000001</v>
      </c>
      <c r="O369" s="5" t="str">
        <f t="shared" si="12"/>
        <v>未买</v>
      </c>
      <c r="R369" s="19">
        <v>367</v>
      </c>
    </row>
    <row r="370" spans="5:18" x14ac:dyDescent="0.15">
      <c r="E370" s="5"/>
      <c r="H370" s="19">
        <v>368</v>
      </c>
      <c r="I370" s="7">
        <v>118006</v>
      </c>
      <c r="J370" s="7" t="s">
        <v>807</v>
      </c>
      <c r="K370" s="7">
        <v>194.47</v>
      </c>
      <c r="L370" s="7">
        <v>58.29</v>
      </c>
      <c r="M370" s="7">
        <v>252.76</v>
      </c>
      <c r="N370" s="36">
        <v>3.8740000000000001</v>
      </c>
      <c r="O370" s="5" t="str">
        <f t="shared" si="12"/>
        <v>未买</v>
      </c>
      <c r="R370" s="19">
        <v>368</v>
      </c>
    </row>
    <row r="371" spans="5:18" x14ac:dyDescent="0.15">
      <c r="E371" s="5"/>
      <c r="H371" s="19">
        <v>369</v>
      </c>
      <c r="I371" s="7">
        <v>128124</v>
      </c>
      <c r="J371" s="7" t="s">
        <v>170</v>
      </c>
      <c r="K371" s="7">
        <v>100.455</v>
      </c>
      <c r="L371" s="7">
        <v>153.04</v>
      </c>
      <c r="M371" s="7">
        <v>253.495</v>
      </c>
      <c r="N371" s="36">
        <v>7.3764519999999996</v>
      </c>
      <c r="O371" s="5" t="str">
        <f t="shared" si="12"/>
        <v>未买</v>
      </c>
      <c r="R371" s="19">
        <v>369</v>
      </c>
    </row>
    <row r="372" spans="5:18" x14ac:dyDescent="0.15">
      <c r="E372" s="5"/>
      <c r="H372" s="19">
        <v>370</v>
      </c>
      <c r="I372" s="7">
        <v>128138</v>
      </c>
      <c r="J372" s="7" t="s">
        <v>147</v>
      </c>
      <c r="K372" s="7">
        <v>115.5</v>
      </c>
      <c r="L372" s="7">
        <v>138.44</v>
      </c>
      <c r="M372" s="7">
        <v>253.94</v>
      </c>
      <c r="N372" s="36">
        <v>4.1991089999999991</v>
      </c>
      <c r="O372" s="5" t="str">
        <f t="shared" si="12"/>
        <v>未买</v>
      </c>
      <c r="R372" s="19">
        <v>370</v>
      </c>
    </row>
    <row r="373" spans="5:18" x14ac:dyDescent="0.15">
      <c r="E373" s="5"/>
      <c r="H373" s="19">
        <v>371</v>
      </c>
      <c r="I373" s="7">
        <v>128091</v>
      </c>
      <c r="J373" s="7" t="s">
        <v>2044</v>
      </c>
      <c r="K373" s="7">
        <v>213</v>
      </c>
      <c r="L373" s="7">
        <v>46.71</v>
      </c>
      <c r="M373" s="7">
        <v>259.70999999999998</v>
      </c>
      <c r="N373" s="36">
        <v>1.5406930000000001</v>
      </c>
      <c r="O373" s="5" t="str">
        <f t="shared" si="12"/>
        <v>未买</v>
      </c>
      <c r="R373" s="19">
        <v>371</v>
      </c>
    </row>
    <row r="374" spans="5:18" x14ac:dyDescent="0.15">
      <c r="E374" s="5"/>
      <c r="H374" s="19">
        <v>372</v>
      </c>
      <c r="I374" s="7">
        <v>118007</v>
      </c>
      <c r="J374" s="7" t="s">
        <v>816</v>
      </c>
      <c r="K374" s="7">
        <v>164.37</v>
      </c>
      <c r="L374" s="7">
        <v>97.09</v>
      </c>
      <c r="M374" s="7">
        <v>261.46000000000004</v>
      </c>
      <c r="N374" s="36">
        <v>2.6743000000000001</v>
      </c>
      <c r="O374" s="5" t="str">
        <f t="shared" si="12"/>
        <v>未买</v>
      </c>
      <c r="R374" s="19">
        <v>372</v>
      </c>
    </row>
    <row r="375" spans="5:18" x14ac:dyDescent="0.15">
      <c r="E375" s="5"/>
      <c r="H375" s="19">
        <v>373</v>
      </c>
      <c r="I375" s="7">
        <v>113589</v>
      </c>
      <c r="J375" s="7" t="s">
        <v>145</v>
      </c>
      <c r="K375" s="7">
        <v>98.44</v>
      </c>
      <c r="L375" s="7">
        <v>163.56</v>
      </c>
      <c r="M375" s="7">
        <v>262</v>
      </c>
      <c r="N375" s="36">
        <v>5.9959100000000003</v>
      </c>
      <c r="O375" s="5" t="str">
        <f t="shared" si="12"/>
        <v>未买</v>
      </c>
      <c r="R375" s="19">
        <v>373</v>
      </c>
    </row>
    <row r="376" spans="5:18" x14ac:dyDescent="0.15">
      <c r="E376" s="5"/>
      <c r="H376" s="19">
        <v>374</v>
      </c>
      <c r="I376" s="7">
        <v>123039</v>
      </c>
      <c r="J376" s="7" t="s">
        <v>167</v>
      </c>
      <c r="K376" s="7">
        <v>125.96</v>
      </c>
      <c r="L376" s="7">
        <v>144.54</v>
      </c>
      <c r="M376" s="7">
        <v>270.5</v>
      </c>
      <c r="N376" s="36">
        <v>2.2170109999999998</v>
      </c>
      <c r="O376" s="5" t="str">
        <f t="shared" si="12"/>
        <v>未买</v>
      </c>
      <c r="R376" s="19">
        <v>374</v>
      </c>
    </row>
    <row r="377" spans="5:18" x14ac:dyDescent="0.15">
      <c r="E377" s="5"/>
      <c r="H377" s="19">
        <v>375</v>
      </c>
      <c r="I377" s="7">
        <v>113569</v>
      </c>
      <c r="J377" s="7" t="s">
        <v>139</v>
      </c>
      <c r="K377" s="7">
        <v>105.93</v>
      </c>
      <c r="L377" s="7">
        <v>171.27</v>
      </c>
      <c r="M377" s="7">
        <v>277.20000000000005</v>
      </c>
      <c r="N377" s="36">
        <v>5.1559499999999998</v>
      </c>
      <c r="O377" s="5" t="str">
        <f t="shared" si="12"/>
        <v>未买</v>
      </c>
      <c r="R377" s="19">
        <v>375</v>
      </c>
    </row>
    <row r="378" spans="5:18" x14ac:dyDescent="0.15">
      <c r="E378" s="5"/>
      <c r="H378" s="19">
        <v>376</v>
      </c>
      <c r="I378" s="7">
        <v>113627</v>
      </c>
      <c r="J378" s="7" t="s">
        <v>148</v>
      </c>
      <c r="K378" s="7">
        <v>109.05</v>
      </c>
      <c r="L378" s="7">
        <v>173.58</v>
      </c>
      <c r="M378" s="7">
        <v>282.63</v>
      </c>
      <c r="N378" s="36">
        <v>7.99979</v>
      </c>
      <c r="O378" s="5" t="str">
        <f t="shared" si="12"/>
        <v>未买</v>
      </c>
      <c r="R378" s="19">
        <v>376</v>
      </c>
    </row>
    <row r="379" spans="5:18" x14ac:dyDescent="0.15">
      <c r="E379" s="5"/>
      <c r="H379" s="19">
        <v>377</v>
      </c>
      <c r="I379" s="7">
        <v>113584</v>
      </c>
      <c r="J379" s="7" t="s">
        <v>1918</v>
      </c>
      <c r="K379" s="7">
        <v>104.21</v>
      </c>
      <c r="L379" s="7">
        <v>183.8</v>
      </c>
      <c r="M379" s="7">
        <v>288.01</v>
      </c>
      <c r="N379" s="36">
        <v>6.4491300000000003</v>
      </c>
      <c r="O379" s="5" t="str">
        <f t="shared" si="12"/>
        <v>未买</v>
      </c>
      <c r="R379" s="19">
        <v>377</v>
      </c>
    </row>
    <row r="380" spans="5:18" x14ac:dyDescent="0.15">
      <c r="E380" s="5"/>
      <c r="H380" s="19">
        <v>378</v>
      </c>
      <c r="I380" s="7">
        <v>123065</v>
      </c>
      <c r="J380" s="7" t="s">
        <v>136</v>
      </c>
      <c r="K380" s="7">
        <v>120</v>
      </c>
      <c r="L380" s="7">
        <v>171.86</v>
      </c>
      <c r="M380" s="7">
        <v>291.86</v>
      </c>
      <c r="N380" s="36">
        <v>2.1885789999999998</v>
      </c>
      <c r="O380" s="5" t="str">
        <f t="shared" si="12"/>
        <v>未买</v>
      </c>
      <c r="R380" s="19">
        <v>378</v>
      </c>
    </row>
    <row r="381" spans="5:18" x14ac:dyDescent="0.15">
      <c r="E381" s="5"/>
      <c r="H381" s="19">
        <v>379</v>
      </c>
      <c r="I381" s="7">
        <v>123138</v>
      </c>
      <c r="J381" s="7" t="s">
        <v>786</v>
      </c>
      <c r="K381" s="7">
        <v>164.19300000000001</v>
      </c>
      <c r="L381" s="7">
        <v>128.74</v>
      </c>
      <c r="M381" s="7">
        <v>292.93299999999999</v>
      </c>
      <c r="N381" s="36">
        <v>2.4</v>
      </c>
      <c r="O381" s="5" t="str">
        <f t="shared" si="12"/>
        <v>未买</v>
      </c>
      <c r="R381" s="19">
        <v>379</v>
      </c>
    </row>
    <row r="382" spans="5:18" x14ac:dyDescent="0.15">
      <c r="E382" s="5"/>
      <c r="H382" s="19">
        <v>380</v>
      </c>
      <c r="I382" s="7">
        <v>123093</v>
      </c>
      <c r="J382" s="7" t="s">
        <v>142</v>
      </c>
      <c r="K382" s="7">
        <v>137.9</v>
      </c>
      <c r="L382" s="7">
        <v>157.37</v>
      </c>
      <c r="M382" s="7">
        <v>295.27</v>
      </c>
      <c r="N382" s="36">
        <v>2.4998309999999999</v>
      </c>
      <c r="O382" s="5" t="str">
        <f t="shared" si="12"/>
        <v>未买</v>
      </c>
      <c r="R382" s="19">
        <v>380</v>
      </c>
    </row>
    <row r="383" spans="5:18" x14ac:dyDescent="0.15">
      <c r="E383" s="5"/>
      <c r="H383" s="19">
        <v>381</v>
      </c>
      <c r="I383" s="7">
        <v>113596</v>
      </c>
      <c r="J383" s="7" t="s">
        <v>1919</v>
      </c>
      <c r="K383" s="7">
        <v>97.12</v>
      </c>
      <c r="L383" s="7">
        <v>204.83</v>
      </c>
      <c r="M383" s="7">
        <v>301.95000000000005</v>
      </c>
      <c r="N383" s="36">
        <v>11.986980000000001</v>
      </c>
      <c r="O383" s="5" t="str">
        <f t="shared" si="12"/>
        <v>未买</v>
      </c>
      <c r="R383" s="19">
        <v>381</v>
      </c>
    </row>
    <row r="384" spans="5:18" x14ac:dyDescent="0.15">
      <c r="E384" s="5"/>
      <c r="H384" s="19">
        <v>382</v>
      </c>
      <c r="I384" s="7">
        <v>128062</v>
      </c>
      <c r="J384" s="7" t="s">
        <v>1920</v>
      </c>
      <c r="K384" s="7">
        <v>99.34</v>
      </c>
      <c r="L384" s="7">
        <v>205.76</v>
      </c>
      <c r="M384" s="7">
        <v>305.10000000000002</v>
      </c>
      <c r="N384" s="36">
        <v>9.6197039999999987</v>
      </c>
      <c r="O384" s="5" t="str">
        <f t="shared" si="12"/>
        <v>未买</v>
      </c>
      <c r="R384" s="19">
        <v>382</v>
      </c>
    </row>
    <row r="385" spans="5:18" x14ac:dyDescent="0.15">
      <c r="E385" s="5"/>
      <c r="H385" s="19">
        <v>383</v>
      </c>
      <c r="I385" s="7">
        <v>123070</v>
      </c>
      <c r="J385" s="7" t="s">
        <v>1982</v>
      </c>
      <c r="K385" s="7">
        <v>307.5</v>
      </c>
      <c r="L385" s="7">
        <v>-0.34</v>
      </c>
      <c r="M385" s="7">
        <v>307.16000000000003</v>
      </c>
      <c r="N385" s="36">
        <v>3.7212149999999999</v>
      </c>
      <c r="O385" s="5" t="str">
        <f t="shared" si="12"/>
        <v>未买</v>
      </c>
      <c r="R385" s="19">
        <v>383</v>
      </c>
    </row>
    <row r="386" spans="5:18" x14ac:dyDescent="0.15">
      <c r="E386" s="5"/>
      <c r="H386" s="19">
        <v>384</v>
      </c>
      <c r="I386" s="7">
        <v>113534</v>
      </c>
      <c r="J386" s="7" t="s">
        <v>1994</v>
      </c>
      <c r="K386" s="7">
        <v>307.99</v>
      </c>
      <c r="L386" s="7">
        <v>1.86</v>
      </c>
      <c r="M386" s="7">
        <v>309.85000000000002</v>
      </c>
      <c r="N386" s="36">
        <v>4.03714</v>
      </c>
      <c r="O386" s="5" t="str">
        <f t="shared" si="12"/>
        <v>未买</v>
      </c>
      <c r="R386" s="19">
        <v>384</v>
      </c>
    </row>
    <row r="387" spans="5:18" x14ac:dyDescent="0.15">
      <c r="E387" s="5"/>
      <c r="H387" s="19">
        <v>385</v>
      </c>
      <c r="I387" s="7">
        <v>111003</v>
      </c>
      <c r="J387" s="7" t="s">
        <v>818</v>
      </c>
      <c r="K387" s="7">
        <v>193.19</v>
      </c>
      <c r="L387" s="7">
        <v>126.67</v>
      </c>
      <c r="M387" s="7">
        <v>319.86</v>
      </c>
      <c r="N387" s="36">
        <v>2.04</v>
      </c>
      <c r="O387" s="5" t="str">
        <f t="shared" si="12"/>
        <v>未买</v>
      </c>
      <c r="R387" s="19">
        <v>385</v>
      </c>
    </row>
    <row r="388" spans="5:18" x14ac:dyDescent="0.15">
      <c r="E388" s="5"/>
      <c r="H388" s="19">
        <v>386</v>
      </c>
      <c r="I388" s="7">
        <v>128117</v>
      </c>
      <c r="J388" s="7" t="s">
        <v>154</v>
      </c>
      <c r="K388" s="7">
        <v>194</v>
      </c>
      <c r="L388" s="7">
        <v>128.56</v>
      </c>
      <c r="M388" s="7">
        <v>322.56</v>
      </c>
      <c r="N388" s="36">
        <v>3.5988519999999995</v>
      </c>
      <c r="O388" s="5" t="str">
        <f t="shared" ref="O388:O416" si="13">IF(ISNA(MATCH(I388,$A$3:$A$1000,0)),"未买","Yes")</f>
        <v>未买</v>
      </c>
      <c r="R388" s="19">
        <v>386</v>
      </c>
    </row>
    <row r="389" spans="5:18" x14ac:dyDescent="0.15">
      <c r="E389" s="5"/>
      <c r="H389" s="19">
        <v>387</v>
      </c>
      <c r="I389" s="7">
        <v>113025</v>
      </c>
      <c r="J389" s="7" t="s">
        <v>2000</v>
      </c>
      <c r="K389" s="7">
        <v>319.60000000000002</v>
      </c>
      <c r="L389" s="7">
        <v>8.23</v>
      </c>
      <c r="M389" s="7">
        <v>327.83000000000004</v>
      </c>
      <c r="N389" s="36">
        <v>10.147880000000001</v>
      </c>
      <c r="O389" s="5" t="str">
        <f t="shared" si="13"/>
        <v>未买</v>
      </c>
      <c r="R389" s="19">
        <v>387</v>
      </c>
    </row>
    <row r="390" spans="5:18" x14ac:dyDescent="0.15">
      <c r="E390" s="5"/>
      <c r="H390" s="19">
        <v>388</v>
      </c>
      <c r="I390" s="7">
        <v>113537</v>
      </c>
      <c r="J390" s="7" t="s">
        <v>1999</v>
      </c>
      <c r="K390" s="7">
        <v>328.14</v>
      </c>
      <c r="L390" s="7">
        <v>5</v>
      </c>
      <c r="M390" s="7">
        <v>333.14</v>
      </c>
      <c r="N390" s="36">
        <v>1.40378</v>
      </c>
      <c r="O390" s="5" t="str">
        <f t="shared" si="13"/>
        <v>未买</v>
      </c>
      <c r="R390" s="19">
        <v>388</v>
      </c>
    </row>
    <row r="391" spans="5:18" x14ac:dyDescent="0.15">
      <c r="E391" s="5"/>
      <c r="H391" s="19">
        <v>389</v>
      </c>
      <c r="I391" s="7">
        <v>128030</v>
      </c>
      <c r="J391" s="7" t="s">
        <v>2045</v>
      </c>
      <c r="K391" s="7">
        <v>247.77699999999999</v>
      </c>
      <c r="L391" s="7">
        <v>86.52</v>
      </c>
      <c r="M391" s="7">
        <v>334.29699999999997</v>
      </c>
      <c r="N391" s="36">
        <v>0.84863900000000003</v>
      </c>
      <c r="O391" s="5" t="str">
        <f t="shared" si="13"/>
        <v>未买</v>
      </c>
      <c r="R391" s="19">
        <v>389</v>
      </c>
    </row>
    <row r="392" spans="5:18" x14ac:dyDescent="0.15">
      <c r="E392" s="5"/>
      <c r="H392" s="19">
        <v>390</v>
      </c>
      <c r="I392" s="7">
        <v>123046</v>
      </c>
      <c r="J392" s="7" t="s">
        <v>2031</v>
      </c>
      <c r="K392" s="7">
        <v>344.5</v>
      </c>
      <c r="L392" s="7">
        <v>24.9</v>
      </c>
      <c r="M392" s="7">
        <v>369.4</v>
      </c>
      <c r="N392" s="36">
        <v>0.58544499999999999</v>
      </c>
      <c r="O392" s="5" t="str">
        <f t="shared" si="13"/>
        <v>未买</v>
      </c>
      <c r="R392" s="19">
        <v>390</v>
      </c>
    </row>
    <row r="393" spans="5:18" x14ac:dyDescent="0.15">
      <c r="E393" s="5"/>
      <c r="H393" s="19">
        <v>391</v>
      </c>
      <c r="I393" s="7">
        <v>113576</v>
      </c>
      <c r="J393" s="7" t="s">
        <v>138</v>
      </c>
      <c r="K393" s="7">
        <v>119.81</v>
      </c>
      <c r="L393" s="7">
        <v>250.12</v>
      </c>
      <c r="M393" s="7">
        <v>369.93</v>
      </c>
      <c r="N393" s="36">
        <v>2.65808</v>
      </c>
      <c r="O393" s="5" t="str">
        <f t="shared" si="13"/>
        <v>未买</v>
      </c>
      <c r="R393" s="19">
        <v>391</v>
      </c>
    </row>
    <row r="394" spans="5:18" x14ac:dyDescent="0.15">
      <c r="E394" s="5"/>
      <c r="H394" s="19">
        <v>392</v>
      </c>
      <c r="I394" s="7">
        <v>113574</v>
      </c>
      <c r="J394" s="7" t="s">
        <v>1921</v>
      </c>
      <c r="K394" s="7">
        <v>117.51</v>
      </c>
      <c r="L394" s="7">
        <v>261.24</v>
      </c>
      <c r="M394" s="7">
        <v>378.75</v>
      </c>
      <c r="N394" s="36">
        <v>2.0874100000000002</v>
      </c>
      <c r="O394" s="5" t="str">
        <f t="shared" si="13"/>
        <v>未买</v>
      </c>
      <c r="R394" s="19">
        <v>392</v>
      </c>
    </row>
    <row r="395" spans="5:18" x14ac:dyDescent="0.15">
      <c r="E395" s="5"/>
      <c r="H395" s="19">
        <v>393</v>
      </c>
      <c r="I395" s="7">
        <v>123027</v>
      </c>
      <c r="J395" s="7" t="s">
        <v>2025</v>
      </c>
      <c r="K395" s="7">
        <v>367.5</v>
      </c>
      <c r="L395" s="7">
        <v>20.94</v>
      </c>
      <c r="M395" s="7">
        <v>388.44</v>
      </c>
      <c r="N395" s="36">
        <v>1.0667800000000001</v>
      </c>
      <c r="O395" s="5" t="str">
        <f t="shared" si="13"/>
        <v>未买</v>
      </c>
      <c r="R395" s="19">
        <v>393</v>
      </c>
    </row>
    <row r="396" spans="5:18" x14ac:dyDescent="0.15">
      <c r="E396" s="5"/>
      <c r="H396" s="19">
        <v>394</v>
      </c>
      <c r="I396" s="7">
        <v>110044</v>
      </c>
      <c r="J396" s="7" t="s">
        <v>135</v>
      </c>
      <c r="K396" s="7">
        <v>241.21</v>
      </c>
      <c r="L396" s="7">
        <v>171.66</v>
      </c>
      <c r="M396" s="7">
        <v>412.87</v>
      </c>
      <c r="N396" s="36">
        <v>0.70747000000000004</v>
      </c>
      <c r="O396" s="5" t="str">
        <f t="shared" si="13"/>
        <v>未买</v>
      </c>
      <c r="R396" s="19">
        <v>394</v>
      </c>
    </row>
    <row r="397" spans="5:18" x14ac:dyDescent="0.15">
      <c r="E397" s="5"/>
      <c r="H397" s="19">
        <v>395</v>
      </c>
      <c r="I397" s="7">
        <v>123140</v>
      </c>
      <c r="J397" s="7" t="s">
        <v>788</v>
      </c>
      <c r="K397" s="7">
        <v>245.708</v>
      </c>
      <c r="L397" s="7">
        <v>167.36</v>
      </c>
      <c r="M397" s="7">
        <v>413.06799999999998</v>
      </c>
      <c r="N397" s="36">
        <v>1.72</v>
      </c>
      <c r="O397" s="5" t="str">
        <f t="shared" si="13"/>
        <v>未买</v>
      </c>
      <c r="R397" s="19">
        <v>395</v>
      </c>
    </row>
    <row r="398" spans="5:18" x14ac:dyDescent="0.15">
      <c r="E398" s="5"/>
      <c r="H398" s="19">
        <v>396</v>
      </c>
      <c r="I398" s="7">
        <v>123072</v>
      </c>
      <c r="J398" s="7" t="s">
        <v>1923</v>
      </c>
      <c r="K398" s="7">
        <v>138.80000000000001</v>
      </c>
      <c r="L398" s="7">
        <v>277.69</v>
      </c>
      <c r="M398" s="7">
        <v>416.49</v>
      </c>
      <c r="N398" s="36">
        <v>1.419144</v>
      </c>
      <c r="O398" s="5" t="str">
        <f t="shared" si="13"/>
        <v>未买</v>
      </c>
      <c r="R398" s="19">
        <v>396</v>
      </c>
    </row>
    <row r="399" spans="5:18" x14ac:dyDescent="0.15">
      <c r="E399" s="5"/>
      <c r="H399" s="19">
        <v>397</v>
      </c>
      <c r="I399" s="7">
        <v>123031</v>
      </c>
      <c r="J399" s="7" t="s">
        <v>2041</v>
      </c>
      <c r="K399" s="7">
        <v>387.38600000000002</v>
      </c>
      <c r="L399" s="7">
        <v>36.25</v>
      </c>
      <c r="M399" s="7">
        <v>423.63600000000002</v>
      </c>
      <c r="N399" s="36">
        <v>0.52995999999999999</v>
      </c>
      <c r="O399" s="5" t="str">
        <f t="shared" si="13"/>
        <v>未买</v>
      </c>
      <c r="R399" s="19">
        <v>397</v>
      </c>
    </row>
    <row r="400" spans="5:18" x14ac:dyDescent="0.15">
      <c r="E400" s="5"/>
      <c r="H400" s="19">
        <v>398</v>
      </c>
      <c r="I400" s="7">
        <v>113575</v>
      </c>
      <c r="J400" s="7" t="s">
        <v>151</v>
      </c>
      <c r="K400" s="7">
        <v>173.09</v>
      </c>
      <c r="L400" s="7">
        <v>259.48</v>
      </c>
      <c r="M400" s="7">
        <v>432.57000000000005</v>
      </c>
      <c r="N400" s="36">
        <v>0.98397999999999997</v>
      </c>
      <c r="O400" s="5" t="str">
        <f t="shared" si="13"/>
        <v>未买</v>
      </c>
      <c r="R400" s="19">
        <v>398</v>
      </c>
    </row>
    <row r="401" spans="5:18" x14ac:dyDescent="0.15">
      <c r="E401" s="5"/>
      <c r="H401" s="19">
        <v>399</v>
      </c>
      <c r="I401" s="7">
        <v>123143</v>
      </c>
      <c r="J401" s="7" t="s">
        <v>817</v>
      </c>
      <c r="K401" s="7">
        <v>270.29199999999997</v>
      </c>
      <c r="L401" s="7">
        <v>163.62</v>
      </c>
      <c r="M401" s="7">
        <v>433.91199999999998</v>
      </c>
      <c r="N401" s="36">
        <v>3.3</v>
      </c>
      <c r="O401" s="5" t="str">
        <f t="shared" si="13"/>
        <v>未买</v>
      </c>
      <c r="R401" s="19">
        <v>399</v>
      </c>
    </row>
    <row r="402" spans="5:18" x14ac:dyDescent="0.15">
      <c r="E402" s="5"/>
      <c r="H402" s="19">
        <v>400</v>
      </c>
      <c r="I402" s="7">
        <v>128095</v>
      </c>
      <c r="J402" s="7" t="s">
        <v>2006</v>
      </c>
      <c r="K402" s="7">
        <v>445.7</v>
      </c>
      <c r="L402" s="7">
        <v>9.98</v>
      </c>
      <c r="M402" s="7">
        <v>455.68</v>
      </c>
      <c r="N402" s="36">
        <v>4.5394249999999996</v>
      </c>
      <c r="O402" s="5" t="str">
        <f t="shared" si="13"/>
        <v>未买</v>
      </c>
      <c r="R402" s="19">
        <v>400</v>
      </c>
    </row>
    <row r="403" spans="5:18" x14ac:dyDescent="0.15">
      <c r="E403" s="5"/>
      <c r="H403" s="19">
        <v>401</v>
      </c>
      <c r="I403" s="7">
        <v>123018</v>
      </c>
      <c r="J403" s="7" t="s">
        <v>77</v>
      </c>
      <c r="K403" s="7">
        <v>330</v>
      </c>
      <c r="L403" s="7">
        <v>153.96</v>
      </c>
      <c r="M403" s="7">
        <v>483.96000000000004</v>
      </c>
      <c r="N403" s="36">
        <v>0.54233200000000004</v>
      </c>
      <c r="O403" s="5" t="str">
        <f t="shared" si="13"/>
        <v>未买</v>
      </c>
      <c r="R403" s="19">
        <v>401</v>
      </c>
    </row>
    <row r="404" spans="5:18" x14ac:dyDescent="0.15">
      <c r="E404" s="5"/>
      <c r="H404" s="19">
        <v>402</v>
      </c>
      <c r="I404" s="7">
        <v>128041</v>
      </c>
      <c r="J404" s="7" t="s">
        <v>134</v>
      </c>
      <c r="K404" s="7">
        <v>290.8</v>
      </c>
      <c r="L404" s="7">
        <v>194.69</v>
      </c>
      <c r="M404" s="7">
        <v>485.49</v>
      </c>
      <c r="N404" s="36">
        <v>0.52935699999999997</v>
      </c>
      <c r="O404" s="5" t="str">
        <f t="shared" si="13"/>
        <v>未买</v>
      </c>
      <c r="R404" s="19">
        <v>402</v>
      </c>
    </row>
    <row r="405" spans="5:18" x14ac:dyDescent="0.15">
      <c r="E405" s="5"/>
      <c r="H405" s="19">
        <v>403</v>
      </c>
      <c r="I405" s="7">
        <v>123136</v>
      </c>
      <c r="J405" s="7" t="s">
        <v>271</v>
      </c>
      <c r="K405" s="7">
        <v>297.18</v>
      </c>
      <c r="L405" s="7">
        <v>237.86</v>
      </c>
      <c r="M405" s="7">
        <v>535.04</v>
      </c>
      <c r="N405" s="36">
        <v>4.5999999999999996</v>
      </c>
      <c r="O405" s="5" t="str">
        <f t="shared" si="13"/>
        <v>未买</v>
      </c>
      <c r="R405" s="19">
        <v>403</v>
      </c>
    </row>
    <row r="406" spans="5:18" x14ac:dyDescent="0.15">
      <c r="E406" s="5"/>
      <c r="H406" s="19">
        <v>404</v>
      </c>
      <c r="I406" s="7">
        <v>127004</v>
      </c>
      <c r="J406" s="7" t="s">
        <v>137</v>
      </c>
      <c r="K406" s="7">
        <v>280.81099999999998</v>
      </c>
      <c r="L406" s="7">
        <v>254.83</v>
      </c>
      <c r="M406" s="7">
        <v>535.64099999999996</v>
      </c>
      <c r="N406" s="36">
        <v>1.3110879999999998</v>
      </c>
      <c r="O406" s="5" t="str">
        <f t="shared" si="13"/>
        <v>未买</v>
      </c>
      <c r="R406" s="19">
        <v>404</v>
      </c>
    </row>
    <row r="407" spans="5:18" x14ac:dyDescent="0.15">
      <c r="E407" s="5"/>
      <c r="H407" s="19">
        <v>405</v>
      </c>
      <c r="I407" s="7">
        <v>127057</v>
      </c>
      <c r="J407" s="7" t="s">
        <v>777</v>
      </c>
      <c r="K407" s="7">
        <v>391.88</v>
      </c>
      <c r="L407" s="7">
        <v>153.61000000000001</v>
      </c>
      <c r="M407" s="7">
        <v>545.49</v>
      </c>
      <c r="N407" s="36">
        <v>2.76</v>
      </c>
      <c r="O407" s="5" t="str">
        <f t="shared" si="13"/>
        <v>未买</v>
      </c>
      <c r="R407" s="19">
        <v>405</v>
      </c>
    </row>
    <row r="408" spans="5:18" x14ac:dyDescent="0.15">
      <c r="E408" s="5"/>
      <c r="H408" s="19">
        <v>406</v>
      </c>
      <c r="I408" s="7">
        <v>113646</v>
      </c>
      <c r="J408" s="7" t="s">
        <v>1922</v>
      </c>
      <c r="K408" s="7">
        <v>296.33999999999997</v>
      </c>
      <c r="L408" s="7">
        <v>263.07</v>
      </c>
      <c r="M408" s="7">
        <v>559.41</v>
      </c>
      <c r="N408" s="36">
        <v>1.45868</v>
      </c>
      <c r="O408" s="5" t="str">
        <f t="shared" si="13"/>
        <v>未买</v>
      </c>
      <c r="R408" s="19">
        <v>406</v>
      </c>
    </row>
    <row r="409" spans="5:18" x14ac:dyDescent="0.15">
      <c r="E409" s="5"/>
      <c r="H409" s="19">
        <v>407</v>
      </c>
      <c r="I409" s="7">
        <v>123034</v>
      </c>
      <c r="J409" s="7" t="s">
        <v>2047</v>
      </c>
      <c r="K409" s="7">
        <v>375</v>
      </c>
      <c r="L409" s="7">
        <v>231.16</v>
      </c>
      <c r="M409" s="7">
        <v>606.16</v>
      </c>
      <c r="N409" s="36">
        <v>0.77857100000000001</v>
      </c>
      <c r="O409" s="5" t="str">
        <f t="shared" si="13"/>
        <v>未买</v>
      </c>
      <c r="R409" s="19">
        <v>407</v>
      </c>
    </row>
    <row r="410" spans="5:18" x14ac:dyDescent="0.15">
      <c r="E410" s="5"/>
      <c r="H410" s="19">
        <v>408</v>
      </c>
      <c r="I410" s="7">
        <v>123135</v>
      </c>
      <c r="J410" s="7" t="s">
        <v>1924</v>
      </c>
      <c r="K410" s="7">
        <v>318.5</v>
      </c>
      <c r="L410" s="7">
        <v>321.41000000000003</v>
      </c>
      <c r="M410" s="7">
        <v>639.91000000000008</v>
      </c>
      <c r="N410" s="36">
        <v>2.1</v>
      </c>
      <c r="O410" s="5" t="str">
        <f t="shared" si="13"/>
        <v>未买</v>
      </c>
      <c r="R410" s="19">
        <v>408</v>
      </c>
    </row>
    <row r="411" spans="5:18" x14ac:dyDescent="0.15">
      <c r="E411" s="5"/>
      <c r="H411" s="19">
        <v>409</v>
      </c>
      <c r="I411" s="7">
        <v>113016</v>
      </c>
      <c r="J411" s="7" t="s">
        <v>2034</v>
      </c>
      <c r="K411" s="7">
        <v>638.28</v>
      </c>
      <c r="L411" s="7">
        <v>27.27</v>
      </c>
      <c r="M411" s="7">
        <v>665.55</v>
      </c>
      <c r="N411" s="36">
        <v>2.0653700000000002</v>
      </c>
      <c r="O411" s="5" t="str">
        <f t="shared" si="13"/>
        <v>未买</v>
      </c>
      <c r="R411" s="19">
        <v>409</v>
      </c>
    </row>
    <row r="412" spans="5:18" x14ac:dyDescent="0.15">
      <c r="E412" s="5"/>
      <c r="H412" s="19">
        <v>410</v>
      </c>
      <c r="I412" s="7">
        <v>123134</v>
      </c>
      <c r="J412" s="7" t="s">
        <v>277</v>
      </c>
      <c r="K412" s="7">
        <v>392.52699999999999</v>
      </c>
      <c r="L412" s="7">
        <v>273.87</v>
      </c>
      <c r="M412" s="7">
        <v>666.39699999999993</v>
      </c>
      <c r="N412" s="36">
        <v>2.79</v>
      </c>
      <c r="O412" s="5" t="str">
        <f t="shared" si="13"/>
        <v>未买</v>
      </c>
      <c r="R412" s="19">
        <v>410</v>
      </c>
    </row>
    <row r="413" spans="5:18" x14ac:dyDescent="0.15">
      <c r="E413" s="5"/>
      <c r="H413" s="19">
        <v>411</v>
      </c>
      <c r="I413" s="7">
        <v>128111</v>
      </c>
      <c r="J413" s="7" t="s">
        <v>1985</v>
      </c>
      <c r="K413" s="7">
        <v>740.49199999999996</v>
      </c>
      <c r="L413" s="7">
        <v>0.03</v>
      </c>
      <c r="M413" s="7">
        <v>740.52199999999993</v>
      </c>
      <c r="N413" s="36">
        <v>1.163057</v>
      </c>
      <c r="O413" s="5" t="str">
        <f t="shared" si="13"/>
        <v>未买</v>
      </c>
      <c r="R413" s="19">
        <v>411</v>
      </c>
    </row>
    <row r="414" spans="5:18" x14ac:dyDescent="0.15">
      <c r="E414" s="5"/>
      <c r="H414" s="19">
        <v>412</v>
      </c>
      <c r="I414" s="7">
        <v>113548</v>
      </c>
      <c r="J414" s="7" t="s">
        <v>1990</v>
      </c>
      <c r="K414" s="7">
        <v>864.2</v>
      </c>
      <c r="L414" s="7">
        <v>0.88</v>
      </c>
      <c r="M414" s="7">
        <v>865.08</v>
      </c>
      <c r="N414" s="36">
        <v>0.71060000000000001</v>
      </c>
      <c r="O414" s="5" t="str">
        <f t="shared" si="13"/>
        <v>未买</v>
      </c>
      <c r="R414" s="19">
        <v>412</v>
      </c>
    </row>
    <row r="415" spans="5:18" x14ac:dyDescent="0.15">
      <c r="E415" s="5"/>
      <c r="H415" s="19">
        <v>413</v>
      </c>
      <c r="I415" s="7">
        <v>123013</v>
      </c>
      <c r="J415" s="7" t="s">
        <v>1925</v>
      </c>
      <c r="K415" s="7">
        <v>475.5</v>
      </c>
      <c r="L415" s="7">
        <v>460.6</v>
      </c>
      <c r="M415" s="7">
        <v>936.1</v>
      </c>
      <c r="N415" s="36">
        <v>0.37926300000000002</v>
      </c>
      <c r="O415" s="5" t="str">
        <f t="shared" si="13"/>
        <v>未买</v>
      </c>
      <c r="R415" s="19">
        <v>413</v>
      </c>
    </row>
    <row r="416" spans="5:18" x14ac:dyDescent="0.15">
      <c r="E416" s="5"/>
      <c r="H416" s="19">
        <v>414</v>
      </c>
      <c r="I416" s="7">
        <v>123015</v>
      </c>
      <c r="J416" s="7" t="s">
        <v>1926</v>
      </c>
      <c r="K416" s="7">
        <v>287</v>
      </c>
      <c r="L416" s="7">
        <v>883.21</v>
      </c>
      <c r="M416" s="7">
        <v>1170.21</v>
      </c>
      <c r="N416" s="36">
        <v>1.001309</v>
      </c>
      <c r="O416" s="5" t="str">
        <f t="shared" si="13"/>
        <v>未买</v>
      </c>
      <c r="R416" s="19">
        <v>414</v>
      </c>
    </row>
    <row r="417" spans="5:18" x14ac:dyDescent="0.15">
      <c r="E417" s="5"/>
      <c r="H417" s="19">
        <v>415</v>
      </c>
      <c r="R417" s="19">
        <v>415</v>
      </c>
    </row>
    <row r="418" spans="5:18" x14ac:dyDescent="0.15">
      <c r="E418" s="5"/>
      <c r="H418" s="19">
        <v>416</v>
      </c>
      <c r="R418" s="19">
        <v>416</v>
      </c>
    </row>
    <row r="419" spans="5:18" x14ac:dyDescent="0.15">
      <c r="E419" s="5"/>
      <c r="H419" s="19">
        <v>417</v>
      </c>
      <c r="R419" s="19">
        <v>417</v>
      </c>
    </row>
    <row r="420" spans="5:18" x14ac:dyDescent="0.15">
      <c r="E420" s="5"/>
      <c r="H420" s="19">
        <v>418</v>
      </c>
      <c r="R420" s="19">
        <v>418</v>
      </c>
    </row>
    <row r="421" spans="5:18" x14ac:dyDescent="0.15">
      <c r="E421" s="5"/>
      <c r="H421" s="19">
        <v>419</v>
      </c>
      <c r="R421" s="19">
        <v>419</v>
      </c>
    </row>
    <row r="422" spans="5:18" x14ac:dyDescent="0.15">
      <c r="E422" s="5"/>
      <c r="H422" s="19">
        <v>420</v>
      </c>
      <c r="R422" s="19">
        <v>420</v>
      </c>
    </row>
    <row r="423" spans="5:18" x14ac:dyDescent="0.15">
      <c r="E423" s="5"/>
      <c r="H423" s="19">
        <v>421</v>
      </c>
      <c r="R423" s="19">
        <v>421</v>
      </c>
    </row>
    <row r="424" spans="5:18" x14ac:dyDescent="0.15">
      <c r="E424" s="5"/>
      <c r="H424" s="19">
        <v>422</v>
      </c>
      <c r="R424" s="19">
        <v>422</v>
      </c>
    </row>
    <row r="425" spans="5:18" x14ac:dyDescent="0.15">
      <c r="E425" s="5"/>
      <c r="H425" s="19">
        <v>423</v>
      </c>
      <c r="R425" s="19">
        <v>423</v>
      </c>
    </row>
    <row r="426" spans="5:18" x14ac:dyDescent="0.15">
      <c r="E426" s="5"/>
      <c r="H426" s="19">
        <v>424</v>
      </c>
      <c r="R426" s="19">
        <v>424</v>
      </c>
    </row>
    <row r="427" spans="5:18" x14ac:dyDescent="0.15">
      <c r="E427" s="5"/>
      <c r="H427" s="19">
        <v>425</v>
      </c>
      <c r="R427" s="19">
        <v>425</v>
      </c>
    </row>
    <row r="428" spans="5:18" x14ac:dyDescent="0.15">
      <c r="E428" s="5"/>
      <c r="H428" s="19">
        <v>426</v>
      </c>
      <c r="R428" s="19">
        <v>426</v>
      </c>
    </row>
    <row r="429" spans="5:18" x14ac:dyDescent="0.15">
      <c r="E429" s="5"/>
      <c r="H429" s="19">
        <v>427</v>
      </c>
      <c r="R429" s="19">
        <v>427</v>
      </c>
    </row>
    <row r="430" spans="5:18" x14ac:dyDescent="0.15">
      <c r="E430" s="5"/>
      <c r="H430" s="19">
        <v>428</v>
      </c>
      <c r="R430" s="19">
        <v>428</v>
      </c>
    </row>
    <row r="431" spans="5:18" x14ac:dyDescent="0.15">
      <c r="E431" s="5"/>
      <c r="H431" s="19">
        <v>429</v>
      </c>
      <c r="R431" s="19">
        <v>429</v>
      </c>
    </row>
    <row r="432" spans="5:18" x14ac:dyDescent="0.15">
      <c r="E432" s="5"/>
      <c r="H432" s="19">
        <v>430</v>
      </c>
      <c r="R432" s="19">
        <v>430</v>
      </c>
    </row>
    <row r="433" spans="5:18" x14ac:dyDescent="0.15">
      <c r="E433" s="5"/>
      <c r="H433" s="19">
        <v>431</v>
      </c>
      <c r="R433" s="19">
        <v>431</v>
      </c>
    </row>
    <row r="434" spans="5:18" x14ac:dyDescent="0.15">
      <c r="E434" s="5"/>
      <c r="H434" s="19">
        <v>432</v>
      </c>
      <c r="R434" s="19">
        <v>432</v>
      </c>
    </row>
    <row r="435" spans="5:18" x14ac:dyDescent="0.15">
      <c r="E435" s="5"/>
      <c r="H435" s="19">
        <v>433</v>
      </c>
      <c r="R435" s="19">
        <v>433</v>
      </c>
    </row>
    <row r="436" spans="5:18" x14ac:dyDescent="0.15">
      <c r="E436" s="5"/>
      <c r="H436" s="19">
        <v>434</v>
      </c>
      <c r="R436" s="19">
        <v>434</v>
      </c>
    </row>
    <row r="437" spans="5:18" x14ac:dyDescent="0.15">
      <c r="E437" s="5"/>
      <c r="H437" s="19">
        <v>435</v>
      </c>
      <c r="R437" s="19">
        <v>435</v>
      </c>
    </row>
    <row r="438" spans="5:18" x14ac:dyDescent="0.15">
      <c r="E438" s="5"/>
      <c r="H438" s="19">
        <v>436</v>
      </c>
      <c r="R438" s="19">
        <v>436</v>
      </c>
    </row>
    <row r="439" spans="5:18" x14ac:dyDescent="0.15">
      <c r="E439" s="5"/>
      <c r="H439" s="19">
        <v>437</v>
      </c>
      <c r="R439" s="19">
        <v>437</v>
      </c>
    </row>
    <row r="440" spans="5:18" x14ac:dyDescent="0.15">
      <c r="E440" s="5"/>
      <c r="H440" s="19">
        <v>438</v>
      </c>
      <c r="R440" s="19">
        <v>438</v>
      </c>
    </row>
    <row r="441" spans="5:18" x14ac:dyDescent="0.15">
      <c r="E441" s="5"/>
      <c r="H441" s="19">
        <v>439</v>
      </c>
      <c r="R441" s="19">
        <v>439</v>
      </c>
    </row>
    <row r="442" spans="5:18" x14ac:dyDescent="0.15">
      <c r="E442" s="5"/>
      <c r="H442" s="19">
        <v>440</v>
      </c>
      <c r="R442" s="19">
        <v>440</v>
      </c>
    </row>
    <row r="443" spans="5:18" x14ac:dyDescent="0.15">
      <c r="E443" s="5"/>
      <c r="H443" s="19">
        <v>441</v>
      </c>
      <c r="R443" s="19">
        <v>441</v>
      </c>
    </row>
    <row r="444" spans="5:18" x14ac:dyDescent="0.15">
      <c r="E444" s="5"/>
      <c r="H444" s="19">
        <v>442</v>
      </c>
      <c r="R444" s="19">
        <v>442</v>
      </c>
    </row>
    <row r="445" spans="5:18" x14ac:dyDescent="0.15">
      <c r="E445" s="5"/>
      <c r="H445" s="19">
        <v>443</v>
      </c>
      <c r="R445" s="19">
        <v>443</v>
      </c>
    </row>
    <row r="446" spans="5:18" x14ac:dyDescent="0.15">
      <c r="E446" s="5"/>
      <c r="H446" s="19">
        <v>444</v>
      </c>
      <c r="R446" s="19">
        <v>444</v>
      </c>
    </row>
    <row r="447" spans="5:18" x14ac:dyDescent="0.15">
      <c r="E447" s="5"/>
      <c r="H447" s="19">
        <v>445</v>
      </c>
      <c r="R447" s="19">
        <v>445</v>
      </c>
    </row>
    <row r="448" spans="5:18" x14ac:dyDescent="0.15">
      <c r="E448" s="5"/>
      <c r="H448" s="19">
        <v>446</v>
      </c>
      <c r="R448" s="19">
        <v>446</v>
      </c>
    </row>
    <row r="449" spans="5:18" x14ac:dyDescent="0.15">
      <c r="E449" s="5"/>
      <c r="H449" s="19">
        <v>447</v>
      </c>
      <c r="R449" s="19">
        <v>447</v>
      </c>
    </row>
    <row r="450" spans="5:18" x14ac:dyDescent="0.15">
      <c r="E450" s="5"/>
      <c r="H450" s="19">
        <v>448</v>
      </c>
      <c r="R450" s="19">
        <v>448</v>
      </c>
    </row>
    <row r="451" spans="5:18" x14ac:dyDescent="0.15">
      <c r="E451" s="5"/>
      <c r="H451" s="19">
        <v>449</v>
      </c>
      <c r="R451" s="19">
        <v>449</v>
      </c>
    </row>
    <row r="452" spans="5:18" x14ac:dyDescent="0.15">
      <c r="E452" s="5"/>
      <c r="H452" s="19">
        <v>450</v>
      </c>
      <c r="R452" s="19">
        <v>450</v>
      </c>
    </row>
    <row r="453" spans="5:18" x14ac:dyDescent="0.15">
      <c r="E453" s="5"/>
      <c r="H453" s="19">
        <v>451</v>
      </c>
      <c r="R453" s="19">
        <v>451</v>
      </c>
    </row>
    <row r="454" spans="5:18" x14ac:dyDescent="0.15">
      <c r="E454" s="5"/>
      <c r="H454" s="19">
        <v>452</v>
      </c>
      <c r="R454" s="19">
        <v>452</v>
      </c>
    </row>
    <row r="455" spans="5:18" x14ac:dyDescent="0.15">
      <c r="E455" s="5"/>
      <c r="H455" s="19">
        <v>453</v>
      </c>
      <c r="R455" s="19">
        <v>453</v>
      </c>
    </row>
    <row r="456" spans="5:18" x14ac:dyDescent="0.15">
      <c r="E456" s="5"/>
      <c r="H456" s="19">
        <v>454</v>
      </c>
      <c r="R456" s="19">
        <v>454</v>
      </c>
    </row>
    <row r="457" spans="5:18" x14ac:dyDescent="0.15">
      <c r="E457" s="5"/>
      <c r="H457" s="19">
        <v>455</v>
      </c>
      <c r="R457" s="19">
        <v>455</v>
      </c>
    </row>
    <row r="458" spans="5:18" x14ac:dyDescent="0.15">
      <c r="E458" s="5"/>
      <c r="H458" s="19">
        <v>456</v>
      </c>
      <c r="R458" s="19">
        <v>456</v>
      </c>
    </row>
    <row r="459" spans="5:18" x14ac:dyDescent="0.15">
      <c r="E459" s="5"/>
      <c r="H459" s="19">
        <v>457</v>
      </c>
      <c r="R459" s="19">
        <v>457</v>
      </c>
    </row>
    <row r="460" spans="5:18" x14ac:dyDescent="0.15">
      <c r="E460" s="5"/>
      <c r="H460" s="19">
        <v>458</v>
      </c>
      <c r="R460" s="19">
        <v>458</v>
      </c>
    </row>
    <row r="461" spans="5:18" x14ac:dyDescent="0.15">
      <c r="E461" s="5"/>
      <c r="H461" s="19">
        <v>459</v>
      </c>
      <c r="R461" s="19">
        <v>459</v>
      </c>
    </row>
    <row r="462" spans="5:18" x14ac:dyDescent="0.15">
      <c r="E462" s="5"/>
      <c r="H462" s="19">
        <v>460</v>
      </c>
      <c r="R462" s="19">
        <v>460</v>
      </c>
    </row>
    <row r="463" spans="5:18" x14ac:dyDescent="0.15">
      <c r="E463" s="5"/>
      <c r="H463" s="19">
        <v>461</v>
      </c>
      <c r="R463" s="19">
        <v>461</v>
      </c>
    </row>
    <row r="464" spans="5:18" x14ac:dyDescent="0.15">
      <c r="E464" s="5"/>
      <c r="H464" s="19">
        <v>462</v>
      </c>
      <c r="R464" s="19">
        <v>462</v>
      </c>
    </row>
    <row r="465" spans="5:18" x14ac:dyDescent="0.15">
      <c r="E465" s="5"/>
      <c r="H465" s="19">
        <v>463</v>
      </c>
      <c r="R465" s="19">
        <v>463</v>
      </c>
    </row>
    <row r="466" spans="5:18" x14ac:dyDescent="0.15">
      <c r="E466" s="5"/>
      <c r="H466" s="19">
        <v>464</v>
      </c>
      <c r="R466" s="19">
        <v>464</v>
      </c>
    </row>
    <row r="467" spans="5:18" x14ac:dyDescent="0.15">
      <c r="E467" s="5"/>
      <c r="H467" s="19">
        <v>465</v>
      </c>
      <c r="R467" s="19">
        <v>465</v>
      </c>
    </row>
    <row r="468" spans="5:18" x14ac:dyDescent="0.15">
      <c r="E468" s="5"/>
      <c r="H468" s="19">
        <v>466</v>
      </c>
      <c r="R468" s="19">
        <v>466</v>
      </c>
    </row>
    <row r="469" spans="5:18" x14ac:dyDescent="0.15">
      <c r="E469" s="5"/>
      <c r="H469" s="19">
        <v>467</v>
      </c>
      <c r="R469" s="19">
        <v>467</v>
      </c>
    </row>
    <row r="470" spans="5:18" x14ac:dyDescent="0.15">
      <c r="E470" s="5"/>
      <c r="H470" s="19">
        <v>468</v>
      </c>
      <c r="R470" s="19">
        <v>468</v>
      </c>
    </row>
    <row r="471" spans="5:18" x14ac:dyDescent="0.15">
      <c r="E471" s="5"/>
      <c r="H471" s="19">
        <v>469</v>
      </c>
      <c r="R471" s="19">
        <v>469</v>
      </c>
    </row>
    <row r="472" spans="5:18" x14ac:dyDescent="0.15">
      <c r="E472" s="5"/>
      <c r="H472" s="19">
        <v>470</v>
      </c>
      <c r="R472" s="19">
        <v>470</v>
      </c>
    </row>
    <row r="473" spans="5:18" x14ac:dyDescent="0.15">
      <c r="E473" s="5"/>
      <c r="H473" s="19">
        <v>471</v>
      </c>
      <c r="R473" s="19">
        <v>471</v>
      </c>
    </row>
    <row r="474" spans="5:18" x14ac:dyDescent="0.15">
      <c r="E474" s="5"/>
      <c r="H474" s="19">
        <v>472</v>
      </c>
      <c r="R474" s="19">
        <v>472</v>
      </c>
    </row>
    <row r="475" spans="5:18" x14ac:dyDescent="0.15">
      <c r="E475" s="5"/>
      <c r="H475" s="19">
        <v>473</v>
      </c>
      <c r="R475" s="19">
        <v>473</v>
      </c>
    </row>
    <row r="476" spans="5:18" x14ac:dyDescent="0.15">
      <c r="E476" s="5"/>
      <c r="H476" s="19">
        <v>474</v>
      </c>
      <c r="R476" s="19">
        <v>474</v>
      </c>
    </row>
    <row r="477" spans="5:18" x14ac:dyDescent="0.15">
      <c r="E477" s="5"/>
      <c r="H477" s="19">
        <v>475</v>
      </c>
      <c r="R477" s="19">
        <v>475</v>
      </c>
    </row>
    <row r="478" spans="5:18" x14ac:dyDescent="0.15">
      <c r="E478" s="5"/>
      <c r="H478" s="19">
        <v>476</v>
      </c>
      <c r="R478" s="19">
        <v>476</v>
      </c>
    </row>
    <row r="479" spans="5:18" x14ac:dyDescent="0.15">
      <c r="E479" s="5"/>
      <c r="H479" s="19">
        <v>477</v>
      </c>
      <c r="R479" s="19">
        <v>477</v>
      </c>
    </row>
    <row r="480" spans="5:18" x14ac:dyDescent="0.15">
      <c r="E480" s="5"/>
      <c r="H480" s="19">
        <v>478</v>
      </c>
      <c r="R480" s="19">
        <v>478</v>
      </c>
    </row>
    <row r="481" spans="5:18" x14ac:dyDescent="0.15">
      <c r="E481" s="5"/>
      <c r="H481" s="19">
        <v>479</v>
      </c>
      <c r="R481" s="19">
        <v>479</v>
      </c>
    </row>
    <row r="482" spans="5:18" x14ac:dyDescent="0.15">
      <c r="E482" s="5"/>
      <c r="H482" s="19">
        <v>480</v>
      </c>
      <c r="R482" s="19">
        <v>480</v>
      </c>
    </row>
    <row r="483" spans="5:18" x14ac:dyDescent="0.15">
      <c r="E483" s="5"/>
      <c r="H483" s="19">
        <v>481</v>
      </c>
      <c r="R483" s="19">
        <v>481</v>
      </c>
    </row>
    <row r="484" spans="5:18" x14ac:dyDescent="0.15">
      <c r="E484" s="5"/>
      <c r="H484" s="19">
        <v>482</v>
      </c>
      <c r="R484" s="19">
        <v>482</v>
      </c>
    </row>
    <row r="485" spans="5:18" x14ac:dyDescent="0.15">
      <c r="E485" s="5"/>
      <c r="H485" s="19">
        <v>483</v>
      </c>
      <c r="R485" s="19">
        <v>483</v>
      </c>
    </row>
    <row r="486" spans="5:18" x14ac:dyDescent="0.15">
      <c r="E486" s="5"/>
      <c r="H486" s="19">
        <v>484</v>
      </c>
      <c r="R486" s="19">
        <v>484</v>
      </c>
    </row>
    <row r="487" spans="5:18" x14ac:dyDescent="0.15">
      <c r="E487" s="5"/>
      <c r="H487" s="19">
        <v>485</v>
      </c>
      <c r="R487" s="19">
        <v>485</v>
      </c>
    </row>
    <row r="488" spans="5:18" x14ac:dyDescent="0.15">
      <c r="E488" s="5"/>
      <c r="H488" s="19">
        <v>486</v>
      </c>
      <c r="R488" s="19">
        <v>486</v>
      </c>
    </row>
    <row r="489" spans="5:18" x14ac:dyDescent="0.15">
      <c r="E489" s="5"/>
      <c r="H489" s="19">
        <v>487</v>
      </c>
      <c r="R489" s="19">
        <v>487</v>
      </c>
    </row>
    <row r="490" spans="5:18" x14ac:dyDescent="0.15">
      <c r="E490" s="5"/>
      <c r="H490" s="19">
        <v>488</v>
      </c>
      <c r="R490" s="19">
        <v>488</v>
      </c>
    </row>
    <row r="491" spans="5:18" x14ac:dyDescent="0.15">
      <c r="E491" s="5"/>
      <c r="H491" s="19">
        <v>489</v>
      </c>
      <c r="R491" s="19">
        <v>489</v>
      </c>
    </row>
    <row r="492" spans="5:18" x14ac:dyDescent="0.15">
      <c r="E492" s="5"/>
      <c r="H492" s="19">
        <v>490</v>
      </c>
      <c r="R492" s="19">
        <v>490</v>
      </c>
    </row>
    <row r="493" spans="5:18" x14ac:dyDescent="0.15">
      <c r="E493" s="5"/>
      <c r="H493" s="19">
        <v>491</v>
      </c>
      <c r="R493" s="19">
        <v>491</v>
      </c>
    </row>
    <row r="494" spans="5:18" x14ac:dyDescent="0.15">
      <c r="E494" s="5"/>
      <c r="H494" s="19">
        <v>492</v>
      </c>
      <c r="R494" s="19">
        <v>492</v>
      </c>
    </row>
    <row r="495" spans="5:18" x14ac:dyDescent="0.15">
      <c r="E495" s="5"/>
      <c r="H495" s="19">
        <v>493</v>
      </c>
      <c r="R495" s="19">
        <v>493</v>
      </c>
    </row>
    <row r="496" spans="5:18" x14ac:dyDescent="0.15">
      <c r="E496" s="5"/>
      <c r="H496" s="19">
        <v>494</v>
      </c>
      <c r="R496" s="19">
        <v>494</v>
      </c>
    </row>
    <row r="497" spans="5:18" x14ac:dyDescent="0.15">
      <c r="E497" s="5"/>
      <c r="H497" s="19">
        <v>495</v>
      </c>
      <c r="R497" s="19">
        <v>495</v>
      </c>
    </row>
    <row r="498" spans="5:18" x14ac:dyDescent="0.15">
      <c r="E498" s="5"/>
      <c r="H498" s="19">
        <v>496</v>
      </c>
      <c r="R498" s="19">
        <v>496</v>
      </c>
    </row>
    <row r="499" spans="5:18" x14ac:dyDescent="0.15">
      <c r="E499" s="5"/>
      <c r="H499" s="19">
        <v>497</v>
      </c>
      <c r="R499" s="19">
        <v>497</v>
      </c>
    </row>
    <row r="500" spans="5:18" x14ac:dyDescent="0.15">
      <c r="E500" s="5"/>
      <c r="H500" s="19">
        <v>498</v>
      </c>
      <c r="R500" s="19">
        <v>498</v>
      </c>
    </row>
    <row r="501" spans="5:18" x14ac:dyDescent="0.15">
      <c r="E501" s="5"/>
      <c r="H501" s="19">
        <v>499</v>
      </c>
      <c r="R501" s="19">
        <v>499</v>
      </c>
    </row>
    <row r="502" spans="5:18" x14ac:dyDescent="0.15">
      <c r="E502" s="5"/>
      <c r="H502" s="19">
        <v>500</v>
      </c>
      <c r="R502" s="19">
        <v>500</v>
      </c>
    </row>
    <row r="503" spans="5:18" x14ac:dyDescent="0.15">
      <c r="E503" s="5"/>
      <c r="H503" s="19">
        <v>501</v>
      </c>
      <c r="R503" s="19">
        <v>501</v>
      </c>
    </row>
    <row r="504" spans="5:18" x14ac:dyDescent="0.15">
      <c r="E504" s="5"/>
      <c r="H504" s="19">
        <v>502</v>
      </c>
      <c r="R504" s="19">
        <v>502</v>
      </c>
    </row>
    <row r="505" spans="5:18" x14ac:dyDescent="0.15">
      <c r="E505" s="5"/>
      <c r="H505" s="19">
        <v>503</v>
      </c>
      <c r="R505" s="19">
        <v>503</v>
      </c>
    </row>
    <row r="506" spans="5:18" x14ac:dyDescent="0.15">
      <c r="E506" s="5"/>
      <c r="H506" s="19">
        <v>504</v>
      </c>
      <c r="R506" s="19">
        <v>504</v>
      </c>
    </row>
    <row r="507" spans="5:18" x14ac:dyDescent="0.15">
      <c r="E507" s="5"/>
      <c r="H507" s="19">
        <v>505</v>
      </c>
      <c r="R507" s="19">
        <v>505</v>
      </c>
    </row>
    <row r="508" spans="5:18" x14ac:dyDescent="0.15">
      <c r="E508" s="5"/>
      <c r="H508" s="19">
        <v>506</v>
      </c>
      <c r="R508" s="19">
        <v>506</v>
      </c>
    </row>
    <row r="509" spans="5:18" x14ac:dyDescent="0.15">
      <c r="E509" s="5"/>
      <c r="H509" s="19">
        <v>507</v>
      </c>
      <c r="R509" s="19">
        <v>507</v>
      </c>
    </row>
    <row r="510" spans="5:18" x14ac:dyDescent="0.15">
      <c r="E510" s="5"/>
      <c r="H510" s="19">
        <v>508</v>
      </c>
      <c r="R510" s="19">
        <v>508</v>
      </c>
    </row>
    <row r="511" spans="5:18" x14ac:dyDescent="0.15">
      <c r="E511" s="5"/>
      <c r="H511" s="19">
        <v>509</v>
      </c>
      <c r="R511" s="19">
        <v>509</v>
      </c>
    </row>
    <row r="512" spans="5:18" x14ac:dyDescent="0.15">
      <c r="E512" s="5"/>
      <c r="H512" s="19">
        <v>510</v>
      </c>
      <c r="R512" s="19">
        <v>510</v>
      </c>
    </row>
    <row r="513" spans="5:18" x14ac:dyDescent="0.15">
      <c r="E513" s="5"/>
      <c r="H513" s="19">
        <v>511</v>
      </c>
      <c r="R513" s="19">
        <v>511</v>
      </c>
    </row>
    <row r="514" spans="5:18" x14ac:dyDescent="0.15">
      <c r="E514" s="5"/>
      <c r="H514" s="19">
        <v>512</v>
      </c>
      <c r="R514" s="19">
        <v>512</v>
      </c>
    </row>
    <row r="515" spans="5:18" x14ac:dyDescent="0.15">
      <c r="E515" s="5"/>
      <c r="H515" s="19">
        <v>513</v>
      </c>
      <c r="R515" s="19">
        <v>513</v>
      </c>
    </row>
    <row r="516" spans="5:18" x14ac:dyDescent="0.15">
      <c r="E516" s="5"/>
      <c r="H516" s="19">
        <v>514</v>
      </c>
      <c r="R516" s="19">
        <v>514</v>
      </c>
    </row>
    <row r="517" spans="5:18" x14ac:dyDescent="0.15">
      <c r="E517" s="5"/>
      <c r="H517" s="19">
        <v>515</v>
      </c>
      <c r="R517" s="19">
        <v>515</v>
      </c>
    </row>
    <row r="518" spans="5:18" x14ac:dyDescent="0.15">
      <c r="E518" s="5"/>
      <c r="H518" s="19">
        <v>516</v>
      </c>
      <c r="R518" s="19">
        <v>516</v>
      </c>
    </row>
    <row r="519" spans="5:18" x14ac:dyDescent="0.15">
      <c r="E519" s="5"/>
      <c r="H519" s="19">
        <v>517</v>
      </c>
      <c r="R519" s="19">
        <v>517</v>
      </c>
    </row>
    <row r="520" spans="5:18" x14ac:dyDescent="0.15">
      <c r="E520" s="5"/>
      <c r="H520" s="19">
        <v>518</v>
      </c>
      <c r="R520" s="19">
        <v>518</v>
      </c>
    </row>
    <row r="521" spans="5:18" x14ac:dyDescent="0.15">
      <c r="E521" s="5"/>
      <c r="H521" s="19">
        <v>519</v>
      </c>
      <c r="R521" s="19">
        <v>519</v>
      </c>
    </row>
    <row r="522" spans="5:18" x14ac:dyDescent="0.15">
      <c r="E522" s="5"/>
      <c r="H522" s="19">
        <v>520</v>
      </c>
      <c r="R522" s="19">
        <v>520</v>
      </c>
    </row>
    <row r="523" spans="5:18" x14ac:dyDescent="0.15">
      <c r="E523" s="5"/>
      <c r="H523" s="19">
        <v>521</v>
      </c>
      <c r="R523" s="19">
        <v>521</v>
      </c>
    </row>
    <row r="524" spans="5:18" x14ac:dyDescent="0.15">
      <c r="E524" s="5"/>
      <c r="H524" s="19">
        <v>522</v>
      </c>
      <c r="R524" s="19">
        <v>522</v>
      </c>
    </row>
    <row r="525" spans="5:18" x14ac:dyDescent="0.15">
      <c r="E525" s="5"/>
      <c r="H525" s="19">
        <v>523</v>
      </c>
      <c r="R525" s="19">
        <v>523</v>
      </c>
    </row>
    <row r="526" spans="5:18" x14ac:dyDescent="0.15">
      <c r="E526" s="5"/>
      <c r="H526" s="19">
        <v>524</v>
      </c>
      <c r="R526" s="19">
        <v>524</v>
      </c>
    </row>
    <row r="527" spans="5:18" x14ac:dyDescent="0.15">
      <c r="E527" s="5"/>
      <c r="H527" s="19">
        <v>525</v>
      </c>
      <c r="R527" s="19">
        <v>525</v>
      </c>
    </row>
    <row r="528" spans="5:18" x14ac:dyDescent="0.15">
      <c r="E528" s="5"/>
      <c r="H528" s="19">
        <v>526</v>
      </c>
      <c r="R528" s="19">
        <v>526</v>
      </c>
    </row>
    <row r="529" spans="5:18" x14ac:dyDescent="0.15">
      <c r="E529" s="5"/>
      <c r="H529" s="19">
        <v>527</v>
      </c>
      <c r="R529" s="19">
        <v>527</v>
      </c>
    </row>
    <row r="530" spans="5:18" x14ac:dyDescent="0.15">
      <c r="E530" s="5"/>
      <c r="H530" s="19">
        <v>528</v>
      </c>
      <c r="R530" s="19">
        <v>528</v>
      </c>
    </row>
    <row r="531" spans="5:18" x14ac:dyDescent="0.15">
      <c r="E531" s="5"/>
      <c r="H531" s="19">
        <v>529</v>
      </c>
      <c r="R531" s="19">
        <v>529</v>
      </c>
    </row>
    <row r="532" spans="5:18" x14ac:dyDescent="0.15">
      <c r="E532" s="5"/>
      <c r="H532" s="19">
        <v>530</v>
      </c>
      <c r="R532" s="19">
        <v>530</v>
      </c>
    </row>
    <row r="533" spans="5:18" x14ac:dyDescent="0.15">
      <c r="E533" s="5"/>
      <c r="H533" s="19">
        <v>531</v>
      </c>
      <c r="R533" s="19">
        <v>531</v>
      </c>
    </row>
    <row r="534" spans="5:18" x14ac:dyDescent="0.15">
      <c r="E534" s="5"/>
      <c r="H534" s="19">
        <v>532</v>
      </c>
      <c r="R534" s="19">
        <v>532</v>
      </c>
    </row>
    <row r="535" spans="5:18" x14ac:dyDescent="0.15">
      <c r="E535" s="5"/>
      <c r="H535" s="19">
        <v>533</v>
      </c>
      <c r="R535" s="19">
        <v>533</v>
      </c>
    </row>
    <row r="536" spans="5:18" x14ac:dyDescent="0.15">
      <c r="E536" s="5"/>
      <c r="H536" s="19">
        <v>534</v>
      </c>
      <c r="R536" s="19">
        <v>534</v>
      </c>
    </row>
    <row r="537" spans="5:18" x14ac:dyDescent="0.15">
      <c r="E537" s="5"/>
      <c r="H537" s="19">
        <v>535</v>
      </c>
      <c r="R537" s="19">
        <v>535</v>
      </c>
    </row>
    <row r="538" spans="5:18" x14ac:dyDescent="0.15">
      <c r="E538" s="5"/>
      <c r="H538" s="19">
        <v>536</v>
      </c>
      <c r="R538" s="19">
        <v>536</v>
      </c>
    </row>
    <row r="539" spans="5:18" x14ac:dyDescent="0.15">
      <c r="E539" s="5"/>
      <c r="H539" s="19">
        <v>537</v>
      </c>
      <c r="R539" s="19">
        <v>537</v>
      </c>
    </row>
    <row r="540" spans="5:18" x14ac:dyDescent="0.15">
      <c r="E540" s="5"/>
      <c r="H540" s="19">
        <v>538</v>
      </c>
      <c r="R540" s="19">
        <v>538</v>
      </c>
    </row>
    <row r="541" spans="5:18" x14ac:dyDescent="0.15">
      <c r="E541" s="5"/>
      <c r="H541" s="19">
        <v>539</v>
      </c>
      <c r="R541" s="19">
        <v>539</v>
      </c>
    </row>
    <row r="542" spans="5:18" x14ac:dyDescent="0.15">
      <c r="E542" s="5"/>
      <c r="H542" s="19">
        <v>540</v>
      </c>
      <c r="R542" s="19">
        <v>540</v>
      </c>
    </row>
    <row r="543" spans="5:18" x14ac:dyDescent="0.15">
      <c r="E543" s="5"/>
      <c r="H543" s="19">
        <v>541</v>
      </c>
      <c r="R543" s="19">
        <v>541</v>
      </c>
    </row>
    <row r="544" spans="5:18" x14ac:dyDescent="0.15">
      <c r="E544" s="5"/>
      <c r="H544" s="19">
        <v>542</v>
      </c>
      <c r="R544" s="19">
        <v>542</v>
      </c>
    </row>
    <row r="545" spans="5:18" x14ac:dyDescent="0.15">
      <c r="E545" s="5"/>
      <c r="H545" s="19">
        <v>543</v>
      </c>
      <c r="R545" s="19">
        <v>543</v>
      </c>
    </row>
    <row r="546" spans="5:18" x14ac:dyDescent="0.15">
      <c r="E546" s="5"/>
      <c r="H546" s="19">
        <v>544</v>
      </c>
      <c r="R546" s="19">
        <v>544</v>
      </c>
    </row>
    <row r="547" spans="5:18" x14ac:dyDescent="0.15">
      <c r="E547" s="5"/>
      <c r="H547" s="19">
        <v>545</v>
      </c>
      <c r="R547" s="19">
        <v>545</v>
      </c>
    </row>
    <row r="548" spans="5:18" x14ac:dyDescent="0.15">
      <c r="E548" s="5"/>
      <c r="H548" s="19">
        <v>546</v>
      </c>
      <c r="R548" s="19">
        <v>546</v>
      </c>
    </row>
    <row r="549" spans="5:18" x14ac:dyDescent="0.15">
      <c r="E549" s="5"/>
      <c r="H549" s="19">
        <v>547</v>
      </c>
      <c r="R549" s="19">
        <v>547</v>
      </c>
    </row>
    <row r="550" spans="5:18" x14ac:dyDescent="0.15">
      <c r="E550" s="5"/>
      <c r="H550" s="19">
        <v>548</v>
      </c>
      <c r="R550" s="19">
        <v>548</v>
      </c>
    </row>
    <row r="551" spans="5:18" x14ac:dyDescent="0.15">
      <c r="E551" s="5"/>
      <c r="H551" s="19">
        <v>549</v>
      </c>
      <c r="R551" s="19">
        <v>549</v>
      </c>
    </row>
    <row r="552" spans="5:18" x14ac:dyDescent="0.15">
      <c r="E552" s="5"/>
      <c r="H552" s="19">
        <v>550</v>
      </c>
      <c r="R552" s="19">
        <v>550</v>
      </c>
    </row>
    <row r="553" spans="5:18" x14ac:dyDescent="0.15">
      <c r="E553" s="5"/>
      <c r="H553" s="19">
        <v>551</v>
      </c>
      <c r="R553" s="19">
        <v>551</v>
      </c>
    </row>
    <row r="554" spans="5:18" x14ac:dyDescent="0.15">
      <c r="E554" s="5"/>
      <c r="H554" s="19">
        <v>552</v>
      </c>
      <c r="R554" s="19">
        <v>552</v>
      </c>
    </row>
    <row r="555" spans="5:18" x14ac:dyDescent="0.15">
      <c r="E555" s="5"/>
      <c r="H555" s="19">
        <v>553</v>
      </c>
      <c r="R555" s="19">
        <v>553</v>
      </c>
    </row>
    <row r="556" spans="5:18" x14ac:dyDescent="0.15">
      <c r="E556" s="5"/>
      <c r="H556" s="19">
        <v>554</v>
      </c>
      <c r="R556" s="19">
        <v>554</v>
      </c>
    </row>
    <row r="557" spans="5:18" x14ac:dyDescent="0.15">
      <c r="E557" s="5"/>
      <c r="H557" s="19">
        <v>555</v>
      </c>
      <c r="R557" s="19">
        <v>555</v>
      </c>
    </row>
    <row r="558" spans="5:18" x14ac:dyDescent="0.15">
      <c r="E558" s="5"/>
      <c r="H558" s="19">
        <v>556</v>
      </c>
      <c r="R558" s="19">
        <v>556</v>
      </c>
    </row>
    <row r="559" spans="5:18" x14ac:dyDescent="0.15">
      <c r="E559" s="5"/>
      <c r="H559" s="19">
        <v>557</v>
      </c>
      <c r="R559" s="19">
        <v>557</v>
      </c>
    </row>
    <row r="560" spans="5:18" x14ac:dyDescent="0.15">
      <c r="E560" s="5"/>
      <c r="H560" s="19">
        <v>558</v>
      </c>
      <c r="R560" s="19">
        <v>558</v>
      </c>
    </row>
    <row r="561" spans="5:18" x14ac:dyDescent="0.15">
      <c r="E561" s="5"/>
      <c r="H561" s="19">
        <v>559</v>
      </c>
      <c r="R561" s="19">
        <v>559</v>
      </c>
    </row>
    <row r="562" spans="5:18" x14ac:dyDescent="0.15">
      <c r="E562" s="5"/>
      <c r="H562" s="19">
        <v>560</v>
      </c>
      <c r="R562" s="19">
        <v>560</v>
      </c>
    </row>
    <row r="563" spans="5:18" x14ac:dyDescent="0.15">
      <c r="E563" s="5"/>
      <c r="H563" s="19">
        <v>561</v>
      </c>
      <c r="R563" s="19">
        <v>561</v>
      </c>
    </row>
    <row r="564" spans="5:18" x14ac:dyDescent="0.15">
      <c r="E564" s="5"/>
      <c r="H564" s="19">
        <v>562</v>
      </c>
      <c r="R564" s="19">
        <v>562</v>
      </c>
    </row>
    <row r="565" spans="5:18" x14ac:dyDescent="0.15">
      <c r="E565" s="5"/>
      <c r="H565" s="19">
        <v>563</v>
      </c>
      <c r="R565" s="19">
        <v>563</v>
      </c>
    </row>
    <row r="566" spans="5:18" x14ac:dyDescent="0.15">
      <c r="E566" s="5"/>
      <c r="H566" s="19">
        <v>564</v>
      </c>
      <c r="R566" s="19">
        <v>564</v>
      </c>
    </row>
    <row r="567" spans="5:18" x14ac:dyDescent="0.15">
      <c r="E567" s="5"/>
      <c r="H567" s="19">
        <v>565</v>
      </c>
      <c r="R567" s="19">
        <v>565</v>
      </c>
    </row>
    <row r="568" spans="5:18" x14ac:dyDescent="0.15">
      <c r="E568" s="5"/>
      <c r="H568" s="19">
        <v>566</v>
      </c>
      <c r="R568" s="19">
        <v>566</v>
      </c>
    </row>
    <row r="569" spans="5:18" x14ac:dyDescent="0.15">
      <c r="E569" s="5"/>
      <c r="H569" s="19">
        <v>567</v>
      </c>
      <c r="R569" s="19">
        <v>567</v>
      </c>
    </row>
    <row r="570" spans="5:18" x14ac:dyDescent="0.15">
      <c r="E570" s="5"/>
      <c r="H570" s="19">
        <v>568</v>
      </c>
      <c r="R570" s="19">
        <v>568</v>
      </c>
    </row>
    <row r="571" spans="5:18" x14ac:dyDescent="0.15">
      <c r="E571" s="5"/>
      <c r="H571" s="19">
        <v>569</v>
      </c>
      <c r="R571" s="19">
        <v>569</v>
      </c>
    </row>
    <row r="572" spans="5:18" x14ac:dyDescent="0.15">
      <c r="E572" s="5"/>
      <c r="H572" s="19">
        <v>570</v>
      </c>
      <c r="R572" s="19">
        <v>570</v>
      </c>
    </row>
    <row r="573" spans="5:18" x14ac:dyDescent="0.15">
      <c r="E573" s="5"/>
      <c r="H573" s="19">
        <v>571</v>
      </c>
      <c r="R573" s="19">
        <v>571</v>
      </c>
    </row>
    <row r="574" spans="5:18" x14ac:dyDescent="0.15">
      <c r="E574" s="5"/>
      <c r="H574" s="19">
        <v>572</v>
      </c>
      <c r="R574" s="19">
        <v>572</v>
      </c>
    </row>
    <row r="575" spans="5:18" x14ac:dyDescent="0.15">
      <c r="E575" s="5"/>
      <c r="H575" s="19">
        <v>573</v>
      </c>
      <c r="R575" s="19">
        <v>573</v>
      </c>
    </row>
    <row r="576" spans="5:18" x14ac:dyDescent="0.15">
      <c r="E576" s="5"/>
      <c r="H576" s="19">
        <v>574</v>
      </c>
      <c r="R576" s="19">
        <v>574</v>
      </c>
    </row>
    <row r="577" spans="5:18" x14ac:dyDescent="0.15">
      <c r="E577" s="5"/>
      <c r="H577" s="19">
        <v>575</v>
      </c>
      <c r="R577" s="19">
        <v>575</v>
      </c>
    </row>
    <row r="578" spans="5:18" x14ac:dyDescent="0.15">
      <c r="E578" s="5"/>
      <c r="H578" s="19">
        <v>576</v>
      </c>
      <c r="R578" s="19">
        <v>576</v>
      </c>
    </row>
    <row r="579" spans="5:18" x14ac:dyDescent="0.15">
      <c r="E579" s="5"/>
      <c r="H579" s="19">
        <v>577</v>
      </c>
      <c r="R579" s="19">
        <v>577</v>
      </c>
    </row>
    <row r="580" spans="5:18" x14ac:dyDescent="0.15">
      <c r="E580" s="5"/>
      <c r="H580" s="19">
        <v>578</v>
      </c>
      <c r="R580" s="19">
        <v>578</v>
      </c>
    </row>
    <row r="581" spans="5:18" x14ac:dyDescent="0.15">
      <c r="E581" s="5"/>
      <c r="H581" s="19">
        <v>579</v>
      </c>
      <c r="R581" s="19">
        <v>579</v>
      </c>
    </row>
    <row r="582" spans="5:18" x14ac:dyDescent="0.15">
      <c r="E582" s="5"/>
      <c r="H582" s="19">
        <v>580</v>
      </c>
      <c r="R582" s="19">
        <v>580</v>
      </c>
    </row>
    <row r="583" spans="5:18" x14ac:dyDescent="0.15">
      <c r="E583" s="5"/>
      <c r="H583" s="19">
        <v>581</v>
      </c>
      <c r="R583" s="19">
        <v>581</v>
      </c>
    </row>
    <row r="584" spans="5:18" x14ac:dyDescent="0.15">
      <c r="E584" s="5"/>
      <c r="H584" s="19">
        <v>582</v>
      </c>
      <c r="R584" s="19">
        <v>582</v>
      </c>
    </row>
    <row r="585" spans="5:18" x14ac:dyDescent="0.15">
      <c r="E585" s="5"/>
      <c r="H585" s="19">
        <v>583</v>
      </c>
      <c r="R585" s="19">
        <v>583</v>
      </c>
    </row>
    <row r="586" spans="5:18" x14ac:dyDescent="0.15">
      <c r="E586" s="5"/>
      <c r="H586" s="19">
        <v>584</v>
      </c>
      <c r="R586" s="19">
        <v>584</v>
      </c>
    </row>
    <row r="587" spans="5:18" x14ac:dyDescent="0.15">
      <c r="E587" s="5"/>
      <c r="H587" s="19">
        <v>585</v>
      </c>
      <c r="R587" s="19">
        <v>585</v>
      </c>
    </row>
    <row r="588" spans="5:18" x14ac:dyDescent="0.15">
      <c r="E588" s="5"/>
      <c r="H588" s="19">
        <v>586</v>
      </c>
      <c r="R588" s="19">
        <v>586</v>
      </c>
    </row>
    <row r="589" spans="5:18" x14ac:dyDescent="0.15">
      <c r="E589" s="5"/>
      <c r="H589" s="19">
        <v>587</v>
      </c>
      <c r="R589" s="19">
        <v>587</v>
      </c>
    </row>
    <row r="590" spans="5:18" x14ac:dyDescent="0.15">
      <c r="E590" s="5"/>
      <c r="H590" s="19">
        <v>588</v>
      </c>
      <c r="R590" s="19">
        <v>588</v>
      </c>
    </row>
    <row r="591" spans="5:18" x14ac:dyDescent="0.15">
      <c r="E591" s="5"/>
      <c r="H591" s="19">
        <v>589</v>
      </c>
      <c r="R591" s="19">
        <v>589</v>
      </c>
    </row>
    <row r="592" spans="5:18" x14ac:dyDescent="0.15">
      <c r="E592" s="5"/>
      <c r="H592" s="19">
        <v>590</v>
      </c>
      <c r="R592" s="19">
        <v>590</v>
      </c>
    </row>
    <row r="593" spans="5:18" x14ac:dyDescent="0.15">
      <c r="E593" s="5"/>
      <c r="H593" s="19">
        <v>591</v>
      </c>
      <c r="R593" s="19">
        <v>591</v>
      </c>
    </row>
    <row r="594" spans="5:18" x14ac:dyDescent="0.15">
      <c r="E594" s="5"/>
      <c r="H594" s="19">
        <v>592</v>
      </c>
      <c r="R594" s="19">
        <v>592</v>
      </c>
    </row>
    <row r="595" spans="5:18" x14ac:dyDescent="0.15">
      <c r="E595" s="5"/>
      <c r="H595" s="19">
        <v>593</v>
      </c>
      <c r="R595" s="19">
        <v>593</v>
      </c>
    </row>
    <row r="596" spans="5:18" x14ac:dyDescent="0.15">
      <c r="E596" s="5"/>
      <c r="H596" s="19">
        <v>594</v>
      </c>
      <c r="R596" s="19">
        <v>594</v>
      </c>
    </row>
    <row r="597" spans="5:18" x14ac:dyDescent="0.15">
      <c r="E597" s="5"/>
      <c r="H597" s="19">
        <v>595</v>
      </c>
      <c r="R597" s="19">
        <v>595</v>
      </c>
    </row>
    <row r="598" spans="5:18" x14ac:dyDescent="0.15">
      <c r="E598" s="5"/>
      <c r="H598" s="19">
        <v>596</v>
      </c>
      <c r="R598" s="19">
        <v>596</v>
      </c>
    </row>
    <row r="599" spans="5:18" x14ac:dyDescent="0.15">
      <c r="E599" s="5"/>
      <c r="H599" s="19">
        <v>597</v>
      </c>
      <c r="R599" s="19">
        <v>597</v>
      </c>
    </row>
    <row r="600" spans="5:18" x14ac:dyDescent="0.15">
      <c r="E600" s="5"/>
      <c r="H600" s="19">
        <v>598</v>
      </c>
      <c r="R600" s="19">
        <v>598</v>
      </c>
    </row>
    <row r="601" spans="5:18" x14ac:dyDescent="0.15">
      <c r="E601" s="5"/>
      <c r="H601" s="19">
        <v>599</v>
      </c>
      <c r="R601" s="19">
        <v>599</v>
      </c>
    </row>
    <row r="602" spans="5:18" x14ac:dyDescent="0.15">
      <c r="E602" s="5"/>
      <c r="H602" s="19">
        <v>600</v>
      </c>
      <c r="R602" s="19">
        <v>600</v>
      </c>
    </row>
    <row r="603" spans="5:18" x14ac:dyDescent="0.15">
      <c r="E603" s="5"/>
      <c r="H603" s="19">
        <v>601</v>
      </c>
      <c r="R603" s="19">
        <v>601</v>
      </c>
    </row>
    <row r="604" spans="5:18" x14ac:dyDescent="0.15">
      <c r="E604" s="5"/>
      <c r="H604" s="19">
        <v>602</v>
      </c>
      <c r="R604" s="19">
        <v>602</v>
      </c>
    </row>
    <row r="605" spans="5:18" x14ac:dyDescent="0.15">
      <c r="E605" s="5"/>
      <c r="H605" s="19">
        <v>603</v>
      </c>
      <c r="R605" s="19">
        <v>603</v>
      </c>
    </row>
    <row r="606" spans="5:18" x14ac:dyDescent="0.15">
      <c r="E606" s="5"/>
      <c r="H606" s="19">
        <v>604</v>
      </c>
      <c r="R606" s="19">
        <v>604</v>
      </c>
    </row>
    <row r="607" spans="5:18" x14ac:dyDescent="0.15">
      <c r="E607" s="5"/>
      <c r="H607" s="19">
        <v>605</v>
      </c>
      <c r="R607" s="19">
        <v>605</v>
      </c>
    </row>
    <row r="608" spans="5:18" x14ac:dyDescent="0.15">
      <c r="E608" s="5"/>
      <c r="H608" s="19">
        <v>606</v>
      </c>
      <c r="R608" s="19">
        <v>606</v>
      </c>
    </row>
    <row r="609" spans="5:18" x14ac:dyDescent="0.15">
      <c r="E609" s="5"/>
      <c r="H609" s="19">
        <v>607</v>
      </c>
      <c r="R609" s="19">
        <v>607</v>
      </c>
    </row>
    <row r="610" spans="5:18" x14ac:dyDescent="0.15">
      <c r="E610" s="5"/>
      <c r="H610" s="19">
        <v>608</v>
      </c>
      <c r="R610" s="19">
        <v>608</v>
      </c>
    </row>
    <row r="611" spans="5:18" x14ac:dyDescent="0.15">
      <c r="E611" s="5"/>
      <c r="H611" s="19">
        <v>609</v>
      </c>
      <c r="R611" s="19">
        <v>609</v>
      </c>
    </row>
    <row r="612" spans="5:18" x14ac:dyDescent="0.15">
      <c r="E612" s="5"/>
      <c r="H612" s="19">
        <v>610</v>
      </c>
      <c r="R612" s="19">
        <v>610</v>
      </c>
    </row>
    <row r="613" spans="5:18" x14ac:dyDescent="0.15">
      <c r="E613" s="5"/>
      <c r="H613" s="19">
        <v>611</v>
      </c>
      <c r="R613" s="19">
        <v>611</v>
      </c>
    </row>
    <row r="614" spans="5:18" x14ac:dyDescent="0.15">
      <c r="E614" s="5"/>
      <c r="H614" s="19">
        <v>612</v>
      </c>
      <c r="R614" s="19">
        <v>612</v>
      </c>
    </row>
    <row r="615" spans="5:18" x14ac:dyDescent="0.15">
      <c r="E615" s="5"/>
      <c r="H615" s="19">
        <v>613</v>
      </c>
      <c r="R615" s="19">
        <v>613</v>
      </c>
    </row>
    <row r="616" spans="5:18" x14ac:dyDescent="0.15">
      <c r="E616" s="5"/>
      <c r="H616" s="19">
        <v>614</v>
      </c>
      <c r="R616" s="19">
        <v>614</v>
      </c>
    </row>
    <row r="617" spans="5:18" x14ac:dyDescent="0.15">
      <c r="E617" s="5"/>
      <c r="H617" s="19">
        <v>615</v>
      </c>
      <c r="R617" s="19">
        <v>615</v>
      </c>
    </row>
    <row r="618" spans="5:18" x14ac:dyDescent="0.15">
      <c r="E618" s="5"/>
      <c r="H618" s="19">
        <v>616</v>
      </c>
      <c r="R618" s="19">
        <v>616</v>
      </c>
    </row>
    <row r="619" spans="5:18" x14ac:dyDescent="0.15">
      <c r="E619" s="5"/>
      <c r="H619" s="19">
        <v>617</v>
      </c>
      <c r="R619" s="19">
        <v>617</v>
      </c>
    </row>
    <row r="620" spans="5:18" x14ac:dyDescent="0.15">
      <c r="E620" s="5"/>
      <c r="H620" s="19">
        <v>618</v>
      </c>
      <c r="R620" s="19">
        <v>618</v>
      </c>
    </row>
    <row r="621" spans="5:18" x14ac:dyDescent="0.15">
      <c r="E621" s="5"/>
      <c r="H621" s="19">
        <v>619</v>
      </c>
      <c r="R621" s="19">
        <v>619</v>
      </c>
    </row>
    <row r="622" spans="5:18" x14ac:dyDescent="0.15">
      <c r="E622" s="5"/>
      <c r="H622" s="19">
        <v>620</v>
      </c>
      <c r="R622" s="19">
        <v>620</v>
      </c>
    </row>
    <row r="623" spans="5:18" x14ac:dyDescent="0.15">
      <c r="E623" s="5"/>
      <c r="H623" s="19">
        <v>621</v>
      </c>
      <c r="R623" s="19">
        <v>621</v>
      </c>
    </row>
    <row r="624" spans="5:18" x14ac:dyDescent="0.15">
      <c r="E624" s="5"/>
      <c r="H624" s="19">
        <v>622</v>
      </c>
      <c r="R624" s="19">
        <v>622</v>
      </c>
    </row>
    <row r="625" spans="5:18" x14ac:dyDescent="0.15">
      <c r="E625" s="5"/>
      <c r="H625" s="19">
        <v>623</v>
      </c>
      <c r="R625" s="19">
        <v>623</v>
      </c>
    </row>
    <row r="626" spans="5:18" x14ac:dyDescent="0.15">
      <c r="E626" s="5"/>
      <c r="H626" s="19">
        <v>624</v>
      </c>
      <c r="R626" s="19">
        <v>624</v>
      </c>
    </row>
    <row r="627" spans="5:18" x14ac:dyDescent="0.15">
      <c r="E627" s="5"/>
      <c r="H627" s="19">
        <v>625</v>
      </c>
      <c r="R627" s="19">
        <v>625</v>
      </c>
    </row>
    <row r="628" spans="5:18" x14ac:dyDescent="0.15">
      <c r="E628" s="5"/>
      <c r="H628" s="19">
        <v>626</v>
      </c>
      <c r="R628" s="19">
        <v>626</v>
      </c>
    </row>
    <row r="629" spans="5:18" x14ac:dyDescent="0.15">
      <c r="E629" s="5"/>
      <c r="H629" s="19">
        <v>627</v>
      </c>
      <c r="R629" s="19">
        <v>627</v>
      </c>
    </row>
    <row r="630" spans="5:18" x14ac:dyDescent="0.15">
      <c r="E630" s="5"/>
      <c r="H630" s="19">
        <v>628</v>
      </c>
      <c r="R630" s="19">
        <v>628</v>
      </c>
    </row>
    <row r="631" spans="5:18" x14ac:dyDescent="0.15">
      <c r="E631" s="5"/>
      <c r="H631" s="19">
        <v>629</v>
      </c>
      <c r="R631" s="19">
        <v>629</v>
      </c>
    </row>
    <row r="632" spans="5:18" x14ac:dyDescent="0.15">
      <c r="E632" s="5"/>
      <c r="H632" s="19">
        <v>630</v>
      </c>
      <c r="R632" s="19">
        <v>630</v>
      </c>
    </row>
    <row r="633" spans="5:18" x14ac:dyDescent="0.15">
      <c r="E633" s="5"/>
      <c r="H633" s="19">
        <v>631</v>
      </c>
      <c r="R633" s="19">
        <v>631</v>
      </c>
    </row>
    <row r="634" spans="5:18" x14ac:dyDescent="0.15">
      <c r="E634" s="5"/>
      <c r="H634" s="19">
        <v>632</v>
      </c>
      <c r="R634" s="19">
        <v>632</v>
      </c>
    </row>
    <row r="635" spans="5:18" x14ac:dyDescent="0.15">
      <c r="E635" s="5"/>
      <c r="H635" s="19">
        <v>633</v>
      </c>
      <c r="R635" s="19">
        <v>633</v>
      </c>
    </row>
    <row r="636" spans="5:18" x14ac:dyDescent="0.15">
      <c r="E636" s="5"/>
      <c r="H636" s="19">
        <v>634</v>
      </c>
      <c r="R636" s="19">
        <v>634</v>
      </c>
    </row>
    <row r="637" spans="5:18" x14ac:dyDescent="0.15">
      <c r="E637" s="5"/>
      <c r="H637" s="19">
        <v>635</v>
      </c>
      <c r="R637" s="19">
        <v>635</v>
      </c>
    </row>
    <row r="638" spans="5:18" x14ac:dyDescent="0.15">
      <c r="E638" s="5"/>
      <c r="H638" s="19">
        <v>636</v>
      </c>
      <c r="R638" s="19">
        <v>636</v>
      </c>
    </row>
    <row r="639" spans="5:18" x14ac:dyDescent="0.15">
      <c r="E639" s="5"/>
      <c r="H639" s="19">
        <v>637</v>
      </c>
      <c r="R639" s="19">
        <v>637</v>
      </c>
    </row>
    <row r="640" spans="5:18" x14ac:dyDescent="0.15">
      <c r="E640" s="5"/>
      <c r="H640" s="19">
        <v>638</v>
      </c>
      <c r="R640" s="19">
        <v>638</v>
      </c>
    </row>
    <row r="641" spans="5:18" x14ac:dyDescent="0.15">
      <c r="E641" s="5"/>
      <c r="H641" s="19">
        <v>639</v>
      </c>
      <c r="R641" s="19">
        <v>639</v>
      </c>
    </row>
    <row r="642" spans="5:18" x14ac:dyDescent="0.15">
      <c r="E642" s="5"/>
      <c r="H642" s="19">
        <v>640</v>
      </c>
      <c r="R642" s="19">
        <v>640</v>
      </c>
    </row>
    <row r="643" spans="5:18" x14ac:dyDescent="0.15">
      <c r="E643" s="5"/>
      <c r="H643" s="19">
        <v>641</v>
      </c>
      <c r="R643" s="19">
        <v>641</v>
      </c>
    </row>
    <row r="644" spans="5:18" x14ac:dyDescent="0.15">
      <c r="E644" s="5"/>
      <c r="H644" s="19">
        <v>642</v>
      </c>
      <c r="R644" s="19">
        <v>642</v>
      </c>
    </row>
    <row r="645" spans="5:18" x14ac:dyDescent="0.15">
      <c r="E645" s="5"/>
      <c r="H645" s="19">
        <v>643</v>
      </c>
      <c r="R645" s="19">
        <v>643</v>
      </c>
    </row>
    <row r="646" spans="5:18" x14ac:dyDescent="0.15">
      <c r="E646" s="5"/>
      <c r="H646" s="19">
        <v>644</v>
      </c>
      <c r="R646" s="19">
        <v>644</v>
      </c>
    </row>
    <row r="647" spans="5:18" x14ac:dyDescent="0.15">
      <c r="E647" s="5"/>
      <c r="H647" s="19">
        <v>645</v>
      </c>
      <c r="R647" s="19">
        <v>645</v>
      </c>
    </row>
    <row r="648" spans="5:18" x14ac:dyDescent="0.15">
      <c r="E648" s="5"/>
      <c r="H648" s="19">
        <v>646</v>
      </c>
      <c r="R648" s="19">
        <v>646</v>
      </c>
    </row>
    <row r="649" spans="5:18" x14ac:dyDescent="0.15">
      <c r="E649" s="5"/>
      <c r="H649" s="19">
        <v>647</v>
      </c>
      <c r="R649" s="19">
        <v>647</v>
      </c>
    </row>
    <row r="650" spans="5:18" x14ac:dyDescent="0.15">
      <c r="E650" s="5"/>
      <c r="H650" s="19">
        <v>648</v>
      </c>
      <c r="R650" s="19">
        <v>648</v>
      </c>
    </row>
    <row r="651" spans="5:18" x14ac:dyDescent="0.15">
      <c r="E651" s="5"/>
      <c r="H651" s="19">
        <v>649</v>
      </c>
      <c r="R651" s="19">
        <v>649</v>
      </c>
    </row>
    <row r="652" spans="5:18" x14ac:dyDescent="0.15">
      <c r="E652" s="5"/>
      <c r="H652" s="19">
        <v>650</v>
      </c>
      <c r="R652" s="19">
        <v>650</v>
      </c>
    </row>
    <row r="653" spans="5:18" x14ac:dyDescent="0.15">
      <c r="E653" s="5"/>
      <c r="H653" s="19">
        <v>651</v>
      </c>
      <c r="R653" s="19">
        <v>651</v>
      </c>
    </row>
    <row r="654" spans="5:18" x14ac:dyDescent="0.15">
      <c r="E654" s="5"/>
      <c r="H654" s="19">
        <v>652</v>
      </c>
      <c r="R654" s="19">
        <v>652</v>
      </c>
    </row>
    <row r="655" spans="5:18" x14ac:dyDescent="0.15">
      <c r="E655" s="5"/>
      <c r="H655" s="19">
        <v>653</v>
      </c>
      <c r="R655" s="19">
        <v>653</v>
      </c>
    </row>
    <row r="656" spans="5:18" x14ac:dyDescent="0.15">
      <c r="E656" s="5"/>
      <c r="H656" s="19">
        <v>654</v>
      </c>
      <c r="R656" s="19">
        <v>654</v>
      </c>
    </row>
    <row r="657" spans="5:18" x14ac:dyDescent="0.15">
      <c r="E657" s="5"/>
      <c r="H657" s="19">
        <v>655</v>
      </c>
      <c r="R657" s="19">
        <v>655</v>
      </c>
    </row>
    <row r="658" spans="5:18" x14ac:dyDescent="0.15">
      <c r="E658" s="5"/>
      <c r="H658" s="19">
        <v>656</v>
      </c>
      <c r="R658" s="19">
        <v>656</v>
      </c>
    </row>
    <row r="659" spans="5:18" x14ac:dyDescent="0.15">
      <c r="E659" s="5"/>
      <c r="H659" s="19">
        <v>657</v>
      </c>
      <c r="R659" s="19">
        <v>657</v>
      </c>
    </row>
    <row r="660" spans="5:18" x14ac:dyDescent="0.15">
      <c r="E660" s="5"/>
      <c r="H660" s="19">
        <v>658</v>
      </c>
      <c r="R660" s="19">
        <v>658</v>
      </c>
    </row>
    <row r="661" spans="5:18" x14ac:dyDescent="0.15">
      <c r="E661" s="5"/>
      <c r="H661" s="19">
        <v>659</v>
      </c>
      <c r="R661" s="19">
        <v>659</v>
      </c>
    </row>
    <row r="662" spans="5:18" x14ac:dyDescent="0.15">
      <c r="E662" s="5"/>
      <c r="H662" s="19">
        <v>660</v>
      </c>
      <c r="R662" s="19">
        <v>660</v>
      </c>
    </row>
    <row r="663" spans="5:18" x14ac:dyDescent="0.15">
      <c r="E663" s="5"/>
      <c r="H663" s="19">
        <v>661</v>
      </c>
      <c r="R663" s="19">
        <v>661</v>
      </c>
    </row>
    <row r="664" spans="5:18" x14ac:dyDescent="0.15">
      <c r="E664" s="5"/>
      <c r="H664" s="19">
        <v>662</v>
      </c>
      <c r="R664" s="19">
        <v>662</v>
      </c>
    </row>
    <row r="665" spans="5:18" x14ac:dyDescent="0.15">
      <c r="E665" s="5"/>
      <c r="H665" s="19">
        <v>663</v>
      </c>
      <c r="R665" s="19">
        <v>663</v>
      </c>
    </row>
    <row r="666" spans="5:18" x14ac:dyDescent="0.15">
      <c r="E666" s="5"/>
      <c r="H666" s="19">
        <v>664</v>
      </c>
      <c r="R666" s="19">
        <v>664</v>
      </c>
    </row>
    <row r="667" spans="5:18" x14ac:dyDescent="0.15">
      <c r="E667" s="5"/>
      <c r="H667" s="19">
        <v>665</v>
      </c>
      <c r="R667" s="19">
        <v>665</v>
      </c>
    </row>
    <row r="668" spans="5:18" x14ac:dyDescent="0.15">
      <c r="E668" s="5"/>
      <c r="H668" s="19">
        <v>666</v>
      </c>
      <c r="R668" s="19">
        <v>666</v>
      </c>
    </row>
    <row r="669" spans="5:18" x14ac:dyDescent="0.15">
      <c r="E669" s="5"/>
      <c r="H669" s="19">
        <v>667</v>
      </c>
      <c r="R669" s="19">
        <v>667</v>
      </c>
    </row>
    <row r="670" spans="5:18" x14ac:dyDescent="0.15">
      <c r="E670" s="5"/>
      <c r="H670" s="19">
        <v>668</v>
      </c>
      <c r="R670" s="19">
        <v>668</v>
      </c>
    </row>
    <row r="671" spans="5:18" x14ac:dyDescent="0.15">
      <c r="E671" s="5"/>
      <c r="H671" s="19">
        <v>669</v>
      </c>
      <c r="R671" s="19">
        <v>669</v>
      </c>
    </row>
    <row r="672" spans="5:18" x14ac:dyDescent="0.15">
      <c r="E672" s="5"/>
      <c r="H672" s="19">
        <v>670</v>
      </c>
      <c r="R672" s="19">
        <v>670</v>
      </c>
    </row>
    <row r="673" spans="5:18" x14ac:dyDescent="0.15">
      <c r="E673" s="5"/>
      <c r="H673" s="19">
        <v>671</v>
      </c>
      <c r="R673" s="19">
        <v>671</v>
      </c>
    </row>
    <row r="674" spans="5:18" x14ac:dyDescent="0.15">
      <c r="E674" s="5"/>
      <c r="H674" s="19">
        <v>672</v>
      </c>
      <c r="R674" s="19">
        <v>672</v>
      </c>
    </row>
    <row r="675" spans="5:18" x14ac:dyDescent="0.15">
      <c r="E675" s="5"/>
      <c r="H675" s="19">
        <v>673</v>
      </c>
      <c r="R675" s="19">
        <v>673</v>
      </c>
    </row>
    <row r="676" spans="5:18" x14ac:dyDescent="0.15">
      <c r="E676" s="5"/>
      <c r="H676" s="19">
        <v>674</v>
      </c>
      <c r="R676" s="19">
        <v>674</v>
      </c>
    </row>
    <row r="677" spans="5:18" x14ac:dyDescent="0.15">
      <c r="E677" s="5"/>
      <c r="H677" s="19">
        <v>675</v>
      </c>
      <c r="R677" s="19">
        <v>675</v>
      </c>
    </row>
    <row r="678" spans="5:18" x14ac:dyDescent="0.15">
      <c r="E678" s="5"/>
      <c r="H678" s="19">
        <v>676</v>
      </c>
      <c r="R678" s="19">
        <v>676</v>
      </c>
    </row>
    <row r="679" spans="5:18" x14ac:dyDescent="0.15">
      <c r="E679" s="5"/>
      <c r="H679" s="19">
        <v>677</v>
      </c>
      <c r="R679" s="19">
        <v>677</v>
      </c>
    </row>
    <row r="680" spans="5:18" x14ac:dyDescent="0.15">
      <c r="E680" s="5"/>
      <c r="H680" s="19">
        <v>678</v>
      </c>
      <c r="R680" s="19">
        <v>678</v>
      </c>
    </row>
    <row r="681" spans="5:18" x14ac:dyDescent="0.15">
      <c r="E681" s="5"/>
      <c r="H681" s="19">
        <v>679</v>
      </c>
      <c r="R681" s="19">
        <v>679</v>
      </c>
    </row>
    <row r="682" spans="5:18" x14ac:dyDescent="0.15">
      <c r="E682" s="5"/>
      <c r="H682" s="19">
        <v>680</v>
      </c>
      <c r="R682" s="19">
        <v>680</v>
      </c>
    </row>
    <row r="683" spans="5:18" x14ac:dyDescent="0.15">
      <c r="E683" s="5"/>
      <c r="H683" s="19">
        <v>681</v>
      </c>
      <c r="R683" s="19">
        <v>681</v>
      </c>
    </row>
    <row r="684" spans="5:18" x14ac:dyDescent="0.15">
      <c r="E684" s="5"/>
      <c r="H684" s="19">
        <v>682</v>
      </c>
      <c r="R684" s="19">
        <v>682</v>
      </c>
    </row>
    <row r="685" spans="5:18" x14ac:dyDescent="0.15">
      <c r="E685" s="5"/>
      <c r="H685" s="19">
        <v>683</v>
      </c>
      <c r="R685" s="19">
        <v>683</v>
      </c>
    </row>
    <row r="686" spans="5:18" x14ac:dyDescent="0.15">
      <c r="E686" s="5"/>
      <c r="H686" s="19">
        <v>684</v>
      </c>
      <c r="R686" s="19">
        <v>684</v>
      </c>
    </row>
    <row r="687" spans="5:18" x14ac:dyDescent="0.15">
      <c r="E687" s="5"/>
      <c r="H687" s="19">
        <v>685</v>
      </c>
      <c r="R687" s="19">
        <v>685</v>
      </c>
    </row>
    <row r="688" spans="5:18" x14ac:dyDescent="0.15">
      <c r="E688" s="5"/>
      <c r="H688" s="19">
        <v>686</v>
      </c>
      <c r="R688" s="19">
        <v>686</v>
      </c>
    </row>
    <row r="689" spans="5:18" x14ac:dyDescent="0.15">
      <c r="E689" s="5"/>
      <c r="H689" s="19">
        <v>687</v>
      </c>
      <c r="R689" s="19">
        <v>687</v>
      </c>
    </row>
    <row r="690" spans="5:18" x14ac:dyDescent="0.15">
      <c r="E690" s="5"/>
      <c r="H690" s="19">
        <v>688</v>
      </c>
      <c r="R690" s="19">
        <v>688</v>
      </c>
    </row>
    <row r="691" spans="5:18" x14ac:dyDescent="0.15">
      <c r="E691" s="5"/>
      <c r="H691" s="19">
        <v>689</v>
      </c>
      <c r="R691" s="19">
        <v>689</v>
      </c>
    </row>
    <row r="692" spans="5:18" x14ac:dyDescent="0.15">
      <c r="E692" s="5"/>
      <c r="H692" s="19">
        <v>690</v>
      </c>
      <c r="R692" s="19">
        <v>690</v>
      </c>
    </row>
    <row r="693" spans="5:18" x14ac:dyDescent="0.15">
      <c r="E693" s="5"/>
      <c r="H693" s="19">
        <v>691</v>
      </c>
      <c r="R693" s="19">
        <v>691</v>
      </c>
    </row>
    <row r="694" spans="5:18" x14ac:dyDescent="0.15">
      <c r="E694" s="5"/>
      <c r="H694" s="19">
        <v>692</v>
      </c>
      <c r="R694" s="19">
        <v>692</v>
      </c>
    </row>
    <row r="695" spans="5:18" x14ac:dyDescent="0.15">
      <c r="E695" s="5"/>
      <c r="H695" s="19">
        <v>693</v>
      </c>
      <c r="R695" s="19">
        <v>693</v>
      </c>
    </row>
    <row r="696" spans="5:18" x14ac:dyDescent="0.15">
      <c r="E696" s="5"/>
      <c r="H696" s="19">
        <v>694</v>
      </c>
      <c r="R696" s="19">
        <v>694</v>
      </c>
    </row>
    <row r="697" spans="5:18" x14ac:dyDescent="0.15">
      <c r="E697" s="5"/>
      <c r="H697" s="19">
        <v>695</v>
      </c>
      <c r="R697" s="19">
        <v>695</v>
      </c>
    </row>
    <row r="698" spans="5:18" x14ac:dyDescent="0.15">
      <c r="E698" s="5"/>
      <c r="H698" s="19">
        <v>696</v>
      </c>
      <c r="R698" s="19">
        <v>696</v>
      </c>
    </row>
    <row r="699" spans="5:18" x14ac:dyDescent="0.15">
      <c r="E699" s="5"/>
      <c r="H699" s="19">
        <v>697</v>
      </c>
      <c r="R699" s="19">
        <v>697</v>
      </c>
    </row>
    <row r="700" spans="5:18" x14ac:dyDescent="0.15">
      <c r="E700" s="5"/>
      <c r="H700" s="19">
        <v>698</v>
      </c>
      <c r="R700" s="19">
        <v>698</v>
      </c>
    </row>
    <row r="701" spans="5:18" x14ac:dyDescent="0.15">
      <c r="E701" s="5"/>
      <c r="H701" s="19">
        <v>699</v>
      </c>
      <c r="R701" s="19">
        <v>699</v>
      </c>
    </row>
    <row r="702" spans="5:18" x14ac:dyDescent="0.15">
      <c r="E702" s="5"/>
      <c r="H702" s="19">
        <v>700</v>
      </c>
      <c r="R702" s="19">
        <v>700</v>
      </c>
    </row>
    <row r="703" spans="5:18" x14ac:dyDescent="0.15">
      <c r="E703" s="5"/>
      <c r="H703" s="19">
        <v>701</v>
      </c>
      <c r="R703" s="19">
        <v>701</v>
      </c>
    </row>
    <row r="704" spans="5:18" x14ac:dyDescent="0.15">
      <c r="E704" s="5"/>
      <c r="H704" s="19">
        <v>702</v>
      </c>
      <c r="R704" s="19">
        <v>702</v>
      </c>
    </row>
    <row r="705" spans="5:18" x14ac:dyDescent="0.15">
      <c r="E705" s="5"/>
      <c r="H705" s="19">
        <v>703</v>
      </c>
      <c r="R705" s="19">
        <v>703</v>
      </c>
    </row>
    <row r="706" spans="5:18" x14ac:dyDescent="0.15">
      <c r="E706" s="5"/>
      <c r="H706" s="19">
        <v>704</v>
      </c>
      <c r="R706" s="19">
        <v>704</v>
      </c>
    </row>
    <row r="707" spans="5:18" x14ac:dyDescent="0.15">
      <c r="E707" s="5"/>
      <c r="H707" s="19">
        <v>705</v>
      </c>
      <c r="R707" s="19">
        <v>705</v>
      </c>
    </row>
    <row r="708" spans="5:18" x14ac:dyDescent="0.15">
      <c r="E708" s="5"/>
      <c r="H708" s="19">
        <v>706</v>
      </c>
      <c r="R708" s="19">
        <v>706</v>
      </c>
    </row>
    <row r="709" spans="5:18" x14ac:dyDescent="0.15">
      <c r="E709" s="5"/>
      <c r="H709" s="19">
        <v>707</v>
      </c>
      <c r="R709" s="19">
        <v>707</v>
      </c>
    </row>
    <row r="710" spans="5:18" x14ac:dyDescent="0.15">
      <c r="E710" s="5"/>
      <c r="H710" s="19">
        <v>708</v>
      </c>
      <c r="R710" s="19">
        <v>708</v>
      </c>
    </row>
    <row r="711" spans="5:18" x14ac:dyDescent="0.15">
      <c r="E711" s="5"/>
      <c r="H711" s="19">
        <v>709</v>
      </c>
      <c r="R711" s="19">
        <v>709</v>
      </c>
    </row>
    <row r="712" spans="5:18" x14ac:dyDescent="0.15">
      <c r="E712" s="5"/>
      <c r="H712" s="19">
        <v>710</v>
      </c>
      <c r="R712" s="19">
        <v>710</v>
      </c>
    </row>
    <row r="713" spans="5:18" x14ac:dyDescent="0.15">
      <c r="E713" s="5"/>
      <c r="H713" s="19">
        <v>711</v>
      </c>
      <c r="R713" s="19">
        <v>711</v>
      </c>
    </row>
    <row r="714" spans="5:18" x14ac:dyDescent="0.15">
      <c r="E714" s="5"/>
      <c r="H714" s="19">
        <v>712</v>
      </c>
      <c r="R714" s="19">
        <v>712</v>
      </c>
    </row>
    <row r="715" spans="5:18" x14ac:dyDescent="0.15">
      <c r="E715" s="5"/>
      <c r="H715" s="19">
        <v>713</v>
      </c>
      <c r="R715" s="19">
        <v>713</v>
      </c>
    </row>
    <row r="716" spans="5:18" x14ac:dyDescent="0.15">
      <c r="E716" s="5"/>
      <c r="H716" s="19">
        <v>714</v>
      </c>
      <c r="R716" s="19">
        <v>714</v>
      </c>
    </row>
    <row r="717" spans="5:18" x14ac:dyDescent="0.15">
      <c r="E717" s="5"/>
      <c r="H717" s="19">
        <v>715</v>
      </c>
      <c r="R717" s="19">
        <v>715</v>
      </c>
    </row>
    <row r="718" spans="5:18" x14ac:dyDescent="0.15">
      <c r="E718" s="5"/>
      <c r="H718" s="19">
        <v>716</v>
      </c>
      <c r="R718" s="19">
        <v>716</v>
      </c>
    </row>
    <row r="719" spans="5:18" x14ac:dyDescent="0.15">
      <c r="E719" s="5"/>
      <c r="H719" s="19">
        <v>717</v>
      </c>
      <c r="R719" s="19">
        <v>717</v>
      </c>
    </row>
    <row r="720" spans="5:18" x14ac:dyDescent="0.15">
      <c r="E720" s="5"/>
      <c r="H720" s="19">
        <v>718</v>
      </c>
      <c r="R720" s="19">
        <v>718</v>
      </c>
    </row>
    <row r="721" spans="5:18" x14ac:dyDescent="0.15">
      <c r="E721" s="5"/>
      <c r="H721" s="19">
        <v>719</v>
      </c>
      <c r="R721" s="19">
        <v>719</v>
      </c>
    </row>
    <row r="722" spans="5:18" x14ac:dyDescent="0.15">
      <c r="E722" s="5"/>
      <c r="H722" s="19">
        <v>720</v>
      </c>
      <c r="R722" s="19">
        <v>720</v>
      </c>
    </row>
    <row r="723" spans="5:18" x14ac:dyDescent="0.15">
      <c r="E723" s="5"/>
      <c r="H723" s="19">
        <v>721</v>
      </c>
      <c r="R723" s="19">
        <v>721</v>
      </c>
    </row>
    <row r="724" spans="5:18" x14ac:dyDescent="0.15">
      <c r="E724" s="5"/>
      <c r="H724" s="19">
        <v>722</v>
      </c>
      <c r="R724" s="19">
        <v>722</v>
      </c>
    </row>
    <row r="725" spans="5:18" x14ac:dyDescent="0.15">
      <c r="E725" s="5"/>
      <c r="H725" s="19">
        <v>723</v>
      </c>
      <c r="R725" s="19">
        <v>723</v>
      </c>
    </row>
    <row r="726" spans="5:18" x14ac:dyDescent="0.15">
      <c r="E726" s="5"/>
      <c r="H726" s="19">
        <v>724</v>
      </c>
      <c r="R726" s="19">
        <v>724</v>
      </c>
    </row>
    <row r="727" spans="5:18" x14ac:dyDescent="0.15">
      <c r="E727" s="5"/>
      <c r="H727" s="19">
        <v>725</v>
      </c>
      <c r="R727" s="19">
        <v>725</v>
      </c>
    </row>
    <row r="728" spans="5:18" x14ac:dyDescent="0.15">
      <c r="E728" s="5"/>
      <c r="H728" s="19">
        <v>726</v>
      </c>
      <c r="R728" s="19">
        <v>726</v>
      </c>
    </row>
    <row r="729" spans="5:18" x14ac:dyDescent="0.15">
      <c r="E729" s="5"/>
      <c r="H729" s="19">
        <v>727</v>
      </c>
      <c r="R729" s="19">
        <v>727</v>
      </c>
    </row>
    <row r="730" spans="5:18" x14ac:dyDescent="0.15">
      <c r="E730" s="5"/>
      <c r="H730" s="19">
        <v>728</v>
      </c>
      <c r="R730" s="19">
        <v>728</v>
      </c>
    </row>
    <row r="731" spans="5:18" x14ac:dyDescent="0.15">
      <c r="E731" s="5"/>
      <c r="H731" s="19">
        <v>729</v>
      </c>
      <c r="R731" s="19">
        <v>729</v>
      </c>
    </row>
    <row r="732" spans="5:18" x14ac:dyDescent="0.15">
      <c r="E732" s="5"/>
      <c r="H732" s="19">
        <v>730</v>
      </c>
      <c r="R732" s="19">
        <v>730</v>
      </c>
    </row>
    <row r="733" spans="5:18" x14ac:dyDescent="0.15">
      <c r="E733" s="5"/>
      <c r="H733" s="19">
        <v>731</v>
      </c>
      <c r="R733" s="19">
        <v>731</v>
      </c>
    </row>
    <row r="734" spans="5:18" x14ac:dyDescent="0.15">
      <c r="E734" s="5"/>
      <c r="H734" s="19">
        <v>732</v>
      </c>
      <c r="R734" s="19">
        <v>732</v>
      </c>
    </row>
    <row r="735" spans="5:18" x14ac:dyDescent="0.15">
      <c r="E735" s="5"/>
      <c r="H735" s="19">
        <v>733</v>
      </c>
      <c r="R735" s="19">
        <v>733</v>
      </c>
    </row>
    <row r="736" spans="5:18" x14ac:dyDescent="0.15">
      <c r="E736" s="5"/>
      <c r="H736" s="19">
        <v>734</v>
      </c>
      <c r="R736" s="19">
        <v>734</v>
      </c>
    </row>
    <row r="737" spans="5:18" x14ac:dyDescent="0.15">
      <c r="E737" s="5"/>
      <c r="H737" s="19">
        <v>735</v>
      </c>
      <c r="R737" s="19">
        <v>735</v>
      </c>
    </row>
    <row r="738" spans="5:18" x14ac:dyDescent="0.15">
      <c r="E738" s="5"/>
      <c r="H738" s="19">
        <v>736</v>
      </c>
      <c r="R738" s="19">
        <v>736</v>
      </c>
    </row>
    <row r="739" spans="5:18" x14ac:dyDescent="0.15">
      <c r="E739" s="5"/>
      <c r="H739" s="19">
        <v>737</v>
      </c>
      <c r="R739" s="19">
        <v>737</v>
      </c>
    </row>
    <row r="740" spans="5:18" x14ac:dyDescent="0.15">
      <c r="E740" s="5"/>
      <c r="H740" s="19">
        <v>738</v>
      </c>
      <c r="R740" s="19">
        <v>738</v>
      </c>
    </row>
    <row r="741" spans="5:18" x14ac:dyDescent="0.15">
      <c r="E741" s="5"/>
      <c r="H741" s="19">
        <v>739</v>
      </c>
      <c r="R741" s="19">
        <v>739</v>
      </c>
    </row>
    <row r="742" spans="5:18" x14ac:dyDescent="0.15">
      <c r="E742" s="5"/>
      <c r="H742" s="19">
        <v>740</v>
      </c>
      <c r="R742" s="19">
        <v>740</v>
      </c>
    </row>
    <row r="743" spans="5:18" x14ac:dyDescent="0.15">
      <c r="E743" s="5"/>
      <c r="H743" s="19">
        <v>741</v>
      </c>
      <c r="R743" s="19">
        <v>741</v>
      </c>
    </row>
    <row r="744" spans="5:18" x14ac:dyDescent="0.15">
      <c r="E744" s="5"/>
      <c r="H744" s="19">
        <v>742</v>
      </c>
      <c r="R744" s="19">
        <v>742</v>
      </c>
    </row>
    <row r="745" spans="5:18" x14ac:dyDescent="0.15">
      <c r="E745" s="5"/>
      <c r="H745" s="19">
        <v>743</v>
      </c>
      <c r="R745" s="19">
        <v>743</v>
      </c>
    </row>
    <row r="746" spans="5:18" x14ac:dyDescent="0.15">
      <c r="E746" s="5"/>
      <c r="H746" s="19">
        <v>744</v>
      </c>
      <c r="R746" s="19">
        <v>744</v>
      </c>
    </row>
    <row r="747" spans="5:18" x14ac:dyDescent="0.15">
      <c r="E747" s="5"/>
      <c r="H747" s="19">
        <v>745</v>
      </c>
      <c r="R747" s="19">
        <v>745</v>
      </c>
    </row>
    <row r="748" spans="5:18" x14ac:dyDescent="0.15">
      <c r="E748" s="5"/>
      <c r="H748" s="19">
        <v>746</v>
      </c>
      <c r="R748" s="19">
        <v>746</v>
      </c>
    </row>
    <row r="749" spans="5:18" x14ac:dyDescent="0.15">
      <c r="E749" s="5"/>
      <c r="H749" s="19">
        <v>747</v>
      </c>
      <c r="R749" s="19">
        <v>747</v>
      </c>
    </row>
    <row r="750" spans="5:18" x14ac:dyDescent="0.15">
      <c r="E750" s="5"/>
      <c r="H750" s="19">
        <v>748</v>
      </c>
      <c r="R750" s="19">
        <v>748</v>
      </c>
    </row>
  </sheetData>
  <autoFilter ref="A2:V750"/>
  <phoneticPr fontId="2" type="noConversion"/>
  <hyperlinks>
    <hyperlink ref="C1" r:id="rId1" display="雪球组合：wbb双低可转债ZH2982722"/>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refresh_price_and_premium_rate_convertible_bond">
                <anchor moveWithCells="1" sizeWithCells="1">
                  <from>
                    <xdr:col>14</xdr:col>
                    <xdr:colOff>590550</xdr:colOff>
                    <xdr:row>2</xdr:row>
                    <xdr:rowOff>76200</xdr:rowOff>
                  </from>
                  <to>
                    <xdr:col>15</xdr:col>
                    <xdr:colOff>638175</xdr:colOff>
                    <xdr:row>4</xdr:row>
                    <xdr:rowOff>171450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U704"/>
  <sheetViews>
    <sheetView workbookViewId="0">
      <pane ySplit="1" topLeftCell="A2" activePane="bottomLeft" state="frozen"/>
      <selection pane="bottomLeft" activeCell="U9" sqref="U9"/>
    </sheetView>
  </sheetViews>
  <sheetFormatPr defaultRowHeight="14.25" x14ac:dyDescent="0.15"/>
  <cols>
    <col min="2" max="2" width="10.375" customWidth="1"/>
    <col min="3" max="3" width="17.25" bestFit="1" customWidth="1"/>
    <col min="4" max="4" width="13.75" bestFit="1" customWidth="1"/>
    <col min="5" max="5" width="11.375" customWidth="1"/>
    <col min="6" max="6" width="9.375" customWidth="1"/>
    <col min="7" max="7" width="4.5" style="11" bestFit="1" customWidth="1"/>
    <col min="8" max="8" width="13.75" bestFit="1" customWidth="1"/>
    <col min="9" max="9" width="18.375" bestFit="1" customWidth="1"/>
    <col min="10" max="10" width="10.625" customWidth="1"/>
    <col min="11" max="13" width="10.375" customWidth="1"/>
    <col min="14" max="14" width="8" style="20" customWidth="1"/>
    <col min="15" max="15" width="8.875" customWidth="1"/>
    <col min="16" max="16" width="9" customWidth="1"/>
    <col min="17" max="17" width="8" customWidth="1"/>
    <col min="18" max="18" width="11.625" style="21" customWidth="1"/>
  </cols>
  <sheetData>
    <row r="1" spans="1:21" s="22" customFormat="1" ht="53.25" customHeight="1" x14ac:dyDescent="0.15">
      <c r="A1" s="29" t="s">
        <v>280</v>
      </c>
      <c r="B1" s="23" t="s">
        <v>39</v>
      </c>
      <c r="C1" s="23" t="s">
        <v>38</v>
      </c>
      <c r="D1" s="23" t="s">
        <v>1688</v>
      </c>
      <c r="E1" s="27"/>
      <c r="F1" s="29" t="s">
        <v>776</v>
      </c>
      <c r="G1" s="24"/>
      <c r="H1" s="23" t="s">
        <v>39</v>
      </c>
      <c r="I1" s="23" t="s">
        <v>38</v>
      </c>
      <c r="J1" s="23" t="s">
        <v>37</v>
      </c>
      <c r="K1" s="23" t="s">
        <v>1958</v>
      </c>
      <c r="L1" s="23" t="s">
        <v>1959</v>
      </c>
      <c r="M1" s="23" t="s">
        <v>36</v>
      </c>
      <c r="N1" s="25" t="s">
        <v>35</v>
      </c>
      <c r="O1" s="23" t="s">
        <v>34</v>
      </c>
      <c r="P1" s="23" t="s">
        <v>1682</v>
      </c>
      <c r="Q1" s="23" t="s">
        <v>1683</v>
      </c>
      <c r="R1" s="26" t="s">
        <v>1684</v>
      </c>
      <c r="T1" s="56" t="s">
        <v>1947</v>
      </c>
    </row>
    <row r="2" spans="1:21" x14ac:dyDescent="0.15">
      <c r="A2">
        <v>1</v>
      </c>
      <c r="B2">
        <v>159981</v>
      </c>
      <c r="C2" t="s">
        <v>33</v>
      </c>
      <c r="D2">
        <f>MATCH(IF(B2&lt;499999,"SZ"&amp;B2,"SH"&amp;B2),$H$2:$H$3000,0)</f>
        <v>605</v>
      </c>
      <c r="G2" s="11">
        <v>1</v>
      </c>
      <c r="H2" s="10" t="s">
        <v>764</v>
      </c>
      <c r="I2" t="s">
        <v>1208</v>
      </c>
      <c r="J2" t="s">
        <v>1195</v>
      </c>
      <c r="K2">
        <v>-1.93</v>
      </c>
      <c r="L2">
        <v>7.26</v>
      </c>
      <c r="M2">
        <v>32.770000000000003</v>
      </c>
      <c r="N2" s="20">
        <v>-1.97</v>
      </c>
      <c r="O2">
        <v>100</v>
      </c>
      <c r="P2">
        <v>99.57</v>
      </c>
      <c r="Q2">
        <v>97.16</v>
      </c>
      <c r="R2" s="21">
        <v>15146.529</v>
      </c>
      <c r="T2" s="9"/>
      <c r="U2" s="9"/>
    </row>
    <row r="3" spans="1:21" x14ac:dyDescent="0.15">
      <c r="A3">
        <v>2</v>
      </c>
      <c r="B3">
        <v>160416</v>
      </c>
      <c r="C3" t="s">
        <v>32</v>
      </c>
      <c r="D3">
        <f t="shared" ref="D3:D11" si="0">MATCH(IF(B3&lt;499999,"SZ"&amp;B3,"SH"&amp;B3),$H$2:$H$3000,0)</f>
        <v>354</v>
      </c>
      <c r="G3" s="11">
        <v>2</v>
      </c>
      <c r="H3" s="10" t="s">
        <v>1595</v>
      </c>
      <c r="I3" t="s">
        <v>1596</v>
      </c>
      <c r="J3" t="s">
        <v>1685</v>
      </c>
      <c r="K3">
        <v>8.3000000000000007</v>
      </c>
      <c r="L3">
        <v>4.42</v>
      </c>
      <c r="M3">
        <v>22.88</v>
      </c>
      <c r="N3" s="20">
        <v>-1.27</v>
      </c>
      <c r="O3">
        <v>99.86</v>
      </c>
      <c r="P3">
        <v>94.88</v>
      </c>
      <c r="Q3">
        <v>95.45</v>
      </c>
      <c r="R3" s="21">
        <v>7529.0271000000002</v>
      </c>
      <c r="T3" s="9"/>
      <c r="U3" s="9"/>
    </row>
    <row r="4" spans="1:21" x14ac:dyDescent="0.15">
      <c r="A4">
        <v>3</v>
      </c>
      <c r="B4">
        <v>164906</v>
      </c>
      <c r="C4" t="s">
        <v>31</v>
      </c>
      <c r="D4">
        <f t="shared" si="0"/>
        <v>375</v>
      </c>
      <c r="G4" s="11">
        <v>3</v>
      </c>
      <c r="H4" s="10" t="s">
        <v>281</v>
      </c>
      <c r="I4" t="s">
        <v>841</v>
      </c>
      <c r="J4" t="s">
        <v>830</v>
      </c>
      <c r="K4">
        <v>9</v>
      </c>
      <c r="L4">
        <v>10.56</v>
      </c>
      <c r="M4">
        <v>19.010000000000002</v>
      </c>
      <c r="N4" s="20">
        <v>-5.73</v>
      </c>
      <c r="O4">
        <v>99.72</v>
      </c>
      <c r="P4">
        <v>89.62</v>
      </c>
      <c r="Q4">
        <v>99.29</v>
      </c>
      <c r="R4" s="21">
        <v>195.84549999999999</v>
      </c>
      <c r="T4" s="9"/>
      <c r="U4" s="9"/>
    </row>
    <row r="5" spans="1:21" x14ac:dyDescent="0.15">
      <c r="A5">
        <v>4</v>
      </c>
      <c r="B5">
        <v>159985</v>
      </c>
      <c r="C5" t="s">
        <v>30</v>
      </c>
      <c r="D5">
        <f t="shared" si="0"/>
        <v>555</v>
      </c>
      <c r="G5" s="11">
        <v>4</v>
      </c>
      <c r="H5" s="10" t="s">
        <v>302</v>
      </c>
      <c r="I5" t="s">
        <v>848</v>
      </c>
      <c r="J5" t="s">
        <v>830</v>
      </c>
      <c r="K5">
        <v>3.67</v>
      </c>
      <c r="L5">
        <v>6.48</v>
      </c>
      <c r="M5">
        <v>18.78</v>
      </c>
      <c r="N5" s="20">
        <v>-6.61</v>
      </c>
      <c r="O5">
        <v>99.57</v>
      </c>
      <c r="P5">
        <v>88.62</v>
      </c>
      <c r="Q5">
        <v>100</v>
      </c>
      <c r="R5" s="21">
        <v>339.44729999999998</v>
      </c>
      <c r="T5" s="9"/>
      <c r="U5" s="9"/>
    </row>
    <row r="6" spans="1:21" x14ac:dyDescent="0.15">
      <c r="A6">
        <v>5</v>
      </c>
      <c r="B6">
        <v>501046</v>
      </c>
      <c r="C6" t="s">
        <v>40</v>
      </c>
      <c r="D6">
        <f t="shared" si="0"/>
        <v>12</v>
      </c>
      <c r="G6" s="11">
        <v>5</v>
      </c>
      <c r="H6" s="10" t="s">
        <v>1404</v>
      </c>
      <c r="I6" t="s">
        <v>1405</v>
      </c>
      <c r="J6" t="s">
        <v>1685</v>
      </c>
      <c r="K6">
        <v>5.71</v>
      </c>
      <c r="L6">
        <v>9.66</v>
      </c>
      <c r="M6">
        <v>19.55</v>
      </c>
      <c r="N6" s="20">
        <v>-1.17</v>
      </c>
      <c r="O6">
        <v>99.43</v>
      </c>
      <c r="P6">
        <v>90.47</v>
      </c>
      <c r="Q6">
        <v>95.16</v>
      </c>
      <c r="R6" s="21">
        <v>126.01666370000001</v>
      </c>
      <c r="T6" t="s">
        <v>1960</v>
      </c>
    </row>
    <row r="7" spans="1:21" x14ac:dyDescent="0.15">
      <c r="A7">
        <v>6</v>
      </c>
      <c r="B7">
        <v>159980</v>
      </c>
      <c r="C7" t="s">
        <v>29</v>
      </c>
      <c r="D7">
        <f t="shared" si="0"/>
        <v>675</v>
      </c>
      <c r="G7" s="11">
        <v>6</v>
      </c>
      <c r="H7" s="10" t="s">
        <v>1617</v>
      </c>
      <c r="I7" t="s">
        <v>1618</v>
      </c>
      <c r="J7" t="s">
        <v>1685</v>
      </c>
      <c r="K7">
        <v>4.01</v>
      </c>
      <c r="L7">
        <v>0.05</v>
      </c>
      <c r="M7">
        <v>19.920000000000002</v>
      </c>
      <c r="N7" s="20">
        <v>-0.76</v>
      </c>
      <c r="O7">
        <v>99.29</v>
      </c>
      <c r="P7">
        <v>91.04</v>
      </c>
      <c r="Q7">
        <v>92.89</v>
      </c>
      <c r="R7" s="21">
        <v>641.9076</v>
      </c>
    </row>
    <row r="8" spans="1:21" x14ac:dyDescent="0.15">
      <c r="A8">
        <v>7</v>
      </c>
      <c r="B8">
        <v>160216</v>
      </c>
      <c r="C8" t="s">
        <v>28</v>
      </c>
      <c r="D8">
        <f t="shared" si="0"/>
        <v>327</v>
      </c>
      <c r="G8" s="11">
        <v>7</v>
      </c>
      <c r="H8" s="10" t="s">
        <v>1573</v>
      </c>
      <c r="I8" t="s">
        <v>1574</v>
      </c>
      <c r="J8" t="s">
        <v>1685</v>
      </c>
      <c r="K8">
        <v>6.65</v>
      </c>
      <c r="L8">
        <v>10.25</v>
      </c>
      <c r="M8">
        <v>18.52</v>
      </c>
      <c r="N8" s="20">
        <v>-1.35</v>
      </c>
      <c r="O8">
        <v>99.15</v>
      </c>
      <c r="P8">
        <v>88.19</v>
      </c>
      <c r="Q8">
        <v>95.73</v>
      </c>
      <c r="R8" s="21">
        <v>35.710349999999998</v>
      </c>
    </row>
    <row r="9" spans="1:21" x14ac:dyDescent="0.15">
      <c r="A9">
        <v>8</v>
      </c>
      <c r="B9">
        <v>513680</v>
      </c>
      <c r="C9" t="s">
        <v>254</v>
      </c>
      <c r="D9">
        <f t="shared" si="0"/>
        <v>239</v>
      </c>
      <c r="G9" s="11">
        <v>8</v>
      </c>
      <c r="H9" s="10" t="s">
        <v>1328</v>
      </c>
      <c r="I9" t="s">
        <v>1329</v>
      </c>
      <c r="J9" t="s">
        <v>1685</v>
      </c>
      <c r="K9">
        <v>6.62</v>
      </c>
      <c r="L9">
        <v>10.33</v>
      </c>
      <c r="M9">
        <v>18.399999999999999</v>
      </c>
      <c r="N9" s="20">
        <v>-1.3</v>
      </c>
      <c r="O9">
        <v>99</v>
      </c>
      <c r="P9">
        <v>87.77</v>
      </c>
      <c r="Q9">
        <v>95.59</v>
      </c>
      <c r="R9" s="21">
        <v>16.85698</v>
      </c>
    </row>
    <row r="10" spans="1:21" x14ac:dyDescent="0.15">
      <c r="A10">
        <v>9</v>
      </c>
      <c r="B10">
        <v>160717</v>
      </c>
      <c r="C10" t="s">
        <v>25</v>
      </c>
      <c r="D10">
        <f t="shared" si="0"/>
        <v>596</v>
      </c>
      <c r="G10" s="11">
        <v>9</v>
      </c>
      <c r="H10" s="10" t="s">
        <v>1441</v>
      </c>
      <c r="I10" t="s">
        <v>1442</v>
      </c>
      <c r="J10" t="s">
        <v>1685</v>
      </c>
      <c r="K10">
        <v>5.69</v>
      </c>
      <c r="L10">
        <v>9.7100000000000009</v>
      </c>
      <c r="M10">
        <v>19.57</v>
      </c>
      <c r="N10" s="20">
        <v>-0.71</v>
      </c>
      <c r="O10">
        <v>98.86</v>
      </c>
      <c r="P10">
        <v>90.61</v>
      </c>
      <c r="Q10">
        <v>92.32</v>
      </c>
      <c r="R10" s="21">
        <v>927.52829999999994</v>
      </c>
    </row>
    <row r="11" spans="1:21" x14ac:dyDescent="0.15">
      <c r="A11">
        <v>10</v>
      </c>
      <c r="B11">
        <v>162411</v>
      </c>
      <c r="C11" t="s">
        <v>27</v>
      </c>
      <c r="D11">
        <f t="shared" si="0"/>
        <v>350</v>
      </c>
      <c r="G11" s="11">
        <v>10</v>
      </c>
      <c r="H11" s="10" t="s">
        <v>1521</v>
      </c>
      <c r="I11" t="s">
        <v>1522</v>
      </c>
      <c r="J11" t="s">
        <v>1685</v>
      </c>
      <c r="K11">
        <v>9.25</v>
      </c>
      <c r="L11">
        <v>16.059999999999999</v>
      </c>
      <c r="M11">
        <v>30.01</v>
      </c>
      <c r="N11" s="20">
        <v>-0.37</v>
      </c>
      <c r="O11">
        <v>98.72</v>
      </c>
      <c r="P11">
        <v>98.58</v>
      </c>
      <c r="Q11">
        <v>83.5</v>
      </c>
      <c r="R11" s="21">
        <v>893.20764949999989</v>
      </c>
    </row>
    <row r="12" spans="1:21" x14ac:dyDescent="0.15">
      <c r="G12" s="11">
        <v>11</v>
      </c>
      <c r="H12" s="10" t="s">
        <v>415</v>
      </c>
      <c r="I12" t="s">
        <v>1118</v>
      </c>
      <c r="J12" t="s">
        <v>867</v>
      </c>
      <c r="K12">
        <v>8.27</v>
      </c>
      <c r="L12">
        <v>14.42</v>
      </c>
      <c r="M12">
        <v>27.71</v>
      </c>
      <c r="N12" s="20">
        <v>-0.4</v>
      </c>
      <c r="O12">
        <v>98.58</v>
      </c>
      <c r="P12">
        <v>97.44</v>
      </c>
      <c r="Q12">
        <v>84.5</v>
      </c>
      <c r="R12" s="21">
        <v>7071.8741</v>
      </c>
    </row>
    <row r="13" spans="1:21" x14ac:dyDescent="0.15">
      <c r="G13" s="11">
        <v>12</v>
      </c>
      <c r="H13" s="10" t="s">
        <v>347</v>
      </c>
      <c r="I13" t="s">
        <v>40</v>
      </c>
      <c r="J13" t="s">
        <v>830</v>
      </c>
      <c r="K13">
        <v>3.8</v>
      </c>
      <c r="L13">
        <v>12.47</v>
      </c>
      <c r="M13">
        <v>16.22</v>
      </c>
      <c r="N13" s="20">
        <v>-5.64</v>
      </c>
      <c r="O13">
        <v>98.44</v>
      </c>
      <c r="P13">
        <v>82.5</v>
      </c>
      <c r="Q13">
        <v>99.15</v>
      </c>
      <c r="R13" s="21">
        <v>98.763400000000004</v>
      </c>
    </row>
    <row r="14" spans="1:21" x14ac:dyDescent="0.15">
      <c r="G14" s="11">
        <v>13</v>
      </c>
      <c r="H14" s="10" t="s">
        <v>1624</v>
      </c>
      <c r="I14" t="s">
        <v>1625</v>
      </c>
      <c r="J14" t="s">
        <v>1685</v>
      </c>
      <c r="K14">
        <v>8.23</v>
      </c>
      <c r="L14">
        <v>15.36</v>
      </c>
      <c r="M14">
        <v>34.659999999999997</v>
      </c>
      <c r="N14" s="20">
        <v>-0.32</v>
      </c>
      <c r="O14">
        <v>98.29</v>
      </c>
      <c r="P14">
        <v>100</v>
      </c>
      <c r="Q14">
        <v>80.94</v>
      </c>
      <c r="R14" s="21">
        <v>5136.9216999999999</v>
      </c>
    </row>
    <row r="15" spans="1:21" x14ac:dyDescent="0.15">
      <c r="G15" s="11">
        <v>14</v>
      </c>
      <c r="H15" s="10" t="s">
        <v>291</v>
      </c>
      <c r="I15" t="s">
        <v>858</v>
      </c>
      <c r="J15" t="s">
        <v>830</v>
      </c>
      <c r="K15">
        <v>6.48</v>
      </c>
      <c r="L15">
        <v>8.1</v>
      </c>
      <c r="M15">
        <v>16.84</v>
      </c>
      <c r="N15" s="20">
        <v>-1.76</v>
      </c>
      <c r="O15">
        <v>98.15</v>
      </c>
      <c r="P15">
        <v>83.93</v>
      </c>
      <c r="Q15">
        <v>96.73</v>
      </c>
      <c r="R15" s="21">
        <v>912.23823670000002</v>
      </c>
    </row>
    <row r="16" spans="1:21" x14ac:dyDescent="0.15">
      <c r="G16" s="11">
        <v>15</v>
      </c>
      <c r="H16" s="10" t="s">
        <v>453</v>
      </c>
      <c r="I16" t="s">
        <v>938</v>
      </c>
      <c r="J16" t="s">
        <v>867</v>
      </c>
      <c r="K16">
        <v>6.23</v>
      </c>
      <c r="L16">
        <v>10.39</v>
      </c>
      <c r="M16">
        <v>21.58</v>
      </c>
      <c r="N16" s="20">
        <v>-0.49</v>
      </c>
      <c r="O16">
        <v>98.01</v>
      </c>
      <c r="P16">
        <v>92.6</v>
      </c>
      <c r="Q16">
        <v>87.77</v>
      </c>
      <c r="R16" s="21">
        <v>441.23412000000002</v>
      </c>
    </row>
    <row r="17" spans="7:18" x14ac:dyDescent="0.15">
      <c r="G17" s="11">
        <v>16</v>
      </c>
      <c r="H17" s="10" t="s">
        <v>288</v>
      </c>
      <c r="I17" t="s">
        <v>846</v>
      </c>
      <c r="J17" t="s">
        <v>830</v>
      </c>
      <c r="K17">
        <v>4.04</v>
      </c>
      <c r="L17">
        <v>5.55</v>
      </c>
      <c r="M17">
        <v>17.100000000000001</v>
      </c>
      <c r="N17" s="20">
        <v>-1.41</v>
      </c>
      <c r="O17">
        <v>97.87</v>
      </c>
      <c r="P17">
        <v>84.35</v>
      </c>
      <c r="Q17">
        <v>95.87</v>
      </c>
      <c r="R17" s="21">
        <v>524.60249999999996</v>
      </c>
    </row>
    <row r="18" spans="7:18" x14ac:dyDescent="0.15">
      <c r="G18" s="11">
        <v>17</v>
      </c>
      <c r="H18" s="10" t="s">
        <v>1601</v>
      </c>
      <c r="I18" t="s">
        <v>1602</v>
      </c>
      <c r="J18" t="s">
        <v>1685</v>
      </c>
      <c r="K18">
        <v>5.68</v>
      </c>
      <c r="L18">
        <v>15.09</v>
      </c>
      <c r="M18">
        <v>31.56</v>
      </c>
      <c r="N18" s="20">
        <v>-0.3</v>
      </c>
      <c r="O18">
        <v>97.72</v>
      </c>
      <c r="P18">
        <v>99.29</v>
      </c>
      <c r="Q18">
        <v>79.94</v>
      </c>
      <c r="R18" s="21">
        <v>1940.4318000000001</v>
      </c>
    </row>
    <row r="19" spans="7:18" x14ac:dyDescent="0.15">
      <c r="G19" s="11">
        <v>18</v>
      </c>
      <c r="H19" s="10" t="s">
        <v>413</v>
      </c>
      <c r="I19" t="s">
        <v>879</v>
      </c>
      <c r="J19" t="s">
        <v>867</v>
      </c>
      <c r="K19">
        <v>6.73</v>
      </c>
      <c r="L19">
        <v>10.5</v>
      </c>
      <c r="M19">
        <v>18.84</v>
      </c>
      <c r="N19" s="20">
        <v>-0.53</v>
      </c>
      <c r="O19">
        <v>97.58</v>
      </c>
      <c r="P19">
        <v>89.19</v>
      </c>
      <c r="Q19">
        <v>89.62</v>
      </c>
      <c r="R19" s="21">
        <v>114.19114999999999</v>
      </c>
    </row>
    <row r="20" spans="7:18" x14ac:dyDescent="0.15">
      <c r="G20" s="11">
        <v>19</v>
      </c>
      <c r="H20" s="10" t="s">
        <v>1519</v>
      </c>
      <c r="I20" t="s">
        <v>1520</v>
      </c>
      <c r="J20" t="s">
        <v>1685</v>
      </c>
      <c r="K20">
        <v>6.03</v>
      </c>
      <c r="L20">
        <v>12.35</v>
      </c>
      <c r="M20">
        <v>32.43</v>
      </c>
      <c r="N20" s="20">
        <v>-0.28999999999999998</v>
      </c>
      <c r="O20">
        <v>97.44</v>
      </c>
      <c r="P20">
        <v>99.43</v>
      </c>
      <c r="Q20">
        <v>79.09</v>
      </c>
      <c r="R20" s="21">
        <v>13716.8457495</v>
      </c>
    </row>
    <row r="21" spans="7:18" x14ac:dyDescent="0.15">
      <c r="G21" s="11">
        <v>20</v>
      </c>
      <c r="H21" s="10" t="s">
        <v>637</v>
      </c>
      <c r="I21" t="s">
        <v>1042</v>
      </c>
      <c r="J21" t="s">
        <v>867</v>
      </c>
      <c r="K21">
        <v>5.77</v>
      </c>
      <c r="L21">
        <v>1.07</v>
      </c>
      <c r="M21">
        <v>17.760000000000002</v>
      </c>
      <c r="N21" s="20">
        <v>-0.66</v>
      </c>
      <c r="O21">
        <v>97.3</v>
      </c>
      <c r="P21">
        <v>86.2</v>
      </c>
      <c r="Q21">
        <v>92.18</v>
      </c>
      <c r="R21" s="21">
        <v>5941.1956</v>
      </c>
    </row>
    <row r="22" spans="7:18" x14ac:dyDescent="0.15">
      <c r="G22" s="11">
        <v>21</v>
      </c>
      <c r="H22" s="10" t="s">
        <v>446</v>
      </c>
      <c r="I22" t="s">
        <v>909</v>
      </c>
      <c r="J22" t="s">
        <v>867</v>
      </c>
      <c r="K22">
        <v>6.28</v>
      </c>
      <c r="L22">
        <v>10.48</v>
      </c>
      <c r="M22">
        <v>21.82</v>
      </c>
      <c r="N22" s="20">
        <v>-0.39</v>
      </c>
      <c r="O22">
        <v>97.16</v>
      </c>
      <c r="P22">
        <v>93.6</v>
      </c>
      <c r="Q22">
        <v>84.21</v>
      </c>
      <c r="R22" s="21">
        <v>292.38402000000002</v>
      </c>
    </row>
    <row r="23" spans="7:18" x14ac:dyDescent="0.15">
      <c r="G23" s="11">
        <v>22</v>
      </c>
      <c r="H23" s="10" t="s">
        <v>340</v>
      </c>
      <c r="I23" t="s">
        <v>863</v>
      </c>
      <c r="J23" t="s">
        <v>830</v>
      </c>
      <c r="K23">
        <v>5.23</v>
      </c>
      <c r="L23">
        <v>9.3000000000000007</v>
      </c>
      <c r="M23">
        <v>17.61</v>
      </c>
      <c r="N23" s="20">
        <v>-0.64</v>
      </c>
      <c r="O23">
        <v>97.01</v>
      </c>
      <c r="P23">
        <v>85.35</v>
      </c>
      <c r="Q23">
        <v>91.75</v>
      </c>
      <c r="R23" s="21">
        <v>677.36629929999992</v>
      </c>
    </row>
    <row r="24" spans="7:18" x14ac:dyDescent="0.15">
      <c r="G24" s="11">
        <v>23</v>
      </c>
      <c r="H24" s="10" t="s">
        <v>1511</v>
      </c>
      <c r="I24" t="s">
        <v>1512</v>
      </c>
      <c r="J24" t="s">
        <v>1685</v>
      </c>
      <c r="K24">
        <v>9.33</v>
      </c>
      <c r="L24">
        <v>16.2</v>
      </c>
      <c r="M24">
        <v>30.94</v>
      </c>
      <c r="N24" s="20">
        <v>-0.28999999999999998</v>
      </c>
      <c r="O24">
        <v>96.87</v>
      </c>
      <c r="P24">
        <v>99</v>
      </c>
      <c r="Q24">
        <v>77.95</v>
      </c>
      <c r="R24" s="21">
        <v>1618.2745668</v>
      </c>
    </row>
    <row r="25" spans="7:18" x14ac:dyDescent="0.15">
      <c r="G25" s="11">
        <v>24</v>
      </c>
      <c r="H25" s="10" t="s">
        <v>372</v>
      </c>
      <c r="I25" t="s">
        <v>1035</v>
      </c>
      <c r="J25" t="s">
        <v>867</v>
      </c>
      <c r="K25">
        <v>5.98</v>
      </c>
      <c r="L25">
        <v>10.119999999999999</v>
      </c>
      <c r="M25">
        <v>21.73</v>
      </c>
      <c r="N25" s="20">
        <v>-0.38</v>
      </c>
      <c r="O25">
        <v>96.73</v>
      </c>
      <c r="P25">
        <v>93.17</v>
      </c>
      <c r="Q25">
        <v>83.78</v>
      </c>
      <c r="R25" s="21">
        <v>3666.08446</v>
      </c>
    </row>
    <row r="26" spans="7:18" x14ac:dyDescent="0.15">
      <c r="G26" s="11">
        <v>25</v>
      </c>
      <c r="H26" s="10" t="s">
        <v>399</v>
      </c>
      <c r="I26" t="s">
        <v>942</v>
      </c>
      <c r="J26" t="s">
        <v>867</v>
      </c>
      <c r="K26">
        <v>5.68</v>
      </c>
      <c r="L26">
        <v>9.67</v>
      </c>
      <c r="M26">
        <v>19.54</v>
      </c>
      <c r="N26" s="20">
        <v>-0.44</v>
      </c>
      <c r="O26">
        <v>96.59</v>
      </c>
      <c r="P26">
        <v>90.33</v>
      </c>
      <c r="Q26">
        <v>86.34</v>
      </c>
      <c r="R26" s="21">
        <v>420.1198</v>
      </c>
    </row>
    <row r="27" spans="7:18" x14ac:dyDescent="0.15">
      <c r="G27" s="11">
        <v>26</v>
      </c>
      <c r="H27" s="10" t="s">
        <v>317</v>
      </c>
      <c r="I27" t="s">
        <v>853</v>
      </c>
      <c r="J27" t="s">
        <v>830</v>
      </c>
      <c r="K27">
        <v>3.64</v>
      </c>
      <c r="L27">
        <v>7.08</v>
      </c>
      <c r="M27">
        <v>15.91</v>
      </c>
      <c r="N27" s="20">
        <v>-1.1299999999999999</v>
      </c>
      <c r="O27">
        <v>96.44</v>
      </c>
      <c r="P27">
        <v>81.790000000000006</v>
      </c>
      <c r="Q27">
        <v>94.74</v>
      </c>
      <c r="R27" s="21">
        <v>491.41840000000002</v>
      </c>
    </row>
    <row r="28" spans="7:18" x14ac:dyDescent="0.15">
      <c r="G28" s="11">
        <v>27</v>
      </c>
      <c r="H28" s="10" t="s">
        <v>348</v>
      </c>
      <c r="I28" t="s">
        <v>864</v>
      </c>
      <c r="J28" t="s">
        <v>830</v>
      </c>
      <c r="K28">
        <v>3.65</v>
      </c>
      <c r="L28">
        <v>11.25</v>
      </c>
      <c r="M28">
        <v>14.82</v>
      </c>
      <c r="N28" s="20">
        <v>-1.79</v>
      </c>
      <c r="O28">
        <v>96.3</v>
      </c>
      <c r="P28">
        <v>79.37</v>
      </c>
      <c r="Q28">
        <v>96.87</v>
      </c>
      <c r="R28" s="21">
        <v>729.51149999999996</v>
      </c>
    </row>
    <row r="29" spans="7:18" x14ac:dyDescent="0.15">
      <c r="G29" s="11">
        <v>28</v>
      </c>
      <c r="H29" s="10" t="s">
        <v>325</v>
      </c>
      <c r="I29" t="s">
        <v>843</v>
      </c>
      <c r="J29" t="s">
        <v>830</v>
      </c>
      <c r="K29">
        <v>4.6399999999999997</v>
      </c>
      <c r="L29">
        <v>6.17</v>
      </c>
      <c r="M29">
        <v>14.29</v>
      </c>
      <c r="N29" s="20">
        <v>-3.05</v>
      </c>
      <c r="O29">
        <v>96.16</v>
      </c>
      <c r="P29">
        <v>77.38</v>
      </c>
      <c r="Q29">
        <v>98.29</v>
      </c>
      <c r="R29" s="21">
        <v>188.80504690000001</v>
      </c>
    </row>
    <row r="30" spans="7:18" x14ac:dyDescent="0.15">
      <c r="G30" s="11">
        <v>29</v>
      </c>
      <c r="H30" s="10" t="s">
        <v>460</v>
      </c>
      <c r="I30" t="s">
        <v>920</v>
      </c>
      <c r="J30" t="s">
        <v>867</v>
      </c>
      <c r="K30">
        <v>7.34</v>
      </c>
      <c r="L30">
        <v>11.13</v>
      </c>
      <c r="M30">
        <v>22.47</v>
      </c>
      <c r="N30" s="20">
        <v>-0.32</v>
      </c>
      <c r="O30">
        <v>96.02</v>
      </c>
      <c r="P30">
        <v>94.31</v>
      </c>
      <c r="Q30">
        <v>81.08</v>
      </c>
      <c r="R30" s="21">
        <v>578.93719999999996</v>
      </c>
    </row>
    <row r="31" spans="7:18" x14ac:dyDescent="0.15">
      <c r="G31" s="11">
        <v>30</v>
      </c>
      <c r="H31" s="10" t="s">
        <v>311</v>
      </c>
      <c r="I31" t="s">
        <v>850</v>
      </c>
      <c r="J31" t="s">
        <v>830</v>
      </c>
      <c r="K31">
        <v>4.53</v>
      </c>
      <c r="L31">
        <v>8.01</v>
      </c>
      <c r="M31">
        <v>19.190000000000001</v>
      </c>
      <c r="N31" s="20">
        <v>-0.41</v>
      </c>
      <c r="O31">
        <v>95.87</v>
      </c>
      <c r="P31">
        <v>89.76</v>
      </c>
      <c r="Q31">
        <v>85.06</v>
      </c>
      <c r="R31" s="21">
        <v>970.56449999999995</v>
      </c>
    </row>
    <row r="32" spans="7:18" x14ac:dyDescent="0.15">
      <c r="G32" s="11">
        <v>31</v>
      </c>
      <c r="H32" s="10" t="s">
        <v>352</v>
      </c>
      <c r="I32" t="s">
        <v>852</v>
      </c>
      <c r="J32" t="s">
        <v>830</v>
      </c>
      <c r="K32">
        <v>2.58</v>
      </c>
      <c r="L32">
        <v>1.8</v>
      </c>
      <c r="M32">
        <v>14.64</v>
      </c>
      <c r="N32" s="20">
        <v>-1.48</v>
      </c>
      <c r="O32">
        <v>95.73</v>
      </c>
      <c r="P32">
        <v>78.38</v>
      </c>
      <c r="Q32">
        <v>96.16</v>
      </c>
      <c r="R32" s="21">
        <v>340.1019</v>
      </c>
    </row>
    <row r="33" spans="7:18" x14ac:dyDescent="0.15">
      <c r="G33" s="11">
        <v>32</v>
      </c>
      <c r="H33" s="10" t="s">
        <v>322</v>
      </c>
      <c r="I33" t="s">
        <v>840</v>
      </c>
      <c r="J33" t="s">
        <v>830</v>
      </c>
      <c r="K33">
        <v>3.94</v>
      </c>
      <c r="L33">
        <v>7.22</v>
      </c>
      <c r="M33">
        <v>14.81</v>
      </c>
      <c r="N33" s="20">
        <v>-1.04</v>
      </c>
      <c r="O33">
        <v>95.59</v>
      </c>
      <c r="P33">
        <v>79.23</v>
      </c>
      <c r="Q33">
        <v>94.59</v>
      </c>
      <c r="R33" s="21">
        <v>518.48307929999999</v>
      </c>
    </row>
    <row r="34" spans="7:18" x14ac:dyDescent="0.15">
      <c r="G34" s="11">
        <v>33</v>
      </c>
      <c r="H34" s="10" t="s">
        <v>608</v>
      </c>
      <c r="I34" t="s">
        <v>1619</v>
      </c>
      <c r="J34" t="s">
        <v>1685</v>
      </c>
      <c r="K34">
        <v>2.16</v>
      </c>
      <c r="L34">
        <v>-1.6</v>
      </c>
      <c r="M34">
        <v>15.26</v>
      </c>
      <c r="N34" s="20">
        <v>-0.78</v>
      </c>
      <c r="O34">
        <v>95.45</v>
      </c>
      <c r="P34">
        <v>80.650000000000006</v>
      </c>
      <c r="Q34">
        <v>93.17</v>
      </c>
      <c r="R34" s="21">
        <v>4129.7503999999999</v>
      </c>
    </row>
    <row r="35" spans="7:18" x14ac:dyDescent="0.15">
      <c r="G35" s="11">
        <v>34</v>
      </c>
      <c r="H35" s="10" t="s">
        <v>574</v>
      </c>
      <c r="I35" t="s">
        <v>961</v>
      </c>
      <c r="J35" t="s">
        <v>867</v>
      </c>
      <c r="K35">
        <v>4.8600000000000003</v>
      </c>
      <c r="L35">
        <v>10.26</v>
      </c>
      <c r="M35">
        <v>17.22</v>
      </c>
      <c r="N35" s="20">
        <v>-0.49</v>
      </c>
      <c r="O35">
        <v>95.31</v>
      </c>
      <c r="P35">
        <v>84.64</v>
      </c>
      <c r="Q35">
        <v>88.05</v>
      </c>
      <c r="R35" s="21">
        <v>2878.6994</v>
      </c>
    </row>
    <row r="36" spans="7:18" x14ac:dyDescent="0.15">
      <c r="G36" s="11">
        <v>35</v>
      </c>
      <c r="H36" s="10" t="s">
        <v>1278</v>
      </c>
      <c r="I36" t="s">
        <v>1279</v>
      </c>
      <c r="J36" t="s">
        <v>867</v>
      </c>
      <c r="K36">
        <v>8.58</v>
      </c>
      <c r="L36">
        <v>3.15</v>
      </c>
      <c r="M36">
        <v>16.8</v>
      </c>
      <c r="N36" s="20">
        <v>-0.51</v>
      </c>
      <c r="O36">
        <v>95.16</v>
      </c>
      <c r="P36">
        <v>83.64</v>
      </c>
      <c r="Q36">
        <v>88.9</v>
      </c>
      <c r="R36" s="21">
        <v>3292.7645000000002</v>
      </c>
    </row>
    <row r="37" spans="7:18" x14ac:dyDescent="0.15">
      <c r="G37" s="11">
        <v>36</v>
      </c>
      <c r="H37" s="10" t="s">
        <v>1611</v>
      </c>
      <c r="I37" t="s">
        <v>1612</v>
      </c>
      <c r="J37" t="s">
        <v>1685</v>
      </c>
      <c r="K37">
        <v>2.4300000000000002</v>
      </c>
      <c r="L37">
        <v>-0.32</v>
      </c>
      <c r="M37">
        <v>17.920000000000002</v>
      </c>
      <c r="N37" s="20">
        <v>-0.43</v>
      </c>
      <c r="O37">
        <v>95.02</v>
      </c>
      <c r="P37">
        <v>86.63</v>
      </c>
      <c r="Q37">
        <v>85.78</v>
      </c>
      <c r="R37" s="21">
        <v>14319.377</v>
      </c>
    </row>
    <row r="38" spans="7:18" x14ac:dyDescent="0.15">
      <c r="G38" s="11">
        <v>37</v>
      </c>
      <c r="H38" s="10" t="s">
        <v>1575</v>
      </c>
      <c r="I38" t="s">
        <v>1576</v>
      </c>
      <c r="J38" t="s">
        <v>1685</v>
      </c>
      <c r="K38">
        <v>6</v>
      </c>
      <c r="L38">
        <v>6.92</v>
      </c>
      <c r="M38">
        <v>18.21</v>
      </c>
      <c r="N38" s="20">
        <v>-0.41</v>
      </c>
      <c r="O38">
        <v>94.88</v>
      </c>
      <c r="P38">
        <v>87.06</v>
      </c>
      <c r="Q38">
        <v>84.92</v>
      </c>
      <c r="R38" s="21">
        <v>1035.607</v>
      </c>
    </row>
    <row r="39" spans="7:18" x14ac:dyDescent="0.15">
      <c r="G39" s="11">
        <v>38</v>
      </c>
      <c r="H39" s="10" t="s">
        <v>518</v>
      </c>
      <c r="I39" t="s">
        <v>927</v>
      </c>
      <c r="J39" t="s">
        <v>867</v>
      </c>
      <c r="K39">
        <v>7.38</v>
      </c>
      <c r="L39">
        <v>12.84</v>
      </c>
      <c r="M39">
        <v>23.18</v>
      </c>
      <c r="N39" s="20">
        <v>-0.26</v>
      </c>
      <c r="O39">
        <v>94.74</v>
      </c>
      <c r="P39">
        <v>95.31</v>
      </c>
      <c r="Q39">
        <v>76.53</v>
      </c>
      <c r="R39" s="21">
        <v>759.86779999999999</v>
      </c>
    </row>
    <row r="40" spans="7:18" x14ac:dyDescent="0.15">
      <c r="G40" s="11">
        <v>39</v>
      </c>
      <c r="H40" s="10" t="s">
        <v>462</v>
      </c>
      <c r="I40" t="s">
        <v>955</v>
      </c>
      <c r="J40" t="s">
        <v>867</v>
      </c>
      <c r="K40">
        <v>7.76</v>
      </c>
      <c r="L40">
        <v>11.4</v>
      </c>
      <c r="M40">
        <v>21.8</v>
      </c>
      <c r="N40" s="20">
        <v>-0.28999999999999998</v>
      </c>
      <c r="O40">
        <v>94.59</v>
      </c>
      <c r="P40">
        <v>93.31</v>
      </c>
      <c r="Q40">
        <v>78.239999999999995</v>
      </c>
      <c r="R40" s="21">
        <v>2111.7707</v>
      </c>
    </row>
    <row r="41" spans="7:18" x14ac:dyDescent="0.15">
      <c r="G41" s="11">
        <v>40</v>
      </c>
      <c r="H41" s="10" t="s">
        <v>750</v>
      </c>
      <c r="I41" t="s">
        <v>872</v>
      </c>
      <c r="J41" t="s">
        <v>867</v>
      </c>
      <c r="K41">
        <v>4.9000000000000004</v>
      </c>
      <c r="L41">
        <v>9.33</v>
      </c>
      <c r="M41">
        <v>13.76</v>
      </c>
      <c r="N41" s="20">
        <v>-1.42</v>
      </c>
      <c r="O41">
        <v>94.45</v>
      </c>
      <c r="P41">
        <v>75.11</v>
      </c>
      <c r="Q41">
        <v>96.02</v>
      </c>
      <c r="R41" s="21">
        <v>54.245339999999999</v>
      </c>
    </row>
    <row r="42" spans="7:18" x14ac:dyDescent="0.15">
      <c r="G42" s="11">
        <v>41</v>
      </c>
      <c r="H42" s="10" t="s">
        <v>1577</v>
      </c>
      <c r="I42" t="s">
        <v>1578</v>
      </c>
      <c r="J42" t="s">
        <v>1685</v>
      </c>
      <c r="K42">
        <v>2.81</v>
      </c>
      <c r="L42">
        <v>1.45</v>
      </c>
      <c r="M42">
        <v>15.25</v>
      </c>
      <c r="N42" s="20">
        <v>-0.57999999999999996</v>
      </c>
      <c r="O42">
        <v>94.31</v>
      </c>
      <c r="P42">
        <v>80.510000000000005</v>
      </c>
      <c r="Q42">
        <v>90.61</v>
      </c>
      <c r="R42" s="21">
        <v>180.23640800000001</v>
      </c>
    </row>
    <row r="43" spans="7:18" x14ac:dyDescent="0.15">
      <c r="G43" s="11">
        <v>42</v>
      </c>
      <c r="H43" s="10" t="s">
        <v>512</v>
      </c>
      <c r="I43" t="s">
        <v>1153</v>
      </c>
      <c r="J43" t="s">
        <v>867</v>
      </c>
      <c r="K43">
        <v>8.2799999999999994</v>
      </c>
      <c r="L43">
        <v>14.66</v>
      </c>
      <c r="M43">
        <v>27.81</v>
      </c>
      <c r="N43" s="20">
        <v>-0.23</v>
      </c>
      <c r="O43">
        <v>94.17</v>
      </c>
      <c r="P43">
        <v>97.72</v>
      </c>
      <c r="Q43">
        <v>73.260000000000005</v>
      </c>
      <c r="R43" s="21">
        <v>40409.705300000001</v>
      </c>
    </row>
    <row r="44" spans="7:18" x14ac:dyDescent="0.15">
      <c r="G44" s="11">
        <v>43</v>
      </c>
      <c r="H44" s="10" t="s">
        <v>367</v>
      </c>
      <c r="I44" t="s">
        <v>914</v>
      </c>
      <c r="J44" t="s">
        <v>867</v>
      </c>
      <c r="K44">
        <v>5.15</v>
      </c>
      <c r="L44">
        <v>10.039999999999999</v>
      </c>
      <c r="M44">
        <v>23.28</v>
      </c>
      <c r="N44" s="20">
        <v>-0.25</v>
      </c>
      <c r="O44">
        <v>94.03</v>
      </c>
      <c r="P44">
        <v>95.45</v>
      </c>
      <c r="Q44">
        <v>75.39</v>
      </c>
      <c r="R44" s="21">
        <v>1385.98496</v>
      </c>
    </row>
    <row r="45" spans="7:18" x14ac:dyDescent="0.15">
      <c r="G45" s="11">
        <v>44</v>
      </c>
      <c r="H45" s="10" t="s">
        <v>1634</v>
      </c>
      <c r="I45" t="s">
        <v>1635</v>
      </c>
      <c r="J45" t="s">
        <v>1685</v>
      </c>
      <c r="K45">
        <v>7.18</v>
      </c>
      <c r="L45">
        <v>10.029999999999999</v>
      </c>
      <c r="M45">
        <v>19.86</v>
      </c>
      <c r="N45" s="20">
        <v>-0.3</v>
      </c>
      <c r="O45">
        <v>93.88</v>
      </c>
      <c r="P45">
        <v>90.9</v>
      </c>
      <c r="Q45">
        <v>79.8</v>
      </c>
      <c r="R45" s="21">
        <v>2680.9303</v>
      </c>
    </row>
    <row r="46" spans="7:18" x14ac:dyDescent="0.15">
      <c r="G46" s="11">
        <v>45</v>
      </c>
      <c r="H46" s="10" t="s">
        <v>1420</v>
      </c>
      <c r="I46" t="s">
        <v>1421</v>
      </c>
      <c r="J46" t="s">
        <v>1685</v>
      </c>
      <c r="K46">
        <v>7.3</v>
      </c>
      <c r="L46">
        <v>10.17</v>
      </c>
      <c r="M46">
        <v>20.07</v>
      </c>
      <c r="N46" s="20">
        <v>-0.28999999999999998</v>
      </c>
      <c r="O46">
        <v>93.74</v>
      </c>
      <c r="P46">
        <v>91.18</v>
      </c>
      <c r="Q46">
        <v>78.81</v>
      </c>
      <c r="R46" s="21">
        <v>24315.503967500001</v>
      </c>
    </row>
    <row r="47" spans="7:18" x14ac:dyDescent="0.15">
      <c r="G47" s="11">
        <v>46</v>
      </c>
      <c r="H47" s="10" t="s">
        <v>519</v>
      </c>
      <c r="I47" t="s">
        <v>1015</v>
      </c>
      <c r="J47" t="s">
        <v>867</v>
      </c>
      <c r="K47">
        <v>7.12</v>
      </c>
      <c r="L47">
        <v>10.92</v>
      </c>
      <c r="M47">
        <v>23.65</v>
      </c>
      <c r="N47" s="20">
        <v>-0.24</v>
      </c>
      <c r="O47">
        <v>93.6</v>
      </c>
      <c r="P47">
        <v>95.87</v>
      </c>
      <c r="Q47">
        <v>73.97</v>
      </c>
      <c r="R47" s="21">
        <v>2125.3161</v>
      </c>
    </row>
    <row r="48" spans="7:18" x14ac:dyDescent="0.15">
      <c r="G48" s="11">
        <v>47</v>
      </c>
      <c r="H48" s="10" t="s">
        <v>1569</v>
      </c>
      <c r="I48" t="s">
        <v>1570</v>
      </c>
      <c r="J48" t="s">
        <v>1685</v>
      </c>
      <c r="K48">
        <v>3.18</v>
      </c>
      <c r="L48">
        <v>3.9</v>
      </c>
      <c r="M48">
        <v>13.81</v>
      </c>
      <c r="N48" s="20">
        <v>-0.89</v>
      </c>
      <c r="O48">
        <v>93.46</v>
      </c>
      <c r="P48">
        <v>75.53</v>
      </c>
      <c r="Q48">
        <v>94.17</v>
      </c>
      <c r="R48" s="21">
        <v>247.70529999999999</v>
      </c>
    </row>
    <row r="49" spans="7:18" x14ac:dyDescent="0.15">
      <c r="G49" s="11">
        <v>48</v>
      </c>
      <c r="H49" s="10" t="s">
        <v>617</v>
      </c>
      <c r="I49" t="s">
        <v>1301</v>
      </c>
      <c r="J49" t="s">
        <v>1285</v>
      </c>
      <c r="K49">
        <v>2.3199999999999998</v>
      </c>
      <c r="L49">
        <v>-1.7</v>
      </c>
      <c r="M49">
        <v>15.89</v>
      </c>
      <c r="N49" s="20">
        <v>-0.49</v>
      </c>
      <c r="O49">
        <v>93.31</v>
      </c>
      <c r="P49">
        <v>81.510000000000005</v>
      </c>
      <c r="Q49">
        <v>87.91</v>
      </c>
      <c r="R49" s="21">
        <v>5453.8169100000005</v>
      </c>
    </row>
    <row r="50" spans="7:18" x14ac:dyDescent="0.15">
      <c r="G50" s="11">
        <v>49</v>
      </c>
      <c r="H50" s="10" t="s">
        <v>370</v>
      </c>
      <c r="I50" t="s">
        <v>1020</v>
      </c>
      <c r="J50" t="s">
        <v>867</v>
      </c>
      <c r="K50">
        <v>7.29</v>
      </c>
      <c r="L50">
        <v>10.09</v>
      </c>
      <c r="M50">
        <v>19.86</v>
      </c>
      <c r="N50" s="20">
        <v>-0.28999999999999998</v>
      </c>
      <c r="O50">
        <v>93.17</v>
      </c>
      <c r="P50">
        <v>90.75</v>
      </c>
      <c r="Q50">
        <v>78.66</v>
      </c>
      <c r="R50" s="21">
        <v>1977.7403350000002</v>
      </c>
    </row>
    <row r="51" spans="7:18" x14ac:dyDescent="0.15">
      <c r="G51" s="11">
        <v>50</v>
      </c>
      <c r="H51" s="10" t="s">
        <v>707</v>
      </c>
      <c r="I51" t="s">
        <v>986</v>
      </c>
      <c r="J51" t="s">
        <v>867</v>
      </c>
      <c r="K51">
        <v>3.03</v>
      </c>
      <c r="L51">
        <v>2.5</v>
      </c>
      <c r="M51">
        <v>14.71</v>
      </c>
      <c r="N51" s="20">
        <v>-0.52</v>
      </c>
      <c r="O51">
        <v>93.03</v>
      </c>
      <c r="P51">
        <v>79.09</v>
      </c>
      <c r="Q51">
        <v>89.47</v>
      </c>
      <c r="R51" s="21">
        <v>496.58859999999999</v>
      </c>
    </row>
    <row r="52" spans="7:18" x14ac:dyDescent="0.15">
      <c r="G52" s="11">
        <v>51</v>
      </c>
      <c r="H52" s="10" t="s">
        <v>549</v>
      </c>
      <c r="I52" t="s">
        <v>900</v>
      </c>
      <c r="J52" t="s">
        <v>867</v>
      </c>
      <c r="K52">
        <v>3.48</v>
      </c>
      <c r="L52">
        <v>6.52</v>
      </c>
      <c r="M52">
        <v>13.44</v>
      </c>
      <c r="N52" s="20">
        <v>-0.99</v>
      </c>
      <c r="O52">
        <v>92.89</v>
      </c>
      <c r="P52">
        <v>73.97</v>
      </c>
      <c r="Q52">
        <v>94.31</v>
      </c>
      <c r="R52" s="21">
        <v>718.34180000000003</v>
      </c>
    </row>
    <row r="53" spans="7:18" x14ac:dyDescent="0.15">
      <c r="G53" s="11">
        <v>52</v>
      </c>
      <c r="H53" s="10" t="s">
        <v>539</v>
      </c>
      <c r="I53" t="s">
        <v>1070</v>
      </c>
      <c r="J53" t="s">
        <v>867</v>
      </c>
      <c r="K53">
        <v>6.29</v>
      </c>
      <c r="L53">
        <v>10.51</v>
      </c>
      <c r="M53">
        <v>21.81</v>
      </c>
      <c r="N53" s="20">
        <v>-0.24</v>
      </c>
      <c r="O53">
        <v>92.75</v>
      </c>
      <c r="P53">
        <v>93.46</v>
      </c>
      <c r="Q53">
        <v>74.400000000000006</v>
      </c>
      <c r="R53" s="21">
        <v>2369.3533859999998</v>
      </c>
    </row>
    <row r="54" spans="7:18" x14ac:dyDescent="0.15">
      <c r="G54" s="11">
        <v>53</v>
      </c>
      <c r="H54" s="10" t="s">
        <v>1591</v>
      </c>
      <c r="I54" t="s">
        <v>1592</v>
      </c>
      <c r="J54" t="s">
        <v>1685</v>
      </c>
      <c r="K54">
        <v>3.06</v>
      </c>
      <c r="L54">
        <v>-0.52</v>
      </c>
      <c r="M54">
        <v>14.15</v>
      </c>
      <c r="N54" s="20">
        <v>-0.56999999999999995</v>
      </c>
      <c r="O54">
        <v>92.6</v>
      </c>
      <c r="P54">
        <v>76.959999999999994</v>
      </c>
      <c r="Q54">
        <v>90.18</v>
      </c>
      <c r="R54" s="21">
        <v>3801.5129999999999</v>
      </c>
    </row>
    <row r="55" spans="7:18" x14ac:dyDescent="0.15">
      <c r="G55" s="11">
        <v>54</v>
      </c>
      <c r="H55" s="10" t="s">
        <v>395</v>
      </c>
      <c r="I55" t="s">
        <v>1085</v>
      </c>
      <c r="J55" t="s">
        <v>867</v>
      </c>
      <c r="K55">
        <v>5.0599999999999996</v>
      </c>
      <c r="L55">
        <v>6.09</v>
      </c>
      <c r="M55">
        <v>14.09</v>
      </c>
      <c r="N55" s="20">
        <v>-0.56999999999999995</v>
      </c>
      <c r="O55">
        <v>92.46</v>
      </c>
      <c r="P55">
        <v>76.67</v>
      </c>
      <c r="Q55">
        <v>90.33</v>
      </c>
      <c r="R55" s="21">
        <v>5052.3725000000004</v>
      </c>
    </row>
    <row r="56" spans="7:18" x14ac:dyDescent="0.15">
      <c r="G56" s="11">
        <v>55</v>
      </c>
      <c r="H56" s="10" t="s">
        <v>344</v>
      </c>
      <c r="I56" t="s">
        <v>831</v>
      </c>
      <c r="J56" t="s">
        <v>830</v>
      </c>
      <c r="K56">
        <v>2.65</v>
      </c>
      <c r="L56">
        <v>4.9400000000000004</v>
      </c>
      <c r="M56">
        <v>12.27</v>
      </c>
      <c r="N56" s="20">
        <v>-6.01</v>
      </c>
      <c r="O56">
        <v>92.32</v>
      </c>
      <c r="P56">
        <v>67.430000000000007</v>
      </c>
      <c r="Q56">
        <v>99.57</v>
      </c>
      <c r="R56" s="21">
        <v>354.87290000000002</v>
      </c>
    </row>
    <row r="57" spans="7:18" x14ac:dyDescent="0.15">
      <c r="G57" s="11">
        <v>56</v>
      </c>
      <c r="H57" s="10" t="s">
        <v>1491</v>
      </c>
      <c r="I57" t="s">
        <v>1492</v>
      </c>
      <c r="J57" t="s">
        <v>1685</v>
      </c>
      <c r="K57">
        <v>7.38</v>
      </c>
      <c r="L57">
        <v>12.79</v>
      </c>
      <c r="M57">
        <v>22.86</v>
      </c>
      <c r="N57" s="20">
        <v>-0.21</v>
      </c>
      <c r="O57">
        <v>92.18</v>
      </c>
      <c r="P57">
        <v>94.74</v>
      </c>
      <c r="Q57">
        <v>71.41</v>
      </c>
      <c r="R57" s="21">
        <v>92.423719999999989</v>
      </c>
    </row>
    <row r="58" spans="7:18" x14ac:dyDescent="0.15">
      <c r="G58" s="11">
        <v>57</v>
      </c>
      <c r="H58" s="10" t="s">
        <v>1437</v>
      </c>
      <c r="I58" t="s">
        <v>1438</v>
      </c>
      <c r="J58" t="s">
        <v>1685</v>
      </c>
      <c r="K58">
        <v>5.05</v>
      </c>
      <c r="L58">
        <v>10.06</v>
      </c>
      <c r="M58">
        <v>24.03</v>
      </c>
      <c r="N58" s="20">
        <v>-0.21</v>
      </c>
      <c r="O58">
        <v>92.03</v>
      </c>
      <c r="P58">
        <v>96.02</v>
      </c>
      <c r="Q58">
        <v>70.13</v>
      </c>
      <c r="R58" s="21">
        <v>2248.6064403999999</v>
      </c>
    </row>
    <row r="59" spans="7:18" x14ac:dyDescent="0.15">
      <c r="G59" s="11">
        <v>58</v>
      </c>
      <c r="H59" s="10" t="s">
        <v>404</v>
      </c>
      <c r="I59" t="s">
        <v>1088</v>
      </c>
      <c r="J59" t="s">
        <v>867</v>
      </c>
      <c r="K59">
        <v>8.31</v>
      </c>
      <c r="L59">
        <v>14.7</v>
      </c>
      <c r="M59">
        <v>27.97</v>
      </c>
      <c r="N59" s="20">
        <v>-0.2</v>
      </c>
      <c r="O59">
        <v>91.89</v>
      </c>
      <c r="P59">
        <v>97.87</v>
      </c>
      <c r="Q59">
        <v>68.14</v>
      </c>
      <c r="R59" s="21">
        <v>9655.9555099999998</v>
      </c>
    </row>
    <row r="60" spans="7:18" x14ac:dyDescent="0.15">
      <c r="G60" s="11">
        <v>59</v>
      </c>
      <c r="H60" s="10" t="s">
        <v>417</v>
      </c>
      <c r="I60" t="s">
        <v>1082</v>
      </c>
      <c r="J60" t="s">
        <v>867</v>
      </c>
      <c r="K60">
        <v>8.32</v>
      </c>
      <c r="L60">
        <v>14.58</v>
      </c>
      <c r="M60">
        <v>27.77</v>
      </c>
      <c r="N60" s="20">
        <v>-0.2</v>
      </c>
      <c r="O60">
        <v>91.75</v>
      </c>
      <c r="P60">
        <v>97.58</v>
      </c>
      <c r="Q60">
        <v>68.28</v>
      </c>
      <c r="R60" s="21">
        <v>3839.8994082000004</v>
      </c>
    </row>
    <row r="61" spans="7:18" x14ac:dyDescent="0.15">
      <c r="G61" s="11">
        <v>60</v>
      </c>
      <c r="H61" s="10" t="s">
        <v>1615</v>
      </c>
      <c r="I61" t="s">
        <v>1616</v>
      </c>
      <c r="J61" t="s">
        <v>1685</v>
      </c>
      <c r="K61">
        <v>5.71</v>
      </c>
      <c r="L61">
        <v>1.08</v>
      </c>
      <c r="M61">
        <v>17.440000000000001</v>
      </c>
      <c r="N61" s="20">
        <v>-0.31</v>
      </c>
      <c r="O61">
        <v>91.61</v>
      </c>
      <c r="P61">
        <v>85.21</v>
      </c>
      <c r="Q61">
        <v>80.510000000000005</v>
      </c>
      <c r="R61" s="21">
        <v>1429.4951000000001</v>
      </c>
    </row>
    <row r="62" spans="7:18" x14ac:dyDescent="0.15">
      <c r="G62" s="11">
        <v>61</v>
      </c>
      <c r="H62" s="10" t="s">
        <v>290</v>
      </c>
      <c r="I62" t="s">
        <v>860</v>
      </c>
      <c r="J62" t="s">
        <v>830</v>
      </c>
      <c r="K62">
        <v>0.91</v>
      </c>
      <c r="L62">
        <v>2.4700000000000002</v>
      </c>
      <c r="M62">
        <v>11.86</v>
      </c>
      <c r="N62" s="20">
        <v>-6.57</v>
      </c>
      <c r="O62">
        <v>91.47</v>
      </c>
      <c r="P62">
        <v>65.72</v>
      </c>
      <c r="Q62">
        <v>99.72</v>
      </c>
      <c r="R62" s="21">
        <v>652.52269999999999</v>
      </c>
    </row>
    <row r="63" spans="7:18" x14ac:dyDescent="0.15">
      <c r="G63" s="11">
        <v>62</v>
      </c>
      <c r="H63" s="10" t="s">
        <v>1599</v>
      </c>
      <c r="I63" t="s">
        <v>1600</v>
      </c>
      <c r="J63" t="s">
        <v>1685</v>
      </c>
      <c r="K63">
        <v>4.8899999999999997</v>
      </c>
      <c r="L63">
        <v>0.36</v>
      </c>
      <c r="M63">
        <v>16.34</v>
      </c>
      <c r="N63" s="20">
        <v>-0.34</v>
      </c>
      <c r="O63">
        <v>91.32</v>
      </c>
      <c r="P63">
        <v>82.93</v>
      </c>
      <c r="Q63">
        <v>82.08</v>
      </c>
      <c r="R63" s="21">
        <v>577.28885360000004</v>
      </c>
    </row>
    <row r="64" spans="7:18" x14ac:dyDescent="0.15">
      <c r="G64" s="11">
        <v>63</v>
      </c>
      <c r="H64" s="10" t="s">
        <v>374</v>
      </c>
      <c r="I64" t="s">
        <v>1152</v>
      </c>
      <c r="J64" t="s">
        <v>867</v>
      </c>
      <c r="K64">
        <v>5.0999999999999996</v>
      </c>
      <c r="L64">
        <v>6.43</v>
      </c>
      <c r="M64">
        <v>17.690000000000001</v>
      </c>
      <c r="N64" s="20">
        <v>-0.28999999999999998</v>
      </c>
      <c r="O64">
        <v>91.18</v>
      </c>
      <c r="P64">
        <v>85.78</v>
      </c>
      <c r="Q64">
        <v>79.23</v>
      </c>
      <c r="R64" s="21">
        <v>32885.241402300002</v>
      </c>
    </row>
    <row r="65" spans="7:18" x14ac:dyDescent="0.15">
      <c r="G65" s="11">
        <v>64</v>
      </c>
      <c r="H65" s="10" t="s">
        <v>314</v>
      </c>
      <c r="I65" t="s">
        <v>847</v>
      </c>
      <c r="J65" t="s">
        <v>830</v>
      </c>
      <c r="K65">
        <v>4.47</v>
      </c>
      <c r="L65">
        <v>6.61</v>
      </c>
      <c r="M65">
        <v>12.13</v>
      </c>
      <c r="N65" s="20">
        <v>-2.4900000000000002</v>
      </c>
      <c r="O65">
        <v>91.04</v>
      </c>
      <c r="P65">
        <v>67</v>
      </c>
      <c r="Q65">
        <v>98.01</v>
      </c>
      <c r="R65" s="21">
        <v>263.12718999999998</v>
      </c>
    </row>
    <row r="66" spans="7:18" x14ac:dyDescent="0.15">
      <c r="G66" s="11">
        <v>65</v>
      </c>
      <c r="H66" s="10" t="s">
        <v>1377</v>
      </c>
      <c r="I66" t="s">
        <v>1378</v>
      </c>
      <c r="J66" t="s">
        <v>1685</v>
      </c>
      <c r="K66">
        <v>1.17</v>
      </c>
      <c r="L66">
        <v>0.74</v>
      </c>
      <c r="M66">
        <v>12.38</v>
      </c>
      <c r="N66" s="20">
        <v>-1.52</v>
      </c>
      <c r="O66">
        <v>90.9</v>
      </c>
      <c r="P66">
        <v>67.849999999999994</v>
      </c>
      <c r="Q66">
        <v>96.3</v>
      </c>
      <c r="R66" s="21">
        <v>106.5608</v>
      </c>
    </row>
    <row r="67" spans="7:18" x14ac:dyDescent="0.15">
      <c r="G67" s="11">
        <v>66</v>
      </c>
      <c r="H67" s="10" t="s">
        <v>497</v>
      </c>
      <c r="I67" t="s">
        <v>1111</v>
      </c>
      <c r="J67" t="s">
        <v>867</v>
      </c>
      <c r="K67">
        <v>5.18</v>
      </c>
      <c r="L67">
        <v>6.16</v>
      </c>
      <c r="M67">
        <v>14.33</v>
      </c>
      <c r="N67" s="20">
        <v>-0.43</v>
      </c>
      <c r="O67">
        <v>90.75</v>
      </c>
      <c r="P67">
        <v>77.81</v>
      </c>
      <c r="Q67">
        <v>85.92</v>
      </c>
      <c r="R67" s="21">
        <v>13420.574161099999</v>
      </c>
    </row>
    <row r="68" spans="7:18" x14ac:dyDescent="0.15">
      <c r="G68" s="11">
        <v>67</v>
      </c>
      <c r="H68" s="10" t="s">
        <v>1396</v>
      </c>
      <c r="I68" t="s">
        <v>1397</v>
      </c>
      <c r="J68" t="s">
        <v>1685</v>
      </c>
      <c r="K68">
        <v>5.78</v>
      </c>
      <c r="L68">
        <v>10.49</v>
      </c>
      <c r="M68">
        <v>24.78</v>
      </c>
      <c r="N68" s="20">
        <v>-0.19</v>
      </c>
      <c r="O68">
        <v>90.61</v>
      </c>
      <c r="P68">
        <v>96.3</v>
      </c>
      <c r="Q68">
        <v>67.430000000000007</v>
      </c>
      <c r="R68" s="21">
        <v>1018.6168</v>
      </c>
    </row>
    <row r="69" spans="7:18" x14ac:dyDescent="0.15">
      <c r="G69" s="11">
        <v>68</v>
      </c>
      <c r="H69" s="10" t="s">
        <v>433</v>
      </c>
      <c r="I69" t="s">
        <v>880</v>
      </c>
      <c r="J69" t="s">
        <v>867</v>
      </c>
      <c r="K69">
        <v>3.05</v>
      </c>
      <c r="L69">
        <v>6.04</v>
      </c>
      <c r="M69">
        <v>12.76</v>
      </c>
      <c r="N69" s="20">
        <v>-0.81</v>
      </c>
      <c r="O69">
        <v>90.47</v>
      </c>
      <c r="P69">
        <v>70.13</v>
      </c>
      <c r="Q69">
        <v>93.46</v>
      </c>
      <c r="R69" s="21">
        <v>73.98105799999999</v>
      </c>
    </row>
    <row r="70" spans="7:18" x14ac:dyDescent="0.15">
      <c r="G70" s="11">
        <v>69</v>
      </c>
      <c r="H70" s="10" t="s">
        <v>1424</v>
      </c>
      <c r="I70" t="s">
        <v>1425</v>
      </c>
      <c r="J70" t="s">
        <v>1685</v>
      </c>
      <c r="K70">
        <v>3.61</v>
      </c>
      <c r="L70">
        <v>6.49</v>
      </c>
      <c r="M70">
        <v>13.04</v>
      </c>
      <c r="N70" s="20">
        <v>-0.57999999999999996</v>
      </c>
      <c r="O70">
        <v>90.33</v>
      </c>
      <c r="P70">
        <v>72.55</v>
      </c>
      <c r="Q70">
        <v>90.9</v>
      </c>
      <c r="R70" s="21">
        <v>644.40769</v>
      </c>
    </row>
    <row r="71" spans="7:18" x14ac:dyDescent="0.15">
      <c r="G71" s="11">
        <v>70</v>
      </c>
      <c r="H71" s="10" t="s">
        <v>1394</v>
      </c>
      <c r="I71" t="s">
        <v>1395</v>
      </c>
      <c r="J71" t="s">
        <v>1685</v>
      </c>
      <c r="K71">
        <v>7.39</v>
      </c>
      <c r="L71">
        <v>11.13</v>
      </c>
      <c r="M71">
        <v>22.55</v>
      </c>
      <c r="N71" s="20">
        <v>-0.2</v>
      </c>
      <c r="O71">
        <v>90.18</v>
      </c>
      <c r="P71">
        <v>94.45</v>
      </c>
      <c r="Q71">
        <v>68.849999999999994</v>
      </c>
      <c r="R71" s="21">
        <v>6236.4761507000003</v>
      </c>
    </row>
    <row r="72" spans="7:18" x14ac:dyDescent="0.15">
      <c r="G72" s="11">
        <v>71</v>
      </c>
      <c r="H72" s="10" t="s">
        <v>468</v>
      </c>
      <c r="I72" t="s">
        <v>936</v>
      </c>
      <c r="J72" t="s">
        <v>867</v>
      </c>
      <c r="K72">
        <v>6.31</v>
      </c>
      <c r="L72">
        <v>9.86</v>
      </c>
      <c r="M72">
        <v>17.7</v>
      </c>
      <c r="N72" s="20">
        <v>-0.27</v>
      </c>
      <c r="O72">
        <v>90.04</v>
      </c>
      <c r="P72">
        <v>85.92</v>
      </c>
      <c r="Q72">
        <v>76.959999999999994</v>
      </c>
      <c r="R72" s="21">
        <v>354.31605000000002</v>
      </c>
    </row>
    <row r="73" spans="7:18" x14ac:dyDescent="0.15">
      <c r="G73" s="11">
        <v>72</v>
      </c>
      <c r="H73" s="10" t="s">
        <v>293</v>
      </c>
      <c r="I73" t="s">
        <v>854</v>
      </c>
      <c r="J73" t="s">
        <v>830</v>
      </c>
      <c r="K73">
        <v>2.97</v>
      </c>
      <c r="L73">
        <v>4.58</v>
      </c>
      <c r="M73">
        <v>12.34</v>
      </c>
      <c r="N73" s="20">
        <v>-1.24</v>
      </c>
      <c r="O73">
        <v>89.9</v>
      </c>
      <c r="P73">
        <v>67.569999999999993</v>
      </c>
      <c r="Q73">
        <v>95.31</v>
      </c>
      <c r="R73" s="21">
        <v>591.07510000000002</v>
      </c>
    </row>
    <row r="74" spans="7:18" x14ac:dyDescent="0.15">
      <c r="G74" s="11">
        <v>73</v>
      </c>
      <c r="H74" s="10" t="s">
        <v>483</v>
      </c>
      <c r="I74" t="s">
        <v>1080</v>
      </c>
      <c r="J74" t="s">
        <v>867</v>
      </c>
      <c r="K74">
        <v>6.97</v>
      </c>
      <c r="L74">
        <v>9.9700000000000006</v>
      </c>
      <c r="M74">
        <v>19.510000000000002</v>
      </c>
      <c r="N74" s="20">
        <v>-0.23</v>
      </c>
      <c r="O74">
        <v>89.76</v>
      </c>
      <c r="P74">
        <v>90.18</v>
      </c>
      <c r="Q74">
        <v>72.69</v>
      </c>
      <c r="R74" s="21">
        <v>13049.173500000001</v>
      </c>
    </row>
    <row r="75" spans="7:18" x14ac:dyDescent="0.15">
      <c r="G75" s="11">
        <v>74</v>
      </c>
      <c r="H75" s="10" t="s">
        <v>572</v>
      </c>
      <c r="I75" t="s">
        <v>1310</v>
      </c>
      <c r="J75" t="s">
        <v>1285</v>
      </c>
      <c r="K75">
        <v>12.33</v>
      </c>
      <c r="L75">
        <v>10.06</v>
      </c>
      <c r="M75">
        <v>26.65</v>
      </c>
      <c r="N75" s="20">
        <v>-0.17</v>
      </c>
      <c r="O75">
        <v>89.62</v>
      </c>
      <c r="P75">
        <v>97.01</v>
      </c>
      <c r="Q75">
        <v>65.86</v>
      </c>
      <c r="R75" s="21">
        <v>195847.9087</v>
      </c>
    </row>
    <row r="76" spans="7:18" x14ac:dyDescent="0.15">
      <c r="G76" s="11">
        <v>75</v>
      </c>
      <c r="H76" s="10" t="s">
        <v>479</v>
      </c>
      <c r="I76" t="s">
        <v>1039</v>
      </c>
      <c r="J76" t="s">
        <v>867</v>
      </c>
      <c r="K76">
        <v>6.75</v>
      </c>
      <c r="L76">
        <v>10.41</v>
      </c>
      <c r="M76">
        <v>18.809999999999999</v>
      </c>
      <c r="N76" s="20">
        <v>-0.23</v>
      </c>
      <c r="O76">
        <v>89.47</v>
      </c>
      <c r="P76">
        <v>88.9</v>
      </c>
      <c r="Q76">
        <v>73.83</v>
      </c>
      <c r="R76" s="21">
        <v>1481.5063500000001</v>
      </c>
    </row>
    <row r="77" spans="7:18" x14ac:dyDescent="0.15">
      <c r="G77" s="11">
        <v>76</v>
      </c>
      <c r="H77" s="10" t="s">
        <v>360</v>
      </c>
      <c r="I77" t="s">
        <v>1034</v>
      </c>
      <c r="J77" t="s">
        <v>867</v>
      </c>
      <c r="K77">
        <v>5.05</v>
      </c>
      <c r="L77">
        <v>6.29</v>
      </c>
      <c r="M77">
        <v>17.14</v>
      </c>
      <c r="N77" s="20">
        <v>-0.28999999999999998</v>
      </c>
      <c r="O77">
        <v>89.33</v>
      </c>
      <c r="P77">
        <v>84.5</v>
      </c>
      <c r="Q77">
        <v>78.09</v>
      </c>
      <c r="R77" s="21">
        <v>1711.4940083000001</v>
      </c>
    </row>
    <row r="78" spans="7:18" x14ac:dyDescent="0.15">
      <c r="G78" s="11">
        <v>77</v>
      </c>
      <c r="H78" s="10" t="s">
        <v>357</v>
      </c>
      <c r="I78" t="s">
        <v>1124</v>
      </c>
      <c r="J78" t="s">
        <v>867</v>
      </c>
      <c r="K78">
        <v>5.18</v>
      </c>
      <c r="L78">
        <v>6.01</v>
      </c>
      <c r="M78">
        <v>14.14</v>
      </c>
      <c r="N78" s="20">
        <v>-0.43</v>
      </c>
      <c r="O78">
        <v>89.19</v>
      </c>
      <c r="P78">
        <v>76.81</v>
      </c>
      <c r="Q78">
        <v>85.63</v>
      </c>
      <c r="R78" s="21">
        <v>15490.1998</v>
      </c>
    </row>
    <row r="79" spans="7:18" x14ac:dyDescent="0.15">
      <c r="G79" s="11">
        <v>78</v>
      </c>
      <c r="H79" s="10" t="s">
        <v>300</v>
      </c>
      <c r="I79" t="s">
        <v>832</v>
      </c>
      <c r="J79" t="s">
        <v>830</v>
      </c>
      <c r="K79">
        <v>4.32</v>
      </c>
      <c r="L79">
        <v>5.99</v>
      </c>
      <c r="M79">
        <v>12.55</v>
      </c>
      <c r="N79" s="20">
        <v>-0.85</v>
      </c>
      <c r="O79">
        <v>89.05</v>
      </c>
      <c r="P79">
        <v>68.56</v>
      </c>
      <c r="Q79">
        <v>93.88</v>
      </c>
      <c r="R79" s="21">
        <v>622.16049999999996</v>
      </c>
    </row>
    <row r="80" spans="7:18" x14ac:dyDescent="0.15">
      <c r="G80" s="11">
        <v>79</v>
      </c>
      <c r="H80" s="10" t="s">
        <v>286</v>
      </c>
      <c r="I80" t="s">
        <v>861</v>
      </c>
      <c r="J80" t="s">
        <v>830</v>
      </c>
      <c r="K80">
        <v>4.13</v>
      </c>
      <c r="L80">
        <v>5.0599999999999996</v>
      </c>
      <c r="M80">
        <v>12.2</v>
      </c>
      <c r="N80" s="20">
        <v>-1.1599999999999999</v>
      </c>
      <c r="O80">
        <v>88.9</v>
      </c>
      <c r="P80">
        <v>67.14</v>
      </c>
      <c r="Q80">
        <v>95.02</v>
      </c>
      <c r="R80" s="21">
        <v>1164.3475000000001</v>
      </c>
    </row>
    <row r="81" spans="7:18" x14ac:dyDescent="0.15">
      <c r="G81" s="11">
        <v>80</v>
      </c>
      <c r="H81" s="10" t="s">
        <v>1499</v>
      </c>
      <c r="I81" t="s">
        <v>1500</v>
      </c>
      <c r="J81" t="s">
        <v>1685</v>
      </c>
      <c r="K81">
        <v>5.89</v>
      </c>
      <c r="L81">
        <v>10.09</v>
      </c>
      <c r="M81">
        <v>20.32</v>
      </c>
      <c r="N81" s="20">
        <v>-0.21</v>
      </c>
      <c r="O81">
        <v>88.76</v>
      </c>
      <c r="P81">
        <v>91.61</v>
      </c>
      <c r="Q81">
        <v>69.42</v>
      </c>
      <c r="R81" s="21">
        <v>1615.9602</v>
      </c>
    </row>
    <row r="82" spans="7:18" x14ac:dyDescent="0.15">
      <c r="G82" s="11">
        <v>81</v>
      </c>
      <c r="H82" s="10" t="s">
        <v>382</v>
      </c>
      <c r="I82" t="s">
        <v>849</v>
      </c>
      <c r="J82" t="s">
        <v>830</v>
      </c>
      <c r="K82">
        <v>4.34</v>
      </c>
      <c r="L82">
        <v>6.44</v>
      </c>
      <c r="M82">
        <v>12.05</v>
      </c>
      <c r="N82" s="20">
        <v>-1.03</v>
      </c>
      <c r="O82">
        <v>88.62</v>
      </c>
      <c r="P82">
        <v>66.569999999999993</v>
      </c>
      <c r="Q82">
        <v>94.45</v>
      </c>
      <c r="R82" s="21">
        <v>207.7445228</v>
      </c>
    </row>
    <row r="83" spans="7:18" x14ac:dyDescent="0.15">
      <c r="G83" s="11">
        <v>82</v>
      </c>
      <c r="H83" s="10" t="s">
        <v>699</v>
      </c>
      <c r="I83" t="s">
        <v>1011</v>
      </c>
      <c r="J83" t="s">
        <v>867</v>
      </c>
      <c r="K83">
        <v>2.8</v>
      </c>
      <c r="L83">
        <v>4.54</v>
      </c>
      <c r="M83">
        <v>14.46</v>
      </c>
      <c r="N83" s="20">
        <v>-0.36</v>
      </c>
      <c r="O83">
        <v>88.48</v>
      </c>
      <c r="P83">
        <v>78.09</v>
      </c>
      <c r="Q83">
        <v>82.79</v>
      </c>
      <c r="R83" s="21">
        <v>1115.8105800000001</v>
      </c>
    </row>
    <row r="84" spans="7:18" x14ac:dyDescent="0.15">
      <c r="G84" s="11">
        <v>83</v>
      </c>
      <c r="H84" s="10" t="s">
        <v>401</v>
      </c>
      <c r="I84" t="s">
        <v>1046</v>
      </c>
      <c r="J84" t="s">
        <v>867</v>
      </c>
      <c r="K84">
        <v>5.04</v>
      </c>
      <c r="L84">
        <v>6.37</v>
      </c>
      <c r="M84">
        <v>17.239999999999998</v>
      </c>
      <c r="N84" s="20">
        <v>-0.26</v>
      </c>
      <c r="O84">
        <v>88.34</v>
      </c>
      <c r="P84">
        <v>84.78</v>
      </c>
      <c r="Q84">
        <v>75.959999999999994</v>
      </c>
      <c r="R84" s="21">
        <v>2273.0327000000002</v>
      </c>
    </row>
    <row r="85" spans="7:18" x14ac:dyDescent="0.15">
      <c r="G85" s="11">
        <v>84</v>
      </c>
      <c r="H85" s="10" t="s">
        <v>1579</v>
      </c>
      <c r="I85" t="s">
        <v>1580</v>
      </c>
      <c r="J85" t="s">
        <v>1685</v>
      </c>
      <c r="K85">
        <v>4.8600000000000003</v>
      </c>
      <c r="L85">
        <v>6.03</v>
      </c>
      <c r="M85">
        <v>16.809999999999999</v>
      </c>
      <c r="N85" s="20">
        <v>-0.27</v>
      </c>
      <c r="O85">
        <v>88.19</v>
      </c>
      <c r="P85">
        <v>83.78</v>
      </c>
      <c r="Q85">
        <v>76.81</v>
      </c>
      <c r="R85" s="21">
        <v>834.48009999999999</v>
      </c>
    </row>
    <row r="86" spans="7:18" x14ac:dyDescent="0.15">
      <c r="G86" s="11">
        <v>85</v>
      </c>
      <c r="H86" s="10" t="s">
        <v>406</v>
      </c>
      <c r="I86" t="s">
        <v>1130</v>
      </c>
      <c r="J86" t="s">
        <v>867</v>
      </c>
      <c r="K86">
        <v>9.42</v>
      </c>
      <c r="L86">
        <v>16.28</v>
      </c>
      <c r="M86">
        <v>30.87</v>
      </c>
      <c r="N86" s="20">
        <v>-0.15</v>
      </c>
      <c r="O86">
        <v>88.05</v>
      </c>
      <c r="P86">
        <v>98.86</v>
      </c>
      <c r="Q86">
        <v>61.59</v>
      </c>
      <c r="R86" s="21">
        <v>25573.289634099998</v>
      </c>
    </row>
    <row r="87" spans="7:18" x14ac:dyDescent="0.15">
      <c r="G87" s="11">
        <v>86</v>
      </c>
      <c r="H87" s="10" t="s">
        <v>1605</v>
      </c>
      <c r="I87" t="s">
        <v>1606</v>
      </c>
      <c r="J87" t="s">
        <v>1685</v>
      </c>
      <c r="K87">
        <v>5.26</v>
      </c>
      <c r="L87">
        <v>5.1100000000000003</v>
      </c>
      <c r="M87">
        <v>16.22</v>
      </c>
      <c r="N87" s="20">
        <v>-0.28000000000000003</v>
      </c>
      <c r="O87">
        <v>87.91</v>
      </c>
      <c r="P87">
        <v>82.65</v>
      </c>
      <c r="Q87">
        <v>77.38</v>
      </c>
      <c r="R87" s="21">
        <v>798.14160000000004</v>
      </c>
    </row>
    <row r="88" spans="7:18" x14ac:dyDescent="0.15">
      <c r="G88" s="11">
        <v>87</v>
      </c>
      <c r="H88" s="10" t="s">
        <v>1422</v>
      </c>
      <c r="I88" t="s">
        <v>1423</v>
      </c>
      <c r="J88" t="s">
        <v>1685</v>
      </c>
      <c r="K88">
        <v>5.67</v>
      </c>
      <c r="L88">
        <v>9.73</v>
      </c>
      <c r="M88">
        <v>19.47</v>
      </c>
      <c r="N88" s="20">
        <v>-0.21</v>
      </c>
      <c r="O88">
        <v>87.77</v>
      </c>
      <c r="P88">
        <v>89.9</v>
      </c>
      <c r="Q88">
        <v>69.7</v>
      </c>
      <c r="R88" s="21">
        <v>147.52316519999999</v>
      </c>
    </row>
    <row r="89" spans="7:18" x14ac:dyDescent="0.15">
      <c r="G89" s="11">
        <v>88</v>
      </c>
      <c r="H89" s="10" t="s">
        <v>623</v>
      </c>
      <c r="I89" t="s">
        <v>939</v>
      </c>
      <c r="J89" t="s">
        <v>867</v>
      </c>
      <c r="K89">
        <v>1.87</v>
      </c>
      <c r="L89">
        <v>1.07</v>
      </c>
      <c r="M89">
        <v>14.28</v>
      </c>
      <c r="N89" s="20">
        <v>-0.34</v>
      </c>
      <c r="O89">
        <v>87.62</v>
      </c>
      <c r="P89">
        <v>77.239999999999995</v>
      </c>
      <c r="Q89">
        <v>81.790000000000006</v>
      </c>
      <c r="R89" s="21">
        <v>539.25940000000003</v>
      </c>
    </row>
    <row r="90" spans="7:18" x14ac:dyDescent="0.15">
      <c r="G90" s="11">
        <v>89</v>
      </c>
      <c r="H90" s="10" t="s">
        <v>725</v>
      </c>
      <c r="I90" t="s">
        <v>1298</v>
      </c>
      <c r="J90" t="s">
        <v>1285</v>
      </c>
      <c r="K90">
        <v>12.68</v>
      </c>
      <c r="L90">
        <v>10.34</v>
      </c>
      <c r="M90">
        <v>27.27</v>
      </c>
      <c r="N90" s="20">
        <v>-0.15</v>
      </c>
      <c r="O90">
        <v>87.48</v>
      </c>
      <c r="P90">
        <v>97.16</v>
      </c>
      <c r="Q90">
        <v>61.74</v>
      </c>
      <c r="R90" s="21">
        <v>3678.9996380999996</v>
      </c>
    </row>
    <row r="91" spans="7:18" x14ac:dyDescent="0.15">
      <c r="G91" s="11">
        <v>90</v>
      </c>
      <c r="H91" s="10" t="s">
        <v>448</v>
      </c>
      <c r="I91" t="s">
        <v>1015</v>
      </c>
      <c r="J91" t="s">
        <v>867</v>
      </c>
      <c r="K91">
        <v>6.78</v>
      </c>
      <c r="L91">
        <v>10.65</v>
      </c>
      <c r="M91">
        <v>23.33</v>
      </c>
      <c r="N91" s="20">
        <v>-0.16</v>
      </c>
      <c r="O91">
        <v>87.34</v>
      </c>
      <c r="P91">
        <v>95.59</v>
      </c>
      <c r="Q91">
        <v>63.3</v>
      </c>
      <c r="R91" s="21">
        <v>2613.90056</v>
      </c>
    </row>
    <row r="92" spans="7:18" x14ac:dyDescent="0.15">
      <c r="G92" s="11">
        <v>91</v>
      </c>
      <c r="H92" s="10" t="s">
        <v>736</v>
      </c>
      <c r="I92" t="s">
        <v>1052</v>
      </c>
      <c r="J92" t="s">
        <v>867</v>
      </c>
      <c r="K92">
        <v>5.56</v>
      </c>
      <c r="L92">
        <v>1.17</v>
      </c>
      <c r="M92">
        <v>15.48</v>
      </c>
      <c r="N92" s="20">
        <v>-0.28000000000000003</v>
      </c>
      <c r="O92">
        <v>87.2</v>
      </c>
      <c r="P92">
        <v>81.08</v>
      </c>
      <c r="Q92">
        <v>77.239999999999995</v>
      </c>
      <c r="R92" s="21">
        <v>2325.5691299999999</v>
      </c>
    </row>
    <row r="93" spans="7:18" x14ac:dyDescent="0.15">
      <c r="G93" s="11">
        <v>92</v>
      </c>
      <c r="H93" s="10" t="s">
        <v>437</v>
      </c>
      <c r="I93" t="s">
        <v>859</v>
      </c>
      <c r="J93" t="s">
        <v>830</v>
      </c>
      <c r="K93">
        <v>2.31</v>
      </c>
      <c r="L93">
        <v>2.31</v>
      </c>
      <c r="M93">
        <v>10.5</v>
      </c>
      <c r="N93" s="20">
        <v>-3.55</v>
      </c>
      <c r="O93">
        <v>87.06</v>
      </c>
      <c r="P93">
        <v>58.89</v>
      </c>
      <c r="Q93">
        <v>98.72</v>
      </c>
      <c r="R93" s="21">
        <v>814.11559999999997</v>
      </c>
    </row>
    <row r="94" spans="7:18" x14ac:dyDescent="0.15">
      <c r="G94" s="11">
        <v>93</v>
      </c>
      <c r="H94" s="10" t="s">
        <v>349</v>
      </c>
      <c r="I94" t="s">
        <v>855</v>
      </c>
      <c r="J94" t="s">
        <v>830</v>
      </c>
      <c r="K94">
        <v>3.13</v>
      </c>
      <c r="L94">
        <v>3.4</v>
      </c>
      <c r="M94">
        <v>12</v>
      </c>
      <c r="N94" s="20">
        <v>-0.59</v>
      </c>
      <c r="O94">
        <v>86.91</v>
      </c>
      <c r="P94">
        <v>66.150000000000006</v>
      </c>
      <c r="Q94">
        <v>91.18</v>
      </c>
      <c r="R94" s="21">
        <v>294.55990000000003</v>
      </c>
    </row>
    <row r="95" spans="7:18" x14ac:dyDescent="0.15">
      <c r="G95" s="11">
        <v>94</v>
      </c>
      <c r="H95" s="10" t="s">
        <v>331</v>
      </c>
      <c r="I95" t="s">
        <v>1111</v>
      </c>
      <c r="J95" t="s">
        <v>867</v>
      </c>
      <c r="K95">
        <v>5.2</v>
      </c>
      <c r="L95">
        <v>6.27</v>
      </c>
      <c r="M95">
        <v>14.64</v>
      </c>
      <c r="N95" s="20">
        <v>-0.28000000000000003</v>
      </c>
      <c r="O95">
        <v>86.77</v>
      </c>
      <c r="P95">
        <v>78.52</v>
      </c>
      <c r="Q95">
        <v>77.67</v>
      </c>
      <c r="R95" s="21">
        <v>9474.7842000000001</v>
      </c>
    </row>
    <row r="96" spans="7:18" x14ac:dyDescent="0.15">
      <c r="G96" s="11">
        <v>95</v>
      </c>
      <c r="H96" s="10" t="s">
        <v>408</v>
      </c>
      <c r="I96" t="s">
        <v>949</v>
      </c>
      <c r="J96" t="s">
        <v>867</v>
      </c>
      <c r="K96">
        <v>6.74</v>
      </c>
      <c r="L96">
        <v>10.41</v>
      </c>
      <c r="M96">
        <v>18.7</v>
      </c>
      <c r="N96" s="20">
        <v>-0.19</v>
      </c>
      <c r="O96">
        <v>86.63</v>
      </c>
      <c r="P96">
        <v>88.48</v>
      </c>
      <c r="Q96">
        <v>67.28</v>
      </c>
      <c r="R96" s="21">
        <v>310.5621486</v>
      </c>
    </row>
    <row r="97" spans="7:18" x14ac:dyDescent="0.15">
      <c r="G97" s="11">
        <v>96</v>
      </c>
      <c r="H97" s="10" t="s">
        <v>457</v>
      </c>
      <c r="I97" t="s">
        <v>962</v>
      </c>
      <c r="J97" t="s">
        <v>867</v>
      </c>
      <c r="K97">
        <v>3.16</v>
      </c>
      <c r="L97">
        <v>5.72</v>
      </c>
      <c r="M97">
        <v>12.82</v>
      </c>
      <c r="N97" s="20">
        <v>-0.41</v>
      </c>
      <c r="O97">
        <v>86.49</v>
      </c>
      <c r="P97">
        <v>70.7</v>
      </c>
      <c r="Q97">
        <v>84.78</v>
      </c>
      <c r="R97" s="21">
        <v>1472.1723999999999</v>
      </c>
    </row>
    <row r="98" spans="7:18" x14ac:dyDescent="0.15">
      <c r="G98" s="11">
        <v>97</v>
      </c>
      <c r="H98" s="10" t="s">
        <v>1428</v>
      </c>
      <c r="I98" t="s">
        <v>1429</v>
      </c>
      <c r="J98" t="s">
        <v>1685</v>
      </c>
      <c r="K98">
        <v>4.5</v>
      </c>
      <c r="L98">
        <v>7.89</v>
      </c>
      <c r="M98">
        <v>15.03</v>
      </c>
      <c r="N98" s="20">
        <v>-0.24</v>
      </c>
      <c r="O98">
        <v>86.34</v>
      </c>
      <c r="P98">
        <v>79.94</v>
      </c>
      <c r="Q98">
        <v>74.959999999999994</v>
      </c>
      <c r="R98" s="21">
        <v>235.9356123</v>
      </c>
    </row>
    <row r="99" spans="7:18" x14ac:dyDescent="0.15">
      <c r="G99" s="11">
        <v>98</v>
      </c>
      <c r="H99" s="10" t="s">
        <v>1583</v>
      </c>
      <c r="I99" t="s">
        <v>1584</v>
      </c>
      <c r="J99" t="s">
        <v>1685</v>
      </c>
      <c r="K99">
        <v>3.53</v>
      </c>
      <c r="L99">
        <v>-1.36</v>
      </c>
      <c r="M99">
        <v>11.92</v>
      </c>
      <c r="N99" s="20">
        <v>-0.5</v>
      </c>
      <c r="O99">
        <v>86.2</v>
      </c>
      <c r="P99">
        <v>66</v>
      </c>
      <c r="Q99">
        <v>88.48</v>
      </c>
      <c r="R99" s="21">
        <v>165.20179999999999</v>
      </c>
    </row>
    <row r="100" spans="7:18" x14ac:dyDescent="0.15">
      <c r="G100" s="11">
        <v>99</v>
      </c>
      <c r="H100" s="10" t="s">
        <v>1674</v>
      </c>
      <c r="I100" t="s">
        <v>1675</v>
      </c>
      <c r="J100" t="s">
        <v>1685</v>
      </c>
      <c r="K100">
        <v>2.17</v>
      </c>
      <c r="L100">
        <v>4.63</v>
      </c>
      <c r="M100">
        <v>12.83</v>
      </c>
      <c r="N100" s="20">
        <v>-0.38</v>
      </c>
      <c r="O100">
        <v>86.06</v>
      </c>
      <c r="P100">
        <v>70.84</v>
      </c>
      <c r="Q100">
        <v>83.64</v>
      </c>
      <c r="R100" s="21">
        <v>812.29240000000004</v>
      </c>
    </row>
    <row r="101" spans="7:18" x14ac:dyDescent="0.15">
      <c r="G101" s="11">
        <v>100</v>
      </c>
      <c r="H101" s="10" t="s">
        <v>505</v>
      </c>
      <c r="I101" t="s">
        <v>1122</v>
      </c>
      <c r="J101" t="s">
        <v>867</v>
      </c>
      <c r="K101">
        <v>6.68</v>
      </c>
      <c r="L101">
        <v>10.32</v>
      </c>
      <c r="M101">
        <v>18.510000000000002</v>
      </c>
      <c r="N101" s="20">
        <v>-0.18</v>
      </c>
      <c r="O101">
        <v>85.92</v>
      </c>
      <c r="P101">
        <v>88.05</v>
      </c>
      <c r="Q101">
        <v>66</v>
      </c>
      <c r="R101" s="21">
        <v>4488.8275899999999</v>
      </c>
    </row>
    <row r="102" spans="7:18" x14ac:dyDescent="0.15">
      <c r="G102" s="11">
        <v>101</v>
      </c>
      <c r="H102" s="10" t="s">
        <v>465</v>
      </c>
      <c r="I102" t="s">
        <v>1174</v>
      </c>
      <c r="J102" t="s">
        <v>867</v>
      </c>
      <c r="K102">
        <v>7.87</v>
      </c>
      <c r="L102">
        <v>11.64</v>
      </c>
      <c r="M102">
        <v>20.27</v>
      </c>
      <c r="N102" s="20">
        <v>-0.16</v>
      </c>
      <c r="O102">
        <v>85.78</v>
      </c>
      <c r="P102">
        <v>91.32</v>
      </c>
      <c r="Q102">
        <v>62.73</v>
      </c>
      <c r="R102" s="21">
        <v>99385.683801100007</v>
      </c>
    </row>
    <row r="103" spans="7:18" x14ac:dyDescent="0.15">
      <c r="G103" s="11">
        <v>102</v>
      </c>
      <c r="H103" s="10" t="s">
        <v>1453</v>
      </c>
      <c r="I103" t="s">
        <v>1454</v>
      </c>
      <c r="J103" t="s">
        <v>1685</v>
      </c>
      <c r="K103">
        <v>5.8</v>
      </c>
      <c r="L103">
        <v>10.11</v>
      </c>
      <c r="M103">
        <v>20.28</v>
      </c>
      <c r="N103" s="20">
        <v>-0.15</v>
      </c>
      <c r="O103">
        <v>85.63</v>
      </c>
      <c r="P103">
        <v>91.47</v>
      </c>
      <c r="Q103">
        <v>62.02</v>
      </c>
      <c r="R103" s="21">
        <v>1377.7976000000001</v>
      </c>
    </row>
    <row r="104" spans="7:18" x14ac:dyDescent="0.15">
      <c r="G104" s="11">
        <v>103</v>
      </c>
      <c r="H104" s="10" t="s">
        <v>1541</v>
      </c>
      <c r="I104" t="s">
        <v>1542</v>
      </c>
      <c r="J104" t="s">
        <v>1685</v>
      </c>
      <c r="K104">
        <v>1.05</v>
      </c>
      <c r="L104">
        <v>2.5</v>
      </c>
      <c r="M104">
        <v>12.73</v>
      </c>
      <c r="N104" s="20">
        <v>-0.36</v>
      </c>
      <c r="O104">
        <v>85.49</v>
      </c>
      <c r="P104">
        <v>69.989999999999995</v>
      </c>
      <c r="Q104">
        <v>83.07</v>
      </c>
      <c r="R104" s="21">
        <v>398.38767999999999</v>
      </c>
    </row>
    <row r="105" spans="7:18" x14ac:dyDescent="0.15">
      <c r="G105" s="11">
        <v>104</v>
      </c>
      <c r="H105" s="10" t="s">
        <v>481</v>
      </c>
      <c r="I105" t="s">
        <v>898</v>
      </c>
      <c r="J105" t="s">
        <v>867</v>
      </c>
      <c r="K105">
        <v>5.28</v>
      </c>
      <c r="L105">
        <v>9.42</v>
      </c>
      <c r="M105">
        <v>16</v>
      </c>
      <c r="N105" s="20">
        <v>-0.21</v>
      </c>
      <c r="O105">
        <v>85.35</v>
      </c>
      <c r="P105">
        <v>82.08</v>
      </c>
      <c r="Q105">
        <v>70.84</v>
      </c>
      <c r="R105" s="21">
        <v>333.87654520000001</v>
      </c>
    </row>
    <row r="106" spans="7:18" x14ac:dyDescent="0.15">
      <c r="G106" s="11">
        <v>105</v>
      </c>
      <c r="H106" s="10" t="s">
        <v>1589</v>
      </c>
      <c r="I106" t="s">
        <v>1590</v>
      </c>
      <c r="J106" t="s">
        <v>1685</v>
      </c>
      <c r="K106">
        <v>12.19</v>
      </c>
      <c r="L106">
        <v>9.32</v>
      </c>
      <c r="M106">
        <v>24.85</v>
      </c>
      <c r="N106" s="20">
        <v>-0.12</v>
      </c>
      <c r="O106">
        <v>85.21</v>
      </c>
      <c r="P106">
        <v>96.44</v>
      </c>
      <c r="Q106">
        <v>56.33</v>
      </c>
      <c r="R106" s="21">
        <v>1135.8276130000002</v>
      </c>
    </row>
    <row r="107" spans="7:18" x14ac:dyDescent="0.15">
      <c r="G107" s="11">
        <v>106</v>
      </c>
      <c r="H107" s="10" t="s">
        <v>1340</v>
      </c>
      <c r="I107" t="s">
        <v>1341</v>
      </c>
      <c r="J107" t="s">
        <v>1685</v>
      </c>
      <c r="K107">
        <v>0.67</v>
      </c>
      <c r="L107">
        <v>4.3899999999999997</v>
      </c>
      <c r="M107">
        <v>15.44</v>
      </c>
      <c r="N107" s="20">
        <v>-0.21</v>
      </c>
      <c r="O107">
        <v>85.06</v>
      </c>
      <c r="P107">
        <v>80.94</v>
      </c>
      <c r="Q107">
        <v>71.27</v>
      </c>
      <c r="R107" s="21">
        <v>4401.8395731999999</v>
      </c>
    </row>
    <row r="108" spans="7:18" x14ac:dyDescent="0.15">
      <c r="G108" s="11">
        <v>107</v>
      </c>
      <c r="H108" s="10" t="s">
        <v>1642</v>
      </c>
      <c r="I108" t="s">
        <v>1643</v>
      </c>
      <c r="J108" t="s">
        <v>1685</v>
      </c>
      <c r="K108">
        <v>3.76</v>
      </c>
      <c r="L108">
        <v>5.93</v>
      </c>
      <c r="M108">
        <v>14.65</v>
      </c>
      <c r="N108" s="20">
        <v>-0.23</v>
      </c>
      <c r="O108">
        <v>84.92</v>
      </c>
      <c r="P108">
        <v>78.66</v>
      </c>
      <c r="Q108">
        <v>73.540000000000006</v>
      </c>
      <c r="R108" s="21">
        <v>2422.3436000000002</v>
      </c>
    </row>
    <row r="109" spans="7:18" x14ac:dyDescent="0.15">
      <c r="G109" s="11">
        <v>108</v>
      </c>
      <c r="H109" s="10" t="s">
        <v>305</v>
      </c>
      <c r="I109" t="s">
        <v>1078</v>
      </c>
      <c r="J109" t="s">
        <v>867</v>
      </c>
      <c r="K109">
        <v>7.38</v>
      </c>
      <c r="L109">
        <v>11.16</v>
      </c>
      <c r="M109">
        <v>22.64</v>
      </c>
      <c r="N109" s="20">
        <v>-0.13</v>
      </c>
      <c r="O109">
        <v>84.78</v>
      </c>
      <c r="P109">
        <v>94.59</v>
      </c>
      <c r="Q109">
        <v>57.61</v>
      </c>
      <c r="R109" s="21">
        <v>6630.6201000000001</v>
      </c>
    </row>
    <row r="110" spans="7:18" x14ac:dyDescent="0.15">
      <c r="G110" s="11">
        <v>109</v>
      </c>
      <c r="H110" s="10" t="s">
        <v>1430</v>
      </c>
      <c r="I110" t="s">
        <v>1431</v>
      </c>
      <c r="J110" t="s">
        <v>1685</v>
      </c>
      <c r="K110">
        <v>2.65</v>
      </c>
      <c r="L110">
        <v>5.21</v>
      </c>
      <c r="M110">
        <v>12.89</v>
      </c>
      <c r="N110" s="20">
        <v>-0.32</v>
      </c>
      <c r="O110">
        <v>84.64</v>
      </c>
      <c r="P110">
        <v>71.27</v>
      </c>
      <c r="Q110">
        <v>80.8</v>
      </c>
      <c r="R110" s="21">
        <v>348.22943329999998</v>
      </c>
    </row>
    <row r="111" spans="7:18" x14ac:dyDescent="0.15">
      <c r="G111" s="11">
        <v>110</v>
      </c>
      <c r="H111" s="10" t="s">
        <v>381</v>
      </c>
      <c r="I111" t="s">
        <v>1030</v>
      </c>
      <c r="J111" t="s">
        <v>867</v>
      </c>
      <c r="K111">
        <v>10.7</v>
      </c>
      <c r="L111">
        <v>17.11</v>
      </c>
      <c r="M111">
        <v>31.31</v>
      </c>
      <c r="N111" s="20">
        <v>-0.1</v>
      </c>
      <c r="O111">
        <v>84.5</v>
      </c>
      <c r="P111">
        <v>99.15</v>
      </c>
      <c r="Q111">
        <v>52.49</v>
      </c>
      <c r="R111" s="21">
        <v>3342.2991000000002</v>
      </c>
    </row>
    <row r="112" spans="7:18" x14ac:dyDescent="0.15">
      <c r="G112" s="11">
        <v>111</v>
      </c>
      <c r="H112" s="10" t="s">
        <v>636</v>
      </c>
      <c r="I112" t="s">
        <v>257</v>
      </c>
      <c r="J112" t="s">
        <v>867</v>
      </c>
      <c r="K112">
        <v>2.21</v>
      </c>
      <c r="L112">
        <v>4.03</v>
      </c>
      <c r="M112">
        <v>10.75</v>
      </c>
      <c r="N112" s="20">
        <v>-0.6</v>
      </c>
      <c r="O112">
        <v>84.35</v>
      </c>
      <c r="P112">
        <v>60.31</v>
      </c>
      <c r="Q112">
        <v>91.32</v>
      </c>
      <c r="R112" s="21">
        <v>39.446599999999997</v>
      </c>
    </row>
    <row r="113" spans="7:18" x14ac:dyDescent="0.15">
      <c r="G113" s="11">
        <v>112</v>
      </c>
      <c r="H113" s="10" t="s">
        <v>343</v>
      </c>
      <c r="I113" t="s">
        <v>963</v>
      </c>
      <c r="J113" t="s">
        <v>867</v>
      </c>
      <c r="K113">
        <v>3.58</v>
      </c>
      <c r="L113">
        <v>1.87</v>
      </c>
      <c r="M113">
        <v>11.7</v>
      </c>
      <c r="N113" s="20">
        <v>-0.45</v>
      </c>
      <c r="O113">
        <v>84.21</v>
      </c>
      <c r="P113">
        <v>64.72</v>
      </c>
      <c r="Q113">
        <v>86.77</v>
      </c>
      <c r="R113" s="21">
        <v>1688.0248999999999</v>
      </c>
    </row>
    <row r="114" spans="7:18" x14ac:dyDescent="0.15">
      <c r="G114" s="11">
        <v>113</v>
      </c>
      <c r="H114" s="10" t="s">
        <v>1483</v>
      </c>
      <c r="I114" t="s">
        <v>1484</v>
      </c>
      <c r="J114" t="s">
        <v>1685</v>
      </c>
      <c r="K114">
        <v>9.4499999999999993</v>
      </c>
      <c r="L114">
        <v>16.37</v>
      </c>
      <c r="M114">
        <v>30.86</v>
      </c>
      <c r="N114" s="20">
        <v>-0.1</v>
      </c>
      <c r="O114">
        <v>84.07</v>
      </c>
      <c r="P114">
        <v>98.72</v>
      </c>
      <c r="Q114">
        <v>51.21</v>
      </c>
      <c r="R114" s="21">
        <v>7774.5344877000007</v>
      </c>
    </row>
    <row r="115" spans="7:18" x14ac:dyDescent="0.15">
      <c r="G115" s="11">
        <v>114</v>
      </c>
      <c r="H115" s="10" t="s">
        <v>537</v>
      </c>
      <c r="I115" t="s">
        <v>885</v>
      </c>
      <c r="J115" t="s">
        <v>867</v>
      </c>
      <c r="K115">
        <v>4.3899999999999997</v>
      </c>
      <c r="L115">
        <v>6.52</v>
      </c>
      <c r="M115">
        <v>14.84</v>
      </c>
      <c r="N115" s="20">
        <v>-0.2</v>
      </c>
      <c r="O115">
        <v>83.93</v>
      </c>
      <c r="P115">
        <v>79.52</v>
      </c>
      <c r="Q115">
        <v>68.989999999999995</v>
      </c>
      <c r="R115" s="21">
        <v>307.29950000000002</v>
      </c>
    </row>
    <row r="116" spans="7:18" x14ac:dyDescent="0.15">
      <c r="G116" s="11">
        <v>115</v>
      </c>
      <c r="H116" s="10" t="s">
        <v>757</v>
      </c>
      <c r="I116" t="s">
        <v>1063</v>
      </c>
      <c r="J116" t="s">
        <v>867</v>
      </c>
      <c r="K116">
        <v>2.86</v>
      </c>
      <c r="L116">
        <v>1.46</v>
      </c>
      <c r="M116">
        <v>15.92</v>
      </c>
      <c r="N116" s="20">
        <v>-0.17</v>
      </c>
      <c r="O116">
        <v>83.78</v>
      </c>
      <c r="P116">
        <v>81.93</v>
      </c>
      <c r="Q116">
        <v>65.58</v>
      </c>
      <c r="R116" s="21">
        <v>2456.8207803</v>
      </c>
    </row>
    <row r="117" spans="7:18" x14ac:dyDescent="0.15">
      <c r="G117" s="11">
        <v>116</v>
      </c>
      <c r="H117" s="10" t="s">
        <v>1535</v>
      </c>
      <c r="I117" t="s">
        <v>1536</v>
      </c>
      <c r="J117" t="s">
        <v>1685</v>
      </c>
      <c r="K117">
        <v>2.66</v>
      </c>
      <c r="L117">
        <v>2.93</v>
      </c>
      <c r="M117">
        <v>10.24</v>
      </c>
      <c r="N117" s="20">
        <v>-0.55000000000000004</v>
      </c>
      <c r="O117">
        <v>83.64</v>
      </c>
      <c r="P117">
        <v>57.75</v>
      </c>
      <c r="Q117">
        <v>89.76</v>
      </c>
      <c r="R117" s="21">
        <v>182.81669339999999</v>
      </c>
    </row>
    <row r="118" spans="7:18" x14ac:dyDescent="0.15">
      <c r="G118" s="11">
        <v>117</v>
      </c>
      <c r="H118" s="10" t="s">
        <v>570</v>
      </c>
      <c r="I118" t="s">
        <v>928</v>
      </c>
      <c r="J118" t="s">
        <v>867</v>
      </c>
      <c r="K118">
        <v>3.46</v>
      </c>
      <c r="L118">
        <v>5.85</v>
      </c>
      <c r="M118">
        <v>14.06</v>
      </c>
      <c r="N118" s="20">
        <v>-0.21</v>
      </c>
      <c r="O118">
        <v>83.5</v>
      </c>
      <c r="P118">
        <v>76.53</v>
      </c>
      <c r="Q118">
        <v>70.41</v>
      </c>
      <c r="R118" s="21">
        <v>436.41357999999997</v>
      </c>
    </row>
    <row r="119" spans="7:18" x14ac:dyDescent="0.15">
      <c r="G119" s="11">
        <v>118</v>
      </c>
      <c r="H119" s="10" t="s">
        <v>1455</v>
      </c>
      <c r="I119" t="s">
        <v>1456</v>
      </c>
      <c r="J119" t="s">
        <v>1685</v>
      </c>
      <c r="K119">
        <v>2.57</v>
      </c>
      <c r="L119">
        <v>3.24</v>
      </c>
      <c r="M119">
        <v>9.98</v>
      </c>
      <c r="N119" s="20">
        <v>-0.64</v>
      </c>
      <c r="O119">
        <v>83.36</v>
      </c>
      <c r="P119">
        <v>54.48</v>
      </c>
      <c r="Q119">
        <v>91.89</v>
      </c>
      <c r="R119" s="21">
        <v>25.2959</v>
      </c>
    </row>
    <row r="120" spans="7:18" x14ac:dyDescent="0.15">
      <c r="G120" s="11">
        <v>119</v>
      </c>
      <c r="H120" s="10" t="s">
        <v>334</v>
      </c>
      <c r="I120" t="s">
        <v>994</v>
      </c>
      <c r="J120" t="s">
        <v>867</v>
      </c>
      <c r="K120">
        <v>5.33</v>
      </c>
      <c r="L120">
        <v>8.17</v>
      </c>
      <c r="M120">
        <v>17.39</v>
      </c>
      <c r="N120" s="20">
        <v>-0.15</v>
      </c>
      <c r="O120">
        <v>83.21</v>
      </c>
      <c r="P120">
        <v>85.06</v>
      </c>
      <c r="Q120">
        <v>60.88</v>
      </c>
      <c r="R120" s="21">
        <v>2486.5025999999998</v>
      </c>
    </row>
    <row r="121" spans="7:18" x14ac:dyDescent="0.15">
      <c r="G121" s="11">
        <v>120</v>
      </c>
      <c r="H121" s="10" t="s">
        <v>1342</v>
      </c>
      <c r="I121" t="s">
        <v>1343</v>
      </c>
      <c r="J121" t="s">
        <v>1685</v>
      </c>
      <c r="K121">
        <v>5.92</v>
      </c>
      <c r="L121">
        <v>8.59</v>
      </c>
      <c r="M121">
        <v>21.61</v>
      </c>
      <c r="N121" s="20">
        <v>-0.1</v>
      </c>
      <c r="O121">
        <v>83.07</v>
      </c>
      <c r="P121">
        <v>92.89</v>
      </c>
      <c r="Q121">
        <v>52.92</v>
      </c>
      <c r="R121" s="21">
        <v>8449.080396899999</v>
      </c>
    </row>
    <row r="122" spans="7:18" x14ac:dyDescent="0.15">
      <c r="G122" s="11">
        <v>121</v>
      </c>
      <c r="H122" s="10" t="s">
        <v>1502</v>
      </c>
      <c r="I122" t="s">
        <v>1503</v>
      </c>
      <c r="J122" t="s">
        <v>1685</v>
      </c>
      <c r="K122">
        <v>-0.01</v>
      </c>
      <c r="L122">
        <v>2.2799999999999998</v>
      </c>
      <c r="M122">
        <v>12.02</v>
      </c>
      <c r="N122" s="20">
        <v>-0.3</v>
      </c>
      <c r="O122">
        <v>82.93</v>
      </c>
      <c r="P122">
        <v>66.430000000000007</v>
      </c>
      <c r="Q122">
        <v>79.37</v>
      </c>
      <c r="R122" s="21">
        <v>3342.8483999999999</v>
      </c>
    </row>
    <row r="123" spans="7:18" x14ac:dyDescent="0.15">
      <c r="G123" s="11">
        <v>122</v>
      </c>
      <c r="H123" s="10" t="s">
        <v>1581</v>
      </c>
      <c r="I123" t="s">
        <v>1582</v>
      </c>
      <c r="J123" t="s">
        <v>1685</v>
      </c>
      <c r="K123">
        <v>4.4400000000000004</v>
      </c>
      <c r="L123">
        <v>1.48</v>
      </c>
      <c r="M123">
        <v>10.130000000000001</v>
      </c>
      <c r="N123" s="20">
        <v>-0.5</v>
      </c>
      <c r="O123">
        <v>82.79</v>
      </c>
      <c r="P123">
        <v>56.76</v>
      </c>
      <c r="Q123">
        <v>88.62</v>
      </c>
      <c r="R123" s="21">
        <v>458.62353899999999</v>
      </c>
    </row>
    <row r="124" spans="7:18" x14ac:dyDescent="0.15">
      <c r="G124" s="11">
        <v>123</v>
      </c>
      <c r="H124" s="10" t="s">
        <v>1434</v>
      </c>
      <c r="I124" t="s">
        <v>1435</v>
      </c>
      <c r="J124" t="s">
        <v>1685</v>
      </c>
      <c r="K124">
        <v>1.49</v>
      </c>
      <c r="L124">
        <v>1.78</v>
      </c>
      <c r="M124">
        <v>10.050000000000001</v>
      </c>
      <c r="N124" s="20">
        <v>-0.56000000000000005</v>
      </c>
      <c r="O124">
        <v>82.65</v>
      </c>
      <c r="P124">
        <v>55.33</v>
      </c>
      <c r="Q124">
        <v>90.04</v>
      </c>
      <c r="R124" s="21">
        <v>1596.3375000000001</v>
      </c>
    </row>
    <row r="125" spans="7:18" x14ac:dyDescent="0.15">
      <c r="G125" s="11">
        <v>124</v>
      </c>
      <c r="H125" s="10" t="s">
        <v>1607</v>
      </c>
      <c r="I125" t="s">
        <v>1608</v>
      </c>
      <c r="J125" t="s">
        <v>1685</v>
      </c>
      <c r="K125">
        <v>4.2</v>
      </c>
      <c r="L125">
        <v>-0.66</v>
      </c>
      <c r="M125">
        <v>13.16</v>
      </c>
      <c r="N125" s="20">
        <v>-0.22</v>
      </c>
      <c r="O125">
        <v>82.5</v>
      </c>
      <c r="P125">
        <v>72.83</v>
      </c>
      <c r="Q125">
        <v>71.98</v>
      </c>
      <c r="R125" s="21">
        <v>215.3115</v>
      </c>
    </row>
    <row r="126" spans="7:18" x14ac:dyDescent="0.15">
      <c r="G126" s="11">
        <v>125</v>
      </c>
      <c r="H126" s="10" t="s">
        <v>1410</v>
      </c>
      <c r="I126" t="s">
        <v>1411</v>
      </c>
      <c r="J126" t="s">
        <v>1685</v>
      </c>
      <c r="K126">
        <v>7.81</v>
      </c>
      <c r="L126">
        <v>11.11</v>
      </c>
      <c r="M126">
        <v>21.57</v>
      </c>
      <c r="N126" s="20">
        <v>-0.1</v>
      </c>
      <c r="O126">
        <v>82.36</v>
      </c>
      <c r="P126">
        <v>92.46</v>
      </c>
      <c r="Q126">
        <v>52.2</v>
      </c>
      <c r="R126" s="21">
        <v>1206.87111</v>
      </c>
    </row>
    <row r="127" spans="7:18" x14ac:dyDescent="0.15">
      <c r="G127" s="11">
        <v>126</v>
      </c>
      <c r="H127" s="10" t="s">
        <v>1365</v>
      </c>
      <c r="I127" t="s">
        <v>1366</v>
      </c>
      <c r="J127" t="s">
        <v>1685</v>
      </c>
      <c r="K127">
        <v>1.18</v>
      </c>
      <c r="L127">
        <v>6.91</v>
      </c>
      <c r="M127">
        <v>12.44</v>
      </c>
      <c r="N127" s="20">
        <v>-0.25</v>
      </c>
      <c r="O127">
        <v>82.22</v>
      </c>
      <c r="P127">
        <v>68.14</v>
      </c>
      <c r="Q127">
        <v>75.680000000000007</v>
      </c>
      <c r="R127" s="21">
        <v>205.4829</v>
      </c>
    </row>
    <row r="128" spans="7:18" x14ac:dyDescent="0.15">
      <c r="G128" s="11">
        <v>127</v>
      </c>
      <c r="H128" s="10" t="s">
        <v>550</v>
      </c>
      <c r="I128" t="s">
        <v>967</v>
      </c>
      <c r="J128" t="s">
        <v>867</v>
      </c>
      <c r="K128">
        <v>0.77</v>
      </c>
      <c r="L128">
        <v>2.99</v>
      </c>
      <c r="M128">
        <v>11.24</v>
      </c>
      <c r="N128" s="20">
        <v>-0.31</v>
      </c>
      <c r="O128">
        <v>82.08</v>
      </c>
      <c r="P128">
        <v>63.16</v>
      </c>
      <c r="Q128">
        <v>80.37</v>
      </c>
      <c r="R128" s="21">
        <v>2422.2383</v>
      </c>
    </row>
    <row r="129" spans="7:18" x14ac:dyDescent="0.15">
      <c r="G129" s="11">
        <v>128</v>
      </c>
      <c r="H129" s="10" t="s">
        <v>365</v>
      </c>
      <c r="I129" t="s">
        <v>995</v>
      </c>
      <c r="J129" t="s">
        <v>867</v>
      </c>
      <c r="K129">
        <v>2.4300000000000002</v>
      </c>
      <c r="L129">
        <v>5.46</v>
      </c>
      <c r="M129">
        <v>14.66</v>
      </c>
      <c r="N129" s="20">
        <v>-0.16</v>
      </c>
      <c r="O129">
        <v>81.93</v>
      </c>
      <c r="P129">
        <v>78.81</v>
      </c>
      <c r="Q129">
        <v>64.58</v>
      </c>
      <c r="R129" s="21">
        <v>3008.7295600000002</v>
      </c>
    </row>
    <row r="130" spans="7:18" x14ac:dyDescent="0.15">
      <c r="G130" s="11">
        <v>129</v>
      </c>
      <c r="H130" s="10" t="s">
        <v>466</v>
      </c>
      <c r="I130" t="s">
        <v>996</v>
      </c>
      <c r="J130" t="s">
        <v>867</v>
      </c>
      <c r="K130">
        <v>5.84</v>
      </c>
      <c r="L130">
        <v>10.25</v>
      </c>
      <c r="M130">
        <v>25.99</v>
      </c>
      <c r="N130" s="20">
        <v>-7.0000000000000007E-2</v>
      </c>
      <c r="O130">
        <v>81.790000000000006</v>
      </c>
      <c r="P130">
        <v>96.73</v>
      </c>
      <c r="Q130">
        <v>45.95</v>
      </c>
      <c r="R130" s="21">
        <v>2829.3921</v>
      </c>
    </row>
    <row r="131" spans="7:18" x14ac:dyDescent="0.15">
      <c r="G131" s="11">
        <v>130</v>
      </c>
      <c r="H131" s="10" t="s">
        <v>1448</v>
      </c>
      <c r="I131" t="s">
        <v>1449</v>
      </c>
      <c r="J131" t="s">
        <v>1685</v>
      </c>
      <c r="K131">
        <v>1.92</v>
      </c>
      <c r="L131">
        <v>4.76</v>
      </c>
      <c r="M131">
        <v>13.23</v>
      </c>
      <c r="N131" s="20">
        <v>-0.2</v>
      </c>
      <c r="O131">
        <v>81.650000000000006</v>
      </c>
      <c r="P131">
        <v>73.400000000000006</v>
      </c>
      <c r="Q131">
        <v>69.13</v>
      </c>
      <c r="R131" s="21">
        <v>5865.5815299999995</v>
      </c>
    </row>
    <row r="132" spans="7:18" x14ac:dyDescent="0.15">
      <c r="G132" s="11">
        <v>131</v>
      </c>
      <c r="H132" s="10" t="s">
        <v>548</v>
      </c>
      <c r="I132" t="s">
        <v>975</v>
      </c>
      <c r="J132" t="s">
        <v>867</v>
      </c>
      <c r="K132">
        <v>3.62</v>
      </c>
      <c r="L132">
        <v>6.16</v>
      </c>
      <c r="M132">
        <v>14.91</v>
      </c>
      <c r="N132" s="20">
        <v>-0.15</v>
      </c>
      <c r="O132">
        <v>81.510000000000005</v>
      </c>
      <c r="P132">
        <v>79.8</v>
      </c>
      <c r="Q132">
        <v>62.45</v>
      </c>
      <c r="R132" s="21">
        <v>1127.6925199999998</v>
      </c>
    </row>
    <row r="133" spans="7:18" x14ac:dyDescent="0.15">
      <c r="G133" s="11">
        <v>132</v>
      </c>
      <c r="H133" s="10" t="s">
        <v>1551</v>
      </c>
      <c r="I133" t="s">
        <v>1552</v>
      </c>
      <c r="J133" t="s">
        <v>1685</v>
      </c>
      <c r="K133">
        <v>2.86</v>
      </c>
      <c r="L133">
        <v>2.4500000000000002</v>
      </c>
      <c r="M133">
        <v>9.3699999999999992</v>
      </c>
      <c r="N133" s="20">
        <v>-0.83</v>
      </c>
      <c r="O133">
        <v>81.37</v>
      </c>
      <c r="P133">
        <v>48.51</v>
      </c>
      <c r="Q133">
        <v>93.74</v>
      </c>
      <c r="R133" s="21">
        <v>51.1738</v>
      </c>
    </row>
    <row r="134" spans="7:18" x14ac:dyDescent="0.15">
      <c r="G134" s="11">
        <v>133</v>
      </c>
      <c r="H134" s="10" t="s">
        <v>1495</v>
      </c>
      <c r="I134" t="s">
        <v>1496</v>
      </c>
      <c r="J134" t="s">
        <v>1685</v>
      </c>
      <c r="K134">
        <v>2.78</v>
      </c>
      <c r="L134">
        <v>2.4700000000000002</v>
      </c>
      <c r="M134">
        <v>9.57</v>
      </c>
      <c r="N134" s="20">
        <v>-0.65</v>
      </c>
      <c r="O134">
        <v>81.22</v>
      </c>
      <c r="P134">
        <v>50.07</v>
      </c>
      <c r="Q134">
        <v>92.03</v>
      </c>
      <c r="R134" s="21">
        <v>64.387500000000003</v>
      </c>
    </row>
    <row r="135" spans="7:18" x14ac:dyDescent="0.15">
      <c r="G135" s="11">
        <v>134</v>
      </c>
      <c r="H135" s="10" t="s">
        <v>1359</v>
      </c>
      <c r="I135" t="s">
        <v>1360</v>
      </c>
      <c r="J135" t="s">
        <v>1685</v>
      </c>
      <c r="K135">
        <v>1.1200000000000001</v>
      </c>
      <c r="L135">
        <v>6.89</v>
      </c>
      <c r="M135">
        <v>12.55</v>
      </c>
      <c r="N135" s="20">
        <v>-0.23</v>
      </c>
      <c r="O135">
        <v>81.08</v>
      </c>
      <c r="P135">
        <v>68.709999999999994</v>
      </c>
      <c r="Q135">
        <v>73.12</v>
      </c>
      <c r="R135" s="21">
        <v>1195.5002999999999</v>
      </c>
    </row>
    <row r="136" spans="7:18" x14ac:dyDescent="0.15">
      <c r="G136" s="11">
        <v>135</v>
      </c>
      <c r="H136" s="10" t="s">
        <v>530</v>
      </c>
      <c r="I136" t="s">
        <v>952</v>
      </c>
      <c r="J136" t="s">
        <v>867</v>
      </c>
      <c r="K136">
        <v>4.33</v>
      </c>
      <c r="L136">
        <v>6.91</v>
      </c>
      <c r="M136">
        <v>13.51</v>
      </c>
      <c r="N136" s="20">
        <v>-0.19</v>
      </c>
      <c r="O136">
        <v>80.94</v>
      </c>
      <c r="P136">
        <v>74.25</v>
      </c>
      <c r="Q136">
        <v>67.14</v>
      </c>
      <c r="R136" s="21">
        <v>1893.0424300999998</v>
      </c>
    </row>
    <row r="137" spans="7:18" x14ac:dyDescent="0.15">
      <c r="G137" s="11">
        <v>136</v>
      </c>
      <c r="H137" s="10" t="s">
        <v>743</v>
      </c>
      <c r="I137" t="s">
        <v>1299</v>
      </c>
      <c r="J137" t="s">
        <v>1285</v>
      </c>
      <c r="K137">
        <v>2.85</v>
      </c>
      <c r="L137">
        <v>-1.43</v>
      </c>
      <c r="M137">
        <v>9.6199999999999992</v>
      </c>
      <c r="N137" s="20">
        <v>-0.57999999999999996</v>
      </c>
      <c r="O137">
        <v>80.8</v>
      </c>
      <c r="P137">
        <v>50.5</v>
      </c>
      <c r="Q137">
        <v>90.47</v>
      </c>
      <c r="R137" s="21">
        <v>2496.9025780000002</v>
      </c>
    </row>
    <row r="138" spans="7:18" x14ac:dyDescent="0.15">
      <c r="G138" s="11">
        <v>137</v>
      </c>
      <c r="H138" s="10" t="s">
        <v>606</v>
      </c>
      <c r="I138" t="s">
        <v>960</v>
      </c>
      <c r="J138" t="s">
        <v>867</v>
      </c>
      <c r="K138">
        <v>6.27</v>
      </c>
      <c r="L138">
        <v>10.5</v>
      </c>
      <c r="M138">
        <v>21.69</v>
      </c>
      <c r="N138" s="20">
        <v>-0.08</v>
      </c>
      <c r="O138">
        <v>80.650000000000006</v>
      </c>
      <c r="P138">
        <v>93.03</v>
      </c>
      <c r="Q138">
        <v>47.8</v>
      </c>
      <c r="R138" s="21">
        <v>887.86754000000008</v>
      </c>
    </row>
    <row r="139" spans="7:18" x14ac:dyDescent="0.15">
      <c r="G139" s="11">
        <v>138</v>
      </c>
      <c r="H139" s="10" t="s">
        <v>1506</v>
      </c>
      <c r="I139" t="s">
        <v>1507</v>
      </c>
      <c r="J139" t="s">
        <v>1685</v>
      </c>
      <c r="K139">
        <v>2.66</v>
      </c>
      <c r="L139">
        <v>3.14</v>
      </c>
      <c r="M139">
        <v>10.41</v>
      </c>
      <c r="N139" s="20">
        <v>-0.34</v>
      </c>
      <c r="O139">
        <v>80.510000000000005</v>
      </c>
      <c r="P139">
        <v>58.75</v>
      </c>
      <c r="Q139">
        <v>81.93</v>
      </c>
      <c r="R139" s="21">
        <v>417.21692000000002</v>
      </c>
    </row>
    <row r="140" spans="7:18" x14ac:dyDescent="0.15">
      <c r="G140" s="11">
        <v>139</v>
      </c>
      <c r="H140" s="10" t="s">
        <v>598</v>
      </c>
      <c r="I140" t="s">
        <v>957</v>
      </c>
      <c r="J140" t="s">
        <v>867</v>
      </c>
      <c r="K140">
        <v>2.7</v>
      </c>
      <c r="L140">
        <v>4.7300000000000004</v>
      </c>
      <c r="M140">
        <v>15.64</v>
      </c>
      <c r="N140" s="20">
        <v>-0.13</v>
      </c>
      <c r="O140">
        <v>80.37</v>
      </c>
      <c r="P140">
        <v>81.22</v>
      </c>
      <c r="Q140">
        <v>59.32</v>
      </c>
      <c r="R140" s="21">
        <v>535.60497290000001</v>
      </c>
    </row>
    <row r="141" spans="7:18" x14ac:dyDescent="0.15">
      <c r="G141" s="11">
        <v>140</v>
      </c>
      <c r="H141" s="10" t="s">
        <v>576</v>
      </c>
      <c r="I141" t="s">
        <v>1026</v>
      </c>
      <c r="J141" t="s">
        <v>867</v>
      </c>
      <c r="K141">
        <v>1.82</v>
      </c>
      <c r="L141">
        <v>0.93</v>
      </c>
      <c r="M141">
        <v>14.02</v>
      </c>
      <c r="N141" s="20">
        <v>-0.16</v>
      </c>
      <c r="O141">
        <v>80.23</v>
      </c>
      <c r="P141">
        <v>76.239999999999995</v>
      </c>
      <c r="Q141">
        <v>63.58</v>
      </c>
      <c r="R141" s="21">
        <v>821.06050000000005</v>
      </c>
    </row>
    <row r="142" spans="7:18" x14ac:dyDescent="0.15">
      <c r="G142" s="11">
        <v>141</v>
      </c>
      <c r="H142" s="10" t="s">
        <v>615</v>
      </c>
      <c r="I142" t="s">
        <v>884</v>
      </c>
      <c r="J142" t="s">
        <v>867</v>
      </c>
      <c r="K142">
        <v>2.15</v>
      </c>
      <c r="L142">
        <v>3.9</v>
      </c>
      <c r="M142">
        <v>10.35</v>
      </c>
      <c r="N142" s="20">
        <v>-0.33</v>
      </c>
      <c r="O142">
        <v>80.09</v>
      </c>
      <c r="P142">
        <v>58.46</v>
      </c>
      <c r="Q142">
        <v>81.22</v>
      </c>
      <c r="R142" s="21">
        <v>42.749200000000002</v>
      </c>
    </row>
    <row r="143" spans="7:18" x14ac:dyDescent="0.15">
      <c r="G143" s="11">
        <v>142</v>
      </c>
      <c r="H143" s="10" t="s">
        <v>1443</v>
      </c>
      <c r="I143" t="s">
        <v>1444</v>
      </c>
      <c r="J143" t="s">
        <v>1685</v>
      </c>
      <c r="K143">
        <v>4.3</v>
      </c>
      <c r="L143">
        <v>7.2</v>
      </c>
      <c r="M143">
        <v>16.579999999999998</v>
      </c>
      <c r="N143" s="20">
        <v>-0.12</v>
      </c>
      <c r="O143">
        <v>79.94</v>
      </c>
      <c r="P143">
        <v>83.36</v>
      </c>
      <c r="Q143">
        <v>55.76</v>
      </c>
      <c r="R143" s="21">
        <v>678.48383999999999</v>
      </c>
    </row>
    <row r="144" spans="7:18" x14ac:dyDescent="0.15">
      <c r="G144" s="11">
        <v>143</v>
      </c>
      <c r="H144" s="10" t="s">
        <v>599</v>
      </c>
      <c r="I144" t="s">
        <v>1000</v>
      </c>
      <c r="J144" t="s">
        <v>867</v>
      </c>
      <c r="K144">
        <v>0.63</v>
      </c>
      <c r="L144">
        <v>2.0299999999999998</v>
      </c>
      <c r="M144">
        <v>9.91</v>
      </c>
      <c r="N144" s="20">
        <v>-0.41</v>
      </c>
      <c r="O144">
        <v>79.8</v>
      </c>
      <c r="P144">
        <v>53.77</v>
      </c>
      <c r="Q144">
        <v>85.35</v>
      </c>
      <c r="R144" s="21">
        <v>843.74689999999998</v>
      </c>
    </row>
    <row r="145" spans="7:18" x14ac:dyDescent="0.15">
      <c r="G145" s="11">
        <v>144</v>
      </c>
      <c r="H145" s="10" t="s">
        <v>1380</v>
      </c>
      <c r="I145" t="s">
        <v>1381</v>
      </c>
      <c r="J145" t="s">
        <v>1685</v>
      </c>
      <c r="K145">
        <v>5.41</v>
      </c>
      <c r="L145">
        <v>8.39</v>
      </c>
      <c r="M145">
        <v>17.989999999999998</v>
      </c>
      <c r="N145" s="20">
        <v>-0.1</v>
      </c>
      <c r="O145">
        <v>79.66</v>
      </c>
      <c r="P145">
        <v>86.77</v>
      </c>
      <c r="Q145">
        <v>52.06</v>
      </c>
      <c r="R145" s="21">
        <v>3123.7795000000001</v>
      </c>
    </row>
    <row r="146" spans="7:18" x14ac:dyDescent="0.15">
      <c r="G146" s="11">
        <v>145</v>
      </c>
      <c r="H146" s="10" t="s">
        <v>480</v>
      </c>
      <c r="I146" t="s">
        <v>921</v>
      </c>
      <c r="J146" t="s">
        <v>867</v>
      </c>
      <c r="K146">
        <v>2.31</v>
      </c>
      <c r="L146">
        <v>3.71</v>
      </c>
      <c r="M146">
        <v>10.06</v>
      </c>
      <c r="N146" s="20">
        <v>-0.35</v>
      </c>
      <c r="O146">
        <v>79.52</v>
      </c>
      <c r="P146">
        <v>56.05</v>
      </c>
      <c r="Q146">
        <v>82.65</v>
      </c>
      <c r="R146" s="21">
        <v>1052.1868999999999</v>
      </c>
    </row>
    <row r="147" spans="7:18" x14ac:dyDescent="0.15">
      <c r="G147" s="11">
        <v>146</v>
      </c>
      <c r="H147" s="10" t="s">
        <v>1545</v>
      </c>
      <c r="I147" t="s">
        <v>1546</v>
      </c>
      <c r="J147" t="s">
        <v>1685</v>
      </c>
      <c r="K147">
        <v>4.09</v>
      </c>
      <c r="L147">
        <v>3.45</v>
      </c>
      <c r="M147">
        <v>12.01</v>
      </c>
      <c r="N147" s="20">
        <v>-0.23</v>
      </c>
      <c r="O147">
        <v>79.37</v>
      </c>
      <c r="P147">
        <v>66.290000000000006</v>
      </c>
      <c r="Q147">
        <v>72.400000000000006</v>
      </c>
      <c r="R147" s="21">
        <v>1066.3625999999999</v>
      </c>
    </row>
    <row r="148" spans="7:18" x14ac:dyDescent="0.15">
      <c r="G148" s="11">
        <v>147</v>
      </c>
      <c r="H148" s="10" t="s">
        <v>335</v>
      </c>
      <c r="I148" t="s">
        <v>1123</v>
      </c>
      <c r="J148" t="s">
        <v>867</v>
      </c>
      <c r="K148">
        <v>5.18</v>
      </c>
      <c r="L148">
        <v>6.11</v>
      </c>
      <c r="M148">
        <v>14.33</v>
      </c>
      <c r="N148" s="20">
        <v>-0.14000000000000001</v>
      </c>
      <c r="O148">
        <v>79.23</v>
      </c>
      <c r="P148">
        <v>77.67</v>
      </c>
      <c r="Q148">
        <v>60.46</v>
      </c>
      <c r="R148" s="21">
        <v>14253.8151</v>
      </c>
    </row>
    <row r="149" spans="7:18" x14ac:dyDescent="0.15">
      <c r="G149" s="11">
        <v>148</v>
      </c>
      <c r="H149" s="10" t="s">
        <v>625</v>
      </c>
      <c r="I149" t="s">
        <v>987</v>
      </c>
      <c r="J149" t="s">
        <v>867</v>
      </c>
      <c r="K149">
        <v>2.14</v>
      </c>
      <c r="L149">
        <v>4.33</v>
      </c>
      <c r="M149">
        <v>11.65</v>
      </c>
      <c r="N149" s="20">
        <v>-0.23</v>
      </c>
      <c r="O149">
        <v>79.09</v>
      </c>
      <c r="P149">
        <v>64.58</v>
      </c>
      <c r="Q149">
        <v>72.97</v>
      </c>
      <c r="R149" s="21">
        <v>922.28459999999995</v>
      </c>
    </row>
    <row r="150" spans="7:18" x14ac:dyDescent="0.15">
      <c r="G150" s="11">
        <v>149</v>
      </c>
      <c r="H150" s="10" t="s">
        <v>561</v>
      </c>
      <c r="I150" t="s">
        <v>919</v>
      </c>
      <c r="J150" t="s">
        <v>867</v>
      </c>
      <c r="K150">
        <v>2.36</v>
      </c>
      <c r="L150">
        <v>4</v>
      </c>
      <c r="M150">
        <v>9.85</v>
      </c>
      <c r="N150" s="20">
        <v>-0.39</v>
      </c>
      <c r="O150">
        <v>78.95</v>
      </c>
      <c r="P150">
        <v>53.34</v>
      </c>
      <c r="Q150">
        <v>84.07</v>
      </c>
      <c r="R150" s="21">
        <v>1013.232</v>
      </c>
    </row>
    <row r="151" spans="7:18" x14ac:dyDescent="0.15">
      <c r="G151" s="11">
        <v>150</v>
      </c>
      <c r="H151" s="10" t="s">
        <v>633</v>
      </c>
      <c r="I151" t="s">
        <v>1058</v>
      </c>
      <c r="J151" t="s">
        <v>867</v>
      </c>
      <c r="K151">
        <v>5.0999999999999996</v>
      </c>
      <c r="L151">
        <v>9.8800000000000008</v>
      </c>
      <c r="M151">
        <v>19</v>
      </c>
      <c r="N151" s="20">
        <v>-0.08</v>
      </c>
      <c r="O151">
        <v>78.81</v>
      </c>
      <c r="P151">
        <v>89.47</v>
      </c>
      <c r="Q151">
        <v>47.23</v>
      </c>
      <c r="R151" s="21">
        <v>20718.878700000001</v>
      </c>
    </row>
    <row r="152" spans="7:18" x14ac:dyDescent="0.15">
      <c r="G152" s="11">
        <v>151</v>
      </c>
      <c r="H152" s="10" t="s">
        <v>507</v>
      </c>
      <c r="I152" t="s">
        <v>1121</v>
      </c>
      <c r="J152" t="s">
        <v>867</v>
      </c>
      <c r="K152">
        <v>5.12</v>
      </c>
      <c r="L152">
        <v>4.93</v>
      </c>
      <c r="M152">
        <v>10.15</v>
      </c>
      <c r="N152" s="20">
        <v>-0.28999999999999998</v>
      </c>
      <c r="O152">
        <v>78.66</v>
      </c>
      <c r="P152">
        <v>57.04</v>
      </c>
      <c r="Q152">
        <v>78.95</v>
      </c>
      <c r="R152" s="21">
        <v>8552.6798999999992</v>
      </c>
    </row>
    <row r="153" spans="7:18" x14ac:dyDescent="0.15">
      <c r="G153" s="11">
        <v>152</v>
      </c>
      <c r="H153" s="10" t="s">
        <v>545</v>
      </c>
      <c r="I153" t="s">
        <v>1175</v>
      </c>
      <c r="J153" t="s">
        <v>867</v>
      </c>
      <c r="K153">
        <v>6.75</v>
      </c>
      <c r="L153">
        <v>10.43</v>
      </c>
      <c r="M153">
        <v>18.82</v>
      </c>
      <c r="N153" s="20">
        <v>-7.0000000000000007E-2</v>
      </c>
      <c r="O153">
        <v>78.52</v>
      </c>
      <c r="P153">
        <v>89.05</v>
      </c>
      <c r="Q153">
        <v>46.66</v>
      </c>
      <c r="R153" s="21">
        <v>93497.589563300004</v>
      </c>
    </row>
    <row r="154" spans="7:18" x14ac:dyDescent="0.15">
      <c r="G154" s="11">
        <v>153</v>
      </c>
      <c r="H154" s="10" t="s">
        <v>583</v>
      </c>
      <c r="I154" t="s">
        <v>988</v>
      </c>
      <c r="J154" t="s">
        <v>867</v>
      </c>
      <c r="K154">
        <v>1.95</v>
      </c>
      <c r="L154">
        <v>3.69</v>
      </c>
      <c r="M154">
        <v>10.9</v>
      </c>
      <c r="N154" s="20">
        <v>-0.24</v>
      </c>
      <c r="O154">
        <v>78.38</v>
      </c>
      <c r="P154">
        <v>61.02</v>
      </c>
      <c r="Q154">
        <v>74.540000000000006</v>
      </c>
      <c r="R154" s="21">
        <v>2177.4407999999999</v>
      </c>
    </row>
    <row r="155" spans="7:18" x14ac:dyDescent="0.15">
      <c r="G155" s="11">
        <v>154</v>
      </c>
      <c r="H155" s="10" t="s">
        <v>529</v>
      </c>
      <c r="I155" t="s">
        <v>902</v>
      </c>
      <c r="J155" t="s">
        <v>867</v>
      </c>
      <c r="K155">
        <v>2.44</v>
      </c>
      <c r="L155">
        <v>2.68</v>
      </c>
      <c r="M155">
        <v>8.99</v>
      </c>
      <c r="N155" s="20">
        <v>-0.52</v>
      </c>
      <c r="O155">
        <v>78.239999999999995</v>
      </c>
      <c r="P155">
        <v>46.37</v>
      </c>
      <c r="Q155">
        <v>89.19</v>
      </c>
      <c r="R155" s="21">
        <v>505.95170000000002</v>
      </c>
    </row>
    <row r="156" spans="7:18" x14ac:dyDescent="0.15">
      <c r="G156" s="11">
        <v>155</v>
      </c>
      <c r="H156" s="10" t="s">
        <v>833</v>
      </c>
      <c r="I156" t="s">
        <v>834</v>
      </c>
      <c r="J156" t="s">
        <v>830</v>
      </c>
      <c r="K156">
        <v>0.46</v>
      </c>
      <c r="L156">
        <v>1.1200000000000001</v>
      </c>
      <c r="M156">
        <v>7.54</v>
      </c>
      <c r="N156" s="20">
        <v>-6.6</v>
      </c>
      <c r="O156">
        <v>78.09</v>
      </c>
      <c r="P156">
        <v>35.42</v>
      </c>
      <c r="Q156">
        <v>99.86</v>
      </c>
      <c r="R156" s="21">
        <v>139.7706</v>
      </c>
    </row>
    <row r="157" spans="7:18" x14ac:dyDescent="0.15">
      <c r="G157" s="11">
        <v>156</v>
      </c>
      <c r="H157" s="10" t="s">
        <v>620</v>
      </c>
      <c r="I157" t="s">
        <v>1127</v>
      </c>
      <c r="J157" t="s">
        <v>867</v>
      </c>
      <c r="K157">
        <v>3.54</v>
      </c>
      <c r="L157">
        <v>6.03</v>
      </c>
      <c r="M157">
        <v>14.44</v>
      </c>
      <c r="N157" s="20">
        <v>-0.12</v>
      </c>
      <c r="O157">
        <v>77.95</v>
      </c>
      <c r="P157">
        <v>77.95</v>
      </c>
      <c r="Q157">
        <v>57.18</v>
      </c>
      <c r="R157" s="21">
        <v>10708.0440841</v>
      </c>
    </row>
    <row r="158" spans="7:18" x14ac:dyDescent="0.15">
      <c r="G158" s="11">
        <v>157</v>
      </c>
      <c r="H158" s="10" t="s">
        <v>423</v>
      </c>
      <c r="I158" t="s">
        <v>1187</v>
      </c>
      <c r="J158" t="s">
        <v>1316</v>
      </c>
      <c r="K158">
        <v>10.45</v>
      </c>
      <c r="L158">
        <v>14.76</v>
      </c>
      <c r="M158">
        <v>33.93</v>
      </c>
      <c r="N158" s="20">
        <v>0</v>
      </c>
      <c r="O158">
        <v>77.81</v>
      </c>
      <c r="P158">
        <v>99.72</v>
      </c>
      <c r="Q158">
        <v>35.28</v>
      </c>
      <c r="R158" s="21">
        <v>1652.7647423000001</v>
      </c>
    </row>
    <row r="159" spans="7:18" x14ac:dyDescent="0.15">
      <c r="G159" s="11">
        <v>158</v>
      </c>
      <c r="H159" s="10" t="s">
        <v>584</v>
      </c>
      <c r="I159" t="s">
        <v>1056</v>
      </c>
      <c r="J159" t="s">
        <v>867</v>
      </c>
      <c r="K159">
        <v>2.2400000000000002</v>
      </c>
      <c r="L159">
        <v>5.1100000000000003</v>
      </c>
      <c r="M159">
        <v>11.23</v>
      </c>
      <c r="N159" s="20">
        <v>-0.22</v>
      </c>
      <c r="O159">
        <v>77.67</v>
      </c>
      <c r="P159">
        <v>62.87</v>
      </c>
      <c r="Q159">
        <v>71.83</v>
      </c>
      <c r="R159" s="21">
        <v>2915.7037999999998</v>
      </c>
    </row>
    <row r="160" spans="7:18" x14ac:dyDescent="0.15">
      <c r="G160" s="11">
        <v>159</v>
      </c>
      <c r="H160" s="10" t="s">
        <v>724</v>
      </c>
      <c r="I160" t="s">
        <v>910</v>
      </c>
      <c r="J160" t="s">
        <v>867</v>
      </c>
      <c r="K160">
        <v>2.2999999999999998</v>
      </c>
      <c r="L160">
        <v>3.72</v>
      </c>
      <c r="M160">
        <v>8.8000000000000007</v>
      </c>
      <c r="N160" s="20">
        <v>-0.49</v>
      </c>
      <c r="O160">
        <v>77.52</v>
      </c>
      <c r="P160">
        <v>45.95</v>
      </c>
      <c r="Q160">
        <v>87.62</v>
      </c>
      <c r="R160" s="21">
        <v>245.4796</v>
      </c>
    </row>
    <row r="161" spans="7:18" x14ac:dyDescent="0.15">
      <c r="G161" s="11">
        <v>160</v>
      </c>
      <c r="H161" s="10" t="s">
        <v>488</v>
      </c>
      <c r="I161" t="s">
        <v>1145</v>
      </c>
      <c r="J161" t="s">
        <v>867</v>
      </c>
      <c r="K161">
        <v>5.82</v>
      </c>
      <c r="L161">
        <v>10.62</v>
      </c>
      <c r="M161">
        <v>25.14</v>
      </c>
      <c r="N161" s="20">
        <v>0</v>
      </c>
      <c r="O161">
        <v>77.38</v>
      </c>
      <c r="P161">
        <v>96.59</v>
      </c>
      <c r="Q161">
        <v>36.700000000000003</v>
      </c>
      <c r="R161" s="21">
        <v>24198.8714</v>
      </c>
    </row>
    <row r="162" spans="7:18" x14ac:dyDescent="0.15">
      <c r="G162" s="11">
        <v>161</v>
      </c>
      <c r="H162" s="10" t="s">
        <v>1481</v>
      </c>
      <c r="I162" t="s">
        <v>1482</v>
      </c>
      <c r="J162" t="s">
        <v>1685</v>
      </c>
      <c r="K162">
        <v>0.81</v>
      </c>
      <c r="L162">
        <v>2.97</v>
      </c>
      <c r="M162">
        <v>11.37</v>
      </c>
      <c r="N162" s="20">
        <v>-0.21</v>
      </c>
      <c r="O162">
        <v>77.239999999999995</v>
      </c>
      <c r="P162">
        <v>63.73</v>
      </c>
      <c r="Q162">
        <v>69.56</v>
      </c>
      <c r="R162" s="21">
        <v>3464.0486000000001</v>
      </c>
    </row>
    <row r="163" spans="7:18" x14ac:dyDescent="0.15">
      <c r="G163" s="11">
        <v>162</v>
      </c>
      <c r="H163" s="10" t="s">
        <v>698</v>
      </c>
      <c r="I163" t="s">
        <v>1294</v>
      </c>
      <c r="J163" t="s">
        <v>1285</v>
      </c>
      <c r="K163">
        <v>3</v>
      </c>
      <c r="L163">
        <v>-1.33</v>
      </c>
      <c r="M163">
        <v>9.39</v>
      </c>
      <c r="N163" s="20">
        <v>-0.4</v>
      </c>
      <c r="O163">
        <v>77.099999999999994</v>
      </c>
      <c r="P163">
        <v>48.93</v>
      </c>
      <c r="Q163">
        <v>84.35</v>
      </c>
      <c r="R163" s="21">
        <v>184.87013000000002</v>
      </c>
    </row>
    <row r="164" spans="7:18" x14ac:dyDescent="0.15">
      <c r="G164" s="11">
        <v>163</v>
      </c>
      <c r="H164" s="10" t="s">
        <v>1597</v>
      </c>
      <c r="I164" t="s">
        <v>1598</v>
      </c>
      <c r="J164" t="s">
        <v>1685</v>
      </c>
      <c r="K164">
        <v>3.68</v>
      </c>
      <c r="L164">
        <v>0.93</v>
      </c>
      <c r="M164">
        <v>8.27</v>
      </c>
      <c r="N164" s="20">
        <v>-0.75</v>
      </c>
      <c r="O164">
        <v>76.959999999999994</v>
      </c>
      <c r="P164">
        <v>40.4</v>
      </c>
      <c r="Q164">
        <v>92.6</v>
      </c>
      <c r="R164" s="21">
        <v>1120.97919</v>
      </c>
    </row>
    <row r="165" spans="7:18" x14ac:dyDescent="0.15">
      <c r="G165" s="11">
        <v>164</v>
      </c>
      <c r="H165" s="10" t="s">
        <v>306</v>
      </c>
      <c r="I165" t="s">
        <v>851</v>
      </c>
      <c r="J165" t="s">
        <v>830</v>
      </c>
      <c r="K165">
        <v>1.89</v>
      </c>
      <c r="L165">
        <v>2.27</v>
      </c>
      <c r="M165">
        <v>7.4</v>
      </c>
      <c r="N165" s="20">
        <v>-2.0699999999999998</v>
      </c>
      <c r="O165">
        <v>76.81</v>
      </c>
      <c r="P165">
        <v>34.99</v>
      </c>
      <c r="Q165">
        <v>97.72</v>
      </c>
      <c r="R165" s="21">
        <v>116.75356059999999</v>
      </c>
    </row>
    <row r="166" spans="7:18" x14ac:dyDescent="0.15">
      <c r="G166" s="11">
        <v>165</v>
      </c>
      <c r="H166" s="10" t="s">
        <v>1369</v>
      </c>
      <c r="I166" t="s">
        <v>1370</v>
      </c>
      <c r="J166" t="s">
        <v>1685</v>
      </c>
      <c r="K166">
        <v>1.0900000000000001</v>
      </c>
      <c r="L166">
        <v>4.58</v>
      </c>
      <c r="M166">
        <v>15.06</v>
      </c>
      <c r="N166" s="20">
        <v>-0.1</v>
      </c>
      <c r="O166">
        <v>76.67</v>
      </c>
      <c r="P166">
        <v>80.23</v>
      </c>
      <c r="Q166">
        <v>52.35</v>
      </c>
      <c r="R166" s="21">
        <v>2132.8672204999998</v>
      </c>
    </row>
    <row r="167" spans="7:18" x14ac:dyDescent="0.15">
      <c r="G167" s="11">
        <v>166</v>
      </c>
      <c r="H167" s="10" t="s">
        <v>691</v>
      </c>
      <c r="I167" t="s">
        <v>1094</v>
      </c>
      <c r="J167" t="s">
        <v>867</v>
      </c>
      <c r="K167">
        <v>2.35</v>
      </c>
      <c r="L167">
        <v>4.26</v>
      </c>
      <c r="M167">
        <v>9.6300000000000008</v>
      </c>
      <c r="N167" s="20">
        <v>-0.34</v>
      </c>
      <c r="O167">
        <v>76.53</v>
      </c>
      <c r="P167">
        <v>50.92</v>
      </c>
      <c r="Q167">
        <v>81.650000000000006</v>
      </c>
      <c r="R167" s="21">
        <v>4869.4708000000001</v>
      </c>
    </row>
    <row r="168" spans="7:18" x14ac:dyDescent="0.15">
      <c r="G168" s="11">
        <v>167</v>
      </c>
      <c r="H168" s="10" t="s">
        <v>1571</v>
      </c>
      <c r="I168" t="s">
        <v>1572</v>
      </c>
      <c r="J168" t="s">
        <v>1685</v>
      </c>
      <c r="K168">
        <v>1.1000000000000001</v>
      </c>
      <c r="L168">
        <v>-0.18</v>
      </c>
      <c r="M168">
        <v>9.39</v>
      </c>
      <c r="N168" s="20">
        <v>-0.36</v>
      </c>
      <c r="O168">
        <v>76.39</v>
      </c>
      <c r="P168">
        <v>48.79</v>
      </c>
      <c r="Q168">
        <v>83.36</v>
      </c>
      <c r="R168" s="21">
        <v>560.57889999999998</v>
      </c>
    </row>
    <row r="169" spans="7:18" x14ac:dyDescent="0.15">
      <c r="G169" s="11">
        <v>168</v>
      </c>
      <c r="H169" s="10" t="s">
        <v>1525</v>
      </c>
      <c r="I169" t="s">
        <v>1526</v>
      </c>
      <c r="J169" t="s">
        <v>1685</v>
      </c>
      <c r="K169">
        <v>2.4300000000000002</v>
      </c>
      <c r="L169">
        <v>3.44</v>
      </c>
      <c r="M169">
        <v>8.73</v>
      </c>
      <c r="N169" s="20">
        <v>-0.47</v>
      </c>
      <c r="O169">
        <v>76.239999999999995</v>
      </c>
      <c r="P169">
        <v>44.95</v>
      </c>
      <c r="Q169">
        <v>86.91</v>
      </c>
      <c r="R169" s="21">
        <v>38.587150000000001</v>
      </c>
    </row>
    <row r="170" spans="7:18" x14ac:dyDescent="0.15">
      <c r="G170" s="11">
        <v>169</v>
      </c>
      <c r="H170" s="10" t="s">
        <v>392</v>
      </c>
      <c r="I170" t="s">
        <v>1028</v>
      </c>
      <c r="J170" t="s">
        <v>867</v>
      </c>
      <c r="K170">
        <v>5.31</v>
      </c>
      <c r="L170">
        <v>11.56</v>
      </c>
      <c r="M170">
        <v>29.5</v>
      </c>
      <c r="N170" s="20">
        <v>0</v>
      </c>
      <c r="O170">
        <v>76.099999999999994</v>
      </c>
      <c r="P170">
        <v>98.44</v>
      </c>
      <c r="Q170">
        <v>32.15</v>
      </c>
      <c r="R170" s="21">
        <v>4035.0518999999999</v>
      </c>
    </row>
    <row r="171" spans="7:18" x14ac:dyDescent="0.15">
      <c r="G171" s="11">
        <v>170</v>
      </c>
      <c r="H171" s="10" t="s">
        <v>495</v>
      </c>
      <c r="I171" t="s">
        <v>931</v>
      </c>
      <c r="J171" t="s">
        <v>867</v>
      </c>
      <c r="K171">
        <v>2.0299999999999998</v>
      </c>
      <c r="L171">
        <v>4.71</v>
      </c>
      <c r="M171">
        <v>9.58</v>
      </c>
      <c r="N171" s="20">
        <v>-0.3</v>
      </c>
      <c r="O171">
        <v>75.959999999999994</v>
      </c>
      <c r="P171">
        <v>50.21</v>
      </c>
      <c r="Q171">
        <v>80.23</v>
      </c>
      <c r="R171" s="21">
        <v>687.77539999999999</v>
      </c>
    </row>
    <row r="172" spans="7:18" x14ac:dyDescent="0.15">
      <c r="G172" s="11">
        <v>171</v>
      </c>
      <c r="H172" s="10" t="s">
        <v>738</v>
      </c>
      <c r="I172" t="s">
        <v>1268</v>
      </c>
      <c r="J172" t="s">
        <v>1248</v>
      </c>
      <c r="K172">
        <v>4.3099999999999996</v>
      </c>
      <c r="L172">
        <v>8.7200000000000006</v>
      </c>
      <c r="M172">
        <v>12.66</v>
      </c>
      <c r="N172" s="20">
        <v>-0.14000000000000001</v>
      </c>
      <c r="O172">
        <v>75.819999999999993</v>
      </c>
      <c r="P172">
        <v>69.56</v>
      </c>
      <c r="Q172">
        <v>60.31</v>
      </c>
      <c r="R172" s="21">
        <v>668.96130959999994</v>
      </c>
    </row>
    <row r="173" spans="7:18" x14ac:dyDescent="0.15">
      <c r="G173" s="11">
        <v>172</v>
      </c>
      <c r="H173" s="10" t="s">
        <v>1274</v>
      </c>
      <c r="I173" t="s">
        <v>1275</v>
      </c>
      <c r="J173" t="s">
        <v>867</v>
      </c>
      <c r="K173">
        <v>2.95</v>
      </c>
      <c r="L173">
        <v>2.58</v>
      </c>
      <c r="M173">
        <v>9.93</v>
      </c>
      <c r="N173" s="20">
        <v>-0.25</v>
      </c>
      <c r="O173">
        <v>75.680000000000007</v>
      </c>
      <c r="P173">
        <v>54.05</v>
      </c>
      <c r="Q173">
        <v>75.819999999999993</v>
      </c>
      <c r="R173" s="21">
        <v>296.27670000000001</v>
      </c>
    </row>
    <row r="174" spans="7:18" x14ac:dyDescent="0.15">
      <c r="G174" s="11">
        <v>173</v>
      </c>
      <c r="H174" s="10" t="s">
        <v>631</v>
      </c>
      <c r="I174" t="s">
        <v>966</v>
      </c>
      <c r="J174" t="s">
        <v>867</v>
      </c>
      <c r="K174">
        <v>1.96</v>
      </c>
      <c r="L174">
        <v>4.3499999999999996</v>
      </c>
      <c r="M174">
        <v>11.85</v>
      </c>
      <c r="N174" s="20">
        <v>-0.16</v>
      </c>
      <c r="O174">
        <v>75.53</v>
      </c>
      <c r="P174">
        <v>65.58</v>
      </c>
      <c r="Q174">
        <v>64.150000000000006</v>
      </c>
      <c r="R174" s="21">
        <v>600.43492000000003</v>
      </c>
    </row>
    <row r="175" spans="7:18" x14ac:dyDescent="0.15">
      <c r="G175" s="11">
        <v>174</v>
      </c>
      <c r="H175" s="10" t="s">
        <v>1567</v>
      </c>
      <c r="I175" t="s">
        <v>1568</v>
      </c>
      <c r="J175" t="s">
        <v>1685</v>
      </c>
      <c r="K175">
        <v>1.59</v>
      </c>
      <c r="L175">
        <v>0.09</v>
      </c>
      <c r="M175">
        <v>13.19</v>
      </c>
      <c r="N175" s="20">
        <v>-0.12</v>
      </c>
      <c r="O175">
        <v>75.39</v>
      </c>
      <c r="P175">
        <v>73.12</v>
      </c>
      <c r="Q175">
        <v>56.47</v>
      </c>
      <c r="R175" s="21">
        <v>1743.4340999999999</v>
      </c>
    </row>
    <row r="176" spans="7:18" x14ac:dyDescent="0.15">
      <c r="G176" s="11">
        <v>175</v>
      </c>
      <c r="H176" s="10" t="s">
        <v>688</v>
      </c>
      <c r="I176" t="s">
        <v>896</v>
      </c>
      <c r="J176" t="s">
        <v>867</v>
      </c>
      <c r="K176">
        <v>2.4300000000000002</v>
      </c>
      <c r="L176">
        <v>4.32</v>
      </c>
      <c r="M176">
        <v>9.7100000000000009</v>
      </c>
      <c r="N176" s="20">
        <v>-0.28000000000000003</v>
      </c>
      <c r="O176">
        <v>75.25</v>
      </c>
      <c r="P176">
        <v>51.92</v>
      </c>
      <c r="Q176">
        <v>77.52</v>
      </c>
      <c r="R176" s="21">
        <v>193.5487239</v>
      </c>
    </row>
    <row r="177" spans="7:18" x14ac:dyDescent="0.15">
      <c r="G177" s="11">
        <v>176</v>
      </c>
      <c r="H177" s="10" t="s">
        <v>755</v>
      </c>
      <c r="I177" t="s">
        <v>1170</v>
      </c>
      <c r="J177" t="s">
        <v>1285</v>
      </c>
      <c r="K177">
        <v>2.69</v>
      </c>
      <c r="L177">
        <v>-1.27</v>
      </c>
      <c r="M177">
        <v>9.08</v>
      </c>
      <c r="N177" s="20">
        <v>-0.35</v>
      </c>
      <c r="O177">
        <v>75.11</v>
      </c>
      <c r="P177">
        <v>47.08</v>
      </c>
      <c r="Q177">
        <v>82.36</v>
      </c>
      <c r="R177" s="21">
        <v>31671.341700000001</v>
      </c>
    </row>
    <row r="178" spans="7:18" x14ac:dyDescent="0.15">
      <c r="G178" s="11">
        <v>177</v>
      </c>
      <c r="H178" s="10" t="s">
        <v>755</v>
      </c>
      <c r="I178" t="s">
        <v>1170</v>
      </c>
      <c r="J178" t="s">
        <v>867</v>
      </c>
      <c r="K178">
        <v>2.69</v>
      </c>
      <c r="L178">
        <v>-1.27</v>
      </c>
      <c r="M178">
        <v>9.08</v>
      </c>
      <c r="N178" s="20">
        <v>-0.35</v>
      </c>
      <c r="O178">
        <v>74.959999999999994</v>
      </c>
      <c r="P178">
        <v>46.94</v>
      </c>
      <c r="Q178">
        <v>82.5</v>
      </c>
      <c r="R178" s="21">
        <v>31671.341700000001</v>
      </c>
    </row>
    <row r="179" spans="7:18" x14ac:dyDescent="0.15">
      <c r="G179" s="11">
        <v>178</v>
      </c>
      <c r="H179" s="10" t="s">
        <v>447</v>
      </c>
      <c r="I179" t="s">
        <v>1150</v>
      </c>
      <c r="J179" t="s">
        <v>867</v>
      </c>
      <c r="K179">
        <v>2.27</v>
      </c>
      <c r="L179">
        <v>5.57</v>
      </c>
      <c r="M179">
        <v>11.01</v>
      </c>
      <c r="N179" s="20">
        <v>-0.2</v>
      </c>
      <c r="O179">
        <v>74.819999999999993</v>
      </c>
      <c r="P179">
        <v>61.45</v>
      </c>
      <c r="Q179">
        <v>67.849999999999994</v>
      </c>
      <c r="R179" s="21">
        <v>28364.488000000001</v>
      </c>
    </row>
    <row r="180" spans="7:18" x14ac:dyDescent="0.15">
      <c r="G180" s="11">
        <v>179</v>
      </c>
      <c r="H180" s="10" t="s">
        <v>458</v>
      </c>
      <c r="I180" t="s">
        <v>1168</v>
      </c>
      <c r="J180" t="s">
        <v>867</v>
      </c>
      <c r="K180">
        <v>8.3000000000000007</v>
      </c>
      <c r="L180">
        <v>14.64</v>
      </c>
      <c r="M180">
        <v>28.07</v>
      </c>
      <c r="N180" s="20">
        <v>0</v>
      </c>
      <c r="O180">
        <v>74.680000000000007</v>
      </c>
      <c r="P180">
        <v>98.01</v>
      </c>
      <c r="Q180">
        <v>31.15</v>
      </c>
      <c r="R180" s="21">
        <v>65795.107699999993</v>
      </c>
    </row>
    <row r="181" spans="7:18" x14ac:dyDescent="0.15">
      <c r="G181" s="11">
        <v>180</v>
      </c>
      <c r="H181" s="10" t="s">
        <v>571</v>
      </c>
      <c r="I181" t="s">
        <v>1147</v>
      </c>
      <c r="J181" t="s">
        <v>867</v>
      </c>
      <c r="K181">
        <v>0.94</v>
      </c>
      <c r="L181">
        <v>-0.08</v>
      </c>
      <c r="M181">
        <v>9.77</v>
      </c>
      <c r="N181" s="20">
        <v>-0.26</v>
      </c>
      <c r="O181">
        <v>74.540000000000006</v>
      </c>
      <c r="P181">
        <v>52.49</v>
      </c>
      <c r="Q181">
        <v>76.39</v>
      </c>
      <c r="R181" s="21">
        <v>25689.0769</v>
      </c>
    </row>
    <row r="182" spans="7:18" x14ac:dyDescent="0.15">
      <c r="G182" s="11">
        <v>181</v>
      </c>
      <c r="H182" s="10" t="s">
        <v>568</v>
      </c>
      <c r="I182" t="s">
        <v>951</v>
      </c>
      <c r="J182" t="s">
        <v>867</v>
      </c>
      <c r="K182">
        <v>2.37</v>
      </c>
      <c r="L182">
        <v>1.91</v>
      </c>
      <c r="M182">
        <v>8.2799999999999994</v>
      </c>
      <c r="N182" s="20">
        <v>-0.5</v>
      </c>
      <c r="O182">
        <v>74.400000000000006</v>
      </c>
      <c r="P182">
        <v>40.54</v>
      </c>
      <c r="Q182">
        <v>88.34</v>
      </c>
      <c r="R182" s="21">
        <v>807.84400000000005</v>
      </c>
    </row>
    <row r="183" spans="7:18" x14ac:dyDescent="0.15">
      <c r="G183" s="11">
        <v>182</v>
      </c>
      <c r="H183" s="10" t="s">
        <v>541</v>
      </c>
      <c r="I183" t="s">
        <v>925</v>
      </c>
      <c r="J183" t="s">
        <v>867</v>
      </c>
      <c r="K183">
        <v>4.18</v>
      </c>
      <c r="L183">
        <v>7.5</v>
      </c>
      <c r="M183">
        <v>15.04</v>
      </c>
      <c r="N183" s="20">
        <v>-0.08</v>
      </c>
      <c r="O183">
        <v>74.25</v>
      </c>
      <c r="P183">
        <v>80.09</v>
      </c>
      <c r="Q183">
        <v>48.36</v>
      </c>
      <c r="R183" s="21">
        <v>355.92371000000003</v>
      </c>
    </row>
    <row r="184" spans="7:18" x14ac:dyDescent="0.15">
      <c r="G184" s="11">
        <v>183</v>
      </c>
      <c r="H184" s="10" t="s">
        <v>1477</v>
      </c>
      <c r="I184" t="s">
        <v>1478</v>
      </c>
      <c r="J184" t="s">
        <v>1685</v>
      </c>
      <c r="K184">
        <v>1.64</v>
      </c>
      <c r="L184">
        <v>4.54</v>
      </c>
      <c r="M184">
        <v>10.08</v>
      </c>
      <c r="N184" s="20">
        <v>-0.22</v>
      </c>
      <c r="O184">
        <v>74.11</v>
      </c>
      <c r="P184">
        <v>56.19</v>
      </c>
      <c r="Q184">
        <v>72.12</v>
      </c>
      <c r="R184" s="21">
        <v>24.887729999999998</v>
      </c>
    </row>
    <row r="185" spans="7:18" x14ac:dyDescent="0.15">
      <c r="G185" s="11">
        <v>184</v>
      </c>
      <c r="H185" s="10" t="s">
        <v>1276</v>
      </c>
      <c r="I185" t="s">
        <v>1277</v>
      </c>
      <c r="J185" t="s">
        <v>867</v>
      </c>
      <c r="K185">
        <v>2.37</v>
      </c>
      <c r="L185">
        <v>1.83</v>
      </c>
      <c r="M185">
        <v>8.16</v>
      </c>
      <c r="N185" s="20">
        <v>-0.5</v>
      </c>
      <c r="O185">
        <v>73.97</v>
      </c>
      <c r="P185">
        <v>39.4</v>
      </c>
      <c r="Q185">
        <v>88.76</v>
      </c>
      <c r="R185" s="21">
        <v>662.38819999999998</v>
      </c>
    </row>
    <row r="186" spans="7:18" x14ac:dyDescent="0.15">
      <c r="G186" s="11">
        <v>185</v>
      </c>
      <c r="H186" s="10" t="s">
        <v>556</v>
      </c>
      <c r="I186" t="s">
        <v>1126</v>
      </c>
      <c r="J186" t="s">
        <v>867</v>
      </c>
      <c r="K186">
        <v>2.31</v>
      </c>
      <c r="L186">
        <v>4.32</v>
      </c>
      <c r="M186">
        <v>12.58</v>
      </c>
      <c r="N186" s="20">
        <v>-0.13</v>
      </c>
      <c r="O186">
        <v>73.83</v>
      </c>
      <c r="P186">
        <v>68.849999999999994</v>
      </c>
      <c r="Q186">
        <v>58.89</v>
      </c>
      <c r="R186" s="21">
        <v>12833.1448</v>
      </c>
    </row>
    <row r="187" spans="7:18" x14ac:dyDescent="0.15">
      <c r="G187" s="11">
        <v>186</v>
      </c>
      <c r="H187" s="10" t="s">
        <v>673</v>
      </c>
      <c r="I187" t="s">
        <v>1045</v>
      </c>
      <c r="J187" t="s">
        <v>867</v>
      </c>
      <c r="K187">
        <v>1.9</v>
      </c>
      <c r="L187">
        <v>3.67</v>
      </c>
      <c r="M187">
        <v>10.71</v>
      </c>
      <c r="N187" s="20">
        <v>-0.19</v>
      </c>
      <c r="O187">
        <v>73.680000000000007</v>
      </c>
      <c r="P187">
        <v>59.89</v>
      </c>
      <c r="Q187">
        <v>67.569999999999993</v>
      </c>
      <c r="R187" s="21">
        <v>2355.4668999999999</v>
      </c>
    </row>
    <row r="188" spans="7:18" x14ac:dyDescent="0.15">
      <c r="G188" s="11">
        <v>187</v>
      </c>
      <c r="H188" s="10" t="s">
        <v>562</v>
      </c>
      <c r="I188" t="s">
        <v>1296</v>
      </c>
      <c r="J188" t="s">
        <v>1285</v>
      </c>
      <c r="K188">
        <v>3.48</v>
      </c>
      <c r="L188">
        <v>0.23</v>
      </c>
      <c r="M188">
        <v>8.19</v>
      </c>
      <c r="N188" s="20">
        <v>-0.47</v>
      </c>
      <c r="O188">
        <v>73.540000000000006</v>
      </c>
      <c r="P188">
        <v>39.97</v>
      </c>
      <c r="Q188">
        <v>87.2</v>
      </c>
      <c r="R188" s="21">
        <v>472.416</v>
      </c>
    </row>
    <row r="189" spans="7:18" x14ac:dyDescent="0.15">
      <c r="G189" s="11">
        <v>188</v>
      </c>
      <c r="H189" s="10" t="s">
        <v>694</v>
      </c>
      <c r="I189" t="s">
        <v>1049</v>
      </c>
      <c r="J189" t="s">
        <v>867</v>
      </c>
      <c r="K189">
        <v>0.86</v>
      </c>
      <c r="L189">
        <v>5.98</v>
      </c>
      <c r="M189">
        <v>12.92</v>
      </c>
      <c r="N189" s="20">
        <v>-0.11</v>
      </c>
      <c r="O189">
        <v>73.400000000000006</v>
      </c>
      <c r="P189">
        <v>71.55</v>
      </c>
      <c r="Q189">
        <v>55.48</v>
      </c>
      <c r="R189" s="21">
        <v>1466.7706000000001</v>
      </c>
    </row>
    <row r="190" spans="7:18" x14ac:dyDescent="0.15">
      <c r="G190" s="11">
        <v>189</v>
      </c>
      <c r="H190" s="10" t="s">
        <v>1382</v>
      </c>
      <c r="I190" t="s">
        <v>1383</v>
      </c>
      <c r="J190" t="s">
        <v>1685</v>
      </c>
      <c r="K190">
        <v>1.22</v>
      </c>
      <c r="L190">
        <v>6.14</v>
      </c>
      <c r="M190">
        <v>13.25</v>
      </c>
      <c r="N190" s="20">
        <v>-0.11</v>
      </c>
      <c r="O190">
        <v>73.260000000000005</v>
      </c>
      <c r="P190">
        <v>73.540000000000006</v>
      </c>
      <c r="Q190">
        <v>53.34</v>
      </c>
      <c r="R190" s="21">
        <v>3228.3168000000001</v>
      </c>
    </row>
    <row r="191" spans="7:18" x14ac:dyDescent="0.15">
      <c r="G191" s="11">
        <v>190</v>
      </c>
      <c r="H191" s="10" t="s">
        <v>562</v>
      </c>
      <c r="I191" t="s">
        <v>1004</v>
      </c>
      <c r="J191" t="s">
        <v>867</v>
      </c>
      <c r="K191">
        <v>3.48</v>
      </c>
      <c r="L191">
        <v>0.23</v>
      </c>
      <c r="M191">
        <v>8.19</v>
      </c>
      <c r="N191" s="20">
        <v>-0.47</v>
      </c>
      <c r="O191">
        <v>73.12</v>
      </c>
      <c r="P191">
        <v>39.69</v>
      </c>
      <c r="Q191">
        <v>87.06</v>
      </c>
      <c r="R191" s="21">
        <v>472.416</v>
      </c>
    </row>
    <row r="192" spans="7:18" x14ac:dyDescent="0.15">
      <c r="G192" s="11">
        <v>191</v>
      </c>
      <c r="H192" s="10" t="s">
        <v>1628</v>
      </c>
      <c r="I192" t="s">
        <v>1629</v>
      </c>
      <c r="J192" t="s">
        <v>1685</v>
      </c>
      <c r="K192">
        <v>2.25</v>
      </c>
      <c r="L192">
        <v>3.64</v>
      </c>
      <c r="M192">
        <v>9.8699999999999992</v>
      </c>
      <c r="N192" s="20">
        <v>-0.23</v>
      </c>
      <c r="O192">
        <v>72.97</v>
      </c>
      <c r="P192">
        <v>53.49</v>
      </c>
      <c r="Q192">
        <v>72.83</v>
      </c>
      <c r="R192" s="21">
        <v>733.05409999999995</v>
      </c>
    </row>
    <row r="193" spans="7:18" x14ac:dyDescent="0.15">
      <c r="G193" s="11">
        <v>192</v>
      </c>
      <c r="H193" s="10" t="s">
        <v>1361</v>
      </c>
      <c r="I193" t="s">
        <v>1362</v>
      </c>
      <c r="J193" t="s">
        <v>1685</v>
      </c>
      <c r="K193">
        <v>1.1200000000000001</v>
      </c>
      <c r="L193">
        <v>5.25</v>
      </c>
      <c r="M193">
        <v>9.33</v>
      </c>
      <c r="N193" s="20">
        <v>-0.28999999999999998</v>
      </c>
      <c r="O193">
        <v>72.83</v>
      </c>
      <c r="P193">
        <v>47.94</v>
      </c>
      <c r="Q193">
        <v>78.38</v>
      </c>
      <c r="R193" s="21">
        <v>516.8635491</v>
      </c>
    </row>
    <row r="194" spans="7:18" x14ac:dyDescent="0.15">
      <c r="G194" s="11">
        <v>193</v>
      </c>
      <c r="H194" s="10" t="s">
        <v>1464</v>
      </c>
      <c r="I194" t="s">
        <v>1465</v>
      </c>
      <c r="J194" t="s">
        <v>1685</v>
      </c>
      <c r="K194">
        <v>2.38</v>
      </c>
      <c r="L194">
        <v>3.81</v>
      </c>
      <c r="M194">
        <v>8.85</v>
      </c>
      <c r="N194" s="20">
        <v>-0.3</v>
      </c>
      <c r="O194">
        <v>72.69</v>
      </c>
      <c r="P194">
        <v>46.09</v>
      </c>
      <c r="Q194">
        <v>79.52</v>
      </c>
      <c r="R194" s="21">
        <v>1330.1820905</v>
      </c>
    </row>
    <row r="195" spans="7:18" x14ac:dyDescent="0.15">
      <c r="G195" s="11">
        <v>194</v>
      </c>
      <c r="H195" s="10" t="s">
        <v>670</v>
      </c>
      <c r="I195" t="s">
        <v>1047</v>
      </c>
      <c r="J195" t="s">
        <v>867</v>
      </c>
      <c r="K195">
        <v>2.38</v>
      </c>
      <c r="L195">
        <v>4.28</v>
      </c>
      <c r="M195">
        <v>9.6300000000000008</v>
      </c>
      <c r="N195" s="20">
        <v>-0.24</v>
      </c>
      <c r="O195">
        <v>72.55</v>
      </c>
      <c r="P195">
        <v>50.64</v>
      </c>
      <c r="Q195">
        <v>74.819999999999993</v>
      </c>
      <c r="R195" s="21">
        <v>1332.8361</v>
      </c>
    </row>
    <row r="196" spans="7:18" x14ac:dyDescent="0.15">
      <c r="G196" s="11">
        <v>195</v>
      </c>
      <c r="H196" s="10" t="s">
        <v>1479</v>
      </c>
      <c r="I196" t="s">
        <v>1480</v>
      </c>
      <c r="J196" t="s">
        <v>1685</v>
      </c>
      <c r="K196">
        <v>0.72</v>
      </c>
      <c r="L196">
        <v>2.5</v>
      </c>
      <c r="M196">
        <v>7.55</v>
      </c>
      <c r="N196" s="20">
        <v>-0.52</v>
      </c>
      <c r="O196">
        <v>72.400000000000006</v>
      </c>
      <c r="P196">
        <v>35.56</v>
      </c>
      <c r="Q196">
        <v>89.33</v>
      </c>
      <c r="R196" s="21">
        <v>3.4851000000000001</v>
      </c>
    </row>
    <row r="197" spans="7:18" x14ac:dyDescent="0.15">
      <c r="G197" s="11">
        <v>196</v>
      </c>
      <c r="H197" s="10" t="s">
        <v>663</v>
      </c>
      <c r="I197" t="s">
        <v>1169</v>
      </c>
      <c r="J197" t="s">
        <v>867</v>
      </c>
      <c r="K197">
        <v>2.9</v>
      </c>
      <c r="L197">
        <v>4.45</v>
      </c>
      <c r="M197">
        <v>12.79</v>
      </c>
      <c r="N197" s="20">
        <v>-0.11</v>
      </c>
      <c r="O197">
        <v>72.260000000000005</v>
      </c>
      <c r="P197">
        <v>70.55</v>
      </c>
      <c r="Q197">
        <v>53.91</v>
      </c>
      <c r="R197" s="21">
        <v>84367.189799999993</v>
      </c>
    </row>
    <row r="198" spans="7:18" x14ac:dyDescent="0.15">
      <c r="G198" s="11">
        <v>197</v>
      </c>
      <c r="H198" s="10" t="s">
        <v>526</v>
      </c>
      <c r="I198" t="s">
        <v>897</v>
      </c>
      <c r="J198" t="s">
        <v>867</v>
      </c>
      <c r="K198">
        <v>2.46</v>
      </c>
      <c r="L198">
        <v>5.35</v>
      </c>
      <c r="M198">
        <v>11.64</v>
      </c>
      <c r="N198" s="20">
        <v>-0.13</v>
      </c>
      <c r="O198">
        <v>72.12</v>
      </c>
      <c r="P198">
        <v>64.44</v>
      </c>
      <c r="Q198">
        <v>59.46</v>
      </c>
      <c r="R198" s="21">
        <v>412.23970000000003</v>
      </c>
    </row>
    <row r="199" spans="7:18" x14ac:dyDescent="0.15">
      <c r="G199" s="11">
        <v>198</v>
      </c>
      <c r="H199" s="10" t="s">
        <v>729</v>
      </c>
      <c r="I199" t="s">
        <v>1007</v>
      </c>
      <c r="J199" t="s">
        <v>867</v>
      </c>
      <c r="K199">
        <v>1.17</v>
      </c>
      <c r="L199">
        <v>7.01</v>
      </c>
      <c r="M199">
        <v>12.85</v>
      </c>
      <c r="N199" s="20">
        <v>-0.1</v>
      </c>
      <c r="O199">
        <v>71.98</v>
      </c>
      <c r="P199">
        <v>70.98</v>
      </c>
      <c r="Q199">
        <v>52.77</v>
      </c>
      <c r="R199" s="21">
        <v>1104.8469300000002</v>
      </c>
    </row>
    <row r="200" spans="7:18" x14ac:dyDescent="0.15">
      <c r="G200" s="11">
        <v>199</v>
      </c>
      <c r="H200" s="10" t="s">
        <v>581</v>
      </c>
      <c r="I200" t="s">
        <v>1171</v>
      </c>
      <c r="J200" t="s">
        <v>867</v>
      </c>
      <c r="K200">
        <v>2.89</v>
      </c>
      <c r="L200">
        <v>4.4400000000000004</v>
      </c>
      <c r="M200">
        <v>12.79</v>
      </c>
      <c r="N200" s="20">
        <v>-0.11</v>
      </c>
      <c r="O200">
        <v>71.83</v>
      </c>
      <c r="P200">
        <v>70.41</v>
      </c>
      <c r="Q200">
        <v>53.2</v>
      </c>
      <c r="R200" s="21">
        <v>124960.75723420001</v>
      </c>
    </row>
    <row r="201" spans="7:18" x14ac:dyDescent="0.15">
      <c r="G201" s="11">
        <v>200</v>
      </c>
      <c r="H201" s="10" t="s">
        <v>737</v>
      </c>
      <c r="I201" t="s">
        <v>875</v>
      </c>
      <c r="J201" t="s">
        <v>867</v>
      </c>
      <c r="K201">
        <v>1.57</v>
      </c>
      <c r="L201">
        <v>3.41</v>
      </c>
      <c r="M201">
        <v>6.32</v>
      </c>
      <c r="N201" s="20">
        <v>-0.82</v>
      </c>
      <c r="O201">
        <v>71.69</v>
      </c>
      <c r="P201">
        <v>30.01</v>
      </c>
      <c r="Q201">
        <v>93.6</v>
      </c>
      <c r="R201" s="21">
        <v>30.238459999999996</v>
      </c>
    </row>
    <row r="202" spans="7:18" x14ac:dyDescent="0.15">
      <c r="G202" s="11">
        <v>201</v>
      </c>
      <c r="H202" s="10" t="s">
        <v>1509</v>
      </c>
      <c r="I202" t="s">
        <v>1510</v>
      </c>
      <c r="J202" t="s">
        <v>1685</v>
      </c>
      <c r="K202">
        <v>1.97</v>
      </c>
      <c r="L202">
        <v>3.96</v>
      </c>
      <c r="M202">
        <v>11.18</v>
      </c>
      <c r="N202" s="20">
        <v>-0.15</v>
      </c>
      <c r="O202">
        <v>71.55</v>
      </c>
      <c r="P202">
        <v>62.3</v>
      </c>
      <c r="Q202">
        <v>61.17</v>
      </c>
      <c r="R202" s="21">
        <v>258.53109999999998</v>
      </c>
    </row>
    <row r="203" spans="7:18" x14ac:dyDescent="0.15">
      <c r="G203" s="11">
        <v>202</v>
      </c>
      <c r="H203" s="10" t="s">
        <v>1485</v>
      </c>
      <c r="I203" t="s">
        <v>1486</v>
      </c>
      <c r="J203" t="s">
        <v>1685</v>
      </c>
      <c r="K203">
        <v>7.32</v>
      </c>
      <c r="L203">
        <v>12.76</v>
      </c>
      <c r="M203">
        <v>23.16</v>
      </c>
      <c r="N203" s="20">
        <v>0</v>
      </c>
      <c r="O203">
        <v>71.41</v>
      </c>
      <c r="P203">
        <v>95.16</v>
      </c>
      <c r="Q203">
        <v>28.31</v>
      </c>
      <c r="R203" s="21">
        <v>1477.44911</v>
      </c>
    </row>
    <row r="204" spans="7:18" x14ac:dyDescent="0.15">
      <c r="G204" s="11">
        <v>203</v>
      </c>
      <c r="H204" s="10" t="s">
        <v>668</v>
      </c>
      <c r="I204" t="s">
        <v>1621</v>
      </c>
      <c r="J204" t="s">
        <v>1685</v>
      </c>
      <c r="K204">
        <v>4.6900000000000004</v>
      </c>
      <c r="L204">
        <v>0.03</v>
      </c>
      <c r="M204">
        <v>20.68</v>
      </c>
      <c r="N204" s="20">
        <v>0</v>
      </c>
      <c r="O204">
        <v>71.27</v>
      </c>
      <c r="P204">
        <v>92.03</v>
      </c>
      <c r="Q204">
        <v>31.29</v>
      </c>
      <c r="R204" s="21">
        <v>4546.6567740999999</v>
      </c>
    </row>
    <row r="205" spans="7:18" x14ac:dyDescent="0.15">
      <c r="G205" s="11">
        <v>204</v>
      </c>
      <c r="H205" s="10" t="s">
        <v>580</v>
      </c>
      <c r="I205" t="s">
        <v>1012</v>
      </c>
      <c r="J205" t="s">
        <v>867</v>
      </c>
      <c r="K205">
        <v>6.04</v>
      </c>
      <c r="L205">
        <v>9.84</v>
      </c>
      <c r="M205">
        <v>21.88</v>
      </c>
      <c r="N205" s="20">
        <v>0</v>
      </c>
      <c r="O205">
        <v>71.12</v>
      </c>
      <c r="P205">
        <v>93.74</v>
      </c>
      <c r="Q205">
        <v>29.45</v>
      </c>
      <c r="R205" s="21">
        <v>1036.8228463999999</v>
      </c>
    </row>
    <row r="206" spans="7:18" x14ac:dyDescent="0.15">
      <c r="G206" s="11">
        <v>205</v>
      </c>
      <c r="H206" s="10" t="s">
        <v>1489</v>
      </c>
      <c r="I206" t="s">
        <v>1490</v>
      </c>
      <c r="J206" t="s">
        <v>1685</v>
      </c>
      <c r="K206">
        <v>8.19</v>
      </c>
      <c r="L206">
        <v>15.22</v>
      </c>
      <c r="M206">
        <v>34.369999999999997</v>
      </c>
      <c r="N206" s="20">
        <v>0.09</v>
      </c>
      <c r="O206">
        <v>70.98</v>
      </c>
      <c r="P206">
        <v>99.86</v>
      </c>
      <c r="Q206">
        <v>23.19</v>
      </c>
      <c r="R206" s="21">
        <v>676.68497909999996</v>
      </c>
    </row>
    <row r="207" spans="7:18" x14ac:dyDescent="0.15">
      <c r="G207" s="11">
        <v>206</v>
      </c>
      <c r="H207" s="10" t="s">
        <v>1585</v>
      </c>
      <c r="I207" t="s">
        <v>1586</v>
      </c>
      <c r="J207" t="s">
        <v>1685</v>
      </c>
      <c r="K207">
        <v>6.12</v>
      </c>
      <c r="L207">
        <v>6.55</v>
      </c>
      <c r="M207">
        <v>18.97</v>
      </c>
      <c r="N207" s="20">
        <v>0</v>
      </c>
      <c r="O207">
        <v>70.84</v>
      </c>
      <c r="P207">
        <v>89.33</v>
      </c>
      <c r="Q207">
        <v>33.71</v>
      </c>
      <c r="R207" s="21">
        <v>1204.7192791999998</v>
      </c>
    </row>
    <row r="208" spans="7:18" x14ac:dyDescent="0.15">
      <c r="G208" s="11">
        <v>207</v>
      </c>
      <c r="H208" s="10" t="s">
        <v>536</v>
      </c>
      <c r="I208" t="s">
        <v>1019</v>
      </c>
      <c r="J208" t="s">
        <v>867</v>
      </c>
      <c r="K208">
        <v>2.16</v>
      </c>
      <c r="L208">
        <v>5.12</v>
      </c>
      <c r="M208">
        <v>14.68</v>
      </c>
      <c r="N208" s="20">
        <v>0</v>
      </c>
      <c r="O208">
        <v>70.7</v>
      </c>
      <c r="P208">
        <v>78.95</v>
      </c>
      <c r="Q208">
        <v>43.81</v>
      </c>
      <c r="R208" s="21">
        <v>1953.8143502</v>
      </c>
    </row>
    <row r="209" spans="7:18" x14ac:dyDescent="0.15">
      <c r="G209" s="11">
        <v>208</v>
      </c>
      <c r="H209" s="10" t="s">
        <v>1555</v>
      </c>
      <c r="I209" t="s">
        <v>1556</v>
      </c>
      <c r="J209" t="s">
        <v>1685</v>
      </c>
      <c r="K209">
        <v>0.42</v>
      </c>
      <c r="L209">
        <v>1.35</v>
      </c>
      <c r="M209">
        <v>8.44</v>
      </c>
      <c r="N209" s="20">
        <v>-0.32</v>
      </c>
      <c r="O209">
        <v>70.55</v>
      </c>
      <c r="P209">
        <v>41.68</v>
      </c>
      <c r="Q209">
        <v>80.650000000000006</v>
      </c>
      <c r="R209" s="21">
        <v>424.53892479999996</v>
      </c>
    </row>
    <row r="210" spans="7:18" x14ac:dyDescent="0.15">
      <c r="G210" s="11">
        <v>209</v>
      </c>
      <c r="H210" s="10" t="s">
        <v>470</v>
      </c>
      <c r="I210" t="s">
        <v>1089</v>
      </c>
      <c r="J210" t="s">
        <v>867</v>
      </c>
      <c r="K210">
        <v>5.12</v>
      </c>
      <c r="L210">
        <v>4.78</v>
      </c>
      <c r="M210">
        <v>10.119999999999999</v>
      </c>
      <c r="N210" s="20">
        <v>-0.17</v>
      </c>
      <c r="O210">
        <v>70.41</v>
      </c>
      <c r="P210">
        <v>56.47</v>
      </c>
      <c r="Q210">
        <v>65.72</v>
      </c>
      <c r="R210" s="21">
        <v>3314.6947</v>
      </c>
    </row>
    <row r="211" spans="7:18" x14ac:dyDescent="0.15">
      <c r="G211" s="11">
        <v>210</v>
      </c>
      <c r="H211" s="10" t="s">
        <v>600</v>
      </c>
      <c r="I211" t="s">
        <v>890</v>
      </c>
      <c r="J211" t="s">
        <v>867</v>
      </c>
      <c r="K211">
        <v>3.45</v>
      </c>
      <c r="L211">
        <v>5.81</v>
      </c>
      <c r="M211">
        <v>13.97</v>
      </c>
      <c r="N211" s="20">
        <v>-7.0000000000000007E-2</v>
      </c>
      <c r="O211">
        <v>70.27</v>
      </c>
      <c r="P211">
        <v>75.959999999999994</v>
      </c>
      <c r="Q211">
        <v>46.09</v>
      </c>
      <c r="R211" s="21">
        <v>123.37094999999999</v>
      </c>
    </row>
    <row r="212" spans="7:18" x14ac:dyDescent="0.15">
      <c r="G212" s="11">
        <v>211</v>
      </c>
      <c r="H212" s="10" t="s">
        <v>1603</v>
      </c>
      <c r="I212" t="s">
        <v>1604</v>
      </c>
      <c r="J212" t="s">
        <v>1685</v>
      </c>
      <c r="K212">
        <v>2.72</v>
      </c>
      <c r="L212">
        <v>-1.22</v>
      </c>
      <c r="M212">
        <v>6.45</v>
      </c>
      <c r="N212" s="20">
        <v>-0.61</v>
      </c>
      <c r="O212">
        <v>70.13</v>
      </c>
      <c r="P212">
        <v>30.44</v>
      </c>
      <c r="Q212">
        <v>91.47</v>
      </c>
      <c r="R212" s="21">
        <v>538.62693999999999</v>
      </c>
    </row>
    <row r="213" spans="7:18" x14ac:dyDescent="0.15">
      <c r="G213" s="11">
        <v>212</v>
      </c>
      <c r="H213" s="10" t="s">
        <v>555</v>
      </c>
      <c r="I213" t="s">
        <v>1053</v>
      </c>
      <c r="J213" t="s">
        <v>867</v>
      </c>
      <c r="K213">
        <v>1.93</v>
      </c>
      <c r="L213">
        <v>3.65</v>
      </c>
      <c r="M213">
        <v>10.130000000000001</v>
      </c>
      <c r="N213" s="20">
        <v>-0.17</v>
      </c>
      <c r="O213">
        <v>69.989999999999995</v>
      </c>
      <c r="P213">
        <v>56.61</v>
      </c>
      <c r="Q213">
        <v>65.290000000000006</v>
      </c>
      <c r="R213" s="21">
        <v>3718.5342000000001</v>
      </c>
    </row>
    <row r="214" spans="7:18" x14ac:dyDescent="0.15">
      <c r="G214" s="11">
        <v>213</v>
      </c>
      <c r="H214" s="10" t="s">
        <v>1626</v>
      </c>
      <c r="I214" t="s">
        <v>1627</v>
      </c>
      <c r="J214" t="s">
        <v>1685</v>
      </c>
      <c r="K214">
        <v>0.77</v>
      </c>
      <c r="L214">
        <v>2.97</v>
      </c>
      <c r="M214">
        <v>11.04</v>
      </c>
      <c r="N214" s="20">
        <v>-0.14000000000000001</v>
      </c>
      <c r="O214">
        <v>69.84</v>
      </c>
      <c r="P214">
        <v>61.74</v>
      </c>
      <c r="Q214">
        <v>60.03</v>
      </c>
      <c r="R214" s="21">
        <v>141.32570000000001</v>
      </c>
    </row>
    <row r="215" spans="7:18" x14ac:dyDescent="0.15">
      <c r="G215" s="11">
        <v>214</v>
      </c>
      <c r="H215" s="10" t="s">
        <v>298</v>
      </c>
      <c r="I215" t="s">
        <v>845</v>
      </c>
      <c r="J215" t="s">
        <v>830</v>
      </c>
      <c r="K215">
        <v>3.16</v>
      </c>
      <c r="L215">
        <v>5.98</v>
      </c>
      <c r="M215">
        <v>12.58</v>
      </c>
      <c r="N215" s="20">
        <v>-0.1</v>
      </c>
      <c r="O215">
        <v>69.7</v>
      </c>
      <c r="P215">
        <v>68.989999999999995</v>
      </c>
      <c r="Q215">
        <v>52.63</v>
      </c>
      <c r="R215" s="21">
        <v>419.44749999999999</v>
      </c>
    </row>
    <row r="216" spans="7:18" x14ac:dyDescent="0.15">
      <c r="G216" s="11">
        <v>215</v>
      </c>
      <c r="H216" s="10" t="s">
        <v>338</v>
      </c>
      <c r="I216" t="s">
        <v>1084</v>
      </c>
      <c r="J216" t="s">
        <v>867</v>
      </c>
      <c r="K216">
        <v>6.7</v>
      </c>
      <c r="L216">
        <v>10.36</v>
      </c>
      <c r="M216">
        <v>22.98</v>
      </c>
      <c r="N216" s="20">
        <v>0</v>
      </c>
      <c r="O216">
        <v>69.56</v>
      </c>
      <c r="P216">
        <v>95.02</v>
      </c>
      <c r="Q216">
        <v>26.6</v>
      </c>
      <c r="R216" s="21">
        <v>7065.1179000000002</v>
      </c>
    </row>
    <row r="217" spans="7:18" x14ac:dyDescent="0.15">
      <c r="G217" s="11">
        <v>216</v>
      </c>
      <c r="H217" s="10" t="s">
        <v>445</v>
      </c>
      <c r="I217" t="s">
        <v>839</v>
      </c>
      <c r="J217" t="s">
        <v>830</v>
      </c>
      <c r="K217">
        <v>2.1</v>
      </c>
      <c r="L217">
        <v>1.51</v>
      </c>
      <c r="M217">
        <v>3.48</v>
      </c>
      <c r="N217" s="20">
        <v>-3.9</v>
      </c>
      <c r="O217">
        <v>69.42</v>
      </c>
      <c r="P217">
        <v>22.48</v>
      </c>
      <c r="Q217">
        <v>98.86</v>
      </c>
      <c r="R217" s="21">
        <v>32.734223900000003</v>
      </c>
    </row>
    <row r="218" spans="7:18" x14ac:dyDescent="0.15">
      <c r="G218" s="11">
        <v>217</v>
      </c>
      <c r="H218" s="10" t="s">
        <v>441</v>
      </c>
      <c r="I218" t="s">
        <v>1117</v>
      </c>
      <c r="J218" t="s">
        <v>867</v>
      </c>
      <c r="K218">
        <v>1.19</v>
      </c>
      <c r="L218">
        <v>6.54</v>
      </c>
      <c r="M218">
        <v>13.7</v>
      </c>
      <c r="N218" s="20">
        <v>-7.0000000000000007E-2</v>
      </c>
      <c r="O218">
        <v>69.27</v>
      </c>
      <c r="P218">
        <v>74.959999999999994</v>
      </c>
      <c r="Q218">
        <v>46.23</v>
      </c>
      <c r="R218" s="21">
        <v>20643.500599999999</v>
      </c>
    </row>
    <row r="219" spans="7:18" x14ac:dyDescent="0.15">
      <c r="G219" s="11">
        <v>218</v>
      </c>
      <c r="H219" s="10" t="s">
        <v>672</v>
      </c>
      <c r="I219" t="s">
        <v>882</v>
      </c>
      <c r="J219" t="s">
        <v>867</v>
      </c>
      <c r="K219">
        <v>1.64</v>
      </c>
      <c r="L219">
        <v>3.06</v>
      </c>
      <c r="M219">
        <v>9.02</v>
      </c>
      <c r="N219" s="20">
        <v>-0.24</v>
      </c>
      <c r="O219">
        <v>69.13</v>
      </c>
      <c r="P219">
        <v>46.66</v>
      </c>
      <c r="Q219">
        <v>74.25</v>
      </c>
      <c r="R219" s="21">
        <v>58.076900000000002</v>
      </c>
    </row>
    <row r="220" spans="7:18" x14ac:dyDescent="0.15">
      <c r="G220" s="11">
        <v>219</v>
      </c>
      <c r="H220" s="10" t="s">
        <v>410</v>
      </c>
      <c r="I220" t="s">
        <v>1083</v>
      </c>
      <c r="J220" t="s">
        <v>867</v>
      </c>
      <c r="K220">
        <v>2.41</v>
      </c>
      <c r="L220">
        <v>3.83</v>
      </c>
      <c r="M220">
        <v>8.5299999999999994</v>
      </c>
      <c r="N220" s="20">
        <v>-0.28000000000000003</v>
      </c>
      <c r="O220">
        <v>68.989999999999995</v>
      </c>
      <c r="P220">
        <v>42.96</v>
      </c>
      <c r="Q220">
        <v>77.81</v>
      </c>
      <c r="R220" s="21">
        <v>3153.5264999999999</v>
      </c>
    </row>
    <row r="221" spans="7:18" x14ac:dyDescent="0.15">
      <c r="G221" s="11">
        <v>220</v>
      </c>
      <c r="H221" s="10" t="s">
        <v>753</v>
      </c>
      <c r="I221" t="s">
        <v>926</v>
      </c>
      <c r="J221" t="s">
        <v>867</v>
      </c>
      <c r="K221">
        <v>1.25</v>
      </c>
      <c r="L221">
        <v>-0.24</v>
      </c>
      <c r="M221">
        <v>10.31</v>
      </c>
      <c r="N221" s="20">
        <v>-0.15</v>
      </c>
      <c r="O221">
        <v>68.849999999999994</v>
      </c>
      <c r="P221">
        <v>58.32</v>
      </c>
      <c r="Q221">
        <v>62.3</v>
      </c>
      <c r="R221" s="21">
        <v>253.15430000000001</v>
      </c>
    </row>
    <row r="222" spans="7:18" x14ac:dyDescent="0.15">
      <c r="G222" s="11">
        <v>221</v>
      </c>
      <c r="H222" s="10" t="s">
        <v>1330</v>
      </c>
      <c r="I222" t="s">
        <v>1331</v>
      </c>
      <c r="J222" t="s">
        <v>1685</v>
      </c>
      <c r="K222">
        <v>5.21</v>
      </c>
      <c r="L222">
        <v>7.91</v>
      </c>
      <c r="M222">
        <v>16.79</v>
      </c>
      <c r="N222" s="20">
        <v>0</v>
      </c>
      <c r="O222">
        <v>68.709999999999994</v>
      </c>
      <c r="P222">
        <v>83.5</v>
      </c>
      <c r="Q222">
        <v>36.56</v>
      </c>
      <c r="R222" s="21">
        <v>2173.2693840000002</v>
      </c>
    </row>
    <row r="223" spans="7:18" x14ac:dyDescent="0.15">
      <c r="G223" s="11">
        <v>222</v>
      </c>
      <c r="H223" s="10" t="s">
        <v>494</v>
      </c>
      <c r="I223" t="s">
        <v>1158</v>
      </c>
      <c r="J223" t="s">
        <v>867</v>
      </c>
      <c r="K223">
        <v>5.13</v>
      </c>
      <c r="L223">
        <v>6.48</v>
      </c>
      <c r="M223">
        <v>17.66</v>
      </c>
      <c r="N223" s="20">
        <v>0</v>
      </c>
      <c r="O223">
        <v>68.56</v>
      </c>
      <c r="P223">
        <v>85.63</v>
      </c>
      <c r="Q223">
        <v>34.28</v>
      </c>
      <c r="R223" s="21">
        <v>41673.081594000003</v>
      </c>
    </row>
    <row r="224" spans="7:18" x14ac:dyDescent="0.15">
      <c r="G224" s="11">
        <v>223</v>
      </c>
      <c r="H224" s="10" t="s">
        <v>685</v>
      </c>
      <c r="I224" t="s">
        <v>954</v>
      </c>
      <c r="J224" t="s">
        <v>867</v>
      </c>
      <c r="K224">
        <v>2.08</v>
      </c>
      <c r="L224">
        <v>4.0199999999999996</v>
      </c>
      <c r="M224">
        <v>9.7799999999999994</v>
      </c>
      <c r="N224" s="20">
        <v>-0.18</v>
      </c>
      <c r="O224">
        <v>68.42</v>
      </c>
      <c r="P224">
        <v>52.77</v>
      </c>
      <c r="Q224">
        <v>66.569999999999993</v>
      </c>
      <c r="R224" s="21">
        <v>1014.5321</v>
      </c>
    </row>
    <row r="225" spans="7:18" x14ac:dyDescent="0.15">
      <c r="G225" s="11">
        <v>224</v>
      </c>
      <c r="H225" s="10" t="s">
        <v>1344</v>
      </c>
      <c r="I225" t="s">
        <v>1345</v>
      </c>
      <c r="J225" t="s">
        <v>1685</v>
      </c>
      <c r="K225">
        <v>5.25</v>
      </c>
      <c r="L225">
        <v>7.76</v>
      </c>
      <c r="M225">
        <v>18.39</v>
      </c>
      <c r="N225" s="20">
        <v>0</v>
      </c>
      <c r="O225">
        <v>68.28</v>
      </c>
      <c r="P225">
        <v>87.62</v>
      </c>
      <c r="Q225">
        <v>31.58</v>
      </c>
      <c r="R225" s="21">
        <v>554.28243099999997</v>
      </c>
    </row>
    <row r="226" spans="7:18" x14ac:dyDescent="0.15">
      <c r="G226" s="11">
        <v>225</v>
      </c>
      <c r="H226" s="10" t="s">
        <v>1543</v>
      </c>
      <c r="I226" t="s">
        <v>1544</v>
      </c>
      <c r="J226" t="s">
        <v>1685</v>
      </c>
      <c r="K226">
        <v>2.87</v>
      </c>
      <c r="L226">
        <v>4.3099999999999996</v>
      </c>
      <c r="M226">
        <v>9.68</v>
      </c>
      <c r="N226" s="20">
        <v>-0.2</v>
      </c>
      <c r="O226">
        <v>68.14</v>
      </c>
      <c r="P226">
        <v>51.21</v>
      </c>
      <c r="Q226">
        <v>67.989999999999995</v>
      </c>
      <c r="R226" s="21">
        <v>1215.0429999999999</v>
      </c>
    </row>
    <row r="227" spans="7:18" x14ac:dyDescent="0.15">
      <c r="G227" s="11">
        <v>226</v>
      </c>
      <c r="H227" s="10" t="s">
        <v>704</v>
      </c>
      <c r="I227" t="s">
        <v>922</v>
      </c>
      <c r="J227" t="s">
        <v>867</v>
      </c>
      <c r="K227">
        <v>4.75</v>
      </c>
      <c r="L227">
        <v>10.15</v>
      </c>
      <c r="M227">
        <v>16.95</v>
      </c>
      <c r="N227" s="20">
        <v>0</v>
      </c>
      <c r="O227">
        <v>67.989999999999995</v>
      </c>
      <c r="P227">
        <v>84.21</v>
      </c>
      <c r="Q227">
        <v>34.85</v>
      </c>
      <c r="R227" s="21">
        <v>626.98731559999999</v>
      </c>
    </row>
    <row r="228" spans="7:18" x14ac:dyDescent="0.15">
      <c r="G228" s="11">
        <v>227</v>
      </c>
      <c r="H228" s="10" t="s">
        <v>1473</v>
      </c>
      <c r="I228" t="s">
        <v>1474</v>
      </c>
      <c r="J228" t="s">
        <v>1685</v>
      </c>
      <c r="K228">
        <v>-0.18</v>
      </c>
      <c r="L228">
        <v>2.17</v>
      </c>
      <c r="M228">
        <v>11.8</v>
      </c>
      <c r="N228" s="20">
        <v>-0.11</v>
      </c>
      <c r="O228">
        <v>67.849999999999994</v>
      </c>
      <c r="P228">
        <v>65.430000000000007</v>
      </c>
      <c r="Q228">
        <v>53.63</v>
      </c>
      <c r="R228" s="21">
        <v>686.42790000000002</v>
      </c>
    </row>
    <row r="229" spans="7:18" x14ac:dyDescent="0.15">
      <c r="G229" s="11">
        <v>228</v>
      </c>
      <c r="H229" s="10" t="s">
        <v>616</v>
      </c>
      <c r="I229" t="s">
        <v>873</v>
      </c>
      <c r="J229" t="s">
        <v>867</v>
      </c>
      <c r="K229">
        <v>0.75</v>
      </c>
      <c r="L229">
        <v>2.09</v>
      </c>
      <c r="M229">
        <v>5.56</v>
      </c>
      <c r="N229" s="20">
        <v>-0.59</v>
      </c>
      <c r="O229">
        <v>67.709999999999994</v>
      </c>
      <c r="P229">
        <v>28.02</v>
      </c>
      <c r="Q229">
        <v>91.04</v>
      </c>
      <c r="R229" s="21">
        <v>171.42930000000001</v>
      </c>
    </row>
    <row r="230" spans="7:18" x14ac:dyDescent="0.15">
      <c r="G230" s="11">
        <v>229</v>
      </c>
      <c r="H230" s="10" t="s">
        <v>493</v>
      </c>
      <c r="I230" t="s">
        <v>894</v>
      </c>
      <c r="J230" t="s">
        <v>867</v>
      </c>
      <c r="K230">
        <v>1.79</v>
      </c>
      <c r="L230">
        <v>3.26</v>
      </c>
      <c r="M230">
        <v>9.75</v>
      </c>
      <c r="N230" s="20">
        <v>-0.18</v>
      </c>
      <c r="O230">
        <v>67.569999999999993</v>
      </c>
      <c r="P230">
        <v>52.35</v>
      </c>
      <c r="Q230">
        <v>66.430000000000007</v>
      </c>
      <c r="R230" s="21">
        <v>206.14320000000001</v>
      </c>
    </row>
    <row r="231" spans="7:18" x14ac:dyDescent="0.15">
      <c r="G231" s="11">
        <v>230</v>
      </c>
      <c r="H231" s="10" t="s">
        <v>1513</v>
      </c>
      <c r="I231" t="s">
        <v>1514</v>
      </c>
      <c r="J231" t="s">
        <v>1685</v>
      </c>
      <c r="K231">
        <v>-0.54</v>
      </c>
      <c r="L231">
        <v>0.22</v>
      </c>
      <c r="M231">
        <v>11.36</v>
      </c>
      <c r="N231" s="20">
        <v>-0.11</v>
      </c>
      <c r="O231">
        <v>67.430000000000007</v>
      </c>
      <c r="P231">
        <v>63.58</v>
      </c>
      <c r="Q231">
        <v>55.19</v>
      </c>
      <c r="R231" s="21">
        <v>103.9067</v>
      </c>
    </row>
    <row r="232" spans="7:18" x14ac:dyDescent="0.15">
      <c r="G232" s="11">
        <v>231</v>
      </c>
      <c r="H232" s="10" t="s">
        <v>490</v>
      </c>
      <c r="I232" t="s">
        <v>930</v>
      </c>
      <c r="J232" t="s">
        <v>867</v>
      </c>
      <c r="K232">
        <v>2.16</v>
      </c>
      <c r="L232">
        <v>4.03</v>
      </c>
      <c r="M232">
        <v>9.7200000000000006</v>
      </c>
      <c r="N232" s="20">
        <v>-0.19</v>
      </c>
      <c r="O232">
        <v>67.28</v>
      </c>
      <c r="P232">
        <v>52.06</v>
      </c>
      <c r="Q232">
        <v>66.709999999999994</v>
      </c>
      <c r="R232" s="21">
        <v>438.61329999999998</v>
      </c>
    </row>
    <row r="233" spans="7:18" x14ac:dyDescent="0.15">
      <c r="G233" s="11">
        <v>232</v>
      </c>
      <c r="H233" s="10" t="s">
        <v>525</v>
      </c>
      <c r="I233" t="s">
        <v>1097</v>
      </c>
      <c r="J233" t="s">
        <v>867</v>
      </c>
      <c r="K233">
        <v>2.75</v>
      </c>
      <c r="L233">
        <v>4.9800000000000004</v>
      </c>
      <c r="M233">
        <v>10.19</v>
      </c>
      <c r="N233" s="20">
        <v>-0.15</v>
      </c>
      <c r="O233">
        <v>67.14</v>
      </c>
      <c r="P233">
        <v>57.33</v>
      </c>
      <c r="Q233">
        <v>61.31</v>
      </c>
      <c r="R233" s="21">
        <v>6535.2673999999997</v>
      </c>
    </row>
    <row r="234" spans="7:18" x14ac:dyDescent="0.15">
      <c r="G234" s="11">
        <v>233</v>
      </c>
      <c r="H234" s="10" t="s">
        <v>596</v>
      </c>
      <c r="I234" t="s">
        <v>811</v>
      </c>
      <c r="J234" t="s">
        <v>1285</v>
      </c>
      <c r="K234">
        <v>2.29</v>
      </c>
      <c r="L234">
        <v>-1.58</v>
      </c>
      <c r="M234">
        <v>15.9</v>
      </c>
      <c r="N234" s="20">
        <v>0</v>
      </c>
      <c r="O234">
        <v>67</v>
      </c>
      <c r="P234">
        <v>81.650000000000006</v>
      </c>
      <c r="Q234">
        <v>36.979999999999997</v>
      </c>
      <c r="R234" s="21">
        <v>9686.4418849000012</v>
      </c>
    </row>
    <row r="235" spans="7:18" x14ac:dyDescent="0.15">
      <c r="G235" s="11">
        <v>234</v>
      </c>
      <c r="H235" s="10" t="s">
        <v>491</v>
      </c>
      <c r="I235" t="s">
        <v>1125</v>
      </c>
      <c r="J235" t="s">
        <v>867</v>
      </c>
      <c r="K235">
        <v>5.94</v>
      </c>
      <c r="L235">
        <v>8.58</v>
      </c>
      <c r="M235">
        <v>21.59</v>
      </c>
      <c r="N235" s="20">
        <v>7.0000000000000007E-2</v>
      </c>
      <c r="O235">
        <v>66.86</v>
      </c>
      <c r="P235">
        <v>92.75</v>
      </c>
      <c r="Q235">
        <v>25.75</v>
      </c>
      <c r="R235" s="21">
        <v>19639.072295800001</v>
      </c>
    </row>
    <row r="236" spans="7:18" x14ac:dyDescent="0.15">
      <c r="G236" s="11">
        <v>235</v>
      </c>
      <c r="H236" s="10" t="s">
        <v>510</v>
      </c>
      <c r="I236" t="s">
        <v>1059</v>
      </c>
      <c r="J236" t="s">
        <v>867</v>
      </c>
      <c r="K236">
        <v>2</v>
      </c>
      <c r="L236">
        <v>5.39</v>
      </c>
      <c r="M236">
        <v>12.6</v>
      </c>
      <c r="N236" s="20">
        <v>-0.09</v>
      </c>
      <c r="O236">
        <v>66.709999999999994</v>
      </c>
      <c r="P236">
        <v>69.13</v>
      </c>
      <c r="Q236">
        <v>49.36</v>
      </c>
      <c r="R236" s="21">
        <v>14979.7890998</v>
      </c>
    </row>
    <row r="237" spans="7:18" x14ac:dyDescent="0.15">
      <c r="G237" s="11">
        <v>236</v>
      </c>
      <c r="H237" s="10" t="s">
        <v>622</v>
      </c>
      <c r="I237" t="s">
        <v>974</v>
      </c>
      <c r="J237" t="s">
        <v>867</v>
      </c>
      <c r="K237">
        <v>2.02</v>
      </c>
      <c r="L237">
        <v>3.97</v>
      </c>
      <c r="M237">
        <v>9.35</v>
      </c>
      <c r="N237" s="20">
        <v>-0.21</v>
      </c>
      <c r="O237">
        <v>66.569999999999993</v>
      </c>
      <c r="P237">
        <v>48.22</v>
      </c>
      <c r="Q237">
        <v>70.27</v>
      </c>
      <c r="R237" s="21">
        <v>1360.5123000000001</v>
      </c>
    </row>
    <row r="238" spans="7:18" x14ac:dyDescent="0.15">
      <c r="G238" s="11">
        <v>237</v>
      </c>
      <c r="H238" s="10" t="s">
        <v>482</v>
      </c>
      <c r="I238" t="s">
        <v>941</v>
      </c>
      <c r="J238" t="s">
        <v>867</v>
      </c>
      <c r="K238">
        <v>6.33</v>
      </c>
      <c r="L238">
        <v>9.4700000000000006</v>
      </c>
      <c r="M238">
        <v>18.600000000000001</v>
      </c>
      <c r="N238" s="20">
        <v>0</v>
      </c>
      <c r="O238">
        <v>66.430000000000007</v>
      </c>
      <c r="P238">
        <v>88.34</v>
      </c>
      <c r="Q238">
        <v>29.73</v>
      </c>
      <c r="R238" s="21">
        <v>491.56560000000002</v>
      </c>
    </row>
    <row r="239" spans="7:18" x14ac:dyDescent="0.15">
      <c r="G239" s="11">
        <v>238</v>
      </c>
      <c r="H239" s="10" t="s">
        <v>1412</v>
      </c>
      <c r="I239" t="s">
        <v>1413</v>
      </c>
      <c r="J239" t="s">
        <v>1685</v>
      </c>
      <c r="K239">
        <v>0.87</v>
      </c>
      <c r="L239">
        <v>4.0199999999999996</v>
      </c>
      <c r="M239">
        <v>10.73</v>
      </c>
      <c r="N239" s="20">
        <v>-0.13</v>
      </c>
      <c r="O239">
        <v>66.290000000000006</v>
      </c>
      <c r="P239">
        <v>60.17</v>
      </c>
      <c r="Q239">
        <v>57.89</v>
      </c>
      <c r="R239" s="21">
        <v>866.94398029999991</v>
      </c>
    </row>
    <row r="240" spans="7:18" x14ac:dyDescent="0.15">
      <c r="G240" s="11">
        <v>239</v>
      </c>
      <c r="H240" s="10" t="s">
        <v>1283</v>
      </c>
      <c r="I240" t="s">
        <v>1284</v>
      </c>
      <c r="J240" t="s">
        <v>1285</v>
      </c>
      <c r="K240">
        <v>2.72</v>
      </c>
      <c r="L240">
        <v>-0.99</v>
      </c>
      <c r="M240">
        <v>7.21</v>
      </c>
      <c r="N240" s="20">
        <v>-0.39</v>
      </c>
      <c r="O240">
        <v>66.150000000000006</v>
      </c>
      <c r="P240">
        <v>33.57</v>
      </c>
      <c r="Q240">
        <v>83.93</v>
      </c>
      <c r="R240" s="21">
        <v>28.745899999999999</v>
      </c>
    </row>
    <row r="241" spans="7:18" x14ac:dyDescent="0.15">
      <c r="G241" s="11">
        <v>240</v>
      </c>
      <c r="H241" s="10" t="s">
        <v>429</v>
      </c>
      <c r="I241" t="s">
        <v>1186</v>
      </c>
      <c r="J241" t="s">
        <v>1316</v>
      </c>
      <c r="K241">
        <v>36.229999999999997</v>
      </c>
      <c r="L241">
        <v>70.010000000000005</v>
      </c>
      <c r="M241">
        <v>16.93</v>
      </c>
      <c r="N241" s="20">
        <v>0</v>
      </c>
      <c r="O241">
        <v>66</v>
      </c>
      <c r="P241">
        <v>84.07</v>
      </c>
      <c r="Q241">
        <v>33.29</v>
      </c>
      <c r="R241" s="21">
        <v>3508.4423999999999</v>
      </c>
    </row>
    <row r="242" spans="7:18" x14ac:dyDescent="0.15">
      <c r="G242" s="11">
        <v>241</v>
      </c>
      <c r="H242" s="10" t="s">
        <v>1648</v>
      </c>
      <c r="I242" t="s">
        <v>1649</v>
      </c>
      <c r="J242" t="s">
        <v>1685</v>
      </c>
      <c r="K242">
        <v>5.94</v>
      </c>
      <c r="L242">
        <v>9.01</v>
      </c>
      <c r="M242">
        <v>19.5</v>
      </c>
      <c r="N242" s="20">
        <v>0</v>
      </c>
      <c r="O242">
        <v>65.86</v>
      </c>
      <c r="P242">
        <v>90.04</v>
      </c>
      <c r="Q242">
        <v>27.31</v>
      </c>
      <c r="R242" s="21">
        <v>959.6318</v>
      </c>
    </row>
    <row r="243" spans="7:18" x14ac:dyDescent="0.15">
      <c r="G243" s="11">
        <v>242</v>
      </c>
      <c r="H243" s="10" t="s">
        <v>1414</v>
      </c>
      <c r="I243" t="s">
        <v>1415</v>
      </c>
      <c r="J243" t="s">
        <v>1685</v>
      </c>
      <c r="K243">
        <v>1.26</v>
      </c>
      <c r="L243">
        <v>2.2400000000000002</v>
      </c>
      <c r="M243">
        <v>6.57</v>
      </c>
      <c r="N243" s="20">
        <v>-0.44</v>
      </c>
      <c r="O243">
        <v>65.72</v>
      </c>
      <c r="P243">
        <v>31.29</v>
      </c>
      <c r="Q243">
        <v>86.06</v>
      </c>
      <c r="R243" s="21">
        <v>1953.0286000000001</v>
      </c>
    </row>
    <row r="244" spans="7:18" x14ac:dyDescent="0.15">
      <c r="G244" s="11">
        <v>243</v>
      </c>
      <c r="H244" s="10" t="s">
        <v>612</v>
      </c>
      <c r="I244" t="s">
        <v>1139</v>
      </c>
      <c r="J244" t="s">
        <v>867</v>
      </c>
      <c r="K244">
        <v>3.31</v>
      </c>
      <c r="L244">
        <v>4.6500000000000004</v>
      </c>
      <c r="M244">
        <v>11.24</v>
      </c>
      <c r="N244" s="20">
        <v>-0.11</v>
      </c>
      <c r="O244">
        <v>65.58</v>
      </c>
      <c r="P244">
        <v>63.02</v>
      </c>
      <c r="Q244">
        <v>54.2</v>
      </c>
      <c r="R244" s="21">
        <v>15400.427196799999</v>
      </c>
    </row>
    <row r="245" spans="7:18" x14ac:dyDescent="0.15">
      <c r="G245" s="11">
        <v>244</v>
      </c>
      <c r="H245" s="10" t="s">
        <v>641</v>
      </c>
      <c r="I245" t="s">
        <v>1140</v>
      </c>
      <c r="J245" t="s">
        <v>867</v>
      </c>
      <c r="K245">
        <v>2.69</v>
      </c>
      <c r="L245">
        <v>-1.33</v>
      </c>
      <c r="M245">
        <v>6.32</v>
      </c>
      <c r="N245" s="20">
        <v>-0.48</v>
      </c>
      <c r="O245">
        <v>65.430000000000007</v>
      </c>
      <c r="P245">
        <v>29.73</v>
      </c>
      <c r="Q245">
        <v>87.48</v>
      </c>
      <c r="R245" s="21">
        <v>10399.297</v>
      </c>
    </row>
    <row r="246" spans="7:18" x14ac:dyDescent="0.15">
      <c r="G246" s="11">
        <v>245</v>
      </c>
      <c r="H246" s="10" t="s">
        <v>641</v>
      </c>
      <c r="I246" t="s">
        <v>1307</v>
      </c>
      <c r="J246" t="s">
        <v>1285</v>
      </c>
      <c r="K246">
        <v>2.69</v>
      </c>
      <c r="L246">
        <v>-1.33</v>
      </c>
      <c r="M246">
        <v>6.32</v>
      </c>
      <c r="N246" s="20">
        <v>-0.48</v>
      </c>
      <c r="O246">
        <v>65.290000000000006</v>
      </c>
      <c r="P246">
        <v>29.87</v>
      </c>
      <c r="Q246">
        <v>87.34</v>
      </c>
      <c r="R246" s="21">
        <v>10399.297</v>
      </c>
    </row>
    <row r="247" spans="7:18" x14ac:dyDescent="0.15">
      <c r="G247" s="11">
        <v>246</v>
      </c>
      <c r="H247" s="10" t="s">
        <v>563</v>
      </c>
      <c r="I247" t="s">
        <v>1113</v>
      </c>
      <c r="J247" t="s">
        <v>867</v>
      </c>
      <c r="K247">
        <v>6.16</v>
      </c>
      <c r="L247">
        <v>1.53</v>
      </c>
      <c r="M247">
        <v>18.489999999999998</v>
      </c>
      <c r="N247" s="20">
        <v>0</v>
      </c>
      <c r="O247">
        <v>65.150000000000006</v>
      </c>
      <c r="P247">
        <v>87.91</v>
      </c>
      <c r="Q247">
        <v>29.3</v>
      </c>
      <c r="R247" s="21">
        <v>11248.8897</v>
      </c>
    </row>
    <row r="248" spans="7:18" x14ac:dyDescent="0.15">
      <c r="G248" s="11">
        <v>247</v>
      </c>
      <c r="H248" s="10" t="s">
        <v>1466</v>
      </c>
      <c r="I248" t="s">
        <v>1467</v>
      </c>
      <c r="J248" t="s">
        <v>1685</v>
      </c>
      <c r="K248">
        <v>3.11</v>
      </c>
      <c r="L248">
        <v>5.78</v>
      </c>
      <c r="M248">
        <v>11.21</v>
      </c>
      <c r="N248" s="20">
        <v>-0.11</v>
      </c>
      <c r="O248">
        <v>65.010000000000005</v>
      </c>
      <c r="P248">
        <v>62.59</v>
      </c>
      <c r="Q248">
        <v>54.48</v>
      </c>
      <c r="R248" s="21">
        <v>1055.7916</v>
      </c>
    </row>
    <row r="249" spans="7:18" x14ac:dyDescent="0.15">
      <c r="G249" s="11">
        <v>248</v>
      </c>
      <c r="H249" s="10" t="s">
        <v>715</v>
      </c>
      <c r="I249" t="s">
        <v>1305</v>
      </c>
      <c r="J249" t="s">
        <v>1285</v>
      </c>
      <c r="K249">
        <v>2.36</v>
      </c>
      <c r="L249">
        <v>-1.62</v>
      </c>
      <c r="M249">
        <v>16.14</v>
      </c>
      <c r="N249" s="20">
        <v>0</v>
      </c>
      <c r="O249">
        <v>64.86</v>
      </c>
      <c r="P249">
        <v>82.22</v>
      </c>
      <c r="Q249">
        <v>34.57</v>
      </c>
      <c r="R249" s="21">
        <v>9608.4081999999999</v>
      </c>
    </row>
    <row r="250" spans="7:18" x14ac:dyDescent="0.15">
      <c r="G250" s="11">
        <v>249</v>
      </c>
      <c r="H250" s="10" t="s">
        <v>385</v>
      </c>
      <c r="I250" t="s">
        <v>913</v>
      </c>
      <c r="J250" t="s">
        <v>867</v>
      </c>
      <c r="K250">
        <v>-0.56000000000000005</v>
      </c>
      <c r="L250">
        <v>2.21</v>
      </c>
      <c r="M250">
        <v>9.81</v>
      </c>
      <c r="N250" s="20">
        <v>-0.16</v>
      </c>
      <c r="O250">
        <v>64.72</v>
      </c>
      <c r="P250">
        <v>53.2</v>
      </c>
      <c r="Q250">
        <v>63.44</v>
      </c>
      <c r="R250" s="21">
        <v>409.05077999999997</v>
      </c>
    </row>
    <row r="251" spans="7:18" x14ac:dyDescent="0.15">
      <c r="G251" s="11">
        <v>250</v>
      </c>
      <c r="H251" s="10" t="s">
        <v>665</v>
      </c>
      <c r="I251" t="s">
        <v>1173</v>
      </c>
      <c r="J251" t="s">
        <v>867</v>
      </c>
      <c r="K251">
        <v>3.3</v>
      </c>
      <c r="L251">
        <v>4.63</v>
      </c>
      <c r="M251">
        <v>11.25</v>
      </c>
      <c r="N251" s="20">
        <v>-0.11</v>
      </c>
      <c r="O251">
        <v>64.58</v>
      </c>
      <c r="P251">
        <v>63.3</v>
      </c>
      <c r="Q251">
        <v>53.06</v>
      </c>
      <c r="R251" s="21">
        <v>121855.5447</v>
      </c>
    </row>
    <row r="252" spans="7:18" x14ac:dyDescent="0.15">
      <c r="G252" s="11">
        <v>251</v>
      </c>
      <c r="H252" s="10" t="s">
        <v>1533</v>
      </c>
      <c r="I252" t="s">
        <v>1534</v>
      </c>
      <c r="J252" t="s">
        <v>1685</v>
      </c>
      <c r="K252">
        <v>1.42</v>
      </c>
      <c r="L252">
        <v>-0.23</v>
      </c>
      <c r="M252">
        <v>10.25</v>
      </c>
      <c r="N252" s="20">
        <v>-0.13</v>
      </c>
      <c r="O252">
        <v>64.44</v>
      </c>
      <c r="P252">
        <v>57.89</v>
      </c>
      <c r="Q252">
        <v>58.18</v>
      </c>
      <c r="R252" s="21">
        <v>644.28295000000003</v>
      </c>
    </row>
    <row r="253" spans="7:18" x14ac:dyDescent="0.15">
      <c r="G253" s="11">
        <v>252</v>
      </c>
      <c r="H253" s="10" t="s">
        <v>1398</v>
      </c>
      <c r="I253" t="s">
        <v>1399</v>
      </c>
      <c r="J253" t="s">
        <v>1685</v>
      </c>
      <c r="K253">
        <v>0.28000000000000003</v>
      </c>
      <c r="L253">
        <v>2.0099999999999998</v>
      </c>
      <c r="M253">
        <v>8.15</v>
      </c>
      <c r="N253" s="20">
        <v>-0.26</v>
      </c>
      <c r="O253">
        <v>64.3</v>
      </c>
      <c r="P253">
        <v>39.26</v>
      </c>
      <c r="Q253">
        <v>76.67</v>
      </c>
      <c r="R253" s="21">
        <v>1202.0265204</v>
      </c>
    </row>
    <row r="254" spans="7:18" x14ac:dyDescent="0.15">
      <c r="G254" s="11">
        <v>253</v>
      </c>
      <c r="H254" s="10" t="s">
        <v>308</v>
      </c>
      <c r="I254" t="s">
        <v>956</v>
      </c>
      <c r="J254" t="s">
        <v>867</v>
      </c>
      <c r="K254">
        <v>2.0299999999999998</v>
      </c>
      <c r="L254">
        <v>5.38</v>
      </c>
      <c r="M254">
        <v>13.45</v>
      </c>
      <c r="N254" s="20">
        <v>0</v>
      </c>
      <c r="O254">
        <v>64.150000000000006</v>
      </c>
      <c r="P254">
        <v>74.11</v>
      </c>
      <c r="Q254">
        <v>41.82</v>
      </c>
      <c r="R254" s="21">
        <v>1620.4109000000001</v>
      </c>
    </row>
    <row r="255" spans="7:18" x14ac:dyDescent="0.15">
      <c r="G255" s="11">
        <v>254</v>
      </c>
      <c r="H255" s="10" t="s">
        <v>1636</v>
      </c>
      <c r="I255" t="s">
        <v>1637</v>
      </c>
      <c r="J255" t="s">
        <v>1685</v>
      </c>
      <c r="K255">
        <v>7.04</v>
      </c>
      <c r="L255">
        <v>12.27</v>
      </c>
      <c r="M255">
        <v>22.25</v>
      </c>
      <c r="N255" s="20">
        <v>0.1</v>
      </c>
      <c r="O255">
        <v>64.010000000000005</v>
      </c>
      <c r="P255">
        <v>94.17</v>
      </c>
      <c r="Q255">
        <v>20.91</v>
      </c>
      <c r="R255" s="21">
        <v>452.50720000000001</v>
      </c>
    </row>
    <row r="256" spans="7:18" x14ac:dyDescent="0.15">
      <c r="G256" s="11">
        <v>255</v>
      </c>
      <c r="H256" s="10" t="s">
        <v>330</v>
      </c>
      <c r="I256" t="s">
        <v>857</v>
      </c>
      <c r="J256" t="s">
        <v>830</v>
      </c>
      <c r="K256">
        <v>0.98</v>
      </c>
      <c r="L256">
        <v>0.26</v>
      </c>
      <c r="M256">
        <v>1.0900000000000001</v>
      </c>
      <c r="N256" s="20">
        <v>-4.0599999999999996</v>
      </c>
      <c r="O256">
        <v>63.87</v>
      </c>
      <c r="P256">
        <v>16.07</v>
      </c>
      <c r="Q256">
        <v>99</v>
      </c>
      <c r="R256" s="21">
        <v>204.07768999999999</v>
      </c>
    </row>
    <row r="257" spans="7:18" x14ac:dyDescent="0.15">
      <c r="G257" s="11">
        <v>256</v>
      </c>
      <c r="H257" s="10" t="s">
        <v>1469</v>
      </c>
      <c r="I257" t="s">
        <v>1470</v>
      </c>
      <c r="J257" t="s">
        <v>1685</v>
      </c>
      <c r="K257">
        <v>2.2000000000000002</v>
      </c>
      <c r="L257">
        <v>4.17</v>
      </c>
      <c r="M257">
        <v>9.9600000000000009</v>
      </c>
      <c r="N257" s="20">
        <v>-0.14000000000000001</v>
      </c>
      <c r="O257">
        <v>63.73</v>
      </c>
      <c r="P257">
        <v>54.2</v>
      </c>
      <c r="Q257">
        <v>60.6</v>
      </c>
      <c r="R257" s="21">
        <v>1798.8442</v>
      </c>
    </row>
    <row r="258" spans="7:18" x14ac:dyDescent="0.15">
      <c r="G258" s="11">
        <v>257</v>
      </c>
      <c r="H258" s="10" t="s">
        <v>577</v>
      </c>
      <c r="I258" t="s">
        <v>1037</v>
      </c>
      <c r="J258" t="s">
        <v>867</v>
      </c>
      <c r="K258">
        <v>6.6</v>
      </c>
      <c r="L258">
        <v>9.4</v>
      </c>
      <c r="M258">
        <v>18.27</v>
      </c>
      <c r="N258" s="20">
        <v>0</v>
      </c>
      <c r="O258">
        <v>63.58</v>
      </c>
      <c r="P258">
        <v>87.34</v>
      </c>
      <c r="Q258">
        <v>27.45</v>
      </c>
      <c r="R258" s="21">
        <v>2167.0562193999999</v>
      </c>
    </row>
    <row r="259" spans="7:18" x14ac:dyDescent="0.15">
      <c r="G259" s="11">
        <v>258</v>
      </c>
      <c r="H259" s="10" t="s">
        <v>835</v>
      </c>
      <c r="I259" t="s">
        <v>836</v>
      </c>
      <c r="J259" t="s">
        <v>830</v>
      </c>
      <c r="K259">
        <v>0.21</v>
      </c>
      <c r="L259">
        <v>0.5</v>
      </c>
      <c r="M259">
        <v>0.64</v>
      </c>
      <c r="N259" s="20">
        <v>-5.78</v>
      </c>
      <c r="O259">
        <v>63.44</v>
      </c>
      <c r="P259">
        <v>15.08</v>
      </c>
      <c r="Q259">
        <v>99.43</v>
      </c>
      <c r="R259" s="21">
        <v>176.82332</v>
      </c>
    </row>
    <row r="260" spans="7:18" x14ac:dyDescent="0.15">
      <c r="G260" s="11">
        <v>259</v>
      </c>
      <c r="H260" s="10" t="s">
        <v>1432</v>
      </c>
      <c r="I260" t="s">
        <v>1433</v>
      </c>
      <c r="J260" t="s">
        <v>1685</v>
      </c>
      <c r="K260">
        <v>0.68</v>
      </c>
      <c r="L260">
        <v>3.61</v>
      </c>
      <c r="M260">
        <v>8.61</v>
      </c>
      <c r="N260" s="20">
        <v>-0.21</v>
      </c>
      <c r="O260">
        <v>63.3</v>
      </c>
      <c r="P260">
        <v>43.81</v>
      </c>
      <c r="Q260">
        <v>70.7</v>
      </c>
      <c r="R260" s="21">
        <v>449.99290000000002</v>
      </c>
    </row>
    <row r="261" spans="7:18" x14ac:dyDescent="0.15">
      <c r="G261" s="11">
        <v>260</v>
      </c>
      <c r="H261" s="10" t="s">
        <v>1392</v>
      </c>
      <c r="I261" t="s">
        <v>1393</v>
      </c>
      <c r="J261" t="s">
        <v>1685</v>
      </c>
      <c r="K261">
        <v>0.72</v>
      </c>
      <c r="L261">
        <v>-0.53</v>
      </c>
      <c r="M261">
        <v>5.51</v>
      </c>
      <c r="N261" s="20">
        <v>-0.44</v>
      </c>
      <c r="O261">
        <v>63.16</v>
      </c>
      <c r="P261">
        <v>27.74</v>
      </c>
      <c r="Q261">
        <v>86.49</v>
      </c>
      <c r="R261" s="21">
        <v>927.05070000000001</v>
      </c>
    </row>
    <row r="262" spans="7:18" x14ac:dyDescent="0.15">
      <c r="G262" s="11">
        <v>261</v>
      </c>
      <c r="H262" s="10" t="s">
        <v>564</v>
      </c>
      <c r="I262" t="s">
        <v>1008</v>
      </c>
      <c r="J262" t="s">
        <v>867</v>
      </c>
      <c r="K262">
        <v>0.71</v>
      </c>
      <c r="L262">
        <v>4.16</v>
      </c>
      <c r="M262">
        <v>8.3800000000000008</v>
      </c>
      <c r="N262" s="20">
        <v>-0.23</v>
      </c>
      <c r="O262">
        <v>63.02</v>
      </c>
      <c r="P262">
        <v>41.25</v>
      </c>
      <c r="Q262">
        <v>72.55</v>
      </c>
      <c r="R262" s="21">
        <v>1383.1302000000001</v>
      </c>
    </row>
    <row r="263" spans="7:18" x14ac:dyDescent="0.15">
      <c r="G263" s="11">
        <v>262</v>
      </c>
      <c r="H263" s="10" t="s">
        <v>1312</v>
      </c>
      <c r="I263" t="s">
        <v>1313</v>
      </c>
      <c r="J263" t="s">
        <v>830</v>
      </c>
      <c r="K263">
        <v>0.18</v>
      </c>
      <c r="L263">
        <v>0.09</v>
      </c>
      <c r="M263">
        <v>0.72</v>
      </c>
      <c r="N263" s="20">
        <v>-2.61</v>
      </c>
      <c r="O263">
        <v>62.87</v>
      </c>
      <c r="P263">
        <v>15.36</v>
      </c>
      <c r="Q263">
        <v>98.15</v>
      </c>
      <c r="R263" s="21">
        <v>6.2245368000000001</v>
      </c>
    </row>
    <row r="264" spans="7:18" x14ac:dyDescent="0.15">
      <c r="G264" s="11">
        <v>263</v>
      </c>
      <c r="H264" s="10" t="s">
        <v>533</v>
      </c>
      <c r="I264" t="s">
        <v>1074</v>
      </c>
      <c r="J264" t="s">
        <v>867</v>
      </c>
      <c r="K264">
        <v>2.9</v>
      </c>
      <c r="L264">
        <v>-1.56</v>
      </c>
      <c r="M264">
        <v>6.67</v>
      </c>
      <c r="N264" s="20">
        <v>-0.33</v>
      </c>
      <c r="O264">
        <v>62.73</v>
      </c>
      <c r="P264">
        <v>31.86</v>
      </c>
      <c r="Q264">
        <v>81.510000000000005</v>
      </c>
      <c r="R264" s="21">
        <v>1925.7872</v>
      </c>
    </row>
    <row r="265" spans="7:18" x14ac:dyDescent="0.15">
      <c r="G265" s="11">
        <v>264</v>
      </c>
      <c r="H265" s="10" t="s">
        <v>328</v>
      </c>
      <c r="I265" t="s">
        <v>878</v>
      </c>
      <c r="J265" t="s">
        <v>867</v>
      </c>
      <c r="K265">
        <v>2.41</v>
      </c>
      <c r="L265">
        <v>5.8</v>
      </c>
      <c r="M265">
        <v>13.17</v>
      </c>
      <c r="N265" s="20">
        <v>0</v>
      </c>
      <c r="O265">
        <v>62.59</v>
      </c>
      <c r="P265">
        <v>72.97</v>
      </c>
      <c r="Q265">
        <v>40.26</v>
      </c>
      <c r="R265" s="21">
        <v>761.33362999999997</v>
      </c>
    </row>
    <row r="266" spans="7:18" x14ac:dyDescent="0.15">
      <c r="G266" s="11">
        <v>265</v>
      </c>
      <c r="H266" s="10" t="s">
        <v>304</v>
      </c>
      <c r="I266" t="s">
        <v>887</v>
      </c>
      <c r="J266" t="s">
        <v>867</v>
      </c>
      <c r="K266">
        <v>3.32</v>
      </c>
      <c r="L266">
        <v>6.96</v>
      </c>
      <c r="M266">
        <v>9.67</v>
      </c>
      <c r="N266" s="20">
        <v>-0.15</v>
      </c>
      <c r="O266">
        <v>62.45</v>
      </c>
      <c r="P266">
        <v>51.07</v>
      </c>
      <c r="Q266">
        <v>62.16</v>
      </c>
      <c r="R266" s="21">
        <v>197.8550114</v>
      </c>
    </row>
    <row r="267" spans="7:18" x14ac:dyDescent="0.15">
      <c r="G267" s="11">
        <v>266</v>
      </c>
      <c r="H267" s="10" t="s">
        <v>1371</v>
      </c>
      <c r="I267" t="s">
        <v>1372</v>
      </c>
      <c r="J267" t="s">
        <v>1685</v>
      </c>
      <c r="K267">
        <v>0.45</v>
      </c>
      <c r="L267">
        <v>1.95</v>
      </c>
      <c r="M267">
        <v>10.09</v>
      </c>
      <c r="N267" s="20">
        <v>-0.12</v>
      </c>
      <c r="O267">
        <v>62.3</v>
      </c>
      <c r="P267">
        <v>56.33</v>
      </c>
      <c r="Q267">
        <v>56.76</v>
      </c>
      <c r="R267" s="21">
        <v>402.18119999999999</v>
      </c>
    </row>
    <row r="268" spans="7:18" x14ac:dyDescent="0.15">
      <c r="G268" s="11">
        <v>267</v>
      </c>
      <c r="H268" s="10" t="s">
        <v>454</v>
      </c>
      <c r="I268" t="s">
        <v>947</v>
      </c>
      <c r="J268" t="s">
        <v>867</v>
      </c>
      <c r="K268">
        <v>1.01</v>
      </c>
      <c r="L268">
        <v>2.4300000000000002</v>
      </c>
      <c r="M268">
        <v>8.68</v>
      </c>
      <c r="N268" s="20">
        <v>-0.2</v>
      </c>
      <c r="O268">
        <v>62.16</v>
      </c>
      <c r="P268">
        <v>44.38</v>
      </c>
      <c r="Q268">
        <v>68.709999999999994</v>
      </c>
      <c r="R268" s="21">
        <v>828.83068000000003</v>
      </c>
    </row>
    <row r="269" spans="7:18" x14ac:dyDescent="0.15">
      <c r="G269" s="11">
        <v>268</v>
      </c>
      <c r="H269" s="10" t="s">
        <v>695</v>
      </c>
      <c r="I269" t="s">
        <v>968</v>
      </c>
      <c r="J269" t="s">
        <v>867</v>
      </c>
      <c r="K269">
        <v>1.04</v>
      </c>
      <c r="L269">
        <v>3.3</v>
      </c>
      <c r="M269">
        <v>11.07</v>
      </c>
      <c r="N269" s="20">
        <v>-0.1</v>
      </c>
      <c r="O269">
        <v>62.02</v>
      </c>
      <c r="P269">
        <v>62.02</v>
      </c>
      <c r="Q269">
        <v>51.07</v>
      </c>
      <c r="R269" s="21">
        <v>1318.9671000000001</v>
      </c>
    </row>
    <row r="270" spans="7:18" x14ac:dyDescent="0.15">
      <c r="G270" s="11">
        <v>269</v>
      </c>
      <c r="H270" s="10" t="s">
        <v>533</v>
      </c>
      <c r="I270" t="s">
        <v>1300</v>
      </c>
      <c r="J270" t="s">
        <v>1285</v>
      </c>
      <c r="K270">
        <v>2.9</v>
      </c>
      <c r="L270">
        <v>-1.56</v>
      </c>
      <c r="M270">
        <v>6.67</v>
      </c>
      <c r="N270" s="20">
        <v>-0.33</v>
      </c>
      <c r="O270">
        <v>61.88</v>
      </c>
      <c r="P270">
        <v>31.72</v>
      </c>
      <c r="Q270">
        <v>81.37</v>
      </c>
      <c r="R270" s="21">
        <v>1925.7872</v>
      </c>
    </row>
    <row r="271" spans="7:18" x14ac:dyDescent="0.15">
      <c r="G271" s="11">
        <v>270</v>
      </c>
      <c r="H271" s="10" t="s">
        <v>431</v>
      </c>
      <c r="I271" t="s">
        <v>856</v>
      </c>
      <c r="J271" t="s">
        <v>830</v>
      </c>
      <c r="K271">
        <v>0.23</v>
      </c>
      <c r="L271">
        <v>-1.07</v>
      </c>
      <c r="M271">
        <v>8.31</v>
      </c>
      <c r="N271" s="20">
        <v>-0.21</v>
      </c>
      <c r="O271">
        <v>61.74</v>
      </c>
      <c r="P271">
        <v>40.83</v>
      </c>
      <c r="Q271">
        <v>71.55</v>
      </c>
      <c r="R271" s="21">
        <v>415.44650000000001</v>
      </c>
    </row>
    <row r="272" spans="7:18" x14ac:dyDescent="0.15">
      <c r="G272" s="11">
        <v>271</v>
      </c>
      <c r="H272" s="10" t="s">
        <v>1460</v>
      </c>
      <c r="I272" t="s">
        <v>1461</v>
      </c>
      <c r="J272" t="s">
        <v>1685</v>
      </c>
      <c r="K272">
        <v>4.9800000000000004</v>
      </c>
      <c r="L272">
        <v>7.39</v>
      </c>
      <c r="M272">
        <v>14.16</v>
      </c>
      <c r="N272" s="20">
        <v>0</v>
      </c>
      <c r="O272">
        <v>61.59</v>
      </c>
      <c r="P272">
        <v>77.099999999999994</v>
      </c>
      <c r="Q272">
        <v>35.14</v>
      </c>
      <c r="R272" s="21">
        <v>494.71701999999999</v>
      </c>
    </row>
    <row r="273" spans="7:18" x14ac:dyDescent="0.15">
      <c r="G273" s="11">
        <v>272</v>
      </c>
      <c r="H273" s="10" t="s">
        <v>578</v>
      </c>
      <c r="I273" t="s">
        <v>991</v>
      </c>
      <c r="J273" t="s">
        <v>867</v>
      </c>
      <c r="K273">
        <v>0.78</v>
      </c>
      <c r="L273">
        <v>3.07</v>
      </c>
      <c r="M273">
        <v>8.59</v>
      </c>
      <c r="N273" s="20">
        <v>-0.2</v>
      </c>
      <c r="O273">
        <v>61.45</v>
      </c>
      <c r="P273">
        <v>43.53</v>
      </c>
      <c r="Q273">
        <v>68.56</v>
      </c>
      <c r="R273" s="21">
        <v>882.67609000000004</v>
      </c>
    </row>
    <row r="274" spans="7:18" x14ac:dyDescent="0.15">
      <c r="G274" s="11">
        <v>273</v>
      </c>
      <c r="H274" s="10" t="s">
        <v>602</v>
      </c>
      <c r="I274" t="s">
        <v>917</v>
      </c>
      <c r="J274" t="s">
        <v>867</v>
      </c>
      <c r="K274">
        <v>0.64</v>
      </c>
      <c r="L274">
        <v>2.88</v>
      </c>
      <c r="M274">
        <v>7.69</v>
      </c>
      <c r="N274" s="20">
        <v>-0.25</v>
      </c>
      <c r="O274">
        <v>61.31</v>
      </c>
      <c r="P274">
        <v>36.42</v>
      </c>
      <c r="Q274">
        <v>75.25</v>
      </c>
      <c r="R274" s="21">
        <v>474.60610000000003</v>
      </c>
    </row>
    <row r="275" spans="7:18" x14ac:dyDescent="0.15">
      <c r="G275" s="11">
        <v>274</v>
      </c>
      <c r="H275" s="10" t="s">
        <v>538</v>
      </c>
      <c r="I275" t="s">
        <v>17</v>
      </c>
      <c r="J275" t="s">
        <v>1685</v>
      </c>
      <c r="K275">
        <v>0.18</v>
      </c>
      <c r="L275">
        <v>1.02</v>
      </c>
      <c r="M275">
        <v>2.59</v>
      </c>
      <c r="N275" s="20">
        <v>-0.57999999999999996</v>
      </c>
      <c r="O275">
        <v>61.17</v>
      </c>
      <c r="P275">
        <v>20.91</v>
      </c>
      <c r="Q275">
        <v>90.75</v>
      </c>
      <c r="R275" s="21">
        <v>21770.970700000002</v>
      </c>
    </row>
    <row r="276" spans="7:18" x14ac:dyDescent="0.15">
      <c r="G276" s="11">
        <v>275</v>
      </c>
      <c r="H276" s="10" t="s">
        <v>422</v>
      </c>
      <c r="I276" t="s">
        <v>895</v>
      </c>
      <c r="J276" t="s">
        <v>867</v>
      </c>
      <c r="K276">
        <v>0.2</v>
      </c>
      <c r="L276">
        <v>0.68</v>
      </c>
      <c r="M276">
        <v>4.96</v>
      </c>
      <c r="N276" s="20">
        <v>-0.41</v>
      </c>
      <c r="O276">
        <v>61.02</v>
      </c>
      <c r="P276">
        <v>25.75</v>
      </c>
      <c r="Q276">
        <v>85.21</v>
      </c>
      <c r="R276" s="21">
        <v>418.39</v>
      </c>
    </row>
    <row r="277" spans="7:18" x14ac:dyDescent="0.15">
      <c r="G277" s="11">
        <v>276</v>
      </c>
      <c r="H277" s="10" t="s">
        <v>687</v>
      </c>
      <c r="I277" t="s">
        <v>258</v>
      </c>
      <c r="J277" t="s">
        <v>867</v>
      </c>
      <c r="K277">
        <v>1.7</v>
      </c>
      <c r="L277">
        <v>3.14</v>
      </c>
      <c r="M277">
        <v>9.35</v>
      </c>
      <c r="N277" s="20">
        <v>-0.16</v>
      </c>
      <c r="O277">
        <v>60.88</v>
      </c>
      <c r="P277">
        <v>48.36</v>
      </c>
      <c r="Q277">
        <v>62.59</v>
      </c>
      <c r="R277" s="21">
        <v>4575.3555999999999</v>
      </c>
    </row>
    <row r="278" spans="7:18" x14ac:dyDescent="0.15">
      <c r="G278" s="11">
        <v>277</v>
      </c>
      <c r="H278" s="10" t="s">
        <v>475</v>
      </c>
      <c r="I278" t="s">
        <v>1115</v>
      </c>
      <c r="J278" t="s">
        <v>867</v>
      </c>
      <c r="K278">
        <v>1.21</v>
      </c>
      <c r="L278">
        <v>6.47</v>
      </c>
      <c r="M278">
        <v>13.55</v>
      </c>
      <c r="N278" s="20">
        <v>0</v>
      </c>
      <c r="O278">
        <v>60.74</v>
      </c>
      <c r="P278">
        <v>74.540000000000006</v>
      </c>
      <c r="Q278">
        <v>35.99</v>
      </c>
      <c r="R278" s="21">
        <v>9280.5069999999996</v>
      </c>
    </row>
    <row r="279" spans="7:18" x14ac:dyDescent="0.15">
      <c r="G279" s="11">
        <v>278</v>
      </c>
      <c r="H279" s="10" t="s">
        <v>638</v>
      </c>
      <c r="I279" t="s">
        <v>1103</v>
      </c>
      <c r="J279" t="s">
        <v>867</v>
      </c>
      <c r="K279">
        <v>5.26</v>
      </c>
      <c r="L279">
        <v>7.86</v>
      </c>
      <c r="M279">
        <v>18.79</v>
      </c>
      <c r="N279" s="20">
        <v>0.1</v>
      </c>
      <c r="O279">
        <v>60.6</v>
      </c>
      <c r="P279">
        <v>88.76</v>
      </c>
      <c r="Q279">
        <v>21.62</v>
      </c>
      <c r="R279" s="21">
        <v>18807.194100000001</v>
      </c>
    </row>
    <row r="280" spans="7:18" x14ac:dyDescent="0.15">
      <c r="G280" s="11">
        <v>279</v>
      </c>
      <c r="H280" s="10" t="s">
        <v>313</v>
      </c>
      <c r="I280" t="s">
        <v>1014</v>
      </c>
      <c r="J280" t="s">
        <v>867</v>
      </c>
      <c r="K280">
        <v>2.5099999999999998</v>
      </c>
      <c r="L280">
        <v>7.18</v>
      </c>
      <c r="M280">
        <v>12.69</v>
      </c>
      <c r="N280" s="20">
        <v>0</v>
      </c>
      <c r="O280">
        <v>60.46</v>
      </c>
      <c r="P280">
        <v>69.7</v>
      </c>
      <c r="Q280">
        <v>40.54</v>
      </c>
      <c r="R280" s="21">
        <v>5641.3004000000001</v>
      </c>
    </row>
    <row r="281" spans="7:18" x14ac:dyDescent="0.15">
      <c r="G281" s="11">
        <v>280</v>
      </c>
      <c r="H281" s="10" t="s">
        <v>1332</v>
      </c>
      <c r="I281" t="s">
        <v>1333</v>
      </c>
      <c r="J281" t="s">
        <v>1685</v>
      </c>
      <c r="K281">
        <v>1.71</v>
      </c>
      <c r="L281">
        <v>1.97</v>
      </c>
      <c r="M281">
        <v>5.31</v>
      </c>
      <c r="N281" s="20">
        <v>-0.36</v>
      </c>
      <c r="O281">
        <v>60.31</v>
      </c>
      <c r="P281">
        <v>26.88</v>
      </c>
      <c r="Q281">
        <v>83.21</v>
      </c>
      <c r="R281" s="21">
        <v>1292.4521</v>
      </c>
    </row>
    <row r="282" spans="7:18" x14ac:dyDescent="0.15">
      <c r="G282" s="11">
        <v>281</v>
      </c>
      <c r="H282" s="10" t="s">
        <v>386</v>
      </c>
      <c r="I282" t="s">
        <v>1262</v>
      </c>
      <c r="J282" t="s">
        <v>1248</v>
      </c>
      <c r="K282">
        <v>-0.3</v>
      </c>
      <c r="L282">
        <v>-0.27</v>
      </c>
      <c r="M282">
        <v>1.47</v>
      </c>
      <c r="N282" s="20">
        <v>-0.75</v>
      </c>
      <c r="O282">
        <v>60.17</v>
      </c>
      <c r="P282">
        <v>17.21</v>
      </c>
      <c r="Q282">
        <v>92.75</v>
      </c>
      <c r="R282" s="21">
        <v>38.4497</v>
      </c>
    </row>
    <row r="283" spans="7:18" x14ac:dyDescent="0.15">
      <c r="G283" s="11">
        <v>282</v>
      </c>
      <c r="H283" s="10" t="s">
        <v>316</v>
      </c>
      <c r="I283" t="s">
        <v>19</v>
      </c>
      <c r="J283" t="s">
        <v>865</v>
      </c>
      <c r="K283">
        <v>0.02</v>
      </c>
      <c r="L283">
        <v>0.05</v>
      </c>
      <c r="M283">
        <v>0.01</v>
      </c>
      <c r="N283" s="20">
        <v>-2.0699999999999998</v>
      </c>
      <c r="O283">
        <v>60.03</v>
      </c>
      <c r="P283">
        <v>12.38</v>
      </c>
      <c r="Q283">
        <v>97.58</v>
      </c>
      <c r="R283" s="21">
        <v>469.88256950000005</v>
      </c>
    </row>
    <row r="284" spans="7:18" x14ac:dyDescent="0.15">
      <c r="G284" s="11">
        <v>283</v>
      </c>
      <c r="H284" s="10" t="s">
        <v>1523</v>
      </c>
      <c r="I284" t="s">
        <v>1524</v>
      </c>
      <c r="J284" t="s">
        <v>1685</v>
      </c>
      <c r="K284">
        <v>2.0299999999999998</v>
      </c>
      <c r="L284">
        <v>4.5199999999999996</v>
      </c>
      <c r="M284">
        <v>9.91</v>
      </c>
      <c r="N284" s="20">
        <v>-0.12</v>
      </c>
      <c r="O284">
        <v>59.89</v>
      </c>
      <c r="P284">
        <v>53.63</v>
      </c>
      <c r="Q284">
        <v>56.19</v>
      </c>
      <c r="R284" s="21">
        <v>1388.9169674</v>
      </c>
    </row>
    <row r="285" spans="7:18" x14ac:dyDescent="0.15">
      <c r="G285" s="11">
        <v>284</v>
      </c>
      <c r="H285" s="10" t="s">
        <v>690</v>
      </c>
      <c r="I285" t="s">
        <v>1043</v>
      </c>
      <c r="J285" t="s">
        <v>867</v>
      </c>
      <c r="K285">
        <v>3.38</v>
      </c>
      <c r="L285">
        <v>4.8499999999999996</v>
      </c>
      <c r="M285">
        <v>14.05</v>
      </c>
      <c r="N285" s="20">
        <v>0</v>
      </c>
      <c r="O285">
        <v>59.74</v>
      </c>
      <c r="P285">
        <v>76.39</v>
      </c>
      <c r="Q285">
        <v>33.43</v>
      </c>
      <c r="R285" s="21">
        <v>2052.5859</v>
      </c>
    </row>
    <row r="286" spans="7:18" x14ac:dyDescent="0.15">
      <c r="G286" s="11">
        <v>285</v>
      </c>
      <c r="H286" s="10" t="s">
        <v>339</v>
      </c>
      <c r="I286" t="s">
        <v>999</v>
      </c>
      <c r="J286" t="s">
        <v>867</v>
      </c>
      <c r="K286">
        <v>5.43</v>
      </c>
      <c r="L286">
        <v>8.23</v>
      </c>
      <c r="M286">
        <v>17.75</v>
      </c>
      <c r="N286" s="20">
        <v>0.09</v>
      </c>
      <c r="O286">
        <v>59.6</v>
      </c>
      <c r="P286">
        <v>86.06</v>
      </c>
      <c r="Q286">
        <v>23.61</v>
      </c>
      <c r="R286" s="21">
        <v>2290.6723065000001</v>
      </c>
    </row>
    <row r="287" spans="7:18" x14ac:dyDescent="0.15">
      <c r="G287" s="11">
        <v>286</v>
      </c>
      <c r="H287" s="10" t="s">
        <v>289</v>
      </c>
      <c r="I287" t="s">
        <v>255</v>
      </c>
      <c r="J287" t="s">
        <v>1248</v>
      </c>
      <c r="K287">
        <v>-4.9800000000000004</v>
      </c>
      <c r="L287">
        <v>-8.1199999999999992</v>
      </c>
      <c r="M287">
        <v>1.4</v>
      </c>
      <c r="N287" s="20">
        <v>-0.72</v>
      </c>
      <c r="O287">
        <v>59.46</v>
      </c>
      <c r="P287">
        <v>17.07</v>
      </c>
      <c r="Q287">
        <v>92.46</v>
      </c>
      <c r="R287" s="21">
        <v>160.14847739999999</v>
      </c>
    </row>
    <row r="288" spans="7:18" x14ac:dyDescent="0.15">
      <c r="G288" s="11">
        <v>287</v>
      </c>
      <c r="H288" s="10" t="s">
        <v>565</v>
      </c>
      <c r="I288" t="s">
        <v>1244</v>
      </c>
      <c r="J288" t="s">
        <v>1239</v>
      </c>
      <c r="K288">
        <v>-0.82</v>
      </c>
      <c r="L288">
        <v>-0.3</v>
      </c>
      <c r="M288">
        <v>2.2999999999999998</v>
      </c>
      <c r="N288" s="20">
        <v>-0.56000000000000005</v>
      </c>
      <c r="O288">
        <v>59.32</v>
      </c>
      <c r="P288">
        <v>19.63</v>
      </c>
      <c r="Q288">
        <v>89.9</v>
      </c>
      <c r="R288" s="21">
        <v>49.700499999999998</v>
      </c>
    </row>
    <row r="289" spans="7:18" x14ac:dyDescent="0.15">
      <c r="G289" s="11">
        <v>288</v>
      </c>
      <c r="H289" s="10" t="s">
        <v>650</v>
      </c>
      <c r="I289" t="s">
        <v>958</v>
      </c>
      <c r="J289" t="s">
        <v>867</v>
      </c>
      <c r="K289">
        <v>2.2000000000000002</v>
      </c>
      <c r="L289">
        <v>4</v>
      </c>
      <c r="M289">
        <v>10.65</v>
      </c>
      <c r="N289" s="20">
        <v>-0.09</v>
      </c>
      <c r="O289">
        <v>59.17</v>
      </c>
      <c r="P289">
        <v>59.74</v>
      </c>
      <c r="Q289">
        <v>49.5</v>
      </c>
      <c r="R289" s="21">
        <v>2192.6001999999999</v>
      </c>
    </row>
    <row r="290" spans="7:18" x14ac:dyDescent="0.15">
      <c r="G290" s="11">
        <v>289</v>
      </c>
      <c r="H290" s="10" t="s">
        <v>375</v>
      </c>
      <c r="I290" t="s">
        <v>903</v>
      </c>
      <c r="J290" t="s">
        <v>867</v>
      </c>
      <c r="K290">
        <v>2.95</v>
      </c>
      <c r="L290">
        <v>6.16</v>
      </c>
      <c r="M290">
        <v>9.5</v>
      </c>
      <c r="N290" s="20">
        <v>-0.13</v>
      </c>
      <c r="O290">
        <v>59.03</v>
      </c>
      <c r="P290">
        <v>49.64</v>
      </c>
      <c r="Q290">
        <v>59.6</v>
      </c>
      <c r="R290" s="21">
        <v>651.32124400000009</v>
      </c>
    </row>
    <row r="291" spans="7:18" x14ac:dyDescent="0.15">
      <c r="G291" s="11">
        <v>290</v>
      </c>
      <c r="H291" s="10" t="s">
        <v>719</v>
      </c>
      <c r="I291" t="s">
        <v>1069</v>
      </c>
      <c r="J291" t="s">
        <v>867</v>
      </c>
      <c r="K291">
        <v>2.82</v>
      </c>
      <c r="L291">
        <v>4.7</v>
      </c>
      <c r="M291">
        <v>14.52</v>
      </c>
      <c r="N291" s="20">
        <v>0</v>
      </c>
      <c r="O291">
        <v>58.89</v>
      </c>
      <c r="P291">
        <v>78.239999999999995</v>
      </c>
      <c r="Q291">
        <v>30.73</v>
      </c>
      <c r="R291" s="21">
        <v>5131.7992000000004</v>
      </c>
    </row>
    <row r="292" spans="7:18" x14ac:dyDescent="0.15">
      <c r="G292" s="11">
        <v>291</v>
      </c>
      <c r="H292" s="10" t="s">
        <v>752</v>
      </c>
      <c r="I292" t="s">
        <v>924</v>
      </c>
      <c r="J292" t="s">
        <v>867</v>
      </c>
      <c r="K292">
        <v>0.84</v>
      </c>
      <c r="L292">
        <v>6.49</v>
      </c>
      <c r="M292">
        <v>13.8</v>
      </c>
      <c r="N292" s="20">
        <v>0</v>
      </c>
      <c r="O292">
        <v>58.75</v>
      </c>
      <c r="P292">
        <v>75.39</v>
      </c>
      <c r="Q292">
        <v>33.57</v>
      </c>
      <c r="R292" s="21">
        <v>504.85860000000002</v>
      </c>
    </row>
    <row r="293" spans="7:18" x14ac:dyDescent="0.15">
      <c r="G293" s="11">
        <v>292</v>
      </c>
      <c r="H293" s="10" t="s">
        <v>588</v>
      </c>
      <c r="I293" t="s">
        <v>989</v>
      </c>
      <c r="J293" t="s">
        <v>867</v>
      </c>
      <c r="K293">
        <v>-0.85</v>
      </c>
      <c r="L293">
        <v>1.65</v>
      </c>
      <c r="M293">
        <v>10.15</v>
      </c>
      <c r="N293" s="20">
        <v>-0.1</v>
      </c>
      <c r="O293">
        <v>58.61</v>
      </c>
      <c r="P293">
        <v>56.9</v>
      </c>
      <c r="Q293">
        <v>51.49</v>
      </c>
      <c r="R293" s="21">
        <v>1026.8891000000001</v>
      </c>
    </row>
    <row r="294" spans="7:18" x14ac:dyDescent="0.15">
      <c r="G294" s="11">
        <v>293</v>
      </c>
      <c r="H294" s="10" t="s">
        <v>393</v>
      </c>
      <c r="I294" t="s">
        <v>1064</v>
      </c>
      <c r="J294" t="s">
        <v>867</v>
      </c>
      <c r="K294">
        <v>2.1800000000000002</v>
      </c>
      <c r="L294">
        <v>5.9</v>
      </c>
      <c r="M294">
        <v>12.7</v>
      </c>
      <c r="N294" s="20">
        <v>0</v>
      </c>
      <c r="O294">
        <v>58.46</v>
      </c>
      <c r="P294">
        <v>69.84</v>
      </c>
      <c r="Q294">
        <v>38.119999999999997</v>
      </c>
      <c r="R294" s="21">
        <v>5067.6467200000006</v>
      </c>
    </row>
    <row r="295" spans="7:18" x14ac:dyDescent="0.15">
      <c r="G295" s="11">
        <v>294</v>
      </c>
      <c r="H295" s="10" t="s">
        <v>667</v>
      </c>
      <c r="I295" t="s">
        <v>990</v>
      </c>
      <c r="J295" t="s">
        <v>867</v>
      </c>
      <c r="K295">
        <v>0.34</v>
      </c>
      <c r="L295">
        <v>2</v>
      </c>
      <c r="M295">
        <v>7.96</v>
      </c>
      <c r="N295" s="20">
        <v>-0.21</v>
      </c>
      <c r="O295">
        <v>58.32</v>
      </c>
      <c r="P295">
        <v>37.840000000000003</v>
      </c>
      <c r="Q295">
        <v>69.989999999999995</v>
      </c>
      <c r="R295" s="21">
        <v>1027.5310999999999</v>
      </c>
    </row>
    <row r="296" spans="7:18" x14ac:dyDescent="0.15">
      <c r="G296" s="11">
        <v>295</v>
      </c>
      <c r="H296" s="10" t="s">
        <v>731</v>
      </c>
      <c r="I296" t="s">
        <v>1301</v>
      </c>
      <c r="J296" t="s">
        <v>1285</v>
      </c>
      <c r="K296">
        <v>4.18</v>
      </c>
      <c r="L296">
        <v>0.32</v>
      </c>
      <c r="M296">
        <v>20.440000000000001</v>
      </c>
      <c r="N296" s="20">
        <v>0.16</v>
      </c>
      <c r="O296">
        <v>58.18</v>
      </c>
      <c r="P296">
        <v>91.75</v>
      </c>
      <c r="Q296">
        <v>15.93</v>
      </c>
      <c r="R296" s="21">
        <v>29555.335999999999</v>
      </c>
    </row>
    <row r="297" spans="7:18" x14ac:dyDescent="0.15">
      <c r="G297" s="11">
        <v>296</v>
      </c>
      <c r="H297" s="10" t="s">
        <v>1613</v>
      </c>
      <c r="I297" t="s">
        <v>1614</v>
      </c>
      <c r="J297" t="s">
        <v>1685</v>
      </c>
      <c r="K297">
        <v>12.86</v>
      </c>
      <c r="L297">
        <v>9.66</v>
      </c>
      <c r="M297">
        <v>26.17</v>
      </c>
      <c r="N297" s="20">
        <v>0.31</v>
      </c>
      <c r="O297">
        <v>58.04</v>
      </c>
      <c r="P297">
        <v>96.87</v>
      </c>
      <c r="Q297">
        <v>10.81</v>
      </c>
      <c r="R297" s="21">
        <v>1818.1925000000001</v>
      </c>
    </row>
    <row r="298" spans="7:18" x14ac:dyDescent="0.15">
      <c r="G298" s="11">
        <v>297</v>
      </c>
      <c r="H298" s="10" t="s">
        <v>632</v>
      </c>
      <c r="I298" t="s">
        <v>1306</v>
      </c>
      <c r="J298" t="s">
        <v>1285</v>
      </c>
      <c r="K298">
        <v>4.1900000000000004</v>
      </c>
      <c r="L298">
        <v>0.43</v>
      </c>
      <c r="M298">
        <v>20.57</v>
      </c>
      <c r="N298" s="20">
        <v>0.16</v>
      </c>
      <c r="O298">
        <v>57.89</v>
      </c>
      <c r="P298">
        <v>91.89</v>
      </c>
      <c r="Q298">
        <v>15.65</v>
      </c>
      <c r="R298" s="21">
        <v>12037.05413</v>
      </c>
    </row>
    <row r="299" spans="7:18" x14ac:dyDescent="0.15">
      <c r="G299" s="11">
        <v>298</v>
      </c>
      <c r="H299" s="10" t="s">
        <v>1338</v>
      </c>
      <c r="I299" t="s">
        <v>1339</v>
      </c>
      <c r="J299" t="s">
        <v>1685</v>
      </c>
      <c r="K299">
        <v>5.27</v>
      </c>
      <c r="L299">
        <v>7.76</v>
      </c>
      <c r="M299">
        <v>18.27</v>
      </c>
      <c r="N299" s="20">
        <v>0.11</v>
      </c>
      <c r="O299">
        <v>57.75</v>
      </c>
      <c r="P299">
        <v>87.2</v>
      </c>
      <c r="Q299">
        <v>20.34</v>
      </c>
      <c r="R299" s="21">
        <v>2656.4527864000002</v>
      </c>
    </row>
    <row r="300" spans="7:18" x14ac:dyDescent="0.15">
      <c r="G300" s="11">
        <v>299</v>
      </c>
      <c r="H300" s="10" t="s">
        <v>1632</v>
      </c>
      <c r="I300" t="s">
        <v>1633</v>
      </c>
      <c r="J300" t="s">
        <v>1685</v>
      </c>
      <c r="K300">
        <v>1.23</v>
      </c>
      <c r="L300">
        <v>4.5999999999999996</v>
      </c>
      <c r="M300">
        <v>15.17</v>
      </c>
      <c r="N300" s="20">
        <v>0</v>
      </c>
      <c r="O300">
        <v>57.61</v>
      </c>
      <c r="P300">
        <v>80.37</v>
      </c>
      <c r="Q300">
        <v>27.03</v>
      </c>
      <c r="R300" s="21">
        <v>445.90390000000002</v>
      </c>
    </row>
    <row r="301" spans="7:18" x14ac:dyDescent="0.15">
      <c r="G301" s="11">
        <v>300</v>
      </c>
      <c r="H301" s="10" t="s">
        <v>469</v>
      </c>
      <c r="I301" t="s">
        <v>1468</v>
      </c>
      <c r="J301" t="s">
        <v>1685</v>
      </c>
      <c r="K301">
        <v>7.0000000000000007E-2</v>
      </c>
      <c r="L301">
        <v>0.12</v>
      </c>
      <c r="M301">
        <v>0.02</v>
      </c>
      <c r="N301" s="20">
        <v>-1.1399999999999999</v>
      </c>
      <c r="O301">
        <v>57.47</v>
      </c>
      <c r="P301">
        <v>12.52</v>
      </c>
      <c r="Q301">
        <v>94.88</v>
      </c>
      <c r="R301" s="21">
        <v>2471.6696999999999</v>
      </c>
    </row>
    <row r="302" spans="7:18" x14ac:dyDescent="0.15">
      <c r="G302" s="11">
        <v>301</v>
      </c>
      <c r="H302" s="10" t="s">
        <v>703</v>
      </c>
      <c r="I302" t="s">
        <v>980</v>
      </c>
      <c r="J302" t="s">
        <v>867</v>
      </c>
      <c r="K302">
        <v>2.13</v>
      </c>
      <c r="L302">
        <v>3.8</v>
      </c>
      <c r="M302">
        <v>8.52</v>
      </c>
      <c r="N302" s="20">
        <v>-0.16</v>
      </c>
      <c r="O302">
        <v>57.33</v>
      </c>
      <c r="P302">
        <v>42.67</v>
      </c>
      <c r="Q302">
        <v>64.72</v>
      </c>
      <c r="R302" s="21">
        <v>2082.9252999999999</v>
      </c>
    </row>
    <row r="303" spans="7:18" x14ac:dyDescent="0.15">
      <c r="G303" s="11">
        <v>302</v>
      </c>
      <c r="H303" s="10" t="s">
        <v>391</v>
      </c>
      <c r="I303" t="s">
        <v>929</v>
      </c>
      <c r="J303" t="s">
        <v>867</v>
      </c>
      <c r="K303">
        <v>2.46</v>
      </c>
      <c r="L303">
        <v>3.93</v>
      </c>
      <c r="M303">
        <v>8.69</v>
      </c>
      <c r="N303" s="20">
        <v>-0.16</v>
      </c>
      <c r="O303">
        <v>57.18</v>
      </c>
      <c r="P303">
        <v>44.52</v>
      </c>
      <c r="Q303">
        <v>62.87</v>
      </c>
      <c r="R303" s="21">
        <v>409.43040000000002</v>
      </c>
    </row>
    <row r="304" spans="7:18" x14ac:dyDescent="0.15">
      <c r="G304" s="11">
        <v>303</v>
      </c>
      <c r="H304" s="10" t="s">
        <v>720</v>
      </c>
      <c r="I304" t="s">
        <v>1109</v>
      </c>
      <c r="J304" t="s">
        <v>867</v>
      </c>
      <c r="K304">
        <v>0.81</v>
      </c>
      <c r="L304">
        <v>5.88</v>
      </c>
      <c r="M304">
        <v>13.21</v>
      </c>
      <c r="N304" s="20">
        <v>0</v>
      </c>
      <c r="O304">
        <v>57.04</v>
      </c>
      <c r="P304">
        <v>73.260000000000005</v>
      </c>
      <c r="Q304">
        <v>34</v>
      </c>
      <c r="R304" s="21">
        <v>9084.0935499999996</v>
      </c>
    </row>
    <row r="305" spans="7:18" x14ac:dyDescent="0.15">
      <c r="G305" s="11">
        <v>304</v>
      </c>
      <c r="H305" s="10" t="s">
        <v>320</v>
      </c>
      <c r="I305" t="s">
        <v>866</v>
      </c>
      <c r="J305" t="s">
        <v>865</v>
      </c>
      <c r="K305">
        <v>0</v>
      </c>
      <c r="L305">
        <v>0.11</v>
      </c>
      <c r="M305">
        <v>0.17</v>
      </c>
      <c r="N305" s="20">
        <v>-0.8</v>
      </c>
      <c r="O305">
        <v>56.9</v>
      </c>
      <c r="P305">
        <v>13.94</v>
      </c>
      <c r="Q305">
        <v>93.31</v>
      </c>
      <c r="R305" s="21">
        <v>0</v>
      </c>
    </row>
    <row r="306" spans="7:18" x14ac:dyDescent="0.15">
      <c r="G306" s="11">
        <v>305</v>
      </c>
      <c r="H306" s="10" t="s">
        <v>744</v>
      </c>
      <c r="I306" t="s">
        <v>1018</v>
      </c>
      <c r="J306" t="s">
        <v>867</v>
      </c>
      <c r="K306">
        <v>0.92</v>
      </c>
      <c r="L306">
        <v>5.99</v>
      </c>
      <c r="M306">
        <v>12.96</v>
      </c>
      <c r="N306" s="20">
        <v>0</v>
      </c>
      <c r="O306">
        <v>56.76</v>
      </c>
      <c r="P306">
        <v>72.12</v>
      </c>
      <c r="Q306">
        <v>34.71</v>
      </c>
      <c r="R306" s="21">
        <v>1497.0547999999999</v>
      </c>
    </row>
    <row r="307" spans="7:18" x14ac:dyDescent="0.15">
      <c r="G307" s="11">
        <v>306</v>
      </c>
      <c r="H307" s="10" t="s">
        <v>394</v>
      </c>
      <c r="I307" t="s">
        <v>976</v>
      </c>
      <c r="J307" t="s">
        <v>867</v>
      </c>
      <c r="K307">
        <v>1.47</v>
      </c>
      <c r="L307">
        <v>3.55</v>
      </c>
      <c r="M307">
        <v>8.41</v>
      </c>
      <c r="N307" s="20">
        <v>-0.17</v>
      </c>
      <c r="O307">
        <v>56.61</v>
      </c>
      <c r="P307">
        <v>41.39</v>
      </c>
      <c r="Q307">
        <v>65.430000000000007</v>
      </c>
      <c r="R307" s="21">
        <v>2004.4875999999999</v>
      </c>
    </row>
    <row r="308" spans="7:18" x14ac:dyDescent="0.15">
      <c r="G308" s="11">
        <v>307</v>
      </c>
      <c r="H308" s="10" t="s">
        <v>582</v>
      </c>
      <c r="I308" t="s">
        <v>1256</v>
      </c>
      <c r="J308" t="s">
        <v>1248</v>
      </c>
      <c r="K308">
        <v>5.15</v>
      </c>
      <c r="L308">
        <v>10.97</v>
      </c>
      <c r="M308">
        <v>28.33</v>
      </c>
      <c r="N308" s="20">
        <v>0.46</v>
      </c>
      <c r="O308">
        <v>56.47</v>
      </c>
      <c r="P308">
        <v>98.15</v>
      </c>
      <c r="Q308">
        <v>8.25</v>
      </c>
      <c r="R308" s="21">
        <v>284.92880000000002</v>
      </c>
    </row>
    <row r="309" spans="7:18" x14ac:dyDescent="0.15">
      <c r="G309" s="11">
        <v>308</v>
      </c>
      <c r="H309" s="10" t="s">
        <v>361</v>
      </c>
      <c r="I309" t="s">
        <v>1266</v>
      </c>
      <c r="J309" t="s">
        <v>1248</v>
      </c>
      <c r="K309">
        <v>5.16</v>
      </c>
      <c r="L309">
        <v>10.98</v>
      </c>
      <c r="M309">
        <v>28.35</v>
      </c>
      <c r="N309" s="20">
        <v>0.46</v>
      </c>
      <c r="O309">
        <v>56.33</v>
      </c>
      <c r="P309">
        <v>98.29</v>
      </c>
      <c r="Q309">
        <v>8.11</v>
      </c>
      <c r="R309" s="21">
        <v>1189.8377</v>
      </c>
    </row>
    <row r="310" spans="7:18" x14ac:dyDescent="0.15">
      <c r="G310" s="11">
        <v>309</v>
      </c>
      <c r="H310" s="10" t="s">
        <v>1493</v>
      </c>
      <c r="I310" t="s">
        <v>1494</v>
      </c>
      <c r="J310" t="s">
        <v>1685</v>
      </c>
      <c r="K310">
        <v>3.2</v>
      </c>
      <c r="L310">
        <v>4.5599999999999996</v>
      </c>
      <c r="M310">
        <v>13.79</v>
      </c>
      <c r="N310" s="20">
        <v>0</v>
      </c>
      <c r="O310">
        <v>56.19</v>
      </c>
      <c r="P310">
        <v>75.25</v>
      </c>
      <c r="Q310">
        <v>31.01</v>
      </c>
      <c r="R310" s="21">
        <v>199.7758</v>
      </c>
    </row>
    <row r="311" spans="7:18" x14ac:dyDescent="0.15">
      <c r="G311" s="11">
        <v>310</v>
      </c>
      <c r="H311" s="10" t="s">
        <v>1416</v>
      </c>
      <c r="I311" t="s">
        <v>1417</v>
      </c>
      <c r="J311" t="s">
        <v>1685</v>
      </c>
      <c r="K311">
        <v>0.36</v>
      </c>
      <c r="L311">
        <v>1.72</v>
      </c>
      <c r="M311">
        <v>6.93</v>
      </c>
      <c r="N311" s="20">
        <v>-0.23</v>
      </c>
      <c r="O311">
        <v>56.05</v>
      </c>
      <c r="P311">
        <v>32.43</v>
      </c>
      <c r="Q311">
        <v>73.400000000000006</v>
      </c>
      <c r="R311" s="21">
        <v>11672.972319</v>
      </c>
    </row>
    <row r="312" spans="7:18" x14ac:dyDescent="0.15">
      <c r="G312" s="11">
        <v>311</v>
      </c>
      <c r="H312" s="10" t="s">
        <v>709</v>
      </c>
      <c r="I312" t="s">
        <v>992</v>
      </c>
      <c r="J312" t="s">
        <v>867</v>
      </c>
      <c r="K312">
        <v>1.66</v>
      </c>
      <c r="L312">
        <v>3.39</v>
      </c>
      <c r="M312">
        <v>6.45</v>
      </c>
      <c r="N312" s="20">
        <v>-0.25</v>
      </c>
      <c r="O312">
        <v>55.9</v>
      </c>
      <c r="P312">
        <v>30.58</v>
      </c>
      <c r="Q312">
        <v>75.11</v>
      </c>
      <c r="R312" s="21">
        <v>824.178</v>
      </c>
    </row>
    <row r="313" spans="7:18" x14ac:dyDescent="0.15">
      <c r="G313" s="11">
        <v>312</v>
      </c>
      <c r="H313" s="10" t="s">
        <v>629</v>
      </c>
      <c r="I313" t="s">
        <v>908</v>
      </c>
      <c r="J313" t="s">
        <v>867</v>
      </c>
      <c r="K313">
        <v>2.0099999999999998</v>
      </c>
      <c r="L313">
        <v>2.35</v>
      </c>
      <c r="M313">
        <v>3.45</v>
      </c>
      <c r="N313" s="20">
        <v>-0.36</v>
      </c>
      <c r="O313">
        <v>55.76</v>
      </c>
      <c r="P313">
        <v>22.19</v>
      </c>
      <c r="Q313">
        <v>82.93</v>
      </c>
      <c r="R313" s="21">
        <v>1323.0563</v>
      </c>
    </row>
    <row r="314" spans="7:18" x14ac:dyDescent="0.15">
      <c r="G314" s="11">
        <v>313</v>
      </c>
      <c r="H314" s="10" t="s">
        <v>758</v>
      </c>
      <c r="I314" t="s">
        <v>1308</v>
      </c>
      <c r="J314" t="s">
        <v>1285</v>
      </c>
      <c r="K314">
        <v>2.75</v>
      </c>
      <c r="L314">
        <v>2.33</v>
      </c>
      <c r="M314">
        <v>10.029999999999999</v>
      </c>
      <c r="N314" s="20">
        <v>-0.09</v>
      </c>
      <c r="O314">
        <v>55.62</v>
      </c>
      <c r="P314">
        <v>54.77</v>
      </c>
      <c r="Q314">
        <v>50.21</v>
      </c>
      <c r="R314" s="21">
        <v>46491.133199999997</v>
      </c>
    </row>
    <row r="315" spans="7:18" x14ac:dyDescent="0.15">
      <c r="G315" s="11">
        <v>314</v>
      </c>
      <c r="H315" s="10" t="s">
        <v>660</v>
      </c>
      <c r="I315" t="s">
        <v>1077</v>
      </c>
      <c r="J315" t="s">
        <v>867</v>
      </c>
      <c r="K315">
        <v>0.76</v>
      </c>
      <c r="L315">
        <v>3.27</v>
      </c>
      <c r="M315">
        <v>8.76</v>
      </c>
      <c r="N315" s="20">
        <v>-0.13</v>
      </c>
      <c r="O315">
        <v>55.48</v>
      </c>
      <c r="P315">
        <v>45.38</v>
      </c>
      <c r="Q315">
        <v>59.17</v>
      </c>
      <c r="R315" s="21">
        <v>3776.9502000000002</v>
      </c>
    </row>
    <row r="316" spans="7:18" x14ac:dyDescent="0.15">
      <c r="G316" s="11">
        <v>315</v>
      </c>
      <c r="H316" s="10" t="s">
        <v>671</v>
      </c>
      <c r="I316" t="s">
        <v>1081</v>
      </c>
      <c r="J316" t="s">
        <v>867</v>
      </c>
      <c r="K316">
        <v>1.01</v>
      </c>
      <c r="L316">
        <v>1.1100000000000001</v>
      </c>
      <c r="M316">
        <v>6.92</v>
      </c>
      <c r="N316" s="20">
        <v>-0.22</v>
      </c>
      <c r="O316">
        <v>55.33</v>
      </c>
      <c r="P316">
        <v>32.29</v>
      </c>
      <c r="Q316">
        <v>72.260000000000005</v>
      </c>
      <c r="R316" s="21">
        <v>11766.095300000001</v>
      </c>
    </row>
    <row r="317" spans="7:18" x14ac:dyDescent="0.15">
      <c r="G317" s="11">
        <v>316</v>
      </c>
      <c r="H317" s="10" t="s">
        <v>758</v>
      </c>
      <c r="I317" t="s">
        <v>1163</v>
      </c>
      <c r="J317" t="s">
        <v>867</v>
      </c>
      <c r="K317">
        <v>2.75</v>
      </c>
      <c r="L317">
        <v>2.33</v>
      </c>
      <c r="M317">
        <v>10.029999999999999</v>
      </c>
      <c r="N317" s="20">
        <v>-0.09</v>
      </c>
      <c r="O317">
        <v>55.19</v>
      </c>
      <c r="P317">
        <v>54.62</v>
      </c>
      <c r="Q317">
        <v>49.79</v>
      </c>
      <c r="R317" s="21">
        <v>46491.133199999997</v>
      </c>
    </row>
    <row r="318" spans="7:18" x14ac:dyDescent="0.15">
      <c r="G318" s="11">
        <v>317</v>
      </c>
      <c r="H318" s="10" t="s">
        <v>702</v>
      </c>
      <c r="I318" t="s">
        <v>1269</v>
      </c>
      <c r="J318" t="s">
        <v>1248</v>
      </c>
      <c r="K318">
        <v>-0.55000000000000004</v>
      </c>
      <c r="L318">
        <v>-1.1499999999999999</v>
      </c>
      <c r="M318">
        <v>0.04</v>
      </c>
      <c r="N318" s="20">
        <v>-0.63</v>
      </c>
      <c r="O318">
        <v>55.05</v>
      </c>
      <c r="P318">
        <v>12.66</v>
      </c>
      <c r="Q318">
        <v>91.61</v>
      </c>
      <c r="R318" s="21">
        <v>634.34890199999995</v>
      </c>
    </row>
    <row r="319" spans="7:18" x14ac:dyDescent="0.15">
      <c r="G319" s="11">
        <v>318</v>
      </c>
      <c r="H319" s="10" t="s">
        <v>1450</v>
      </c>
      <c r="I319" t="s">
        <v>1451</v>
      </c>
      <c r="J319" t="s">
        <v>1685</v>
      </c>
      <c r="K319">
        <v>6.17</v>
      </c>
      <c r="L319">
        <v>8.19</v>
      </c>
      <c r="M319">
        <v>17.63</v>
      </c>
      <c r="N319" s="20">
        <v>0.12</v>
      </c>
      <c r="O319">
        <v>54.91</v>
      </c>
      <c r="P319">
        <v>85.49</v>
      </c>
      <c r="Q319">
        <v>18.78</v>
      </c>
      <c r="R319" s="21">
        <v>1563.2174908</v>
      </c>
    </row>
    <row r="320" spans="7:18" x14ac:dyDescent="0.15">
      <c r="G320" s="11">
        <v>319</v>
      </c>
      <c r="H320" s="10" t="s">
        <v>353</v>
      </c>
      <c r="I320" t="s">
        <v>1061</v>
      </c>
      <c r="J320" t="s">
        <v>867</v>
      </c>
      <c r="K320">
        <v>5.0199999999999996</v>
      </c>
      <c r="L320">
        <v>5.94</v>
      </c>
      <c r="M320">
        <v>14.01</v>
      </c>
      <c r="N320" s="20">
        <v>0</v>
      </c>
      <c r="O320">
        <v>54.77</v>
      </c>
      <c r="P320">
        <v>76.099999999999994</v>
      </c>
      <c r="Q320">
        <v>28.17</v>
      </c>
      <c r="R320" s="21">
        <v>4898.3234000000002</v>
      </c>
    </row>
    <row r="321" spans="7:18" x14ac:dyDescent="0.15">
      <c r="G321" s="11">
        <v>320</v>
      </c>
      <c r="H321" s="10" t="s">
        <v>655</v>
      </c>
      <c r="I321" t="s">
        <v>1087</v>
      </c>
      <c r="J321" t="s">
        <v>867</v>
      </c>
      <c r="K321">
        <v>0.67</v>
      </c>
      <c r="L321">
        <v>2.92</v>
      </c>
      <c r="M321">
        <v>8.26</v>
      </c>
      <c r="N321" s="20">
        <v>-0.16</v>
      </c>
      <c r="O321">
        <v>54.62</v>
      </c>
      <c r="P321">
        <v>40.26</v>
      </c>
      <c r="Q321">
        <v>63.87</v>
      </c>
      <c r="R321" s="21">
        <v>3611.6215999999999</v>
      </c>
    </row>
    <row r="322" spans="7:18" x14ac:dyDescent="0.15">
      <c r="G322" s="11">
        <v>321</v>
      </c>
      <c r="H322" s="10" t="s">
        <v>354</v>
      </c>
      <c r="I322" t="s">
        <v>1253</v>
      </c>
      <c r="J322" t="s">
        <v>1248</v>
      </c>
      <c r="K322">
        <v>5.97</v>
      </c>
      <c r="L322">
        <v>11.28</v>
      </c>
      <c r="M322">
        <v>27.43</v>
      </c>
      <c r="N322" s="20">
        <v>0.88</v>
      </c>
      <c r="O322">
        <v>54.48</v>
      </c>
      <c r="P322">
        <v>97.3</v>
      </c>
      <c r="Q322">
        <v>6.54</v>
      </c>
      <c r="R322" s="21">
        <v>257.66222799999997</v>
      </c>
    </row>
    <row r="323" spans="7:18" x14ac:dyDescent="0.15">
      <c r="G323" s="11">
        <v>322</v>
      </c>
      <c r="H323" s="10" t="s">
        <v>595</v>
      </c>
      <c r="I323" t="s">
        <v>1079</v>
      </c>
      <c r="J323" t="s">
        <v>867</v>
      </c>
      <c r="K323">
        <v>2.2999999999999998</v>
      </c>
      <c r="L323">
        <v>4.28</v>
      </c>
      <c r="M323">
        <v>12.46</v>
      </c>
      <c r="N323" s="20">
        <v>0</v>
      </c>
      <c r="O323">
        <v>54.34</v>
      </c>
      <c r="P323">
        <v>68.28</v>
      </c>
      <c r="Q323">
        <v>35.56</v>
      </c>
      <c r="R323" s="21">
        <v>4009.6632</v>
      </c>
    </row>
    <row r="324" spans="7:18" x14ac:dyDescent="0.15">
      <c r="G324" s="11">
        <v>323</v>
      </c>
      <c r="H324" s="10" t="s">
        <v>1406</v>
      </c>
      <c r="I324" t="s">
        <v>1407</v>
      </c>
      <c r="J324" t="s">
        <v>1685</v>
      </c>
      <c r="K324">
        <v>1.25</v>
      </c>
      <c r="L324">
        <v>6.61</v>
      </c>
      <c r="M324">
        <v>13.91</v>
      </c>
      <c r="N324" s="20">
        <v>0</v>
      </c>
      <c r="O324">
        <v>54.2</v>
      </c>
      <c r="P324">
        <v>75.819999999999993</v>
      </c>
      <c r="Q324">
        <v>28.02</v>
      </c>
      <c r="R324" s="21">
        <v>3794.6094281000005</v>
      </c>
    </row>
    <row r="325" spans="7:18" x14ac:dyDescent="0.15">
      <c r="G325" s="11">
        <v>324</v>
      </c>
      <c r="H325" s="10" t="s">
        <v>1622</v>
      </c>
      <c r="I325" t="s">
        <v>1623</v>
      </c>
      <c r="J325" t="s">
        <v>1685</v>
      </c>
      <c r="K325">
        <v>-1.38</v>
      </c>
      <c r="L325">
        <v>-1.82</v>
      </c>
      <c r="M325">
        <v>-0.5</v>
      </c>
      <c r="N325" s="20">
        <v>-0.87</v>
      </c>
      <c r="O325">
        <v>54.05</v>
      </c>
      <c r="P325">
        <v>9.67</v>
      </c>
      <c r="Q325">
        <v>94.03</v>
      </c>
      <c r="R325" s="21">
        <v>25.492339999999999</v>
      </c>
    </row>
    <row r="326" spans="7:18" x14ac:dyDescent="0.15">
      <c r="G326" s="11">
        <v>325</v>
      </c>
      <c r="H326" s="10" t="s">
        <v>746</v>
      </c>
      <c r="I326" t="s">
        <v>970</v>
      </c>
      <c r="J326" t="s">
        <v>867</v>
      </c>
      <c r="K326">
        <v>1.77</v>
      </c>
      <c r="L326">
        <v>6.38</v>
      </c>
      <c r="M326">
        <v>12.61</v>
      </c>
      <c r="N326" s="20">
        <v>0</v>
      </c>
      <c r="O326">
        <v>53.91</v>
      </c>
      <c r="P326">
        <v>69.27</v>
      </c>
      <c r="Q326">
        <v>34.42</v>
      </c>
      <c r="R326" s="21">
        <v>1259.2104999999999</v>
      </c>
    </row>
    <row r="327" spans="7:18" x14ac:dyDescent="0.15">
      <c r="G327" s="11">
        <v>326</v>
      </c>
      <c r="H327" s="10" t="s">
        <v>1593</v>
      </c>
      <c r="I327" t="s">
        <v>1594</v>
      </c>
      <c r="J327" t="s">
        <v>1685</v>
      </c>
      <c r="K327">
        <v>4.3600000000000003</v>
      </c>
      <c r="L327">
        <v>0.94</v>
      </c>
      <c r="M327">
        <v>21.94</v>
      </c>
      <c r="N327" s="20">
        <v>0.4</v>
      </c>
      <c r="O327">
        <v>53.77</v>
      </c>
      <c r="P327">
        <v>93.88</v>
      </c>
      <c r="Q327">
        <v>9.67</v>
      </c>
      <c r="R327" s="21">
        <v>24620.177899999999</v>
      </c>
    </row>
    <row r="328" spans="7:18" x14ac:dyDescent="0.15">
      <c r="G328" s="11">
        <v>327</v>
      </c>
      <c r="H328" s="10" t="s">
        <v>504</v>
      </c>
      <c r="I328" t="s">
        <v>28</v>
      </c>
      <c r="J328" t="s">
        <v>1210</v>
      </c>
      <c r="K328">
        <v>-8.35</v>
      </c>
      <c r="L328">
        <v>-10.72</v>
      </c>
      <c r="M328">
        <v>-2.62</v>
      </c>
      <c r="N328" s="20">
        <v>-2.23</v>
      </c>
      <c r="O328">
        <v>53.63</v>
      </c>
      <c r="P328">
        <v>5.55</v>
      </c>
      <c r="Q328">
        <v>97.87</v>
      </c>
      <c r="R328" s="21">
        <v>607.50460410000005</v>
      </c>
    </row>
    <row r="329" spans="7:18" x14ac:dyDescent="0.15">
      <c r="G329" s="11">
        <v>328</v>
      </c>
      <c r="H329" s="10" t="s">
        <v>1537</v>
      </c>
      <c r="I329" t="s">
        <v>1538</v>
      </c>
      <c r="J329" t="s">
        <v>1685</v>
      </c>
      <c r="K329">
        <v>1.92</v>
      </c>
      <c r="L329">
        <v>2.4700000000000002</v>
      </c>
      <c r="M329">
        <v>9.35</v>
      </c>
      <c r="N329" s="20">
        <v>-0.11</v>
      </c>
      <c r="O329">
        <v>53.49</v>
      </c>
      <c r="P329">
        <v>48.08</v>
      </c>
      <c r="Q329">
        <v>54.91</v>
      </c>
      <c r="R329" s="21">
        <v>70.293700000000001</v>
      </c>
    </row>
    <row r="330" spans="7:18" x14ac:dyDescent="0.15">
      <c r="G330" s="11">
        <v>329</v>
      </c>
      <c r="H330" s="10" t="s">
        <v>363</v>
      </c>
      <c r="I330" t="s">
        <v>1062</v>
      </c>
      <c r="J330" t="s">
        <v>867</v>
      </c>
      <c r="K330">
        <v>-0.56000000000000005</v>
      </c>
      <c r="L330">
        <v>2.19</v>
      </c>
      <c r="M330">
        <v>9.7899999999999991</v>
      </c>
      <c r="N330" s="20">
        <v>-0.09</v>
      </c>
      <c r="O330">
        <v>53.34</v>
      </c>
      <c r="P330">
        <v>52.92</v>
      </c>
      <c r="Q330">
        <v>49.93</v>
      </c>
      <c r="R330" s="21">
        <v>3069.77016</v>
      </c>
    </row>
    <row r="331" spans="7:18" x14ac:dyDescent="0.15">
      <c r="G331" s="11">
        <v>330</v>
      </c>
      <c r="H331" s="10" t="s">
        <v>282</v>
      </c>
      <c r="I331" t="s">
        <v>26</v>
      </c>
      <c r="J331" t="s">
        <v>1210</v>
      </c>
      <c r="K331">
        <v>-7</v>
      </c>
      <c r="L331">
        <v>-9.35</v>
      </c>
      <c r="M331">
        <v>-2.2400000000000002</v>
      </c>
      <c r="N331" s="20">
        <v>-1.6</v>
      </c>
      <c r="O331">
        <v>53.2</v>
      </c>
      <c r="P331">
        <v>6.12</v>
      </c>
      <c r="Q331">
        <v>96.59</v>
      </c>
      <c r="R331" s="21">
        <v>53.902738800000002</v>
      </c>
    </row>
    <row r="332" spans="7:18" x14ac:dyDescent="0.15">
      <c r="G332" s="11">
        <v>331</v>
      </c>
      <c r="H332" s="10" t="s">
        <v>609</v>
      </c>
      <c r="I332" t="s">
        <v>1104</v>
      </c>
      <c r="J332" t="s">
        <v>867</v>
      </c>
      <c r="K332">
        <v>-0.24</v>
      </c>
      <c r="L332">
        <v>1.01</v>
      </c>
      <c r="M332">
        <v>5.93</v>
      </c>
      <c r="N332" s="20">
        <v>-0.23</v>
      </c>
      <c r="O332">
        <v>53.06</v>
      </c>
      <c r="P332">
        <v>29.02</v>
      </c>
      <c r="Q332">
        <v>73.680000000000007</v>
      </c>
      <c r="R332" s="21">
        <v>12867.529200000001</v>
      </c>
    </row>
    <row r="333" spans="7:18" x14ac:dyDescent="0.15">
      <c r="G333" s="11">
        <v>332</v>
      </c>
      <c r="H333" s="10" t="s">
        <v>657</v>
      </c>
      <c r="I333" t="s">
        <v>1149</v>
      </c>
      <c r="J333" t="s">
        <v>867</v>
      </c>
      <c r="K333">
        <v>2.41</v>
      </c>
      <c r="L333">
        <v>4.32</v>
      </c>
      <c r="M333">
        <v>9.7100000000000009</v>
      </c>
      <c r="N333" s="20">
        <v>-0.1</v>
      </c>
      <c r="O333">
        <v>52.92</v>
      </c>
      <c r="P333">
        <v>51.78</v>
      </c>
      <c r="Q333">
        <v>50.92</v>
      </c>
      <c r="R333" s="21">
        <v>11942.6756</v>
      </c>
    </row>
    <row r="334" spans="7:18" x14ac:dyDescent="0.15">
      <c r="G334" s="11">
        <v>333</v>
      </c>
      <c r="H334" s="10" t="s">
        <v>283</v>
      </c>
      <c r="I334" t="s">
        <v>20</v>
      </c>
      <c r="J334" t="s">
        <v>1210</v>
      </c>
      <c r="K334">
        <v>-7.76</v>
      </c>
      <c r="L334">
        <v>-10.050000000000001</v>
      </c>
      <c r="M334">
        <v>-3.55</v>
      </c>
      <c r="N334" s="20">
        <v>-2.0499999999999998</v>
      </c>
      <c r="O334">
        <v>52.77</v>
      </c>
      <c r="P334">
        <v>4.84</v>
      </c>
      <c r="Q334">
        <v>97.44</v>
      </c>
      <c r="R334" s="21">
        <v>237.48497000000003</v>
      </c>
    </row>
    <row r="335" spans="7:18" x14ac:dyDescent="0.15">
      <c r="G335" s="11">
        <v>334</v>
      </c>
      <c r="H335" s="10" t="s">
        <v>1676</v>
      </c>
      <c r="I335" t="s">
        <v>1677</v>
      </c>
      <c r="J335" t="s">
        <v>1685</v>
      </c>
      <c r="K335">
        <v>4.83</v>
      </c>
      <c r="L335">
        <v>8.7899999999999991</v>
      </c>
      <c r="M335">
        <v>10.99</v>
      </c>
      <c r="N335" s="20">
        <v>0</v>
      </c>
      <c r="O335">
        <v>52.63</v>
      </c>
      <c r="P335">
        <v>61.17</v>
      </c>
      <c r="Q335">
        <v>41.11</v>
      </c>
      <c r="R335" s="21">
        <v>2274.4095000000002</v>
      </c>
    </row>
    <row r="336" spans="7:18" x14ac:dyDescent="0.15">
      <c r="G336" s="11">
        <v>335</v>
      </c>
      <c r="H336" s="10" t="s">
        <v>586</v>
      </c>
      <c r="I336" t="s">
        <v>1112</v>
      </c>
      <c r="J336" t="s">
        <v>867</v>
      </c>
      <c r="K336">
        <v>1.34</v>
      </c>
      <c r="L336">
        <v>2.65</v>
      </c>
      <c r="M336">
        <v>6.52</v>
      </c>
      <c r="N336" s="20">
        <v>-0.21</v>
      </c>
      <c r="O336">
        <v>52.49</v>
      </c>
      <c r="P336">
        <v>31.15</v>
      </c>
      <c r="Q336">
        <v>71.12</v>
      </c>
      <c r="R336" s="21">
        <v>9047.8374000000003</v>
      </c>
    </row>
    <row r="337" spans="7:18" x14ac:dyDescent="0.15">
      <c r="G337" s="11">
        <v>336</v>
      </c>
      <c r="H337" s="10" t="s">
        <v>284</v>
      </c>
      <c r="I337" t="s">
        <v>24</v>
      </c>
      <c r="J337" t="s">
        <v>1210</v>
      </c>
      <c r="K337">
        <v>-9.77</v>
      </c>
      <c r="L337">
        <v>-16.34</v>
      </c>
      <c r="M337">
        <v>-8.3699999999999992</v>
      </c>
      <c r="N337" s="20">
        <v>-3.4</v>
      </c>
      <c r="O337">
        <v>52.35</v>
      </c>
      <c r="P337">
        <v>3.56</v>
      </c>
      <c r="Q337">
        <v>98.58</v>
      </c>
      <c r="R337" s="21">
        <v>279.376261</v>
      </c>
    </row>
    <row r="338" spans="7:18" x14ac:dyDescent="0.15">
      <c r="G338" s="11">
        <v>337</v>
      </c>
      <c r="H338" s="10" t="s">
        <v>1563</v>
      </c>
      <c r="I338" t="s">
        <v>1564</v>
      </c>
      <c r="J338" t="s">
        <v>1685</v>
      </c>
      <c r="K338">
        <v>1.9</v>
      </c>
      <c r="L338">
        <v>1.06</v>
      </c>
      <c r="M338">
        <v>9.07</v>
      </c>
      <c r="N338" s="20">
        <v>-0.11</v>
      </c>
      <c r="O338">
        <v>52.2</v>
      </c>
      <c r="P338">
        <v>46.8</v>
      </c>
      <c r="Q338">
        <v>55.33</v>
      </c>
      <c r="R338" s="21">
        <v>450.04719999999998</v>
      </c>
    </row>
    <row r="339" spans="7:18" x14ac:dyDescent="0.15">
      <c r="G339" s="11">
        <v>338</v>
      </c>
      <c r="H339" s="10" t="s">
        <v>379</v>
      </c>
      <c r="I339" t="s">
        <v>870</v>
      </c>
      <c r="J339" t="s">
        <v>867</v>
      </c>
      <c r="K339">
        <v>1.93</v>
      </c>
      <c r="L339">
        <v>3.99</v>
      </c>
      <c r="M339">
        <v>9.1999999999999993</v>
      </c>
      <c r="N339" s="20">
        <v>-0.11</v>
      </c>
      <c r="O339">
        <v>52.06</v>
      </c>
      <c r="P339">
        <v>47.37</v>
      </c>
      <c r="Q339">
        <v>54.62</v>
      </c>
      <c r="R339" s="21">
        <v>5.1016000000000004</v>
      </c>
    </row>
    <row r="340" spans="7:18" x14ac:dyDescent="0.15">
      <c r="G340" s="11">
        <v>339</v>
      </c>
      <c r="H340" s="10" t="s">
        <v>503</v>
      </c>
      <c r="I340" t="s">
        <v>950</v>
      </c>
      <c r="J340" t="s">
        <v>867</v>
      </c>
      <c r="K340">
        <v>1.47</v>
      </c>
      <c r="L340">
        <v>6.87</v>
      </c>
      <c r="M340">
        <v>12.09</v>
      </c>
      <c r="N340" s="20">
        <v>0</v>
      </c>
      <c r="O340">
        <v>51.92</v>
      </c>
      <c r="P340">
        <v>66.86</v>
      </c>
      <c r="Q340">
        <v>34.99</v>
      </c>
      <c r="R340" s="21">
        <v>767.70905000000005</v>
      </c>
    </row>
    <row r="341" spans="7:18" x14ac:dyDescent="0.15">
      <c r="G341" s="11">
        <v>340</v>
      </c>
      <c r="H341" s="10" t="s">
        <v>1656</v>
      </c>
      <c r="I341" t="s">
        <v>1657</v>
      </c>
      <c r="J341" t="s">
        <v>1685</v>
      </c>
      <c r="K341">
        <v>5.97</v>
      </c>
      <c r="L341">
        <v>9.09</v>
      </c>
      <c r="M341">
        <v>16.5</v>
      </c>
      <c r="N341" s="20">
        <v>0.12</v>
      </c>
      <c r="O341">
        <v>51.78</v>
      </c>
      <c r="P341">
        <v>83.21</v>
      </c>
      <c r="Q341">
        <v>18.63</v>
      </c>
      <c r="R341" s="21">
        <v>170.7979</v>
      </c>
    </row>
    <row r="342" spans="7:18" x14ac:dyDescent="0.15">
      <c r="G342" s="11">
        <v>341</v>
      </c>
      <c r="H342" s="10" t="s">
        <v>312</v>
      </c>
      <c r="I342" t="s">
        <v>1346</v>
      </c>
      <c r="J342" t="s">
        <v>1685</v>
      </c>
      <c r="K342">
        <v>0.03</v>
      </c>
      <c r="L342">
        <v>0.09</v>
      </c>
      <c r="M342">
        <v>0.12</v>
      </c>
      <c r="N342" s="20">
        <v>-0.49</v>
      </c>
      <c r="O342">
        <v>51.64</v>
      </c>
      <c r="P342">
        <v>13.51</v>
      </c>
      <c r="Q342">
        <v>88.19</v>
      </c>
      <c r="R342" s="21">
        <v>862.78770999999995</v>
      </c>
    </row>
    <row r="343" spans="7:18" x14ac:dyDescent="0.15">
      <c r="G343" s="11">
        <v>342</v>
      </c>
      <c r="H343" s="10" t="s">
        <v>771</v>
      </c>
      <c r="I343" t="s">
        <v>1211</v>
      </c>
      <c r="J343" t="s">
        <v>1210</v>
      </c>
      <c r="K343">
        <v>-12.78</v>
      </c>
      <c r="L343">
        <v>-20</v>
      </c>
      <c r="M343">
        <v>-10.039999999999999</v>
      </c>
      <c r="N343" s="20">
        <v>-3.23</v>
      </c>
      <c r="O343">
        <v>51.49</v>
      </c>
      <c r="P343">
        <v>3.13</v>
      </c>
      <c r="Q343">
        <v>98.44</v>
      </c>
      <c r="R343" s="21">
        <v>1195.0053425000001</v>
      </c>
    </row>
    <row r="344" spans="7:18" x14ac:dyDescent="0.15">
      <c r="G344" s="11">
        <v>343</v>
      </c>
      <c r="H344" s="10" t="s">
        <v>645</v>
      </c>
      <c r="I344" t="s">
        <v>1162</v>
      </c>
      <c r="J344" t="s">
        <v>867</v>
      </c>
      <c r="K344">
        <v>2.2799999999999998</v>
      </c>
      <c r="L344">
        <v>4.08</v>
      </c>
      <c r="M344">
        <v>9.1300000000000008</v>
      </c>
      <c r="N344" s="20">
        <v>-0.11</v>
      </c>
      <c r="O344">
        <v>51.35</v>
      </c>
      <c r="P344">
        <v>47.23</v>
      </c>
      <c r="Q344">
        <v>54.34</v>
      </c>
      <c r="R344" s="21">
        <v>41353.102947600004</v>
      </c>
    </row>
    <row r="345" spans="7:18" x14ac:dyDescent="0.15">
      <c r="G345" s="11">
        <v>344</v>
      </c>
      <c r="H345" s="10" t="s">
        <v>369</v>
      </c>
      <c r="I345" t="s">
        <v>1125</v>
      </c>
      <c r="J345" t="s">
        <v>867</v>
      </c>
      <c r="K345">
        <v>5.44</v>
      </c>
      <c r="L345">
        <v>8.3000000000000007</v>
      </c>
      <c r="M345">
        <v>17.86</v>
      </c>
      <c r="N345" s="20">
        <v>0.18</v>
      </c>
      <c r="O345">
        <v>51.21</v>
      </c>
      <c r="P345">
        <v>86.34</v>
      </c>
      <c r="Q345">
        <v>15.08</v>
      </c>
      <c r="R345" s="21">
        <v>88619.943100000004</v>
      </c>
    </row>
    <row r="346" spans="7:18" x14ac:dyDescent="0.15">
      <c r="G346" s="11">
        <v>345</v>
      </c>
      <c r="H346" s="10" t="s">
        <v>621</v>
      </c>
      <c r="I346" t="s">
        <v>1009</v>
      </c>
      <c r="J346" t="s">
        <v>867</v>
      </c>
      <c r="K346">
        <v>3.03</v>
      </c>
      <c r="L346">
        <v>5.77</v>
      </c>
      <c r="M346">
        <v>16.27</v>
      </c>
      <c r="N346" s="20">
        <v>0.12</v>
      </c>
      <c r="O346">
        <v>51.07</v>
      </c>
      <c r="P346">
        <v>82.79</v>
      </c>
      <c r="Q346">
        <v>18.350000000000001</v>
      </c>
      <c r="R346" s="21">
        <v>1666.8770999999999</v>
      </c>
    </row>
    <row r="347" spans="7:18" x14ac:dyDescent="0.15">
      <c r="G347" s="11">
        <v>346</v>
      </c>
      <c r="H347" s="10" t="s">
        <v>1388</v>
      </c>
      <c r="I347" t="s">
        <v>1389</v>
      </c>
      <c r="J347" t="s">
        <v>1685</v>
      </c>
      <c r="K347">
        <v>1.69</v>
      </c>
      <c r="L347">
        <v>1.89</v>
      </c>
      <c r="M347">
        <v>5.23</v>
      </c>
      <c r="N347" s="20">
        <v>-0.24</v>
      </c>
      <c r="O347">
        <v>50.92</v>
      </c>
      <c r="P347">
        <v>26.17</v>
      </c>
      <c r="Q347">
        <v>74.680000000000007</v>
      </c>
      <c r="R347" s="21">
        <v>246.8203</v>
      </c>
    </row>
    <row r="348" spans="7:18" x14ac:dyDescent="0.15">
      <c r="G348" s="11">
        <v>347</v>
      </c>
      <c r="H348" s="10" t="s">
        <v>589</v>
      </c>
      <c r="I348" t="s">
        <v>1031</v>
      </c>
      <c r="J348" t="s">
        <v>867</v>
      </c>
      <c r="K348">
        <v>-1.47</v>
      </c>
      <c r="L348">
        <v>-0.44</v>
      </c>
      <c r="M348">
        <v>4.55</v>
      </c>
      <c r="N348" s="20">
        <v>-0.26</v>
      </c>
      <c r="O348">
        <v>50.78</v>
      </c>
      <c r="P348">
        <v>24.75</v>
      </c>
      <c r="Q348">
        <v>76.099999999999994</v>
      </c>
      <c r="R348" s="21">
        <v>2202.8253</v>
      </c>
    </row>
    <row r="349" spans="7:18" x14ac:dyDescent="0.15">
      <c r="G349" s="11">
        <v>348</v>
      </c>
      <c r="H349" s="10" t="s">
        <v>297</v>
      </c>
      <c r="I349" t="s">
        <v>1264</v>
      </c>
      <c r="J349" t="s">
        <v>1248</v>
      </c>
      <c r="K349">
        <v>-4.84</v>
      </c>
      <c r="L349">
        <v>-9.77</v>
      </c>
      <c r="M349">
        <v>-1.31</v>
      </c>
      <c r="N349" s="20">
        <v>-0.77</v>
      </c>
      <c r="O349">
        <v>50.64</v>
      </c>
      <c r="P349">
        <v>7.68</v>
      </c>
      <c r="Q349">
        <v>93.03</v>
      </c>
      <c r="R349" s="21">
        <v>340.4847034</v>
      </c>
    </row>
    <row r="350" spans="7:18" x14ac:dyDescent="0.15">
      <c r="G350" s="11">
        <v>349</v>
      </c>
      <c r="H350" s="10" t="s">
        <v>492</v>
      </c>
      <c r="I350" t="s">
        <v>1133</v>
      </c>
      <c r="J350" t="s">
        <v>867</v>
      </c>
      <c r="K350">
        <v>3.13</v>
      </c>
      <c r="L350">
        <v>1.57</v>
      </c>
      <c r="M350">
        <v>7.07</v>
      </c>
      <c r="N350" s="20">
        <v>-0.19</v>
      </c>
      <c r="O350">
        <v>50.5</v>
      </c>
      <c r="P350">
        <v>33</v>
      </c>
      <c r="Q350">
        <v>67.709999999999994</v>
      </c>
      <c r="R350" s="21">
        <v>13978.1402</v>
      </c>
    </row>
    <row r="351" spans="7:18" x14ac:dyDescent="0.15">
      <c r="G351" s="11">
        <v>350</v>
      </c>
      <c r="H351" s="10" t="s">
        <v>285</v>
      </c>
      <c r="I351" t="s">
        <v>1212</v>
      </c>
      <c r="J351" t="s">
        <v>1210</v>
      </c>
      <c r="K351">
        <v>-15.32</v>
      </c>
      <c r="L351">
        <v>-22.85</v>
      </c>
      <c r="M351">
        <v>-9.69</v>
      </c>
      <c r="N351" s="20">
        <v>-2.04</v>
      </c>
      <c r="O351">
        <v>50.36</v>
      </c>
      <c r="P351">
        <v>3.27</v>
      </c>
      <c r="Q351">
        <v>97.3</v>
      </c>
      <c r="R351" s="21">
        <v>14135.7903486</v>
      </c>
    </row>
    <row r="352" spans="7:18" x14ac:dyDescent="0.15">
      <c r="G352" s="11">
        <v>351</v>
      </c>
      <c r="H352" s="10" t="s">
        <v>741</v>
      </c>
      <c r="I352" t="s">
        <v>944</v>
      </c>
      <c r="J352" t="s">
        <v>867</v>
      </c>
      <c r="K352">
        <v>0.86</v>
      </c>
      <c r="L352">
        <v>5.85</v>
      </c>
      <c r="M352">
        <v>12.64</v>
      </c>
      <c r="N352" s="20">
        <v>0</v>
      </c>
      <c r="O352">
        <v>50.21</v>
      </c>
      <c r="P352">
        <v>69.42</v>
      </c>
      <c r="Q352">
        <v>30.87</v>
      </c>
      <c r="R352" s="21">
        <v>331.50670000000002</v>
      </c>
    </row>
    <row r="353" spans="7:18" x14ac:dyDescent="0.15">
      <c r="G353" s="11">
        <v>352</v>
      </c>
      <c r="H353" s="10" t="s">
        <v>643</v>
      </c>
      <c r="I353" t="s">
        <v>997</v>
      </c>
      <c r="J353" t="s">
        <v>867</v>
      </c>
      <c r="K353">
        <v>-0.47</v>
      </c>
      <c r="L353">
        <v>0.8</v>
      </c>
      <c r="M353">
        <v>6.04</v>
      </c>
      <c r="N353" s="20">
        <v>-0.21</v>
      </c>
      <c r="O353">
        <v>50.07</v>
      </c>
      <c r="P353">
        <v>29.59</v>
      </c>
      <c r="Q353">
        <v>70.55</v>
      </c>
      <c r="R353" s="21">
        <v>1258.54907</v>
      </c>
    </row>
    <row r="354" spans="7:18" x14ac:dyDescent="0.15">
      <c r="G354" s="11">
        <v>353</v>
      </c>
      <c r="H354" s="10" t="s">
        <v>1280</v>
      </c>
      <c r="I354" t="s">
        <v>1281</v>
      </c>
      <c r="J354" t="s">
        <v>867</v>
      </c>
      <c r="N354" s="20">
        <v>-1.89</v>
      </c>
      <c r="O354">
        <v>49.93</v>
      </c>
      <c r="P354">
        <v>2.84</v>
      </c>
      <c r="Q354">
        <v>97.01</v>
      </c>
      <c r="R354" s="21">
        <v>6755.3673344999997</v>
      </c>
    </row>
    <row r="355" spans="7:18" x14ac:dyDescent="0.15">
      <c r="G355" s="11">
        <v>354</v>
      </c>
      <c r="H355" s="10" t="s">
        <v>356</v>
      </c>
      <c r="I355" t="s">
        <v>1214</v>
      </c>
      <c r="J355" t="s">
        <v>1210</v>
      </c>
      <c r="K355">
        <v>-8.59</v>
      </c>
      <c r="L355">
        <v>-15.82</v>
      </c>
      <c r="M355">
        <v>-8.85</v>
      </c>
      <c r="N355" s="20">
        <v>-1.54</v>
      </c>
      <c r="O355">
        <v>49.79</v>
      </c>
      <c r="P355">
        <v>3.41</v>
      </c>
      <c r="Q355">
        <v>96.44</v>
      </c>
      <c r="R355" s="21">
        <v>307.3252799</v>
      </c>
    </row>
    <row r="356" spans="7:18" x14ac:dyDescent="0.15">
      <c r="G356" s="11">
        <v>355</v>
      </c>
      <c r="H356" s="10" t="s">
        <v>1666</v>
      </c>
      <c r="I356" t="s">
        <v>1667</v>
      </c>
      <c r="J356" t="s">
        <v>1685</v>
      </c>
      <c r="K356">
        <v>1.21</v>
      </c>
      <c r="L356">
        <v>1.93</v>
      </c>
      <c r="M356">
        <v>8.4499999999999993</v>
      </c>
      <c r="N356" s="20">
        <v>-0.13</v>
      </c>
      <c r="O356">
        <v>49.64</v>
      </c>
      <c r="P356">
        <v>41.82</v>
      </c>
      <c r="Q356">
        <v>57.75</v>
      </c>
      <c r="R356" s="21">
        <v>2607.5931</v>
      </c>
    </row>
    <row r="357" spans="7:18" x14ac:dyDescent="0.15">
      <c r="G357" s="11">
        <v>356</v>
      </c>
      <c r="H357" s="10" t="s">
        <v>701</v>
      </c>
      <c r="I357" t="s">
        <v>1151</v>
      </c>
      <c r="J357" t="s">
        <v>867</v>
      </c>
      <c r="K357">
        <v>2.4900000000000002</v>
      </c>
      <c r="L357">
        <v>7.15</v>
      </c>
      <c r="M357">
        <v>13.06</v>
      </c>
      <c r="N357" s="20">
        <v>0</v>
      </c>
      <c r="O357">
        <v>49.5</v>
      </c>
      <c r="P357">
        <v>72.69</v>
      </c>
      <c r="Q357">
        <v>26.88</v>
      </c>
      <c r="R357" s="21">
        <v>28902.420300000002</v>
      </c>
    </row>
    <row r="358" spans="7:18" x14ac:dyDescent="0.15">
      <c r="G358" s="11">
        <v>357</v>
      </c>
      <c r="H358" s="10" t="s">
        <v>735</v>
      </c>
      <c r="I358" t="s">
        <v>1073</v>
      </c>
      <c r="J358" t="s">
        <v>867</v>
      </c>
      <c r="K358">
        <v>0.89</v>
      </c>
      <c r="L358">
        <v>6</v>
      </c>
      <c r="M358">
        <v>12.95</v>
      </c>
      <c r="N358" s="20">
        <v>0</v>
      </c>
      <c r="O358">
        <v>49.36</v>
      </c>
      <c r="P358">
        <v>71.83</v>
      </c>
      <c r="Q358">
        <v>27.74</v>
      </c>
      <c r="R358" s="21">
        <v>82600.065799999997</v>
      </c>
    </row>
    <row r="359" spans="7:18" x14ac:dyDescent="0.15">
      <c r="G359" s="11">
        <v>358</v>
      </c>
      <c r="H359" s="10" t="s">
        <v>1291</v>
      </c>
      <c r="I359" t="s">
        <v>1292</v>
      </c>
      <c r="J359" t="s">
        <v>1285</v>
      </c>
      <c r="K359">
        <v>1.4</v>
      </c>
      <c r="L359">
        <v>0.35</v>
      </c>
      <c r="M359">
        <v>0.57999999999999996</v>
      </c>
      <c r="N359" s="20">
        <v>-0.4</v>
      </c>
      <c r="O359">
        <v>49.22</v>
      </c>
      <c r="P359">
        <v>14.79</v>
      </c>
      <c r="Q359">
        <v>84.64</v>
      </c>
      <c r="R359" s="21">
        <v>4.6334</v>
      </c>
    </row>
    <row r="360" spans="7:18" x14ac:dyDescent="0.15">
      <c r="G360" s="11">
        <v>359</v>
      </c>
      <c r="H360" s="10" t="s">
        <v>654</v>
      </c>
      <c r="I360" t="s">
        <v>993</v>
      </c>
      <c r="J360" t="s">
        <v>867</v>
      </c>
      <c r="K360">
        <v>1.86</v>
      </c>
      <c r="L360">
        <v>8.9</v>
      </c>
      <c r="M360">
        <v>11.76</v>
      </c>
      <c r="N360" s="20">
        <v>0</v>
      </c>
      <c r="O360">
        <v>49.08</v>
      </c>
      <c r="P360">
        <v>65.150000000000006</v>
      </c>
      <c r="Q360">
        <v>34.14</v>
      </c>
      <c r="R360" s="21">
        <v>13530.594980899999</v>
      </c>
    </row>
    <row r="361" spans="7:18" x14ac:dyDescent="0.15">
      <c r="G361" s="11">
        <v>360</v>
      </c>
      <c r="H361" s="10" t="s">
        <v>522</v>
      </c>
      <c r="I361" t="s">
        <v>1048</v>
      </c>
      <c r="J361" t="s">
        <v>867</v>
      </c>
      <c r="K361">
        <v>1.28</v>
      </c>
      <c r="L361">
        <v>5.82</v>
      </c>
      <c r="M361">
        <v>10.050000000000001</v>
      </c>
      <c r="N361" s="20">
        <v>0</v>
      </c>
      <c r="O361">
        <v>48.93</v>
      </c>
      <c r="P361">
        <v>55.19</v>
      </c>
      <c r="Q361">
        <v>44.1</v>
      </c>
      <c r="R361" s="21">
        <v>4078.3979399999998</v>
      </c>
    </row>
    <row r="362" spans="7:18" x14ac:dyDescent="0.15">
      <c r="G362" s="11">
        <v>361</v>
      </c>
      <c r="H362" s="10" t="s">
        <v>321</v>
      </c>
      <c r="I362" t="s">
        <v>1367</v>
      </c>
      <c r="J362" t="s">
        <v>1685</v>
      </c>
      <c r="K362">
        <v>0.04</v>
      </c>
      <c r="L362">
        <v>-0.01</v>
      </c>
      <c r="M362">
        <v>-0.06</v>
      </c>
      <c r="N362" s="20">
        <v>-0.51</v>
      </c>
      <c r="O362">
        <v>48.79</v>
      </c>
      <c r="P362">
        <v>10.24</v>
      </c>
      <c r="Q362">
        <v>89.05</v>
      </c>
      <c r="R362" s="21">
        <v>522.17269999999996</v>
      </c>
    </row>
    <row r="363" spans="7:18" x14ac:dyDescent="0.15">
      <c r="G363" s="11">
        <v>362</v>
      </c>
      <c r="H363" s="10" t="s">
        <v>1400</v>
      </c>
      <c r="I363" t="s">
        <v>1401</v>
      </c>
      <c r="J363" t="s">
        <v>1685</v>
      </c>
      <c r="K363">
        <v>0.83</v>
      </c>
      <c r="L363">
        <v>3.31</v>
      </c>
      <c r="M363">
        <v>11.39</v>
      </c>
      <c r="N363" s="20">
        <v>0</v>
      </c>
      <c r="O363">
        <v>48.65</v>
      </c>
      <c r="P363">
        <v>63.87</v>
      </c>
      <c r="Q363">
        <v>35.42</v>
      </c>
      <c r="R363" s="21">
        <v>764.85074000000009</v>
      </c>
    </row>
    <row r="364" spans="7:18" x14ac:dyDescent="0.15">
      <c r="G364" s="11">
        <v>363</v>
      </c>
      <c r="H364" s="10" t="s">
        <v>418</v>
      </c>
      <c r="I364" t="s">
        <v>1240</v>
      </c>
      <c r="J364" t="s">
        <v>1239</v>
      </c>
      <c r="K364">
        <v>4.99</v>
      </c>
      <c r="L364">
        <v>8.66</v>
      </c>
      <c r="M364">
        <v>21.31</v>
      </c>
      <c r="N364" s="20">
        <v>0.74</v>
      </c>
      <c r="O364">
        <v>48.51</v>
      </c>
      <c r="P364">
        <v>92.18</v>
      </c>
      <c r="Q364">
        <v>6.97</v>
      </c>
      <c r="R364" s="21">
        <v>172.56010000000001</v>
      </c>
    </row>
    <row r="365" spans="7:18" x14ac:dyDescent="0.15">
      <c r="G365" s="11">
        <v>364</v>
      </c>
      <c r="H365" s="10" t="s">
        <v>380</v>
      </c>
      <c r="I365" t="s">
        <v>1096</v>
      </c>
      <c r="J365" t="s">
        <v>867</v>
      </c>
      <c r="K365">
        <v>2</v>
      </c>
      <c r="L365">
        <v>3.92</v>
      </c>
      <c r="M365">
        <v>7.78</v>
      </c>
      <c r="N365" s="20">
        <v>-0.15</v>
      </c>
      <c r="O365">
        <v>48.36</v>
      </c>
      <c r="P365">
        <v>37.130000000000003</v>
      </c>
      <c r="Q365">
        <v>61.88</v>
      </c>
      <c r="R365" s="21">
        <v>9879.2809099999995</v>
      </c>
    </row>
    <row r="366" spans="7:18" x14ac:dyDescent="0.15">
      <c r="G366" s="11">
        <v>365</v>
      </c>
      <c r="H366" s="10" t="s">
        <v>1418</v>
      </c>
      <c r="I366" t="s">
        <v>1419</v>
      </c>
      <c r="J366" t="s">
        <v>1685</v>
      </c>
      <c r="K366">
        <v>2.12</v>
      </c>
      <c r="L366">
        <v>2.87</v>
      </c>
      <c r="M366">
        <v>8.49</v>
      </c>
      <c r="N366" s="20">
        <v>-0.12</v>
      </c>
      <c r="O366">
        <v>48.22</v>
      </c>
      <c r="P366">
        <v>42.39</v>
      </c>
      <c r="Q366">
        <v>56.61</v>
      </c>
      <c r="R366" s="21">
        <v>53.674759999999999</v>
      </c>
    </row>
    <row r="367" spans="7:18" x14ac:dyDescent="0.15">
      <c r="G367" s="11">
        <v>366</v>
      </c>
      <c r="H367" s="10" t="s">
        <v>713</v>
      </c>
      <c r="I367" t="s">
        <v>1027</v>
      </c>
      <c r="J367" t="s">
        <v>867</v>
      </c>
      <c r="K367">
        <v>0.87</v>
      </c>
      <c r="L367">
        <v>5.91</v>
      </c>
      <c r="M367">
        <v>12.77</v>
      </c>
      <c r="N367" s="20">
        <v>0</v>
      </c>
      <c r="O367">
        <v>48.08</v>
      </c>
      <c r="P367">
        <v>70.27</v>
      </c>
      <c r="Q367">
        <v>28.73</v>
      </c>
      <c r="R367" s="21">
        <v>1465.4044900000001</v>
      </c>
    </row>
    <row r="368" spans="7:18" x14ac:dyDescent="0.15">
      <c r="G368" s="11">
        <v>367</v>
      </c>
      <c r="H368" s="10" t="s">
        <v>296</v>
      </c>
      <c r="I368" t="s">
        <v>844</v>
      </c>
      <c r="J368" t="s">
        <v>830</v>
      </c>
      <c r="K368">
        <v>0.96</v>
      </c>
      <c r="L368">
        <v>1.25</v>
      </c>
      <c r="M368">
        <v>2.99</v>
      </c>
      <c r="N368" s="20">
        <v>-0.28000000000000003</v>
      </c>
      <c r="O368">
        <v>47.94</v>
      </c>
      <c r="P368">
        <v>21.62</v>
      </c>
      <c r="Q368">
        <v>77.099999999999994</v>
      </c>
      <c r="R368" s="21">
        <v>32.558399999999999</v>
      </c>
    </row>
    <row r="369" spans="7:18" x14ac:dyDescent="0.15">
      <c r="G369" s="11">
        <v>368</v>
      </c>
      <c r="H369" s="10" t="s">
        <v>546</v>
      </c>
      <c r="I369" t="s">
        <v>1142</v>
      </c>
      <c r="J369" t="s">
        <v>867</v>
      </c>
      <c r="K369">
        <v>6</v>
      </c>
      <c r="L369">
        <v>9.7100000000000009</v>
      </c>
      <c r="M369">
        <v>18.29</v>
      </c>
      <c r="N369" s="20">
        <v>0.28999999999999998</v>
      </c>
      <c r="O369">
        <v>47.8</v>
      </c>
      <c r="P369">
        <v>87.48</v>
      </c>
      <c r="Q369">
        <v>11.24</v>
      </c>
      <c r="R369" s="21">
        <v>12877.6366426</v>
      </c>
    </row>
    <row r="370" spans="7:18" x14ac:dyDescent="0.15">
      <c r="G370" s="11">
        <v>369</v>
      </c>
      <c r="H370" s="10" t="s">
        <v>439</v>
      </c>
      <c r="I370" t="s">
        <v>1160</v>
      </c>
      <c r="J370" t="s">
        <v>867</v>
      </c>
      <c r="K370">
        <v>2.73</v>
      </c>
      <c r="L370">
        <v>5.05</v>
      </c>
      <c r="M370">
        <v>10.36</v>
      </c>
      <c r="N370" s="20">
        <v>0</v>
      </c>
      <c r="O370">
        <v>47.65</v>
      </c>
      <c r="P370">
        <v>58.61</v>
      </c>
      <c r="Q370">
        <v>39.97</v>
      </c>
      <c r="R370" s="21">
        <v>109245.7934</v>
      </c>
    </row>
    <row r="371" spans="7:18" x14ac:dyDescent="0.15">
      <c r="G371" s="11">
        <v>370</v>
      </c>
      <c r="H371" s="10" t="s">
        <v>1587</v>
      </c>
      <c r="I371" t="s">
        <v>1588</v>
      </c>
      <c r="J371" t="s">
        <v>1685</v>
      </c>
      <c r="K371">
        <v>6.17</v>
      </c>
      <c r="L371">
        <v>1.44</v>
      </c>
      <c r="M371">
        <v>18.07</v>
      </c>
      <c r="N371" s="20">
        <v>0.26</v>
      </c>
      <c r="O371">
        <v>47.51</v>
      </c>
      <c r="P371">
        <v>86.91</v>
      </c>
      <c r="Q371">
        <v>11.66</v>
      </c>
      <c r="R371" s="21">
        <v>5136.9984000000004</v>
      </c>
    </row>
    <row r="372" spans="7:18" x14ac:dyDescent="0.15">
      <c r="G372" s="11">
        <v>371</v>
      </c>
      <c r="H372" s="10" t="s">
        <v>651</v>
      </c>
      <c r="I372" t="s">
        <v>1105</v>
      </c>
      <c r="J372" t="s">
        <v>867</v>
      </c>
      <c r="K372">
        <v>2.96</v>
      </c>
      <c r="L372">
        <v>6.08</v>
      </c>
      <c r="M372">
        <v>12.5</v>
      </c>
      <c r="N372" s="20">
        <v>0</v>
      </c>
      <c r="O372">
        <v>47.37</v>
      </c>
      <c r="P372">
        <v>68.42</v>
      </c>
      <c r="Q372">
        <v>29.87</v>
      </c>
      <c r="R372" s="21">
        <v>8934.6008999999995</v>
      </c>
    </row>
    <row r="373" spans="7:18" x14ac:dyDescent="0.15">
      <c r="G373" s="11">
        <v>372</v>
      </c>
      <c r="H373" s="10" t="s">
        <v>613</v>
      </c>
      <c r="I373" t="s">
        <v>943</v>
      </c>
      <c r="J373" t="s">
        <v>867</v>
      </c>
      <c r="K373">
        <v>2.02</v>
      </c>
      <c r="L373">
        <v>4.04</v>
      </c>
      <c r="M373">
        <v>9.48</v>
      </c>
      <c r="N373" s="20">
        <v>-0.08</v>
      </c>
      <c r="O373">
        <v>47.23</v>
      </c>
      <c r="P373">
        <v>49.5</v>
      </c>
      <c r="Q373">
        <v>48.79</v>
      </c>
      <c r="R373" s="21">
        <v>140.00710000000001</v>
      </c>
    </row>
    <row r="374" spans="7:18" x14ac:dyDescent="0.15">
      <c r="G374" s="11">
        <v>373</v>
      </c>
      <c r="H374" s="10" t="s">
        <v>327</v>
      </c>
      <c r="I374" t="s">
        <v>1368</v>
      </c>
      <c r="J374" t="s">
        <v>1685</v>
      </c>
      <c r="K374">
        <v>-0.05</v>
      </c>
      <c r="L374">
        <v>-0.01</v>
      </c>
      <c r="M374">
        <v>0.04</v>
      </c>
      <c r="N374" s="20">
        <v>-0.42</v>
      </c>
      <c r="O374">
        <v>47.08</v>
      </c>
      <c r="P374">
        <v>12.8</v>
      </c>
      <c r="Q374">
        <v>85.49</v>
      </c>
      <c r="R374" s="21">
        <v>5577.1097</v>
      </c>
    </row>
    <row r="375" spans="7:18" x14ac:dyDescent="0.15">
      <c r="G375" s="11">
        <v>374</v>
      </c>
      <c r="H375" s="10" t="s">
        <v>597</v>
      </c>
      <c r="I375" t="s">
        <v>1066</v>
      </c>
      <c r="J375" t="s">
        <v>867</v>
      </c>
      <c r="K375">
        <v>3.13</v>
      </c>
      <c r="L375">
        <v>4.55</v>
      </c>
      <c r="M375">
        <v>12.91</v>
      </c>
      <c r="N375" s="20">
        <v>0</v>
      </c>
      <c r="O375">
        <v>46.94</v>
      </c>
      <c r="P375">
        <v>71.41</v>
      </c>
      <c r="Q375">
        <v>26.74</v>
      </c>
      <c r="R375" s="21">
        <v>3373.7544759999996</v>
      </c>
    </row>
    <row r="376" spans="7:18" x14ac:dyDescent="0.15">
      <c r="G376" s="11">
        <v>375</v>
      </c>
      <c r="H376" s="10" t="s">
        <v>716</v>
      </c>
      <c r="I376" t="s">
        <v>1197</v>
      </c>
      <c r="J376" t="s">
        <v>1195</v>
      </c>
      <c r="K376">
        <v>4.2300000000000004</v>
      </c>
      <c r="L376">
        <v>-0.49</v>
      </c>
      <c r="M376">
        <v>24.69</v>
      </c>
      <c r="N376" s="20">
        <v>4.8600000000000003</v>
      </c>
      <c r="O376">
        <v>46.8</v>
      </c>
      <c r="P376">
        <v>96.16</v>
      </c>
      <c r="Q376">
        <v>1.99</v>
      </c>
      <c r="R376" s="21">
        <v>11036.8755903</v>
      </c>
    </row>
    <row r="377" spans="7:18" x14ac:dyDescent="0.15">
      <c r="G377" s="11">
        <v>376</v>
      </c>
      <c r="H377" s="10" t="s">
        <v>762</v>
      </c>
      <c r="I377" t="s">
        <v>1196</v>
      </c>
      <c r="J377" t="s">
        <v>1195</v>
      </c>
      <c r="K377">
        <v>3.5</v>
      </c>
      <c r="L377">
        <v>-0.52</v>
      </c>
      <c r="M377">
        <v>23.43</v>
      </c>
      <c r="N377" s="20">
        <v>3.92</v>
      </c>
      <c r="O377">
        <v>46.66</v>
      </c>
      <c r="P377">
        <v>95.73</v>
      </c>
      <c r="Q377">
        <v>2.13</v>
      </c>
      <c r="R377" s="21">
        <v>93003.5160779</v>
      </c>
    </row>
    <row r="378" spans="7:18" x14ac:dyDescent="0.15">
      <c r="G378" s="11">
        <v>377</v>
      </c>
      <c r="H378" s="10" t="s">
        <v>714</v>
      </c>
      <c r="I378" t="s">
        <v>1002</v>
      </c>
      <c r="J378" t="s">
        <v>867</v>
      </c>
      <c r="K378">
        <v>2.44</v>
      </c>
      <c r="L378">
        <v>4.33</v>
      </c>
      <c r="M378">
        <v>9.69</v>
      </c>
      <c r="N378" s="20">
        <v>-7.0000000000000007E-2</v>
      </c>
      <c r="O378">
        <v>46.51</v>
      </c>
      <c r="P378">
        <v>51.35</v>
      </c>
      <c r="Q378">
        <v>46.51</v>
      </c>
      <c r="R378" s="21">
        <v>3358.0203999999999</v>
      </c>
    </row>
    <row r="379" spans="7:18" x14ac:dyDescent="0.15">
      <c r="G379" s="11">
        <v>378</v>
      </c>
      <c r="H379" s="10" t="s">
        <v>513</v>
      </c>
      <c r="I379" t="s">
        <v>965</v>
      </c>
      <c r="J379" t="s">
        <v>867</v>
      </c>
      <c r="K379">
        <v>1.85</v>
      </c>
      <c r="L379">
        <v>3.15</v>
      </c>
      <c r="M379">
        <v>10.89</v>
      </c>
      <c r="N379" s="20">
        <v>0</v>
      </c>
      <c r="O379">
        <v>46.37</v>
      </c>
      <c r="P379">
        <v>60.88</v>
      </c>
      <c r="Q379">
        <v>36.840000000000003</v>
      </c>
      <c r="R379" s="21">
        <v>1030.0501300000001</v>
      </c>
    </row>
    <row r="380" spans="7:18" x14ac:dyDescent="0.15">
      <c r="G380" s="11">
        <v>379</v>
      </c>
      <c r="H380" s="10" t="s">
        <v>759</v>
      </c>
      <c r="I380" t="s">
        <v>1306</v>
      </c>
      <c r="J380" t="s">
        <v>1285</v>
      </c>
      <c r="K380">
        <v>2.35</v>
      </c>
      <c r="L380">
        <v>-1.8</v>
      </c>
      <c r="M380">
        <v>15.81</v>
      </c>
      <c r="N380" s="20">
        <v>0.16</v>
      </c>
      <c r="O380">
        <v>46.23</v>
      </c>
      <c r="P380">
        <v>81.37</v>
      </c>
      <c r="Q380">
        <v>15.79</v>
      </c>
      <c r="R380" s="21">
        <v>112087.6223</v>
      </c>
    </row>
    <row r="381" spans="7:18" x14ac:dyDescent="0.15">
      <c r="G381" s="11">
        <v>380</v>
      </c>
      <c r="H381" s="10" t="s">
        <v>692</v>
      </c>
      <c r="I381" t="s">
        <v>1114</v>
      </c>
      <c r="J381" t="s">
        <v>867</v>
      </c>
      <c r="K381">
        <v>2</v>
      </c>
      <c r="L381">
        <v>4.26</v>
      </c>
      <c r="M381">
        <v>9.01</v>
      </c>
      <c r="N381" s="20">
        <v>-0.1</v>
      </c>
      <c r="O381">
        <v>46.09</v>
      </c>
      <c r="P381">
        <v>46.51</v>
      </c>
      <c r="Q381">
        <v>50.64</v>
      </c>
      <c r="R381" s="21">
        <v>8364.0001842000001</v>
      </c>
    </row>
    <row r="382" spans="7:18" x14ac:dyDescent="0.15">
      <c r="G382" s="11">
        <v>381</v>
      </c>
      <c r="H382" s="10" t="s">
        <v>1654</v>
      </c>
      <c r="I382" t="s">
        <v>1655</v>
      </c>
      <c r="J382" t="s">
        <v>1685</v>
      </c>
      <c r="K382">
        <v>0.71</v>
      </c>
      <c r="L382">
        <v>0.68</v>
      </c>
      <c r="M382">
        <v>8.09</v>
      </c>
      <c r="N382" s="20">
        <v>-0.13</v>
      </c>
      <c r="O382">
        <v>45.95</v>
      </c>
      <c r="P382">
        <v>38.979999999999997</v>
      </c>
      <c r="Q382">
        <v>58.04</v>
      </c>
      <c r="R382" s="21">
        <v>741.87459999999999</v>
      </c>
    </row>
    <row r="383" spans="7:18" x14ac:dyDescent="0.15">
      <c r="G383" s="11">
        <v>382</v>
      </c>
      <c r="H383" s="10" t="s">
        <v>552</v>
      </c>
      <c r="I383" t="s">
        <v>982</v>
      </c>
      <c r="J383" t="s">
        <v>867</v>
      </c>
      <c r="K383">
        <v>1.45</v>
      </c>
      <c r="L383">
        <v>3.7</v>
      </c>
      <c r="M383">
        <v>7.96</v>
      </c>
      <c r="N383" s="20">
        <v>-0.13</v>
      </c>
      <c r="O383">
        <v>45.8</v>
      </c>
      <c r="P383">
        <v>37.979999999999997</v>
      </c>
      <c r="Q383">
        <v>59.03</v>
      </c>
      <c r="R383" s="21">
        <v>843.27311899999995</v>
      </c>
    </row>
    <row r="384" spans="7:18" x14ac:dyDescent="0.15">
      <c r="G384" s="11">
        <v>383</v>
      </c>
      <c r="H384" s="10" t="s">
        <v>610</v>
      </c>
      <c r="I384" t="s">
        <v>1017</v>
      </c>
      <c r="J384" t="s">
        <v>867</v>
      </c>
      <c r="K384">
        <v>2.64</v>
      </c>
      <c r="L384">
        <v>4.0599999999999996</v>
      </c>
      <c r="M384">
        <v>9.44</v>
      </c>
      <c r="N384" s="20">
        <v>-0.08</v>
      </c>
      <c r="O384">
        <v>45.66</v>
      </c>
      <c r="P384">
        <v>49.36</v>
      </c>
      <c r="Q384">
        <v>47.65</v>
      </c>
      <c r="R384" s="21">
        <v>1854.9918</v>
      </c>
    </row>
    <row r="385" spans="7:18" x14ac:dyDescent="0.15">
      <c r="G385" s="11">
        <v>384</v>
      </c>
      <c r="H385" s="10" t="s">
        <v>639</v>
      </c>
      <c r="I385" t="s">
        <v>1005</v>
      </c>
      <c r="J385" t="s">
        <v>867</v>
      </c>
      <c r="K385">
        <v>2.0299999999999998</v>
      </c>
      <c r="L385">
        <v>3.92</v>
      </c>
      <c r="M385">
        <v>9.39</v>
      </c>
      <c r="N385" s="20">
        <v>-0.08</v>
      </c>
      <c r="O385">
        <v>45.52</v>
      </c>
      <c r="P385">
        <v>48.65</v>
      </c>
      <c r="Q385">
        <v>48.22</v>
      </c>
      <c r="R385" s="21">
        <v>2100.2577000000001</v>
      </c>
    </row>
    <row r="386" spans="7:18" x14ac:dyDescent="0.15">
      <c r="G386" s="11">
        <v>385</v>
      </c>
      <c r="H386" s="10" t="s">
        <v>387</v>
      </c>
      <c r="I386" t="s">
        <v>888</v>
      </c>
      <c r="J386" t="s">
        <v>867</v>
      </c>
      <c r="K386">
        <v>2.94</v>
      </c>
      <c r="L386">
        <v>5.83</v>
      </c>
      <c r="M386">
        <v>12.24</v>
      </c>
      <c r="N386" s="20">
        <v>0</v>
      </c>
      <c r="O386">
        <v>45.38</v>
      </c>
      <c r="P386">
        <v>67.28</v>
      </c>
      <c r="Q386">
        <v>29.59</v>
      </c>
      <c r="R386" s="21">
        <v>86.398530000000008</v>
      </c>
    </row>
    <row r="387" spans="7:18" x14ac:dyDescent="0.15">
      <c r="G387" s="11">
        <v>386</v>
      </c>
      <c r="H387" s="10" t="s">
        <v>640</v>
      </c>
      <c r="I387" t="s">
        <v>1038</v>
      </c>
      <c r="J387" t="s">
        <v>867</v>
      </c>
      <c r="K387">
        <v>1.7</v>
      </c>
      <c r="L387">
        <v>3.1</v>
      </c>
      <c r="M387">
        <v>9.24</v>
      </c>
      <c r="N387" s="20">
        <v>-0.08</v>
      </c>
      <c r="O387">
        <v>45.23</v>
      </c>
      <c r="P387">
        <v>47.65</v>
      </c>
      <c r="Q387">
        <v>48.65</v>
      </c>
      <c r="R387" s="21">
        <v>2760.2132000000001</v>
      </c>
    </row>
    <row r="388" spans="7:18" x14ac:dyDescent="0.15">
      <c r="G388" s="11">
        <v>387</v>
      </c>
      <c r="H388" s="10" t="s">
        <v>1668</v>
      </c>
      <c r="I388" t="s">
        <v>1669</v>
      </c>
      <c r="J388" t="s">
        <v>1685</v>
      </c>
      <c r="K388">
        <v>0.7</v>
      </c>
      <c r="L388">
        <v>0.65</v>
      </c>
      <c r="M388">
        <v>8.15</v>
      </c>
      <c r="N388" s="20">
        <v>-0.12</v>
      </c>
      <c r="O388">
        <v>45.09</v>
      </c>
      <c r="P388">
        <v>39.119999999999997</v>
      </c>
      <c r="Q388">
        <v>56.9</v>
      </c>
      <c r="R388" s="21">
        <v>1105.9706000000001</v>
      </c>
    </row>
    <row r="389" spans="7:18" x14ac:dyDescent="0.15">
      <c r="G389" s="11">
        <v>388</v>
      </c>
      <c r="H389" s="10" t="s">
        <v>1557</v>
      </c>
      <c r="I389" t="s">
        <v>1558</v>
      </c>
      <c r="J389" t="s">
        <v>1685</v>
      </c>
      <c r="K389">
        <v>-0.04</v>
      </c>
      <c r="L389">
        <v>-0.57999999999999996</v>
      </c>
      <c r="M389">
        <v>11.3</v>
      </c>
      <c r="N389" s="20">
        <v>0</v>
      </c>
      <c r="O389">
        <v>44.95</v>
      </c>
      <c r="P389">
        <v>63.44</v>
      </c>
      <c r="Q389">
        <v>32.57</v>
      </c>
      <c r="R389" s="21">
        <v>52.000520000000002</v>
      </c>
    </row>
    <row r="390" spans="7:18" x14ac:dyDescent="0.15">
      <c r="G390" s="11">
        <v>389</v>
      </c>
      <c r="H390" s="10" t="s">
        <v>761</v>
      </c>
      <c r="I390" t="s">
        <v>1194</v>
      </c>
      <c r="J390" t="s">
        <v>1195</v>
      </c>
      <c r="K390">
        <v>3.16</v>
      </c>
      <c r="L390">
        <v>-1.81</v>
      </c>
      <c r="M390">
        <v>22.12</v>
      </c>
      <c r="N390" s="20">
        <v>7.75</v>
      </c>
      <c r="O390">
        <v>44.81</v>
      </c>
      <c r="P390">
        <v>94.03</v>
      </c>
      <c r="Q390">
        <v>1.71</v>
      </c>
      <c r="R390" s="21">
        <v>267984.30089999997</v>
      </c>
    </row>
    <row r="391" spans="7:18" x14ac:dyDescent="0.15">
      <c r="G391" s="11">
        <v>390</v>
      </c>
      <c r="H391" s="10" t="s">
        <v>664</v>
      </c>
      <c r="I391" t="s">
        <v>1257</v>
      </c>
      <c r="J391" t="s">
        <v>1248</v>
      </c>
      <c r="K391">
        <v>0.46</v>
      </c>
      <c r="L391">
        <v>2.79</v>
      </c>
      <c r="M391">
        <v>5.89</v>
      </c>
      <c r="N391" s="20">
        <v>-0.19</v>
      </c>
      <c r="O391">
        <v>44.67</v>
      </c>
      <c r="P391">
        <v>28.73</v>
      </c>
      <c r="Q391">
        <v>66.86</v>
      </c>
      <c r="R391" s="21">
        <v>158.16804010000001</v>
      </c>
    </row>
    <row r="392" spans="7:18" x14ac:dyDescent="0.15">
      <c r="G392" s="11">
        <v>391</v>
      </c>
      <c r="H392" s="10" t="s">
        <v>829</v>
      </c>
      <c r="I392" t="s">
        <v>828</v>
      </c>
      <c r="J392" t="s">
        <v>1685</v>
      </c>
      <c r="K392">
        <v>0.2</v>
      </c>
      <c r="L392">
        <v>-0.54</v>
      </c>
      <c r="M392">
        <v>-0.78</v>
      </c>
      <c r="N392" s="20">
        <v>-0.44</v>
      </c>
      <c r="O392">
        <v>44.52</v>
      </c>
      <c r="P392">
        <v>9.39</v>
      </c>
      <c r="Q392">
        <v>86.2</v>
      </c>
      <c r="R392" s="21">
        <v>356.7452303</v>
      </c>
    </row>
    <row r="393" spans="7:18" x14ac:dyDescent="0.15">
      <c r="G393" s="11">
        <v>392</v>
      </c>
      <c r="H393" s="10" t="s">
        <v>676</v>
      </c>
      <c r="I393" t="s">
        <v>984</v>
      </c>
      <c r="J393" t="s">
        <v>867</v>
      </c>
      <c r="K393">
        <v>2.36</v>
      </c>
      <c r="L393">
        <v>4.25</v>
      </c>
      <c r="M393">
        <v>9.5399999999999991</v>
      </c>
      <c r="N393" s="20">
        <v>-0.06</v>
      </c>
      <c r="O393">
        <v>44.38</v>
      </c>
      <c r="P393">
        <v>49.93</v>
      </c>
      <c r="Q393">
        <v>45.52</v>
      </c>
      <c r="R393" s="21">
        <v>662.72379999999998</v>
      </c>
    </row>
    <row r="394" spans="7:18" x14ac:dyDescent="0.15">
      <c r="G394" s="11">
        <v>393</v>
      </c>
      <c r="H394" s="10" t="s">
        <v>442</v>
      </c>
      <c r="I394" t="s">
        <v>886</v>
      </c>
      <c r="J394" t="s">
        <v>867</v>
      </c>
      <c r="K394">
        <v>2.42</v>
      </c>
      <c r="L394">
        <v>5.31</v>
      </c>
      <c r="M394">
        <v>14.29</v>
      </c>
      <c r="N394" s="20">
        <v>0.13</v>
      </c>
      <c r="O394">
        <v>44.24</v>
      </c>
      <c r="P394">
        <v>77.52</v>
      </c>
      <c r="Q394">
        <v>17.920000000000002</v>
      </c>
      <c r="R394" s="21">
        <v>106.1164</v>
      </c>
    </row>
    <row r="395" spans="7:18" x14ac:dyDescent="0.15">
      <c r="G395" s="11">
        <v>394</v>
      </c>
      <c r="H395" s="10" t="s">
        <v>524</v>
      </c>
      <c r="I395" t="s">
        <v>1055</v>
      </c>
      <c r="J395" t="s">
        <v>867</v>
      </c>
      <c r="K395">
        <v>0.32</v>
      </c>
      <c r="L395">
        <v>0.01</v>
      </c>
      <c r="M395">
        <v>7.4</v>
      </c>
      <c r="N395" s="20">
        <v>-0.14000000000000001</v>
      </c>
      <c r="O395">
        <v>44.1</v>
      </c>
      <c r="P395">
        <v>35.14</v>
      </c>
      <c r="Q395">
        <v>60.17</v>
      </c>
      <c r="R395" s="21">
        <v>3595.4043000000001</v>
      </c>
    </row>
    <row r="396" spans="7:18" x14ac:dyDescent="0.15">
      <c r="G396" s="11">
        <v>395</v>
      </c>
      <c r="H396" s="10" t="s">
        <v>739</v>
      </c>
      <c r="I396" t="s">
        <v>1309</v>
      </c>
      <c r="J396" t="s">
        <v>1285</v>
      </c>
      <c r="K396">
        <v>1.96</v>
      </c>
      <c r="L396">
        <v>-2.1</v>
      </c>
      <c r="M396">
        <v>6.34</v>
      </c>
      <c r="N396" s="20">
        <v>-0.17</v>
      </c>
      <c r="O396">
        <v>43.95</v>
      </c>
      <c r="P396">
        <v>30.3</v>
      </c>
      <c r="Q396">
        <v>64.86</v>
      </c>
      <c r="R396" s="21">
        <v>36682.752731699999</v>
      </c>
    </row>
    <row r="397" spans="7:18" x14ac:dyDescent="0.15">
      <c r="G397" s="11">
        <v>396</v>
      </c>
      <c r="H397" s="10" t="s">
        <v>1609</v>
      </c>
      <c r="I397" t="s">
        <v>1610</v>
      </c>
      <c r="J397" t="s">
        <v>1685</v>
      </c>
      <c r="K397">
        <v>5.84</v>
      </c>
      <c r="L397">
        <v>1.5</v>
      </c>
      <c r="M397">
        <v>16.489999999999998</v>
      </c>
      <c r="N397" s="20">
        <v>0.26</v>
      </c>
      <c r="O397">
        <v>43.81</v>
      </c>
      <c r="P397">
        <v>83.07</v>
      </c>
      <c r="Q397">
        <v>12.09</v>
      </c>
      <c r="R397" s="21">
        <v>1000.2140000000001</v>
      </c>
    </row>
    <row r="398" spans="7:18" x14ac:dyDescent="0.15">
      <c r="G398" s="11">
        <v>397</v>
      </c>
      <c r="H398" s="10" t="s">
        <v>567</v>
      </c>
      <c r="I398" t="s">
        <v>1108</v>
      </c>
      <c r="J398" t="s">
        <v>867</v>
      </c>
      <c r="K398">
        <v>1.94</v>
      </c>
      <c r="L398">
        <v>8.94</v>
      </c>
      <c r="M398">
        <v>12.05</v>
      </c>
      <c r="N398" s="20">
        <v>0</v>
      </c>
      <c r="O398">
        <v>43.67</v>
      </c>
      <c r="P398">
        <v>66.709999999999994</v>
      </c>
      <c r="Q398">
        <v>28.45</v>
      </c>
      <c r="R398" s="21">
        <v>4804.7219337999995</v>
      </c>
    </row>
    <row r="399" spans="7:18" x14ac:dyDescent="0.15">
      <c r="G399" s="11">
        <v>398</v>
      </c>
      <c r="H399" s="10" t="s">
        <v>389</v>
      </c>
      <c r="I399" t="s">
        <v>1132</v>
      </c>
      <c r="J399" t="s">
        <v>867</v>
      </c>
      <c r="K399">
        <v>-0.79</v>
      </c>
      <c r="L399">
        <v>2.3199999999999998</v>
      </c>
      <c r="M399">
        <v>10.06</v>
      </c>
      <c r="N399" s="20">
        <v>0</v>
      </c>
      <c r="O399">
        <v>43.53</v>
      </c>
      <c r="P399">
        <v>55.62</v>
      </c>
      <c r="Q399">
        <v>39.4</v>
      </c>
      <c r="R399" s="21">
        <v>17209.347399999999</v>
      </c>
    </row>
    <row r="400" spans="7:18" x14ac:dyDescent="0.15">
      <c r="G400" s="11">
        <v>399</v>
      </c>
      <c r="H400" s="10" t="s">
        <v>1529</v>
      </c>
      <c r="I400" t="s">
        <v>1530</v>
      </c>
      <c r="J400" t="s">
        <v>1685</v>
      </c>
      <c r="K400">
        <v>0.19</v>
      </c>
      <c r="L400">
        <v>2.63</v>
      </c>
      <c r="M400">
        <v>10.28</v>
      </c>
      <c r="N400" s="20">
        <v>0</v>
      </c>
      <c r="O400">
        <v>43.39</v>
      </c>
      <c r="P400">
        <v>58.18</v>
      </c>
      <c r="Q400">
        <v>36.42</v>
      </c>
      <c r="R400" s="21">
        <v>20.103844200000001</v>
      </c>
    </row>
    <row r="401" spans="7:18" x14ac:dyDescent="0.15">
      <c r="G401" s="11">
        <v>400</v>
      </c>
      <c r="H401" s="10" t="s">
        <v>763</v>
      </c>
      <c r="I401" t="s">
        <v>1194</v>
      </c>
      <c r="J401" t="s">
        <v>1195</v>
      </c>
      <c r="K401">
        <v>-3.37</v>
      </c>
      <c r="L401">
        <v>-7.34</v>
      </c>
      <c r="M401">
        <v>21.47</v>
      </c>
      <c r="N401" s="20">
        <v>3.9</v>
      </c>
      <c r="O401">
        <v>43.24</v>
      </c>
      <c r="P401">
        <v>92.32</v>
      </c>
      <c r="Q401">
        <v>2.2799999999999998</v>
      </c>
      <c r="R401" s="21">
        <v>12613.2755581</v>
      </c>
    </row>
    <row r="402" spans="7:18" x14ac:dyDescent="0.15">
      <c r="G402" s="11">
        <v>401</v>
      </c>
      <c r="H402" s="10" t="s">
        <v>514</v>
      </c>
      <c r="I402" t="s">
        <v>891</v>
      </c>
      <c r="J402" t="s">
        <v>867</v>
      </c>
      <c r="K402">
        <v>1.44</v>
      </c>
      <c r="L402">
        <v>2.5099999999999998</v>
      </c>
      <c r="M402">
        <v>6.33</v>
      </c>
      <c r="N402" s="20">
        <v>-0.16</v>
      </c>
      <c r="O402">
        <v>43.1</v>
      </c>
      <c r="P402">
        <v>30.16</v>
      </c>
      <c r="Q402">
        <v>64.44</v>
      </c>
      <c r="R402" s="21">
        <v>85.343199999999996</v>
      </c>
    </row>
    <row r="403" spans="7:18" x14ac:dyDescent="0.15">
      <c r="G403" s="11">
        <v>402</v>
      </c>
      <c r="H403" s="10" t="s">
        <v>659</v>
      </c>
      <c r="I403" t="s">
        <v>1119</v>
      </c>
      <c r="J403" t="s">
        <v>867</v>
      </c>
      <c r="K403">
        <v>1.05</v>
      </c>
      <c r="L403">
        <v>3.31</v>
      </c>
      <c r="M403">
        <v>11.16</v>
      </c>
      <c r="N403" s="20">
        <v>0</v>
      </c>
      <c r="O403">
        <v>42.96</v>
      </c>
      <c r="P403">
        <v>62.16</v>
      </c>
      <c r="Q403">
        <v>31.86</v>
      </c>
      <c r="R403" s="21">
        <v>9875.0630000000001</v>
      </c>
    </row>
    <row r="404" spans="7:18" x14ac:dyDescent="0.15">
      <c r="G404" s="11">
        <v>403</v>
      </c>
      <c r="H404" s="10" t="s">
        <v>428</v>
      </c>
      <c r="I404" t="s">
        <v>264</v>
      </c>
      <c r="J404" t="s">
        <v>867</v>
      </c>
      <c r="K404">
        <v>0.97</v>
      </c>
      <c r="L404">
        <v>2.3199999999999998</v>
      </c>
      <c r="M404">
        <v>8.25</v>
      </c>
      <c r="N404" s="20">
        <v>-0.11</v>
      </c>
      <c r="O404">
        <v>42.82</v>
      </c>
      <c r="P404">
        <v>40.11</v>
      </c>
      <c r="Q404">
        <v>53.77</v>
      </c>
      <c r="R404" s="21">
        <v>434.12139999999999</v>
      </c>
    </row>
    <row r="405" spans="7:18" x14ac:dyDescent="0.15">
      <c r="G405" s="11">
        <v>404</v>
      </c>
      <c r="H405" s="10" t="s">
        <v>1347</v>
      </c>
      <c r="I405" t="s">
        <v>1348</v>
      </c>
      <c r="J405" t="s">
        <v>1685</v>
      </c>
      <c r="K405">
        <v>0.32</v>
      </c>
      <c r="L405">
        <v>0.18</v>
      </c>
      <c r="M405">
        <v>7.69</v>
      </c>
      <c r="N405" s="20">
        <v>-0.13</v>
      </c>
      <c r="O405">
        <v>42.67</v>
      </c>
      <c r="P405">
        <v>36.270000000000003</v>
      </c>
      <c r="Q405">
        <v>57.47</v>
      </c>
      <c r="R405" s="21">
        <v>699.25070000000005</v>
      </c>
    </row>
    <row r="406" spans="7:18" x14ac:dyDescent="0.15">
      <c r="G406" s="11">
        <v>405</v>
      </c>
      <c r="H406" s="10" t="s">
        <v>1322</v>
      </c>
      <c r="I406" t="s">
        <v>1323</v>
      </c>
      <c r="J406" t="s">
        <v>1685</v>
      </c>
      <c r="K406">
        <v>0.32</v>
      </c>
      <c r="L406">
        <v>-0.21</v>
      </c>
      <c r="M406">
        <v>7.21</v>
      </c>
      <c r="N406" s="20">
        <v>-0.14000000000000001</v>
      </c>
      <c r="O406">
        <v>42.53</v>
      </c>
      <c r="P406">
        <v>33.71</v>
      </c>
      <c r="Q406">
        <v>59.89</v>
      </c>
      <c r="R406" s="21">
        <v>640.0607</v>
      </c>
    </row>
    <row r="407" spans="7:18" x14ac:dyDescent="0.15">
      <c r="G407" s="11">
        <v>406</v>
      </c>
      <c r="H407" s="10" t="s">
        <v>324</v>
      </c>
      <c r="I407" t="s">
        <v>1128</v>
      </c>
      <c r="J407" t="s">
        <v>867</v>
      </c>
      <c r="K407">
        <v>1.96</v>
      </c>
      <c r="L407">
        <v>5.21</v>
      </c>
      <c r="M407">
        <v>12.96</v>
      </c>
      <c r="N407" s="20">
        <v>0.1</v>
      </c>
      <c r="O407">
        <v>42.39</v>
      </c>
      <c r="P407">
        <v>71.98</v>
      </c>
      <c r="Q407">
        <v>21.48</v>
      </c>
      <c r="R407" s="21">
        <v>28058.893603600001</v>
      </c>
    </row>
    <row r="408" spans="7:18" x14ac:dyDescent="0.15">
      <c r="G408" s="11">
        <v>407</v>
      </c>
      <c r="H408" s="10" t="s">
        <v>464</v>
      </c>
      <c r="I408" t="s">
        <v>985</v>
      </c>
      <c r="J408" t="s">
        <v>867</v>
      </c>
      <c r="K408">
        <v>2.17</v>
      </c>
      <c r="L408">
        <v>4.25</v>
      </c>
      <c r="M408">
        <v>11.9</v>
      </c>
      <c r="N408" s="20">
        <v>0</v>
      </c>
      <c r="O408">
        <v>42.25</v>
      </c>
      <c r="P408">
        <v>65.86</v>
      </c>
      <c r="Q408">
        <v>27.6</v>
      </c>
      <c r="R408" s="21">
        <v>1179.1348</v>
      </c>
    </row>
    <row r="409" spans="7:18" x14ac:dyDescent="0.15">
      <c r="G409" s="11">
        <v>408</v>
      </c>
      <c r="H409" s="10" t="s">
        <v>680</v>
      </c>
      <c r="I409" t="s">
        <v>811</v>
      </c>
      <c r="J409" t="s">
        <v>1285</v>
      </c>
      <c r="K409">
        <v>2.94</v>
      </c>
      <c r="L409">
        <v>-1.54</v>
      </c>
      <c r="M409">
        <v>16.170000000000002</v>
      </c>
      <c r="N409" s="20">
        <v>0.32</v>
      </c>
      <c r="O409">
        <v>42.11</v>
      </c>
      <c r="P409">
        <v>82.36</v>
      </c>
      <c r="Q409">
        <v>10.67</v>
      </c>
      <c r="R409" s="21">
        <v>60935.0507</v>
      </c>
    </row>
    <row r="410" spans="7:18" x14ac:dyDescent="0.15">
      <c r="G410" s="11">
        <v>409</v>
      </c>
      <c r="H410" s="10" t="s">
        <v>1475</v>
      </c>
      <c r="I410" t="s">
        <v>1476</v>
      </c>
      <c r="J410" t="s">
        <v>1685</v>
      </c>
      <c r="K410">
        <v>1.23</v>
      </c>
      <c r="L410">
        <v>1.31</v>
      </c>
      <c r="M410">
        <v>7.64</v>
      </c>
      <c r="N410" s="20">
        <v>-0.12</v>
      </c>
      <c r="O410">
        <v>41.96</v>
      </c>
      <c r="P410">
        <v>35.85</v>
      </c>
      <c r="Q410">
        <v>57.04</v>
      </c>
      <c r="R410" s="21">
        <v>799.18137000000002</v>
      </c>
    </row>
    <row r="411" spans="7:18" x14ac:dyDescent="0.15">
      <c r="G411" s="11">
        <v>410</v>
      </c>
      <c r="H411" s="10" t="s">
        <v>531</v>
      </c>
      <c r="I411" t="s">
        <v>1090</v>
      </c>
      <c r="J411" t="s">
        <v>867</v>
      </c>
      <c r="K411">
        <v>2.13</v>
      </c>
      <c r="L411">
        <v>2.1800000000000002</v>
      </c>
      <c r="M411">
        <v>10.76</v>
      </c>
      <c r="N411" s="20">
        <v>0</v>
      </c>
      <c r="O411">
        <v>41.82</v>
      </c>
      <c r="P411">
        <v>60.46</v>
      </c>
      <c r="Q411">
        <v>32.43</v>
      </c>
      <c r="R411" s="21">
        <v>3918.5452166</v>
      </c>
    </row>
    <row r="412" spans="7:18" x14ac:dyDescent="0.15">
      <c r="G412" s="11">
        <v>411</v>
      </c>
      <c r="H412" s="10" t="s">
        <v>471</v>
      </c>
      <c r="I412" t="s">
        <v>901</v>
      </c>
      <c r="J412" t="s">
        <v>867</v>
      </c>
      <c r="K412">
        <v>1.96</v>
      </c>
      <c r="L412">
        <v>3.88</v>
      </c>
      <c r="M412">
        <v>7.7</v>
      </c>
      <c r="N412" s="20">
        <v>-0.12</v>
      </c>
      <c r="O412">
        <v>41.68</v>
      </c>
      <c r="P412">
        <v>36.56</v>
      </c>
      <c r="Q412">
        <v>55.9</v>
      </c>
      <c r="R412" s="21">
        <v>420.27420000000001</v>
      </c>
    </row>
    <row r="413" spans="7:18" x14ac:dyDescent="0.15">
      <c r="G413" s="11">
        <v>412</v>
      </c>
      <c r="H413" s="10" t="s">
        <v>591</v>
      </c>
      <c r="I413" t="s">
        <v>932</v>
      </c>
      <c r="J413" t="s">
        <v>867</v>
      </c>
      <c r="K413">
        <v>1.23</v>
      </c>
      <c r="L413">
        <v>4.8499999999999996</v>
      </c>
      <c r="M413">
        <v>8.06</v>
      </c>
      <c r="N413" s="20">
        <v>-0.11</v>
      </c>
      <c r="O413">
        <v>41.54</v>
      </c>
      <c r="P413">
        <v>38.69</v>
      </c>
      <c r="Q413">
        <v>53.49</v>
      </c>
      <c r="R413" s="21">
        <v>227.6078</v>
      </c>
    </row>
    <row r="414" spans="7:18" x14ac:dyDescent="0.15">
      <c r="G414" s="11">
        <v>413</v>
      </c>
      <c r="H414" s="10" t="s">
        <v>772</v>
      </c>
      <c r="I414" t="s">
        <v>1213</v>
      </c>
      <c r="J414" t="s">
        <v>1210</v>
      </c>
      <c r="K414">
        <v>-8.52</v>
      </c>
      <c r="L414">
        <v>-11.86</v>
      </c>
      <c r="M414">
        <v>-2.62</v>
      </c>
      <c r="N414" s="20">
        <v>-0.45</v>
      </c>
      <c r="O414">
        <v>41.39</v>
      </c>
      <c r="P414">
        <v>5.41</v>
      </c>
      <c r="Q414">
        <v>86.63</v>
      </c>
      <c r="R414" s="21">
        <v>886.52893100000006</v>
      </c>
    </row>
    <row r="415" spans="7:18" x14ac:dyDescent="0.15">
      <c r="G415" s="11">
        <v>414</v>
      </c>
      <c r="H415" s="10" t="s">
        <v>535</v>
      </c>
      <c r="I415" t="s">
        <v>1092</v>
      </c>
      <c r="J415" t="s">
        <v>867</v>
      </c>
      <c r="K415">
        <v>2.29</v>
      </c>
      <c r="L415">
        <v>5.66</v>
      </c>
      <c r="M415">
        <v>11.07</v>
      </c>
      <c r="N415" s="20">
        <v>0</v>
      </c>
      <c r="O415">
        <v>41.25</v>
      </c>
      <c r="P415">
        <v>61.88</v>
      </c>
      <c r="Q415">
        <v>30.01</v>
      </c>
      <c r="R415" s="21">
        <v>26653.256721599999</v>
      </c>
    </row>
    <row r="416" spans="7:18" x14ac:dyDescent="0.15">
      <c r="G416" s="11">
        <v>415</v>
      </c>
      <c r="H416" s="10" t="s">
        <v>760</v>
      </c>
      <c r="I416" t="s">
        <v>1311</v>
      </c>
      <c r="J416" t="s">
        <v>1285</v>
      </c>
      <c r="K416">
        <v>1.67</v>
      </c>
      <c r="L416">
        <v>-3.07</v>
      </c>
      <c r="M416">
        <v>17.37</v>
      </c>
      <c r="N416" s="20">
        <v>0.75</v>
      </c>
      <c r="O416">
        <v>41.11</v>
      </c>
      <c r="P416">
        <v>84.92</v>
      </c>
      <c r="Q416">
        <v>6.83</v>
      </c>
      <c r="R416" s="21">
        <v>321346.71750000003</v>
      </c>
    </row>
    <row r="417" spans="7:18" x14ac:dyDescent="0.15">
      <c r="G417" s="11">
        <v>416</v>
      </c>
      <c r="H417" s="10" t="s">
        <v>1288</v>
      </c>
      <c r="I417" t="s">
        <v>1289</v>
      </c>
      <c r="J417" t="s">
        <v>1285</v>
      </c>
      <c r="K417">
        <v>2.5</v>
      </c>
      <c r="L417">
        <v>-0.75</v>
      </c>
      <c r="M417">
        <v>6.47</v>
      </c>
      <c r="N417" s="20">
        <v>-0.14000000000000001</v>
      </c>
      <c r="O417">
        <v>40.97</v>
      </c>
      <c r="P417">
        <v>30.87</v>
      </c>
      <c r="Q417">
        <v>60.74</v>
      </c>
      <c r="R417" s="21">
        <v>110.3206</v>
      </c>
    </row>
    <row r="418" spans="7:18" x14ac:dyDescent="0.15">
      <c r="G418" s="11">
        <v>417</v>
      </c>
      <c r="H418" s="10" t="s">
        <v>1660</v>
      </c>
      <c r="I418" t="s">
        <v>1661</v>
      </c>
      <c r="J418" t="s">
        <v>1685</v>
      </c>
      <c r="K418">
        <v>1.01</v>
      </c>
      <c r="L418">
        <v>4.28</v>
      </c>
      <c r="M418">
        <v>10.029999999999999</v>
      </c>
      <c r="N418" s="20">
        <v>0</v>
      </c>
      <c r="O418">
        <v>40.83</v>
      </c>
      <c r="P418">
        <v>54.91</v>
      </c>
      <c r="Q418">
        <v>36.270000000000003</v>
      </c>
      <c r="R418" s="21">
        <v>1676.7954</v>
      </c>
    </row>
    <row r="419" spans="7:18" x14ac:dyDescent="0.15">
      <c r="G419" s="11">
        <v>418</v>
      </c>
      <c r="H419" s="10" t="s">
        <v>675</v>
      </c>
      <c r="I419" t="s">
        <v>1136</v>
      </c>
      <c r="J419" t="s">
        <v>867</v>
      </c>
      <c r="K419">
        <v>4.6900000000000004</v>
      </c>
      <c r="L419">
        <v>8.39</v>
      </c>
      <c r="M419">
        <v>10.86</v>
      </c>
      <c r="N419" s="20">
        <v>0</v>
      </c>
      <c r="O419">
        <v>40.68</v>
      </c>
      <c r="P419">
        <v>60.74</v>
      </c>
      <c r="Q419">
        <v>30.3</v>
      </c>
      <c r="R419" s="21">
        <v>29561.784382700003</v>
      </c>
    </row>
    <row r="420" spans="7:18" x14ac:dyDescent="0.15">
      <c r="G420" s="11">
        <v>419</v>
      </c>
      <c r="H420" s="10" t="s">
        <v>292</v>
      </c>
      <c r="I420" t="s">
        <v>862</v>
      </c>
      <c r="J420" t="s">
        <v>830</v>
      </c>
      <c r="K420">
        <v>6.52</v>
      </c>
      <c r="L420">
        <v>8.09</v>
      </c>
      <c r="M420">
        <v>17.88</v>
      </c>
      <c r="N420" s="20">
        <v>1.39</v>
      </c>
      <c r="O420">
        <v>40.54</v>
      </c>
      <c r="P420">
        <v>86.49</v>
      </c>
      <c r="Q420">
        <v>4.55</v>
      </c>
      <c r="R420" s="21">
        <v>790.42899999999997</v>
      </c>
    </row>
    <row r="421" spans="7:18" x14ac:dyDescent="0.15">
      <c r="G421" s="11">
        <v>420</v>
      </c>
      <c r="H421" s="10" t="s">
        <v>467</v>
      </c>
      <c r="I421" t="s">
        <v>935</v>
      </c>
      <c r="J421" t="s">
        <v>867</v>
      </c>
      <c r="K421">
        <v>0.62</v>
      </c>
      <c r="L421">
        <v>3.51</v>
      </c>
      <c r="M421">
        <v>8.09</v>
      </c>
      <c r="N421" s="20">
        <v>-0.1</v>
      </c>
      <c r="O421">
        <v>40.4</v>
      </c>
      <c r="P421">
        <v>38.83</v>
      </c>
      <c r="Q421">
        <v>51.64</v>
      </c>
      <c r="R421" s="21">
        <v>277.98829269999999</v>
      </c>
    </row>
    <row r="422" spans="7:18" x14ac:dyDescent="0.15">
      <c r="G422" s="11">
        <v>421</v>
      </c>
      <c r="H422" s="10" t="s">
        <v>388</v>
      </c>
      <c r="I422" t="s">
        <v>1242</v>
      </c>
      <c r="J422" t="s">
        <v>1239</v>
      </c>
      <c r="K422">
        <v>2.34</v>
      </c>
      <c r="L422">
        <v>2.42</v>
      </c>
      <c r="M422">
        <v>9.8000000000000007</v>
      </c>
      <c r="N422" s="20">
        <v>0</v>
      </c>
      <c r="O422">
        <v>40.26</v>
      </c>
      <c r="P422">
        <v>53.06</v>
      </c>
      <c r="Q422">
        <v>37.130000000000003</v>
      </c>
      <c r="R422" s="21">
        <v>166.00559999999999</v>
      </c>
    </row>
    <row r="423" spans="7:18" x14ac:dyDescent="0.15">
      <c r="G423" s="11">
        <v>422</v>
      </c>
      <c r="H423" s="10" t="s">
        <v>1650</v>
      </c>
      <c r="I423" t="s">
        <v>1651</v>
      </c>
      <c r="J423" t="s">
        <v>1685</v>
      </c>
      <c r="K423">
        <v>4.83</v>
      </c>
      <c r="L423">
        <v>8.81</v>
      </c>
      <c r="M423">
        <v>11.02</v>
      </c>
      <c r="N423" s="20">
        <v>0</v>
      </c>
      <c r="O423">
        <v>40.11</v>
      </c>
      <c r="P423">
        <v>61.59</v>
      </c>
      <c r="Q423">
        <v>28.59</v>
      </c>
      <c r="R423" s="21">
        <v>5195.8458000000001</v>
      </c>
    </row>
    <row r="424" spans="7:18" x14ac:dyDescent="0.15">
      <c r="G424" s="11">
        <v>423</v>
      </c>
      <c r="H424" s="10" t="s">
        <v>287</v>
      </c>
      <c r="I424" t="s">
        <v>842</v>
      </c>
      <c r="J424" t="s">
        <v>830</v>
      </c>
      <c r="K424">
        <v>1.77</v>
      </c>
      <c r="L424">
        <v>3.01</v>
      </c>
      <c r="M424">
        <v>13.66</v>
      </c>
      <c r="N424" s="20">
        <v>0.17</v>
      </c>
      <c r="O424">
        <v>39.97</v>
      </c>
      <c r="P424">
        <v>74.680000000000007</v>
      </c>
      <c r="Q424">
        <v>15.36</v>
      </c>
      <c r="R424" s="21">
        <v>778.89580000000001</v>
      </c>
    </row>
    <row r="425" spans="7:18" x14ac:dyDescent="0.15">
      <c r="G425" s="11">
        <v>424</v>
      </c>
      <c r="H425" s="10" t="s">
        <v>683</v>
      </c>
      <c r="I425" t="s">
        <v>1116</v>
      </c>
      <c r="J425" t="s">
        <v>867</v>
      </c>
      <c r="K425">
        <v>0.48</v>
      </c>
      <c r="L425">
        <v>-2.84</v>
      </c>
      <c r="M425">
        <v>-1.29</v>
      </c>
      <c r="N425" s="20">
        <v>-0.35</v>
      </c>
      <c r="O425">
        <v>39.83</v>
      </c>
      <c r="P425">
        <v>7.82</v>
      </c>
      <c r="Q425">
        <v>82.22</v>
      </c>
      <c r="R425" s="21">
        <v>2475.0164</v>
      </c>
    </row>
    <row r="426" spans="7:18" x14ac:dyDescent="0.15">
      <c r="G426" s="11">
        <v>425</v>
      </c>
      <c r="H426" s="10" t="s">
        <v>1638</v>
      </c>
      <c r="I426" t="s">
        <v>1639</v>
      </c>
      <c r="J426" t="s">
        <v>1685</v>
      </c>
      <c r="K426">
        <v>1.1200000000000001</v>
      </c>
      <c r="L426">
        <v>4.41</v>
      </c>
      <c r="M426">
        <v>14.88</v>
      </c>
      <c r="N426" s="20">
        <v>0.34</v>
      </c>
      <c r="O426">
        <v>39.69</v>
      </c>
      <c r="P426">
        <v>79.66</v>
      </c>
      <c r="Q426">
        <v>10.24</v>
      </c>
      <c r="R426" s="21">
        <v>10557.951300000001</v>
      </c>
    </row>
    <row r="427" spans="7:18" x14ac:dyDescent="0.15">
      <c r="G427" s="11">
        <v>426</v>
      </c>
      <c r="H427" s="10" t="s">
        <v>669</v>
      </c>
      <c r="I427" t="s">
        <v>1032</v>
      </c>
      <c r="J427" t="s">
        <v>867</v>
      </c>
      <c r="K427">
        <v>-2.15</v>
      </c>
      <c r="L427">
        <v>1.01</v>
      </c>
      <c r="M427">
        <v>5.24</v>
      </c>
      <c r="N427" s="20">
        <v>-0.16</v>
      </c>
      <c r="O427">
        <v>39.54</v>
      </c>
      <c r="P427">
        <v>26.32</v>
      </c>
      <c r="Q427">
        <v>63.02</v>
      </c>
      <c r="R427" s="21">
        <v>6421.1799000000001</v>
      </c>
    </row>
    <row r="428" spans="7:18" x14ac:dyDescent="0.15">
      <c r="G428" s="11">
        <v>427</v>
      </c>
      <c r="H428" s="10" t="s">
        <v>1318</v>
      </c>
      <c r="I428" t="s">
        <v>1319</v>
      </c>
      <c r="J428" t="s">
        <v>1685</v>
      </c>
      <c r="K428">
        <v>-2.67</v>
      </c>
      <c r="L428">
        <v>-3.58</v>
      </c>
      <c r="M428">
        <v>3.19</v>
      </c>
      <c r="N428" s="20">
        <v>-0.19</v>
      </c>
      <c r="O428">
        <v>39.4</v>
      </c>
      <c r="P428">
        <v>22.05</v>
      </c>
      <c r="Q428">
        <v>67</v>
      </c>
      <c r="R428" s="21">
        <v>4134.6709000000001</v>
      </c>
    </row>
    <row r="429" spans="7:18" x14ac:dyDescent="0.15">
      <c r="G429" s="11">
        <v>428</v>
      </c>
      <c r="H429" s="10" t="s">
        <v>358</v>
      </c>
      <c r="I429" t="s">
        <v>915</v>
      </c>
      <c r="J429" t="s">
        <v>867</v>
      </c>
      <c r="K429">
        <v>1.99</v>
      </c>
      <c r="L429">
        <v>5.3</v>
      </c>
      <c r="M429">
        <v>13.01</v>
      </c>
      <c r="N429" s="20">
        <v>0.14000000000000001</v>
      </c>
      <c r="O429">
        <v>39.26</v>
      </c>
      <c r="P429">
        <v>72.260000000000005</v>
      </c>
      <c r="Q429">
        <v>16.64</v>
      </c>
      <c r="R429" s="21">
        <v>529.59569999999997</v>
      </c>
    </row>
    <row r="430" spans="7:18" x14ac:dyDescent="0.15">
      <c r="G430" s="11">
        <v>429</v>
      </c>
      <c r="H430" s="10" t="s">
        <v>605</v>
      </c>
      <c r="I430" t="s">
        <v>1001</v>
      </c>
      <c r="J430" t="s">
        <v>867</v>
      </c>
      <c r="K430">
        <v>1.58</v>
      </c>
      <c r="L430">
        <v>4.45</v>
      </c>
      <c r="M430">
        <v>10.06</v>
      </c>
      <c r="N430" s="20">
        <v>0</v>
      </c>
      <c r="O430">
        <v>39.119999999999997</v>
      </c>
      <c r="P430">
        <v>55.48</v>
      </c>
      <c r="Q430">
        <v>33.14</v>
      </c>
      <c r="R430" s="21">
        <v>1818.7988</v>
      </c>
    </row>
    <row r="431" spans="7:18" x14ac:dyDescent="0.15">
      <c r="G431" s="11">
        <v>430</v>
      </c>
      <c r="H431" s="10" t="s">
        <v>679</v>
      </c>
      <c r="I431" t="s">
        <v>967</v>
      </c>
      <c r="J431" t="s">
        <v>867</v>
      </c>
      <c r="K431">
        <v>0.77</v>
      </c>
      <c r="L431">
        <v>2.71</v>
      </c>
      <c r="M431">
        <v>11.01</v>
      </c>
      <c r="N431" s="20">
        <v>0</v>
      </c>
      <c r="O431">
        <v>38.979999999999997</v>
      </c>
      <c r="P431">
        <v>61.31</v>
      </c>
      <c r="Q431">
        <v>27.17</v>
      </c>
      <c r="R431" s="21">
        <v>4651.5952056000006</v>
      </c>
    </row>
    <row r="432" spans="7:18" x14ac:dyDescent="0.15">
      <c r="G432" s="11">
        <v>431</v>
      </c>
      <c r="H432" s="10" t="s">
        <v>674</v>
      </c>
      <c r="I432" t="s">
        <v>1009</v>
      </c>
      <c r="J432" t="s">
        <v>867</v>
      </c>
      <c r="K432">
        <v>2.61</v>
      </c>
      <c r="L432">
        <v>5.45</v>
      </c>
      <c r="M432">
        <v>15.39</v>
      </c>
      <c r="N432" s="20">
        <v>0.63</v>
      </c>
      <c r="O432">
        <v>38.83</v>
      </c>
      <c r="P432">
        <v>80.8</v>
      </c>
      <c r="Q432">
        <v>7.4</v>
      </c>
      <c r="R432" s="21">
        <v>2908.5734000000002</v>
      </c>
    </row>
    <row r="433" spans="7:18" x14ac:dyDescent="0.15">
      <c r="G433" s="11">
        <v>432</v>
      </c>
      <c r="H433" s="10" t="s">
        <v>1363</v>
      </c>
      <c r="I433" t="s">
        <v>1364</v>
      </c>
      <c r="J433" t="s">
        <v>1685</v>
      </c>
      <c r="K433">
        <v>-0.46</v>
      </c>
      <c r="L433">
        <v>1.24</v>
      </c>
      <c r="M433">
        <v>6.77</v>
      </c>
      <c r="N433" s="20">
        <v>-0.12</v>
      </c>
      <c r="O433">
        <v>38.69</v>
      </c>
      <c r="P433">
        <v>32.01</v>
      </c>
      <c r="Q433">
        <v>56.05</v>
      </c>
      <c r="R433" s="21">
        <v>579.09886100000006</v>
      </c>
    </row>
    <row r="434" spans="7:18" x14ac:dyDescent="0.15">
      <c r="G434" s="11">
        <v>433</v>
      </c>
      <c r="H434" s="10" t="s">
        <v>1553</v>
      </c>
      <c r="I434" t="s">
        <v>1554</v>
      </c>
      <c r="J434" t="s">
        <v>1685</v>
      </c>
      <c r="K434">
        <v>1.54</v>
      </c>
      <c r="L434">
        <v>-1.41</v>
      </c>
      <c r="M434">
        <v>-0.96</v>
      </c>
      <c r="N434" s="20">
        <v>-0.3</v>
      </c>
      <c r="O434">
        <v>38.549999999999997</v>
      </c>
      <c r="P434">
        <v>8.39</v>
      </c>
      <c r="Q434">
        <v>79.66</v>
      </c>
      <c r="R434" s="21">
        <v>308.96663999999998</v>
      </c>
    </row>
    <row r="435" spans="7:18" x14ac:dyDescent="0.15">
      <c r="G435" s="11">
        <v>434</v>
      </c>
      <c r="H435" s="10" t="s">
        <v>557</v>
      </c>
      <c r="I435" t="s">
        <v>1164</v>
      </c>
      <c r="J435" t="s">
        <v>867</v>
      </c>
      <c r="K435">
        <v>2.39</v>
      </c>
      <c r="L435">
        <v>3.38</v>
      </c>
      <c r="M435">
        <v>10.06</v>
      </c>
      <c r="N435" s="20">
        <v>0</v>
      </c>
      <c r="O435">
        <v>38.409999999999997</v>
      </c>
      <c r="P435">
        <v>55.76</v>
      </c>
      <c r="Q435">
        <v>32.29</v>
      </c>
      <c r="R435" s="21">
        <v>68759.6541</v>
      </c>
    </row>
    <row r="436" spans="7:18" x14ac:dyDescent="0.15">
      <c r="G436" s="11">
        <v>435</v>
      </c>
      <c r="H436" s="10" t="s">
        <v>1349</v>
      </c>
      <c r="I436" t="s">
        <v>1350</v>
      </c>
      <c r="J436" t="s">
        <v>1685</v>
      </c>
      <c r="K436">
        <v>3.43</v>
      </c>
      <c r="L436">
        <v>7.14</v>
      </c>
      <c r="M436">
        <v>10.029999999999999</v>
      </c>
      <c r="N436" s="20">
        <v>0</v>
      </c>
      <c r="O436">
        <v>38.26</v>
      </c>
      <c r="P436">
        <v>55.05</v>
      </c>
      <c r="Q436">
        <v>32.72</v>
      </c>
      <c r="R436" s="21">
        <v>1446.9010900000001</v>
      </c>
    </row>
    <row r="437" spans="7:18" x14ac:dyDescent="0.15">
      <c r="G437" s="11">
        <v>436</v>
      </c>
      <c r="H437" s="10" t="s">
        <v>1662</v>
      </c>
      <c r="I437" t="s">
        <v>1663</v>
      </c>
      <c r="J437" t="s">
        <v>1685</v>
      </c>
      <c r="K437">
        <v>2.48</v>
      </c>
      <c r="L437">
        <v>4.7699999999999996</v>
      </c>
      <c r="M437">
        <v>13.53</v>
      </c>
      <c r="N437" s="20">
        <v>0.22</v>
      </c>
      <c r="O437">
        <v>38.119999999999997</v>
      </c>
      <c r="P437">
        <v>74.400000000000006</v>
      </c>
      <c r="Q437">
        <v>13.23</v>
      </c>
      <c r="R437" s="21">
        <v>14962.4884</v>
      </c>
    </row>
    <row r="438" spans="7:18" x14ac:dyDescent="0.15">
      <c r="G438" s="11">
        <v>437</v>
      </c>
      <c r="H438" s="10" t="s">
        <v>710</v>
      </c>
      <c r="I438" t="s">
        <v>1166</v>
      </c>
      <c r="J438" t="s">
        <v>867</v>
      </c>
      <c r="K438">
        <v>2.08</v>
      </c>
      <c r="L438">
        <v>3.73</v>
      </c>
      <c r="M438">
        <v>8.31</v>
      </c>
      <c r="N438" s="20">
        <v>-7.0000000000000007E-2</v>
      </c>
      <c r="O438">
        <v>37.979999999999997</v>
      </c>
      <c r="P438">
        <v>40.68</v>
      </c>
      <c r="Q438">
        <v>46.8</v>
      </c>
      <c r="R438" s="21">
        <v>46196.628700000001</v>
      </c>
    </row>
    <row r="439" spans="7:18" x14ac:dyDescent="0.15">
      <c r="G439" s="11">
        <v>438</v>
      </c>
      <c r="H439" s="10" t="s">
        <v>592</v>
      </c>
      <c r="I439" t="s">
        <v>889</v>
      </c>
      <c r="J439" t="s">
        <v>867</v>
      </c>
      <c r="K439">
        <v>2.29</v>
      </c>
      <c r="L439">
        <v>5.07</v>
      </c>
      <c r="M439">
        <v>13.69</v>
      </c>
      <c r="N439" s="20">
        <v>0.25</v>
      </c>
      <c r="O439">
        <v>37.840000000000003</v>
      </c>
      <c r="P439">
        <v>74.819999999999993</v>
      </c>
      <c r="Q439">
        <v>12.38</v>
      </c>
      <c r="R439" s="21">
        <v>162.84479999999999</v>
      </c>
    </row>
    <row r="440" spans="7:18" x14ac:dyDescent="0.15">
      <c r="G440" s="11">
        <v>439</v>
      </c>
      <c r="H440" s="10" t="s">
        <v>342</v>
      </c>
      <c r="I440" t="s">
        <v>1054</v>
      </c>
      <c r="J440" t="s">
        <v>867</v>
      </c>
      <c r="K440">
        <v>1.87</v>
      </c>
      <c r="L440">
        <v>6</v>
      </c>
      <c r="M440">
        <v>12.86</v>
      </c>
      <c r="N440" s="20">
        <v>0.15</v>
      </c>
      <c r="O440">
        <v>37.700000000000003</v>
      </c>
      <c r="P440">
        <v>71.12</v>
      </c>
      <c r="Q440">
        <v>16.07</v>
      </c>
      <c r="R440" s="21">
        <v>1868.0476100000001</v>
      </c>
    </row>
    <row r="441" spans="7:18" x14ac:dyDescent="0.15">
      <c r="G441" s="11">
        <v>440</v>
      </c>
      <c r="H441" s="10" t="s">
        <v>626</v>
      </c>
      <c r="I441" t="s">
        <v>1044</v>
      </c>
      <c r="J441" t="s">
        <v>867</v>
      </c>
      <c r="K441">
        <v>2.02</v>
      </c>
      <c r="L441">
        <v>9.2799999999999994</v>
      </c>
      <c r="M441">
        <v>12.34</v>
      </c>
      <c r="N441" s="20">
        <v>0.11</v>
      </c>
      <c r="O441">
        <v>37.549999999999997</v>
      </c>
      <c r="P441">
        <v>67.709999999999994</v>
      </c>
      <c r="Q441">
        <v>19.350000000000001</v>
      </c>
      <c r="R441" s="21">
        <v>3221.8683000000001</v>
      </c>
    </row>
    <row r="442" spans="7:18" x14ac:dyDescent="0.15">
      <c r="G442" s="11">
        <v>441</v>
      </c>
      <c r="H442" s="10" t="s">
        <v>661</v>
      </c>
      <c r="I442" t="s">
        <v>973</v>
      </c>
      <c r="J442" t="s">
        <v>867</v>
      </c>
      <c r="K442">
        <v>0.71</v>
      </c>
      <c r="L442">
        <v>0.73</v>
      </c>
      <c r="M442">
        <v>3.61</v>
      </c>
      <c r="N442" s="20">
        <v>-0.16</v>
      </c>
      <c r="O442">
        <v>37.409999999999997</v>
      </c>
      <c r="P442">
        <v>23.19</v>
      </c>
      <c r="Q442">
        <v>63.73</v>
      </c>
      <c r="R442" s="21">
        <v>956.41989999999998</v>
      </c>
    </row>
    <row r="443" spans="7:18" x14ac:dyDescent="0.15">
      <c r="G443" s="11">
        <v>442</v>
      </c>
      <c r="H443" s="10" t="s">
        <v>449</v>
      </c>
      <c r="I443" t="s">
        <v>837</v>
      </c>
      <c r="J443" t="s">
        <v>830</v>
      </c>
      <c r="K443">
        <v>2.62</v>
      </c>
      <c r="L443">
        <v>4.59</v>
      </c>
      <c r="M443">
        <v>13.88</v>
      </c>
      <c r="N443" s="20">
        <v>0.31</v>
      </c>
      <c r="O443">
        <v>37.270000000000003</v>
      </c>
      <c r="P443">
        <v>75.680000000000007</v>
      </c>
      <c r="Q443">
        <v>10.95</v>
      </c>
      <c r="R443" s="21">
        <v>108.9065983</v>
      </c>
    </row>
    <row r="444" spans="7:18" x14ac:dyDescent="0.15">
      <c r="G444" s="11">
        <v>443</v>
      </c>
      <c r="H444" s="10" t="s">
        <v>1351</v>
      </c>
      <c r="I444" t="s">
        <v>1352</v>
      </c>
      <c r="J444" t="s">
        <v>1685</v>
      </c>
      <c r="K444">
        <v>0.7</v>
      </c>
      <c r="L444">
        <v>-0.51</v>
      </c>
      <c r="M444">
        <v>5.66</v>
      </c>
      <c r="N444" s="20">
        <v>-0.13</v>
      </c>
      <c r="O444">
        <v>37.130000000000003</v>
      </c>
      <c r="P444">
        <v>28.17</v>
      </c>
      <c r="Q444">
        <v>58.46</v>
      </c>
      <c r="R444" s="21">
        <v>730.98310000000004</v>
      </c>
    </row>
    <row r="445" spans="7:18" x14ac:dyDescent="0.15">
      <c r="G445" s="11">
        <v>444</v>
      </c>
      <c r="H445" s="10" t="s">
        <v>730</v>
      </c>
      <c r="I445" t="s">
        <v>1137</v>
      </c>
      <c r="J445" t="s">
        <v>867</v>
      </c>
      <c r="K445">
        <v>0.9</v>
      </c>
      <c r="L445">
        <v>5.97</v>
      </c>
      <c r="M445">
        <v>12.93</v>
      </c>
      <c r="N445" s="20">
        <v>0.2</v>
      </c>
      <c r="O445">
        <v>36.979999999999997</v>
      </c>
      <c r="P445">
        <v>71.69</v>
      </c>
      <c r="Q445">
        <v>14.37</v>
      </c>
      <c r="R445" s="21">
        <v>164379.66769999999</v>
      </c>
    </row>
    <row r="446" spans="7:18" x14ac:dyDescent="0.15">
      <c r="G446" s="11">
        <v>445</v>
      </c>
      <c r="H446" s="10" t="s">
        <v>770</v>
      </c>
      <c r="I446" t="s">
        <v>16</v>
      </c>
      <c r="J446" t="s">
        <v>1210</v>
      </c>
      <c r="K446">
        <v>-8.32</v>
      </c>
      <c r="L446">
        <v>-10.01</v>
      </c>
      <c r="M446">
        <v>-0.05</v>
      </c>
      <c r="N446" s="20">
        <v>-0.25</v>
      </c>
      <c r="O446">
        <v>36.840000000000003</v>
      </c>
      <c r="P446">
        <v>10.53</v>
      </c>
      <c r="Q446">
        <v>75.53</v>
      </c>
      <c r="R446" s="21">
        <v>372.74703999999997</v>
      </c>
    </row>
    <row r="447" spans="7:18" x14ac:dyDescent="0.15">
      <c r="G447" s="11">
        <v>446</v>
      </c>
      <c r="H447" s="10" t="s">
        <v>1630</v>
      </c>
      <c r="I447" t="s">
        <v>1631</v>
      </c>
      <c r="J447" t="s">
        <v>1685</v>
      </c>
      <c r="K447">
        <v>-0.24</v>
      </c>
      <c r="L447">
        <v>1.04</v>
      </c>
      <c r="M447">
        <v>7.36</v>
      </c>
      <c r="N447" s="20">
        <v>-0.1</v>
      </c>
      <c r="O447">
        <v>36.700000000000003</v>
      </c>
      <c r="P447">
        <v>34.14</v>
      </c>
      <c r="Q447">
        <v>51.92</v>
      </c>
      <c r="R447" s="21">
        <v>396.6893</v>
      </c>
    </row>
    <row r="448" spans="7:18" x14ac:dyDescent="0.15">
      <c r="G448" s="11">
        <v>447</v>
      </c>
      <c r="H448" s="10" t="s">
        <v>684</v>
      </c>
      <c r="I448" t="s">
        <v>1013</v>
      </c>
      <c r="J448" t="s">
        <v>867</v>
      </c>
      <c r="K448">
        <v>1.05</v>
      </c>
      <c r="L448">
        <v>3.3</v>
      </c>
      <c r="M448">
        <v>11.2</v>
      </c>
      <c r="N448" s="20">
        <v>0.09</v>
      </c>
      <c r="O448">
        <v>36.56</v>
      </c>
      <c r="P448">
        <v>62.45</v>
      </c>
      <c r="Q448">
        <v>23.47</v>
      </c>
      <c r="R448" s="21">
        <v>1348.1619000000001</v>
      </c>
    </row>
    <row r="449" spans="7:18" x14ac:dyDescent="0.15">
      <c r="G449" s="11">
        <v>448</v>
      </c>
      <c r="H449" s="10" t="s">
        <v>506</v>
      </c>
      <c r="I449" t="s">
        <v>1098</v>
      </c>
      <c r="J449" t="s">
        <v>867</v>
      </c>
      <c r="K449">
        <v>2.1</v>
      </c>
      <c r="L449">
        <v>2.95</v>
      </c>
      <c r="M449">
        <v>8.92</v>
      </c>
      <c r="N449" s="20">
        <v>0</v>
      </c>
      <c r="O449">
        <v>36.42</v>
      </c>
      <c r="P449">
        <v>46.23</v>
      </c>
      <c r="Q449">
        <v>39.54</v>
      </c>
      <c r="R449" s="21">
        <v>9595.2012500000001</v>
      </c>
    </row>
    <row r="450" spans="7:18" x14ac:dyDescent="0.15">
      <c r="G450" s="11">
        <v>449</v>
      </c>
      <c r="H450" s="10" t="s">
        <v>1353</v>
      </c>
      <c r="I450" t="s">
        <v>1354</v>
      </c>
      <c r="J450" t="s">
        <v>1685</v>
      </c>
      <c r="K450">
        <v>3.45</v>
      </c>
      <c r="L450">
        <v>7.07</v>
      </c>
      <c r="M450">
        <v>9.92</v>
      </c>
      <c r="N450" s="20">
        <v>0</v>
      </c>
      <c r="O450">
        <v>36.270000000000003</v>
      </c>
      <c r="P450">
        <v>53.91</v>
      </c>
      <c r="Q450">
        <v>31.72</v>
      </c>
      <c r="R450" s="21">
        <v>1002.9204999999999</v>
      </c>
    </row>
    <row r="451" spans="7:18" x14ac:dyDescent="0.15">
      <c r="G451" s="11">
        <v>450</v>
      </c>
      <c r="H451" s="10" t="s">
        <v>543</v>
      </c>
      <c r="I451" t="s">
        <v>940</v>
      </c>
      <c r="J451" t="s">
        <v>867</v>
      </c>
      <c r="K451">
        <v>-0.18</v>
      </c>
      <c r="L451">
        <v>0.27</v>
      </c>
      <c r="M451">
        <v>2.44</v>
      </c>
      <c r="N451" s="20">
        <v>-0.17</v>
      </c>
      <c r="O451">
        <v>36.130000000000003</v>
      </c>
      <c r="P451">
        <v>20.34</v>
      </c>
      <c r="Q451">
        <v>65.010000000000005</v>
      </c>
      <c r="R451" s="21">
        <v>520.61779999999999</v>
      </c>
    </row>
    <row r="452" spans="7:18" x14ac:dyDescent="0.15">
      <c r="G452" s="11">
        <v>451</v>
      </c>
      <c r="H452" s="10" t="s">
        <v>705</v>
      </c>
      <c r="I452" t="s">
        <v>1075</v>
      </c>
      <c r="J452" t="s">
        <v>867</v>
      </c>
      <c r="K452">
        <v>1.71</v>
      </c>
      <c r="L452">
        <v>3.2</v>
      </c>
      <c r="M452">
        <v>9.41</v>
      </c>
      <c r="N452" s="20">
        <v>0</v>
      </c>
      <c r="O452">
        <v>35.99</v>
      </c>
      <c r="P452">
        <v>49.22</v>
      </c>
      <c r="Q452">
        <v>36.130000000000003</v>
      </c>
      <c r="R452" s="21">
        <v>2709.9744999999998</v>
      </c>
    </row>
    <row r="453" spans="7:18" x14ac:dyDescent="0.15">
      <c r="G453" s="11">
        <v>452</v>
      </c>
      <c r="H453" s="10" t="s">
        <v>1539</v>
      </c>
      <c r="I453" t="s">
        <v>1540</v>
      </c>
      <c r="J453" t="s">
        <v>1685</v>
      </c>
      <c r="K453">
        <v>1.94</v>
      </c>
      <c r="L453">
        <v>6.13</v>
      </c>
      <c r="M453">
        <v>13.44</v>
      </c>
      <c r="N453" s="20">
        <v>0.28999999999999998</v>
      </c>
      <c r="O453">
        <v>35.85</v>
      </c>
      <c r="P453">
        <v>73.83</v>
      </c>
      <c r="Q453">
        <v>11.38</v>
      </c>
      <c r="R453" s="21">
        <v>2702.1629482999997</v>
      </c>
    </row>
    <row r="454" spans="7:18" x14ac:dyDescent="0.15">
      <c r="G454" s="11">
        <v>453</v>
      </c>
      <c r="H454" s="10" t="s">
        <v>310</v>
      </c>
      <c r="I454" t="s">
        <v>1379</v>
      </c>
      <c r="J454" t="s">
        <v>1685</v>
      </c>
      <c r="K454">
        <v>-0.12</v>
      </c>
      <c r="L454">
        <v>-0.04</v>
      </c>
      <c r="M454">
        <v>0.1</v>
      </c>
      <c r="N454" s="20">
        <v>-0.22</v>
      </c>
      <c r="O454">
        <v>35.700000000000003</v>
      </c>
      <c r="P454">
        <v>13.23</v>
      </c>
      <c r="Q454">
        <v>71.69</v>
      </c>
      <c r="R454" s="21">
        <v>3929.7739149999998</v>
      </c>
    </row>
    <row r="455" spans="7:18" x14ac:dyDescent="0.15">
      <c r="G455" s="11">
        <v>454</v>
      </c>
      <c r="H455" s="10" t="s">
        <v>486</v>
      </c>
      <c r="I455" t="s">
        <v>869</v>
      </c>
      <c r="J455" t="s">
        <v>867</v>
      </c>
      <c r="K455">
        <v>1.95</v>
      </c>
      <c r="L455">
        <v>3.56</v>
      </c>
      <c r="M455">
        <v>10.06</v>
      </c>
      <c r="N455" s="20">
        <v>0</v>
      </c>
      <c r="O455">
        <v>35.56</v>
      </c>
      <c r="P455">
        <v>55.9</v>
      </c>
      <c r="Q455">
        <v>28.88</v>
      </c>
      <c r="R455" s="21">
        <v>204.42869999999999</v>
      </c>
    </row>
    <row r="456" spans="7:18" x14ac:dyDescent="0.15">
      <c r="G456" s="11">
        <v>455</v>
      </c>
      <c r="H456" s="10" t="s">
        <v>614</v>
      </c>
      <c r="I456" t="s">
        <v>918</v>
      </c>
      <c r="J456" t="s">
        <v>867</v>
      </c>
      <c r="K456">
        <v>-0.42</v>
      </c>
      <c r="L456">
        <v>-1.23</v>
      </c>
      <c r="M456">
        <v>2.52</v>
      </c>
      <c r="N456" s="20">
        <v>-0.16</v>
      </c>
      <c r="O456">
        <v>35.42</v>
      </c>
      <c r="P456">
        <v>20.63</v>
      </c>
      <c r="Q456">
        <v>64.010000000000005</v>
      </c>
      <c r="R456" s="21">
        <v>108.76656000000001</v>
      </c>
    </row>
    <row r="457" spans="7:18" x14ac:dyDescent="0.15">
      <c r="G457" s="11">
        <v>456</v>
      </c>
      <c r="H457" s="10" t="s">
        <v>700</v>
      </c>
      <c r="I457" t="s">
        <v>981</v>
      </c>
      <c r="J457" t="s">
        <v>867</v>
      </c>
      <c r="K457">
        <v>-0.18</v>
      </c>
      <c r="L457">
        <v>1.65</v>
      </c>
      <c r="M457">
        <v>7.96</v>
      </c>
      <c r="N457" s="20">
        <v>-7.0000000000000007E-2</v>
      </c>
      <c r="O457">
        <v>35.28</v>
      </c>
      <c r="P457">
        <v>38.119999999999997</v>
      </c>
      <c r="Q457">
        <v>46.37</v>
      </c>
      <c r="R457" s="21">
        <v>48.719499999999996</v>
      </c>
    </row>
    <row r="458" spans="7:18" x14ac:dyDescent="0.15">
      <c r="G458" s="11">
        <v>457</v>
      </c>
      <c r="H458" s="10" t="s">
        <v>463</v>
      </c>
      <c r="I458" t="s">
        <v>1072</v>
      </c>
      <c r="J458" t="s">
        <v>867</v>
      </c>
      <c r="K458">
        <v>-0.6</v>
      </c>
      <c r="L458">
        <v>0.15</v>
      </c>
      <c r="M458">
        <v>2.14</v>
      </c>
      <c r="N458" s="20">
        <v>-0.17</v>
      </c>
      <c r="O458">
        <v>35.14</v>
      </c>
      <c r="P458">
        <v>19.2</v>
      </c>
      <c r="Q458">
        <v>65.150000000000006</v>
      </c>
      <c r="R458" s="21">
        <v>4222.4468288999997</v>
      </c>
    </row>
    <row r="459" spans="7:18" x14ac:dyDescent="0.15">
      <c r="G459" s="11">
        <v>458</v>
      </c>
      <c r="H459" s="10" t="s">
        <v>474</v>
      </c>
      <c r="I459" t="s">
        <v>1022</v>
      </c>
      <c r="J459" t="s">
        <v>867</v>
      </c>
      <c r="K459">
        <v>-0.86</v>
      </c>
      <c r="L459">
        <v>-2.0299999999999998</v>
      </c>
      <c r="M459">
        <v>-0.25</v>
      </c>
      <c r="N459" s="20">
        <v>-0.24</v>
      </c>
      <c r="O459">
        <v>34.99</v>
      </c>
      <c r="P459">
        <v>9.9600000000000009</v>
      </c>
      <c r="Q459">
        <v>74.11</v>
      </c>
      <c r="R459" s="21">
        <v>2104.3708000000001</v>
      </c>
    </row>
    <row r="460" spans="7:18" x14ac:dyDescent="0.15">
      <c r="G460" s="11">
        <v>459</v>
      </c>
      <c r="H460" s="10" t="s">
        <v>416</v>
      </c>
      <c r="I460" t="s">
        <v>959</v>
      </c>
      <c r="J460" t="s">
        <v>867</v>
      </c>
      <c r="K460">
        <v>2.2599999999999998</v>
      </c>
      <c r="L460">
        <v>5.47</v>
      </c>
      <c r="M460">
        <v>10.6</v>
      </c>
      <c r="N460" s="20">
        <v>0.09</v>
      </c>
      <c r="O460">
        <v>34.85</v>
      </c>
      <c r="P460">
        <v>59.46</v>
      </c>
      <c r="Q460">
        <v>24.47</v>
      </c>
      <c r="R460" s="21">
        <v>1467.2597000000001</v>
      </c>
    </row>
    <row r="461" spans="7:18" x14ac:dyDescent="0.15">
      <c r="G461" s="11">
        <v>460</v>
      </c>
      <c r="H461" s="10" t="s">
        <v>455</v>
      </c>
      <c r="I461" t="s">
        <v>1040</v>
      </c>
      <c r="J461" t="s">
        <v>867</v>
      </c>
      <c r="K461">
        <v>2.2599999999999998</v>
      </c>
      <c r="L461">
        <v>3.88</v>
      </c>
      <c r="M461">
        <v>10.51</v>
      </c>
      <c r="N461" s="20">
        <v>0.08</v>
      </c>
      <c r="O461">
        <v>34.71</v>
      </c>
      <c r="P461">
        <v>59.03</v>
      </c>
      <c r="Q461">
        <v>24.61</v>
      </c>
      <c r="R461" s="21">
        <v>2815.5209</v>
      </c>
    </row>
    <row r="462" spans="7:18" x14ac:dyDescent="0.15">
      <c r="G462" s="11">
        <v>461</v>
      </c>
      <c r="H462" t="s">
        <v>649</v>
      </c>
      <c r="I462" t="s">
        <v>877</v>
      </c>
      <c r="J462" t="s">
        <v>867</v>
      </c>
      <c r="K462">
        <v>1.7</v>
      </c>
      <c r="L462">
        <v>3.21</v>
      </c>
      <c r="M462">
        <v>7.67</v>
      </c>
      <c r="N462" s="20">
        <v>-0.08</v>
      </c>
      <c r="O462">
        <v>34.57</v>
      </c>
      <c r="P462">
        <v>35.99</v>
      </c>
      <c r="Q462">
        <v>47.51</v>
      </c>
      <c r="R462" s="21">
        <v>29.326599999999999</v>
      </c>
    </row>
    <row r="463" spans="7:18" x14ac:dyDescent="0.15">
      <c r="G463" s="11">
        <v>462</v>
      </c>
      <c r="H463" t="s">
        <v>708</v>
      </c>
      <c r="I463" t="s">
        <v>978</v>
      </c>
      <c r="J463" t="s">
        <v>867</v>
      </c>
      <c r="K463">
        <v>2.35</v>
      </c>
      <c r="L463">
        <v>4.25</v>
      </c>
      <c r="M463">
        <v>9.59</v>
      </c>
      <c r="N463" s="20">
        <v>0</v>
      </c>
      <c r="O463">
        <v>34.42</v>
      </c>
      <c r="P463">
        <v>50.36</v>
      </c>
      <c r="Q463">
        <v>33</v>
      </c>
      <c r="R463" s="21">
        <v>1317.6275000000001</v>
      </c>
    </row>
    <row r="464" spans="7:18" x14ac:dyDescent="0.15">
      <c r="G464" s="11">
        <v>463</v>
      </c>
      <c r="H464" t="s">
        <v>575</v>
      </c>
      <c r="I464" t="s">
        <v>1135</v>
      </c>
      <c r="J464" t="s">
        <v>867</v>
      </c>
      <c r="K464">
        <v>4.08</v>
      </c>
      <c r="L464">
        <v>5.89</v>
      </c>
      <c r="M464">
        <v>11.49</v>
      </c>
      <c r="N464" s="20">
        <v>0.12</v>
      </c>
      <c r="O464">
        <v>34.28</v>
      </c>
      <c r="P464">
        <v>64.150000000000006</v>
      </c>
      <c r="Q464">
        <v>19.059999999999999</v>
      </c>
      <c r="R464" s="21">
        <v>28060.500499999998</v>
      </c>
    </row>
    <row r="465" spans="7:18" x14ac:dyDescent="0.15">
      <c r="G465" s="11">
        <v>464</v>
      </c>
      <c r="H465" t="s">
        <v>362</v>
      </c>
      <c r="I465" t="s">
        <v>1266</v>
      </c>
      <c r="J465" t="s">
        <v>1248</v>
      </c>
      <c r="K465">
        <v>4.3099999999999996</v>
      </c>
      <c r="L465">
        <v>7.4</v>
      </c>
      <c r="M465">
        <v>13.42</v>
      </c>
      <c r="N465" s="20">
        <v>0.41</v>
      </c>
      <c r="O465">
        <v>34.14</v>
      </c>
      <c r="P465">
        <v>73.680000000000007</v>
      </c>
      <c r="Q465">
        <v>9.5299999999999994</v>
      </c>
      <c r="R465" s="21">
        <v>1069.8862391</v>
      </c>
    </row>
    <row r="466" spans="7:18" x14ac:dyDescent="0.15">
      <c r="G466" s="11">
        <v>465</v>
      </c>
      <c r="H466" t="s">
        <v>1670</v>
      </c>
      <c r="I466" t="s">
        <v>1671</v>
      </c>
      <c r="J466" t="s">
        <v>1685</v>
      </c>
      <c r="N466" s="20">
        <v>-0.3</v>
      </c>
      <c r="O466">
        <v>34</v>
      </c>
      <c r="P466">
        <v>2.7</v>
      </c>
      <c r="Q466">
        <v>80.09</v>
      </c>
      <c r="R466" s="21">
        <v>3324.7750999999998</v>
      </c>
    </row>
    <row r="467" spans="7:18" x14ac:dyDescent="0.15">
      <c r="G467" s="11">
        <v>466</v>
      </c>
      <c r="H467" t="s">
        <v>516</v>
      </c>
      <c r="I467" t="s">
        <v>977</v>
      </c>
      <c r="J467" t="s">
        <v>867</v>
      </c>
      <c r="K467">
        <v>-1.45</v>
      </c>
      <c r="L467">
        <v>-0.38</v>
      </c>
      <c r="M467">
        <v>4.72</v>
      </c>
      <c r="N467" s="20">
        <v>-0.13</v>
      </c>
      <c r="O467">
        <v>33.85</v>
      </c>
      <c r="P467">
        <v>25.18</v>
      </c>
      <c r="Q467">
        <v>57.33</v>
      </c>
      <c r="R467" s="21">
        <v>1306.2935</v>
      </c>
    </row>
    <row r="468" spans="7:18" x14ac:dyDescent="0.15">
      <c r="G468" s="11">
        <v>467</v>
      </c>
      <c r="H468" t="s">
        <v>345</v>
      </c>
      <c r="I468" t="s">
        <v>1021</v>
      </c>
      <c r="J468" t="s">
        <v>867</v>
      </c>
      <c r="K468">
        <v>2.73</v>
      </c>
      <c r="L468">
        <v>4.54</v>
      </c>
      <c r="M468">
        <v>8.6300000000000008</v>
      </c>
      <c r="N468" s="20">
        <v>0</v>
      </c>
      <c r="O468">
        <v>33.71</v>
      </c>
      <c r="P468">
        <v>44.1</v>
      </c>
      <c r="Q468">
        <v>38.409999999999997</v>
      </c>
      <c r="R468" s="21">
        <v>3625.8310999999999</v>
      </c>
    </row>
    <row r="469" spans="7:18" x14ac:dyDescent="0.15">
      <c r="G469" s="11">
        <v>468</v>
      </c>
      <c r="H469" t="s">
        <v>590</v>
      </c>
      <c r="I469" t="s">
        <v>874</v>
      </c>
      <c r="J469" t="s">
        <v>867</v>
      </c>
      <c r="K469">
        <v>1.87</v>
      </c>
      <c r="L469">
        <v>2.96</v>
      </c>
      <c r="M469">
        <v>7.7</v>
      </c>
      <c r="N469" s="20">
        <v>-0.06</v>
      </c>
      <c r="O469">
        <v>33.57</v>
      </c>
      <c r="P469">
        <v>36.700000000000003</v>
      </c>
      <c r="Q469">
        <v>45.66</v>
      </c>
      <c r="R469" s="21">
        <v>943.7799</v>
      </c>
    </row>
    <row r="470" spans="7:18" x14ac:dyDescent="0.15">
      <c r="G470" s="11">
        <v>469</v>
      </c>
      <c r="H470" t="s">
        <v>573</v>
      </c>
      <c r="I470" t="s">
        <v>881</v>
      </c>
      <c r="J470" t="s">
        <v>867</v>
      </c>
      <c r="K470">
        <v>-0.92</v>
      </c>
      <c r="L470">
        <v>1.52</v>
      </c>
      <c r="M470">
        <v>8.6999999999999993</v>
      </c>
      <c r="N470" s="20">
        <v>0</v>
      </c>
      <c r="O470">
        <v>33.43</v>
      </c>
      <c r="P470">
        <v>44.67</v>
      </c>
      <c r="Q470">
        <v>37.549999999999997</v>
      </c>
      <c r="R470" s="21">
        <v>89.437899999999999</v>
      </c>
    </row>
    <row r="471" spans="7:18" x14ac:dyDescent="0.15">
      <c r="G471" s="11">
        <v>470</v>
      </c>
      <c r="H471" t="s">
        <v>697</v>
      </c>
      <c r="I471" t="s">
        <v>1178</v>
      </c>
      <c r="J471" t="s">
        <v>867</v>
      </c>
      <c r="K471">
        <v>2.12</v>
      </c>
      <c r="L471">
        <v>3.78</v>
      </c>
      <c r="M471">
        <v>8.4700000000000006</v>
      </c>
      <c r="N471" s="20">
        <v>0</v>
      </c>
      <c r="O471">
        <v>33.29</v>
      </c>
      <c r="P471">
        <v>41.96</v>
      </c>
      <c r="Q471">
        <v>39.83</v>
      </c>
      <c r="R471" s="21">
        <v>182307.6991</v>
      </c>
    </row>
    <row r="472" spans="7:18" x14ac:dyDescent="0.15">
      <c r="G472" s="11">
        <v>471</v>
      </c>
      <c r="H472" t="s">
        <v>500</v>
      </c>
      <c r="I472" t="s">
        <v>906</v>
      </c>
      <c r="J472" t="s">
        <v>867</v>
      </c>
      <c r="K472">
        <v>0.86</v>
      </c>
      <c r="L472">
        <v>3.41</v>
      </c>
      <c r="M472">
        <v>11.61</v>
      </c>
      <c r="N472" s="20">
        <v>0.13</v>
      </c>
      <c r="O472">
        <v>33.14</v>
      </c>
      <c r="P472">
        <v>64.3</v>
      </c>
      <c r="Q472">
        <v>17.350000000000001</v>
      </c>
      <c r="R472" s="21">
        <v>281.82069999999999</v>
      </c>
    </row>
    <row r="473" spans="7:18" x14ac:dyDescent="0.15">
      <c r="G473" s="11">
        <v>472</v>
      </c>
      <c r="H473" t="s">
        <v>368</v>
      </c>
      <c r="I473" t="s">
        <v>876</v>
      </c>
      <c r="J473" t="s">
        <v>867</v>
      </c>
      <c r="K473">
        <v>0.62</v>
      </c>
      <c r="L473">
        <v>2.84</v>
      </c>
      <c r="M473">
        <v>7.4</v>
      </c>
      <c r="N473" s="20">
        <v>-7.0000000000000007E-2</v>
      </c>
      <c r="O473">
        <v>33</v>
      </c>
      <c r="P473">
        <v>34.71</v>
      </c>
      <c r="Q473">
        <v>46.94</v>
      </c>
      <c r="R473" s="21">
        <v>174.92320000000001</v>
      </c>
    </row>
    <row r="474" spans="7:18" x14ac:dyDescent="0.15">
      <c r="G474" s="11">
        <v>473</v>
      </c>
      <c r="H474" t="s">
        <v>427</v>
      </c>
      <c r="I474" t="s">
        <v>948</v>
      </c>
      <c r="J474" t="s">
        <v>867</v>
      </c>
      <c r="K474">
        <v>2.78</v>
      </c>
      <c r="L474">
        <v>6.34</v>
      </c>
      <c r="M474">
        <v>8.52</v>
      </c>
      <c r="N474" s="20">
        <v>0</v>
      </c>
      <c r="O474">
        <v>32.86</v>
      </c>
      <c r="P474">
        <v>42.82</v>
      </c>
      <c r="Q474">
        <v>38.83</v>
      </c>
      <c r="R474" s="21">
        <v>301.15091000000001</v>
      </c>
    </row>
    <row r="475" spans="7:18" x14ac:dyDescent="0.15">
      <c r="G475" s="11">
        <v>474</v>
      </c>
      <c r="H475" t="s">
        <v>1402</v>
      </c>
      <c r="I475" t="s">
        <v>1403</v>
      </c>
      <c r="J475" t="s">
        <v>1685</v>
      </c>
      <c r="K475">
        <v>2.2200000000000002</v>
      </c>
      <c r="L475">
        <v>5.63</v>
      </c>
      <c r="M475">
        <v>8.8000000000000007</v>
      </c>
      <c r="N475" s="20">
        <v>0</v>
      </c>
      <c r="O475">
        <v>32.72</v>
      </c>
      <c r="P475">
        <v>45.8</v>
      </c>
      <c r="Q475">
        <v>35.85</v>
      </c>
      <c r="R475" s="21">
        <v>323.35472000000004</v>
      </c>
    </row>
    <row r="476" spans="7:18" x14ac:dyDescent="0.15">
      <c r="G476" s="11">
        <v>475</v>
      </c>
      <c r="H476" t="s">
        <v>307</v>
      </c>
      <c r="I476" t="s">
        <v>1263</v>
      </c>
      <c r="J476" t="s">
        <v>1248</v>
      </c>
      <c r="K476">
        <v>2.82</v>
      </c>
      <c r="L476">
        <v>7.19</v>
      </c>
      <c r="M476">
        <v>10.24</v>
      </c>
      <c r="N476" s="20">
        <v>0.09</v>
      </c>
      <c r="O476">
        <v>32.57</v>
      </c>
      <c r="P476">
        <v>57.61</v>
      </c>
      <c r="Q476">
        <v>23.9</v>
      </c>
      <c r="R476" s="21">
        <v>195.15010000000001</v>
      </c>
    </row>
    <row r="477" spans="7:18" x14ac:dyDescent="0.15">
      <c r="G477" s="11">
        <v>476</v>
      </c>
      <c r="H477" t="s">
        <v>682</v>
      </c>
      <c r="I477" t="s">
        <v>1068</v>
      </c>
      <c r="J477" t="s">
        <v>867</v>
      </c>
      <c r="K477">
        <v>1.92</v>
      </c>
      <c r="L477">
        <v>3.02</v>
      </c>
      <c r="M477">
        <v>8</v>
      </c>
      <c r="N477" s="20">
        <v>0</v>
      </c>
      <c r="O477">
        <v>32.43</v>
      </c>
      <c r="P477">
        <v>38.409999999999997</v>
      </c>
      <c r="Q477">
        <v>42.82</v>
      </c>
      <c r="R477" s="21">
        <v>1579.7415000000001</v>
      </c>
    </row>
    <row r="478" spans="7:18" x14ac:dyDescent="0.15">
      <c r="G478" s="11">
        <v>477</v>
      </c>
      <c r="H478" t="s">
        <v>421</v>
      </c>
      <c r="I478" t="s">
        <v>1060</v>
      </c>
      <c r="J478" t="s">
        <v>867</v>
      </c>
      <c r="N478" s="20">
        <v>-0.28999999999999998</v>
      </c>
      <c r="O478">
        <v>32.29</v>
      </c>
      <c r="P478">
        <v>2.56</v>
      </c>
      <c r="Q478">
        <v>78.52</v>
      </c>
      <c r="R478" s="21">
        <v>5167.2268000000004</v>
      </c>
    </row>
    <row r="479" spans="7:18" x14ac:dyDescent="0.15">
      <c r="G479" s="11">
        <v>478</v>
      </c>
      <c r="H479" t="s">
        <v>498</v>
      </c>
      <c r="I479" t="s">
        <v>1041</v>
      </c>
      <c r="J479" t="s">
        <v>867</v>
      </c>
      <c r="K479">
        <v>-0.09</v>
      </c>
      <c r="L479">
        <v>-0.42</v>
      </c>
      <c r="M479">
        <v>1.88</v>
      </c>
      <c r="N479" s="20">
        <v>-0.15</v>
      </c>
      <c r="O479">
        <v>32.15</v>
      </c>
      <c r="P479">
        <v>18.07</v>
      </c>
      <c r="Q479">
        <v>61.02</v>
      </c>
      <c r="R479" s="21">
        <v>1339.347</v>
      </c>
    </row>
    <row r="480" spans="7:18" x14ac:dyDescent="0.15">
      <c r="G480" s="11">
        <v>479</v>
      </c>
      <c r="H480" t="s">
        <v>459</v>
      </c>
      <c r="I480" t="s">
        <v>923</v>
      </c>
      <c r="J480" t="s">
        <v>867</v>
      </c>
      <c r="K480">
        <v>2.1800000000000002</v>
      </c>
      <c r="L480">
        <v>3.98</v>
      </c>
      <c r="M480">
        <v>11.73</v>
      </c>
      <c r="N480" s="20">
        <v>0.22</v>
      </c>
      <c r="O480">
        <v>32.01</v>
      </c>
      <c r="P480">
        <v>64.86</v>
      </c>
      <c r="Q480">
        <v>13.8</v>
      </c>
      <c r="R480" s="21">
        <v>394.27499999999998</v>
      </c>
    </row>
    <row r="481" spans="7:18" x14ac:dyDescent="0.15">
      <c r="G481" s="11">
        <v>480</v>
      </c>
      <c r="H481" t="s">
        <v>678</v>
      </c>
      <c r="I481" t="s">
        <v>1081</v>
      </c>
      <c r="J481" t="s">
        <v>867</v>
      </c>
      <c r="N481" s="20">
        <v>-0.26</v>
      </c>
      <c r="O481">
        <v>31.86</v>
      </c>
      <c r="P481">
        <v>2.42</v>
      </c>
      <c r="Q481">
        <v>76.239999999999995</v>
      </c>
      <c r="R481" s="21">
        <v>4116.3882450000001</v>
      </c>
    </row>
    <row r="482" spans="7:18" x14ac:dyDescent="0.15">
      <c r="G482" s="11">
        <v>481</v>
      </c>
      <c r="H482" t="s">
        <v>686</v>
      </c>
      <c r="I482" t="s">
        <v>1036</v>
      </c>
      <c r="J482" t="s">
        <v>867</v>
      </c>
      <c r="K482">
        <v>-0.26</v>
      </c>
      <c r="L482">
        <v>0.61</v>
      </c>
      <c r="M482">
        <v>3.84</v>
      </c>
      <c r="N482" s="20">
        <v>-0.11</v>
      </c>
      <c r="O482">
        <v>31.72</v>
      </c>
      <c r="P482">
        <v>23.76</v>
      </c>
      <c r="Q482">
        <v>54.77</v>
      </c>
      <c r="R482" s="21">
        <v>2452.2993000000001</v>
      </c>
    </row>
    <row r="483" spans="7:18" x14ac:dyDescent="0.15">
      <c r="G483" s="11">
        <v>482</v>
      </c>
      <c r="H483" t="s">
        <v>520</v>
      </c>
      <c r="I483" t="s">
        <v>1050</v>
      </c>
      <c r="J483" t="s">
        <v>867</v>
      </c>
      <c r="K483">
        <v>1.84</v>
      </c>
      <c r="L483">
        <v>3.1</v>
      </c>
      <c r="M483">
        <v>10.71</v>
      </c>
      <c r="N483" s="20">
        <v>0.13</v>
      </c>
      <c r="O483">
        <v>31.58</v>
      </c>
      <c r="P483">
        <v>60.03</v>
      </c>
      <c r="Q483">
        <v>18.21</v>
      </c>
      <c r="R483" s="21">
        <v>2613.0754999999999</v>
      </c>
    </row>
    <row r="484" spans="7:18" x14ac:dyDescent="0.15">
      <c r="G484" s="11">
        <v>483</v>
      </c>
      <c r="H484" t="s">
        <v>1672</v>
      </c>
      <c r="I484" t="s">
        <v>1673</v>
      </c>
      <c r="J484" t="s">
        <v>1685</v>
      </c>
      <c r="K484">
        <v>0.31</v>
      </c>
      <c r="L484">
        <v>2.14</v>
      </c>
      <c r="M484">
        <v>7.78</v>
      </c>
      <c r="N484" s="20">
        <v>0</v>
      </c>
      <c r="O484">
        <v>31.44</v>
      </c>
      <c r="P484">
        <v>37.270000000000003</v>
      </c>
      <c r="Q484">
        <v>40.97</v>
      </c>
      <c r="R484" s="21">
        <v>1531.8148000000001</v>
      </c>
    </row>
    <row r="485" spans="7:18" x14ac:dyDescent="0.15">
      <c r="G485" s="11">
        <v>484</v>
      </c>
      <c r="H485" t="s">
        <v>566</v>
      </c>
      <c r="I485" t="s">
        <v>993</v>
      </c>
      <c r="J485" t="s">
        <v>867</v>
      </c>
      <c r="K485">
        <v>1.88</v>
      </c>
      <c r="L485">
        <v>8.9600000000000009</v>
      </c>
      <c r="M485">
        <v>11.76</v>
      </c>
      <c r="N485" s="20">
        <v>0.23</v>
      </c>
      <c r="O485">
        <v>31.29</v>
      </c>
      <c r="P485">
        <v>65.010000000000005</v>
      </c>
      <c r="Q485">
        <v>13.09</v>
      </c>
      <c r="R485" s="21">
        <v>963.93830000000003</v>
      </c>
    </row>
    <row r="486" spans="7:18" x14ac:dyDescent="0.15">
      <c r="G486" s="11">
        <v>485</v>
      </c>
      <c r="H486" t="s">
        <v>1439</v>
      </c>
      <c r="I486" t="s">
        <v>1440</v>
      </c>
      <c r="J486" t="s">
        <v>1685</v>
      </c>
      <c r="K486">
        <v>5.04</v>
      </c>
      <c r="L486">
        <v>8.58</v>
      </c>
      <c r="M486">
        <v>10.210000000000001</v>
      </c>
      <c r="N486" s="20">
        <v>0.11</v>
      </c>
      <c r="O486">
        <v>31.15</v>
      </c>
      <c r="P486">
        <v>57.47</v>
      </c>
      <c r="Q486">
        <v>20.63</v>
      </c>
      <c r="R486" s="21">
        <v>1787.80755</v>
      </c>
    </row>
    <row r="487" spans="7:18" x14ac:dyDescent="0.15">
      <c r="G487" s="11">
        <v>486</v>
      </c>
      <c r="H487" t="s">
        <v>560</v>
      </c>
      <c r="I487" t="s">
        <v>979</v>
      </c>
      <c r="J487" t="s">
        <v>867</v>
      </c>
      <c r="K487">
        <v>0.86</v>
      </c>
      <c r="L487">
        <v>3.85</v>
      </c>
      <c r="M487">
        <v>6.47</v>
      </c>
      <c r="N487" s="20">
        <v>-7.0000000000000007E-2</v>
      </c>
      <c r="O487">
        <v>31.01</v>
      </c>
      <c r="P487">
        <v>31.01</v>
      </c>
      <c r="Q487">
        <v>47.08</v>
      </c>
      <c r="R487" s="21">
        <v>514.65610000000004</v>
      </c>
    </row>
    <row r="488" spans="7:18" x14ac:dyDescent="0.15">
      <c r="G488" s="11">
        <v>487</v>
      </c>
      <c r="H488" t="s">
        <v>706</v>
      </c>
      <c r="I488" t="s">
        <v>262</v>
      </c>
      <c r="J488" t="s">
        <v>867</v>
      </c>
      <c r="K488">
        <v>2.41</v>
      </c>
      <c r="L488">
        <v>4.3</v>
      </c>
      <c r="M488">
        <v>9.74</v>
      </c>
      <c r="N488" s="20">
        <v>7.0000000000000007E-2</v>
      </c>
      <c r="O488">
        <v>30.87</v>
      </c>
      <c r="P488">
        <v>52.2</v>
      </c>
      <c r="Q488">
        <v>25.89</v>
      </c>
      <c r="R488" s="21">
        <v>9899.0429000000004</v>
      </c>
    </row>
    <row r="489" spans="7:18" x14ac:dyDescent="0.15">
      <c r="G489" s="11">
        <v>488</v>
      </c>
      <c r="H489" t="s">
        <v>478</v>
      </c>
      <c r="I489" t="s">
        <v>1129</v>
      </c>
      <c r="J489" t="s">
        <v>867</v>
      </c>
      <c r="K489">
        <v>4.6900000000000004</v>
      </c>
      <c r="L489">
        <v>6.34</v>
      </c>
      <c r="M489">
        <v>11.44</v>
      </c>
      <c r="N489" s="20">
        <v>0.21</v>
      </c>
      <c r="O489">
        <v>30.73</v>
      </c>
      <c r="P489">
        <v>64.010000000000005</v>
      </c>
      <c r="Q489">
        <v>13.94</v>
      </c>
      <c r="R489" s="21">
        <v>28171.725600000002</v>
      </c>
    </row>
    <row r="490" spans="7:18" x14ac:dyDescent="0.15">
      <c r="G490" s="11">
        <v>489</v>
      </c>
      <c r="H490" t="s">
        <v>723</v>
      </c>
      <c r="I490" t="s">
        <v>1303</v>
      </c>
      <c r="J490" t="s">
        <v>1285</v>
      </c>
      <c r="K490">
        <v>3.04</v>
      </c>
      <c r="L490">
        <v>-0.26</v>
      </c>
      <c r="M490">
        <v>7.02</v>
      </c>
      <c r="N490" s="20">
        <v>-0.04</v>
      </c>
      <c r="O490">
        <v>30.58</v>
      </c>
      <c r="P490">
        <v>32.72</v>
      </c>
      <c r="Q490">
        <v>45.23</v>
      </c>
      <c r="R490" s="21">
        <v>5802.0848999999998</v>
      </c>
    </row>
    <row r="491" spans="7:18" x14ac:dyDescent="0.15">
      <c r="G491" s="11">
        <v>490</v>
      </c>
      <c r="H491" t="s">
        <v>742</v>
      </c>
      <c r="I491" t="s">
        <v>911</v>
      </c>
      <c r="J491" t="s">
        <v>867</v>
      </c>
      <c r="K491">
        <v>2.0299999999999998</v>
      </c>
      <c r="L491">
        <v>2.33</v>
      </c>
      <c r="M491">
        <v>9.23</v>
      </c>
      <c r="N491" s="20">
        <v>0</v>
      </c>
      <c r="O491">
        <v>30.44</v>
      </c>
      <c r="P491">
        <v>47.51</v>
      </c>
      <c r="Q491">
        <v>30.16</v>
      </c>
      <c r="R491" s="21">
        <v>25.710100000000001</v>
      </c>
    </row>
    <row r="492" spans="7:18" x14ac:dyDescent="0.15">
      <c r="G492" s="11">
        <v>491</v>
      </c>
      <c r="H492" t="s">
        <v>430</v>
      </c>
      <c r="I492" t="s">
        <v>1191</v>
      </c>
      <c r="J492" t="s">
        <v>1316</v>
      </c>
      <c r="K492">
        <v>15.8</v>
      </c>
      <c r="L492">
        <v>20.74</v>
      </c>
      <c r="M492">
        <v>7.12</v>
      </c>
      <c r="N492" s="20">
        <v>-0.01</v>
      </c>
      <c r="O492">
        <v>30.3</v>
      </c>
      <c r="P492">
        <v>33.29</v>
      </c>
      <c r="Q492">
        <v>44.38</v>
      </c>
      <c r="R492" s="21">
        <v>221366.05729999999</v>
      </c>
    </row>
    <row r="493" spans="7:18" x14ac:dyDescent="0.15">
      <c r="G493" s="11">
        <v>492</v>
      </c>
      <c r="H493" t="s">
        <v>544</v>
      </c>
      <c r="I493" t="s">
        <v>899</v>
      </c>
      <c r="J493" t="s">
        <v>867</v>
      </c>
      <c r="K493">
        <v>1.33</v>
      </c>
      <c r="L493">
        <v>3.07</v>
      </c>
      <c r="M493">
        <v>8.19</v>
      </c>
      <c r="N493" s="20">
        <v>0</v>
      </c>
      <c r="O493">
        <v>30.16</v>
      </c>
      <c r="P493">
        <v>39.83</v>
      </c>
      <c r="Q493">
        <v>37.700000000000003</v>
      </c>
      <c r="R493" s="21">
        <v>185.45150139999998</v>
      </c>
    </row>
    <row r="494" spans="7:18" x14ac:dyDescent="0.15">
      <c r="G494" s="11">
        <v>493</v>
      </c>
      <c r="H494" t="s">
        <v>517</v>
      </c>
      <c r="I494" t="s">
        <v>1071</v>
      </c>
      <c r="J494" t="s">
        <v>867</v>
      </c>
      <c r="K494">
        <v>-0.21</v>
      </c>
      <c r="L494">
        <v>-1.32</v>
      </c>
      <c r="M494">
        <v>0.37</v>
      </c>
      <c r="N494" s="20">
        <v>-0.16</v>
      </c>
      <c r="O494">
        <v>30.01</v>
      </c>
      <c r="P494">
        <v>14.22</v>
      </c>
      <c r="Q494">
        <v>63.16</v>
      </c>
      <c r="R494" s="21">
        <v>4903.4925000000003</v>
      </c>
    </row>
    <row r="495" spans="7:18" x14ac:dyDescent="0.15">
      <c r="G495" s="11">
        <v>494</v>
      </c>
      <c r="H495" t="s">
        <v>398</v>
      </c>
      <c r="I495" t="s">
        <v>1059</v>
      </c>
      <c r="J495" t="s">
        <v>867</v>
      </c>
      <c r="K495">
        <v>2.96</v>
      </c>
      <c r="L495">
        <v>5.05</v>
      </c>
      <c r="M495">
        <v>10.77</v>
      </c>
      <c r="N495" s="20">
        <v>0.15</v>
      </c>
      <c r="O495">
        <v>29.87</v>
      </c>
      <c r="P495">
        <v>60.6</v>
      </c>
      <c r="Q495">
        <v>16.36</v>
      </c>
      <c r="R495" s="21">
        <v>3746.2365</v>
      </c>
    </row>
    <row r="496" spans="7:18" x14ac:dyDescent="0.15">
      <c r="G496" s="11">
        <v>495</v>
      </c>
      <c r="H496" t="s">
        <v>425</v>
      </c>
      <c r="I496" t="s">
        <v>937</v>
      </c>
      <c r="J496" t="s">
        <v>867</v>
      </c>
      <c r="K496">
        <v>-0.53</v>
      </c>
      <c r="L496">
        <v>2.21</v>
      </c>
      <c r="M496">
        <v>9.69</v>
      </c>
      <c r="N496" s="20">
        <v>0.08</v>
      </c>
      <c r="O496">
        <v>29.73</v>
      </c>
      <c r="P496">
        <v>51.49</v>
      </c>
      <c r="Q496">
        <v>25.32</v>
      </c>
      <c r="R496" s="21">
        <v>1998.3992600000001</v>
      </c>
    </row>
    <row r="497" spans="7:18" x14ac:dyDescent="0.15">
      <c r="G497" s="11">
        <v>496</v>
      </c>
      <c r="H497" t="s">
        <v>630</v>
      </c>
      <c r="I497" t="s">
        <v>1131</v>
      </c>
      <c r="J497" t="s">
        <v>867</v>
      </c>
      <c r="K497">
        <v>0.74</v>
      </c>
      <c r="L497">
        <v>1.8</v>
      </c>
      <c r="M497">
        <v>6.78</v>
      </c>
      <c r="N497" s="20">
        <v>0</v>
      </c>
      <c r="O497">
        <v>29.59</v>
      </c>
      <c r="P497">
        <v>32.15</v>
      </c>
      <c r="Q497">
        <v>44.24</v>
      </c>
      <c r="R497" s="21">
        <v>6233.5708999999997</v>
      </c>
    </row>
    <row r="498" spans="7:18" x14ac:dyDescent="0.15">
      <c r="G498" s="11">
        <v>497</v>
      </c>
      <c r="H498" t="s">
        <v>346</v>
      </c>
      <c r="I498" t="s">
        <v>1093</v>
      </c>
      <c r="J498" t="s">
        <v>867</v>
      </c>
      <c r="K498">
        <v>2.17</v>
      </c>
      <c r="L498">
        <v>4.7300000000000004</v>
      </c>
      <c r="M498">
        <v>8.51</v>
      </c>
      <c r="N498" s="20">
        <v>0</v>
      </c>
      <c r="O498">
        <v>29.45</v>
      </c>
      <c r="P498">
        <v>42.53</v>
      </c>
      <c r="Q498">
        <v>33.85</v>
      </c>
      <c r="R498" s="21">
        <v>4035.3745299999996</v>
      </c>
    </row>
    <row r="499" spans="7:18" x14ac:dyDescent="0.15">
      <c r="G499" s="11">
        <v>498</v>
      </c>
      <c r="H499" t="s">
        <v>502</v>
      </c>
      <c r="I499" t="s">
        <v>1010</v>
      </c>
      <c r="J499" t="s">
        <v>867</v>
      </c>
      <c r="K499">
        <v>0.75</v>
      </c>
      <c r="L499">
        <v>3.25</v>
      </c>
      <c r="M499">
        <v>8.7100000000000009</v>
      </c>
      <c r="N499" s="20">
        <v>0</v>
      </c>
      <c r="O499">
        <v>29.3</v>
      </c>
      <c r="P499">
        <v>44.81</v>
      </c>
      <c r="Q499">
        <v>31.44</v>
      </c>
      <c r="R499" s="21">
        <v>1296.8206</v>
      </c>
    </row>
    <row r="500" spans="7:18" x14ac:dyDescent="0.15">
      <c r="G500" s="11">
        <v>499</v>
      </c>
      <c r="H500" t="s">
        <v>558</v>
      </c>
      <c r="I500" t="s">
        <v>953</v>
      </c>
      <c r="J500" t="s">
        <v>867</v>
      </c>
      <c r="K500">
        <v>0.19</v>
      </c>
      <c r="L500">
        <v>1.55</v>
      </c>
      <c r="M500">
        <v>5.9</v>
      </c>
      <c r="N500" s="20">
        <v>-0.08</v>
      </c>
      <c r="O500">
        <v>29.16</v>
      </c>
      <c r="P500">
        <v>28.88</v>
      </c>
      <c r="Q500">
        <v>47.37</v>
      </c>
      <c r="R500" s="21">
        <v>1114.1134</v>
      </c>
    </row>
    <row r="501" spans="7:18" x14ac:dyDescent="0.15">
      <c r="G501" s="11">
        <v>500</v>
      </c>
      <c r="H501" t="s">
        <v>540</v>
      </c>
      <c r="I501" t="s">
        <v>1157</v>
      </c>
      <c r="J501" t="s">
        <v>867</v>
      </c>
      <c r="K501">
        <v>0.93</v>
      </c>
      <c r="L501">
        <v>-0.03</v>
      </c>
      <c r="M501">
        <v>9.7799999999999994</v>
      </c>
      <c r="N501" s="20">
        <v>0.09</v>
      </c>
      <c r="O501">
        <v>29.02</v>
      </c>
      <c r="P501">
        <v>52.63</v>
      </c>
      <c r="Q501">
        <v>23.33</v>
      </c>
      <c r="R501" s="21">
        <v>56928.785499999998</v>
      </c>
    </row>
    <row r="502" spans="7:18" x14ac:dyDescent="0.15">
      <c r="G502" s="11">
        <v>501</v>
      </c>
      <c r="H502" t="s">
        <v>677</v>
      </c>
      <c r="I502" t="s">
        <v>1177</v>
      </c>
      <c r="J502" t="s">
        <v>867</v>
      </c>
      <c r="K502">
        <v>1.39</v>
      </c>
      <c r="L502">
        <v>2.6</v>
      </c>
      <c r="M502">
        <v>7.59</v>
      </c>
      <c r="N502" s="20">
        <v>0</v>
      </c>
      <c r="O502">
        <v>28.88</v>
      </c>
      <c r="P502">
        <v>35.700000000000003</v>
      </c>
      <c r="Q502">
        <v>40.11</v>
      </c>
      <c r="R502" s="21">
        <v>160179.51569999999</v>
      </c>
    </row>
    <row r="503" spans="7:18" x14ac:dyDescent="0.15">
      <c r="G503" s="11">
        <v>502</v>
      </c>
      <c r="H503" t="s">
        <v>745</v>
      </c>
      <c r="I503" t="s">
        <v>1137</v>
      </c>
      <c r="J503" t="s">
        <v>867</v>
      </c>
      <c r="K503">
        <v>1.07</v>
      </c>
      <c r="L503">
        <v>3.35</v>
      </c>
      <c r="M503">
        <v>11.23</v>
      </c>
      <c r="N503" s="20">
        <v>0.23</v>
      </c>
      <c r="O503">
        <v>28.73</v>
      </c>
      <c r="P503">
        <v>62.73</v>
      </c>
      <c r="Q503">
        <v>12.94</v>
      </c>
      <c r="R503" s="21">
        <v>10689.9972844</v>
      </c>
    </row>
    <row r="504" spans="7:18" x14ac:dyDescent="0.15">
      <c r="G504" s="11">
        <v>503</v>
      </c>
      <c r="H504" t="s">
        <v>409</v>
      </c>
      <c r="I504" t="s">
        <v>1183</v>
      </c>
      <c r="J504" t="s">
        <v>1179</v>
      </c>
      <c r="K504">
        <v>0.21</v>
      </c>
      <c r="L504">
        <v>-0.57999999999999996</v>
      </c>
      <c r="M504">
        <v>-0.87</v>
      </c>
      <c r="N504" s="20">
        <v>-0.18</v>
      </c>
      <c r="O504">
        <v>28.59</v>
      </c>
      <c r="P504">
        <v>8.68</v>
      </c>
      <c r="Q504">
        <v>66.290000000000006</v>
      </c>
      <c r="R504" s="21">
        <v>972.92700000000002</v>
      </c>
    </row>
    <row r="505" spans="7:18" x14ac:dyDescent="0.15">
      <c r="G505" s="11">
        <v>504</v>
      </c>
      <c r="H505" t="s">
        <v>1286</v>
      </c>
      <c r="I505" t="s">
        <v>1287</v>
      </c>
      <c r="J505" t="s">
        <v>1285</v>
      </c>
      <c r="K505">
        <v>3.7</v>
      </c>
      <c r="L505">
        <v>-1.02</v>
      </c>
      <c r="M505">
        <v>13.04</v>
      </c>
      <c r="N505" s="20">
        <v>3.47</v>
      </c>
      <c r="O505">
        <v>28.45</v>
      </c>
      <c r="P505">
        <v>72.400000000000006</v>
      </c>
      <c r="Q505">
        <v>2.42</v>
      </c>
      <c r="R505" s="21">
        <v>292.27390000000003</v>
      </c>
    </row>
    <row r="506" spans="7:18" x14ac:dyDescent="0.15">
      <c r="G506" s="11">
        <v>505</v>
      </c>
      <c r="H506" t="s">
        <v>587</v>
      </c>
      <c r="I506" t="s">
        <v>1120</v>
      </c>
      <c r="J506" t="s">
        <v>867</v>
      </c>
      <c r="K506">
        <v>0.31</v>
      </c>
      <c r="L506">
        <v>0.01</v>
      </c>
      <c r="M506">
        <v>7.48</v>
      </c>
      <c r="N506" s="20">
        <v>0</v>
      </c>
      <c r="O506">
        <v>28.31</v>
      </c>
      <c r="P506">
        <v>35.28</v>
      </c>
      <c r="Q506">
        <v>39.26</v>
      </c>
      <c r="R506" s="21">
        <v>15048.388199999999</v>
      </c>
    </row>
    <row r="507" spans="7:18" x14ac:dyDescent="0.15">
      <c r="G507" s="11">
        <v>506</v>
      </c>
      <c r="H507" t="s">
        <v>603</v>
      </c>
      <c r="I507" t="s">
        <v>1095</v>
      </c>
      <c r="J507" t="s">
        <v>867</v>
      </c>
      <c r="K507">
        <v>0.24</v>
      </c>
      <c r="L507">
        <v>2.9</v>
      </c>
      <c r="M507">
        <v>8.44</v>
      </c>
      <c r="N507" s="20">
        <v>0</v>
      </c>
      <c r="O507">
        <v>28.17</v>
      </c>
      <c r="P507">
        <v>41.54</v>
      </c>
      <c r="Q507">
        <v>32.86</v>
      </c>
      <c r="R507" s="21">
        <v>1461.6359</v>
      </c>
    </row>
    <row r="508" spans="7:18" x14ac:dyDescent="0.15">
      <c r="G508" s="11">
        <v>507</v>
      </c>
      <c r="H508" t="s">
        <v>438</v>
      </c>
      <c r="I508" t="s">
        <v>1064</v>
      </c>
      <c r="J508" t="s">
        <v>867</v>
      </c>
      <c r="K508">
        <v>2.79</v>
      </c>
      <c r="L508">
        <v>4.88</v>
      </c>
      <c r="M508">
        <v>10.52</v>
      </c>
      <c r="N508" s="20">
        <v>0.19</v>
      </c>
      <c r="O508">
        <v>28.02</v>
      </c>
      <c r="P508">
        <v>59.17</v>
      </c>
      <c r="Q508">
        <v>14.79</v>
      </c>
      <c r="R508" s="21">
        <v>60982.883000000002</v>
      </c>
    </row>
    <row r="509" spans="7:18" x14ac:dyDescent="0.15">
      <c r="G509" s="11">
        <v>508</v>
      </c>
      <c r="H509" t="s">
        <v>485</v>
      </c>
      <c r="I509" t="s">
        <v>971</v>
      </c>
      <c r="J509" t="s">
        <v>867</v>
      </c>
      <c r="K509">
        <v>0.49</v>
      </c>
      <c r="L509">
        <v>1.1200000000000001</v>
      </c>
      <c r="M509">
        <v>4.51</v>
      </c>
      <c r="N509" s="20">
        <v>-0.08</v>
      </c>
      <c r="O509">
        <v>27.88</v>
      </c>
      <c r="P509">
        <v>24.61</v>
      </c>
      <c r="Q509">
        <v>49.22</v>
      </c>
      <c r="R509" s="21">
        <v>756.88013999999998</v>
      </c>
    </row>
    <row r="510" spans="7:18" x14ac:dyDescent="0.15">
      <c r="G510" s="11">
        <v>509</v>
      </c>
      <c r="H510" t="s">
        <v>542</v>
      </c>
      <c r="I510" t="s">
        <v>1620</v>
      </c>
      <c r="J510" t="s">
        <v>1685</v>
      </c>
      <c r="N510" s="20">
        <v>-0.21</v>
      </c>
      <c r="O510">
        <v>27.74</v>
      </c>
      <c r="P510">
        <v>2.2799999999999998</v>
      </c>
      <c r="Q510">
        <v>70.98</v>
      </c>
      <c r="R510" s="21">
        <v>3949.3322379000001</v>
      </c>
    </row>
    <row r="511" spans="7:18" x14ac:dyDescent="0.15">
      <c r="G511" s="11">
        <v>510</v>
      </c>
      <c r="H511" t="s">
        <v>473</v>
      </c>
      <c r="I511" t="s">
        <v>934</v>
      </c>
      <c r="J511" t="s">
        <v>867</v>
      </c>
      <c r="K511">
        <v>1.42</v>
      </c>
      <c r="L511">
        <v>2.0099999999999998</v>
      </c>
      <c r="M511">
        <v>5.96</v>
      </c>
      <c r="N511" s="20">
        <v>0</v>
      </c>
      <c r="O511">
        <v>27.6</v>
      </c>
      <c r="P511">
        <v>29.16</v>
      </c>
      <c r="Q511">
        <v>43.39</v>
      </c>
      <c r="R511" s="21">
        <v>533.56110000000001</v>
      </c>
    </row>
    <row r="512" spans="7:18" x14ac:dyDescent="0.15">
      <c r="G512" s="11">
        <v>511</v>
      </c>
      <c r="H512" t="s">
        <v>443</v>
      </c>
      <c r="I512" t="s">
        <v>868</v>
      </c>
      <c r="J512" t="s">
        <v>867</v>
      </c>
      <c r="K512">
        <v>2.1</v>
      </c>
      <c r="L512">
        <v>2.09</v>
      </c>
      <c r="M512">
        <v>10.57</v>
      </c>
      <c r="N512" s="20">
        <v>0.23</v>
      </c>
      <c r="O512">
        <v>27.45</v>
      </c>
      <c r="P512">
        <v>59.32</v>
      </c>
      <c r="Q512">
        <v>12.8</v>
      </c>
      <c r="R512" s="21">
        <v>38.27628</v>
      </c>
    </row>
    <row r="513" spans="7:18" x14ac:dyDescent="0.15">
      <c r="G513" s="11">
        <v>512</v>
      </c>
      <c r="H513" t="s">
        <v>1561</v>
      </c>
      <c r="I513" t="s">
        <v>1562</v>
      </c>
      <c r="J513" t="s">
        <v>1685</v>
      </c>
      <c r="N513" s="20">
        <v>-0.21</v>
      </c>
      <c r="O513">
        <v>27.31</v>
      </c>
      <c r="P513">
        <v>2.13</v>
      </c>
      <c r="Q513">
        <v>69.84</v>
      </c>
      <c r="R513" s="21">
        <v>328.5385</v>
      </c>
    </row>
    <row r="514" spans="7:18" x14ac:dyDescent="0.15">
      <c r="G514" s="11">
        <v>513</v>
      </c>
      <c r="H514" t="s">
        <v>662</v>
      </c>
      <c r="I514" t="s">
        <v>1148</v>
      </c>
      <c r="J514" t="s">
        <v>867</v>
      </c>
      <c r="K514">
        <v>6.88</v>
      </c>
      <c r="L514">
        <v>7.4</v>
      </c>
      <c r="M514">
        <v>10.17</v>
      </c>
      <c r="N514" s="20">
        <v>0.2</v>
      </c>
      <c r="O514">
        <v>27.17</v>
      </c>
      <c r="P514">
        <v>57.18</v>
      </c>
      <c r="Q514">
        <v>14.65</v>
      </c>
      <c r="R514" s="21">
        <v>24153.6233244</v>
      </c>
    </row>
    <row r="515" spans="7:18" x14ac:dyDescent="0.15">
      <c r="G515" s="11">
        <v>514</v>
      </c>
      <c r="H515" t="s">
        <v>569</v>
      </c>
      <c r="I515" t="s">
        <v>263</v>
      </c>
      <c r="J515" t="s">
        <v>867</v>
      </c>
      <c r="K515">
        <v>0.73</v>
      </c>
      <c r="L515">
        <v>3.3</v>
      </c>
      <c r="M515">
        <v>8.77</v>
      </c>
      <c r="N515" s="20">
        <v>0.06</v>
      </c>
      <c r="O515">
        <v>27.03</v>
      </c>
      <c r="P515">
        <v>45.66</v>
      </c>
      <c r="Q515">
        <v>26.03</v>
      </c>
      <c r="R515" s="21">
        <v>559.07950000000005</v>
      </c>
    </row>
    <row r="516" spans="7:18" x14ac:dyDescent="0.15">
      <c r="G516" s="11">
        <v>515</v>
      </c>
      <c r="H516" t="s">
        <v>647</v>
      </c>
      <c r="I516" t="s">
        <v>907</v>
      </c>
      <c r="J516" t="s">
        <v>867</v>
      </c>
      <c r="K516">
        <v>0.78</v>
      </c>
      <c r="L516">
        <v>2.0699999999999998</v>
      </c>
      <c r="M516">
        <v>5.53</v>
      </c>
      <c r="N516" s="20">
        <v>0</v>
      </c>
      <c r="O516">
        <v>26.88</v>
      </c>
      <c r="P516">
        <v>27.88</v>
      </c>
      <c r="Q516">
        <v>43.67</v>
      </c>
      <c r="R516" s="21">
        <v>1240.9519106</v>
      </c>
    </row>
    <row r="517" spans="7:18" x14ac:dyDescent="0.15">
      <c r="G517" s="11">
        <v>516</v>
      </c>
      <c r="H517" t="s">
        <v>1531</v>
      </c>
      <c r="I517" t="s">
        <v>1532</v>
      </c>
      <c r="J517" t="s">
        <v>1685</v>
      </c>
      <c r="K517">
        <v>0.69</v>
      </c>
      <c r="L517">
        <v>0.73</v>
      </c>
      <c r="M517">
        <v>3.64</v>
      </c>
      <c r="N517" s="20">
        <v>-0.08</v>
      </c>
      <c r="O517">
        <v>26.74</v>
      </c>
      <c r="P517">
        <v>23.33</v>
      </c>
      <c r="Q517">
        <v>47.94</v>
      </c>
      <c r="R517" s="21">
        <v>14.8415</v>
      </c>
    </row>
    <row r="518" spans="7:18" x14ac:dyDescent="0.15">
      <c r="G518" s="11">
        <v>517</v>
      </c>
      <c r="H518" t="s">
        <v>1497</v>
      </c>
      <c r="I518" t="s">
        <v>1498</v>
      </c>
      <c r="J518" t="s">
        <v>1685</v>
      </c>
      <c r="N518" s="20">
        <v>-0.21</v>
      </c>
      <c r="O518">
        <v>26.6</v>
      </c>
      <c r="P518">
        <v>1.99</v>
      </c>
      <c r="Q518">
        <v>69.27</v>
      </c>
      <c r="R518" s="21">
        <v>216.3952233</v>
      </c>
    </row>
    <row r="519" spans="7:18" x14ac:dyDescent="0.15">
      <c r="G519" s="11">
        <v>518</v>
      </c>
      <c r="H519" t="s">
        <v>766</v>
      </c>
      <c r="I519" t="s">
        <v>1199</v>
      </c>
      <c r="J519" t="s">
        <v>1195</v>
      </c>
      <c r="K519">
        <v>0.73</v>
      </c>
      <c r="L519">
        <v>-0.82</v>
      </c>
      <c r="M519">
        <v>12.43</v>
      </c>
      <c r="N519" s="20">
        <v>2.4500000000000002</v>
      </c>
      <c r="O519">
        <v>26.46</v>
      </c>
      <c r="P519">
        <v>67.989999999999995</v>
      </c>
      <c r="Q519">
        <v>2.99</v>
      </c>
      <c r="R519" s="21">
        <v>1468.4381202</v>
      </c>
    </row>
    <row r="520" spans="7:18" x14ac:dyDescent="0.15">
      <c r="G520" s="11">
        <v>519</v>
      </c>
      <c r="H520" t="s">
        <v>803</v>
      </c>
      <c r="I520" t="s">
        <v>802</v>
      </c>
      <c r="J520" t="s">
        <v>1685</v>
      </c>
      <c r="K520">
        <v>0.2</v>
      </c>
      <c r="L520">
        <v>-0.55000000000000004</v>
      </c>
      <c r="M520">
        <v>-0.79</v>
      </c>
      <c r="N520" s="20">
        <v>-0.15</v>
      </c>
      <c r="O520">
        <v>26.32</v>
      </c>
      <c r="P520">
        <v>9.25</v>
      </c>
      <c r="Q520">
        <v>61.45</v>
      </c>
      <c r="R520" s="21">
        <v>1018.4131875</v>
      </c>
    </row>
    <row r="521" spans="7:18" x14ac:dyDescent="0.15">
      <c r="G521" s="11">
        <v>520</v>
      </c>
      <c r="H521" t="s">
        <v>740</v>
      </c>
      <c r="I521" t="s">
        <v>969</v>
      </c>
      <c r="J521" t="s">
        <v>867</v>
      </c>
      <c r="K521">
        <v>0.69</v>
      </c>
      <c r="L521">
        <v>1.68</v>
      </c>
      <c r="M521">
        <v>2.44</v>
      </c>
      <c r="N521" s="20">
        <v>-0.09</v>
      </c>
      <c r="O521">
        <v>26.17</v>
      </c>
      <c r="P521">
        <v>20.2</v>
      </c>
      <c r="Q521">
        <v>50.36</v>
      </c>
      <c r="R521" s="21">
        <v>1456.7963999999999</v>
      </c>
    </row>
    <row r="522" spans="7:18" x14ac:dyDescent="0.15">
      <c r="G522" s="11">
        <v>521</v>
      </c>
      <c r="H522" t="s">
        <v>351</v>
      </c>
      <c r="I522" t="s">
        <v>21</v>
      </c>
      <c r="J522" t="s">
        <v>1685</v>
      </c>
      <c r="K522">
        <v>-1.2</v>
      </c>
      <c r="L522">
        <v>-1.02</v>
      </c>
      <c r="M522">
        <v>-2.02</v>
      </c>
      <c r="N522" s="20">
        <v>-0.16</v>
      </c>
      <c r="O522">
        <v>26.03</v>
      </c>
      <c r="P522">
        <v>6.26</v>
      </c>
      <c r="Q522">
        <v>64.3</v>
      </c>
      <c r="R522" s="21">
        <v>869.23996999999997</v>
      </c>
    </row>
    <row r="523" spans="7:18" x14ac:dyDescent="0.15">
      <c r="G523" s="11">
        <v>522</v>
      </c>
      <c r="H523" t="s">
        <v>619</v>
      </c>
      <c r="I523" t="s">
        <v>1295</v>
      </c>
      <c r="J523" t="s">
        <v>1285</v>
      </c>
      <c r="N523" s="20">
        <v>-0.2</v>
      </c>
      <c r="O523">
        <v>25.89</v>
      </c>
      <c r="P523">
        <v>1.85</v>
      </c>
      <c r="Q523">
        <v>68.42</v>
      </c>
      <c r="R523" s="21">
        <v>363.61939999999998</v>
      </c>
    </row>
    <row r="524" spans="7:18" x14ac:dyDescent="0.15">
      <c r="G524" s="11">
        <v>523</v>
      </c>
      <c r="H524" t="s">
        <v>434</v>
      </c>
      <c r="I524" t="s">
        <v>1189</v>
      </c>
      <c r="J524" t="s">
        <v>1316</v>
      </c>
      <c r="K524">
        <v>6.7</v>
      </c>
      <c r="L524">
        <v>10.16</v>
      </c>
      <c r="M524">
        <v>6.63</v>
      </c>
      <c r="N524" s="20">
        <v>0</v>
      </c>
      <c r="O524">
        <v>25.75</v>
      </c>
      <c r="P524">
        <v>31.44</v>
      </c>
      <c r="Q524">
        <v>38.69</v>
      </c>
      <c r="R524" s="21">
        <v>24769.895060700001</v>
      </c>
    </row>
    <row r="525" spans="7:18" x14ac:dyDescent="0.15">
      <c r="G525" s="11">
        <v>524</v>
      </c>
      <c r="H525" t="s">
        <v>604</v>
      </c>
      <c r="I525" t="s">
        <v>1144</v>
      </c>
      <c r="J525" t="s">
        <v>867</v>
      </c>
      <c r="K525">
        <v>0.72</v>
      </c>
      <c r="L525">
        <v>3.18</v>
      </c>
      <c r="M525">
        <v>8.6199999999999992</v>
      </c>
      <c r="N525" s="20">
        <v>0.02</v>
      </c>
      <c r="O525">
        <v>25.6</v>
      </c>
      <c r="P525">
        <v>43.95</v>
      </c>
      <c r="Q525">
        <v>26.17</v>
      </c>
      <c r="R525" s="21">
        <v>14575.112209999999</v>
      </c>
    </row>
    <row r="526" spans="7:18" x14ac:dyDescent="0.15">
      <c r="G526" s="11">
        <v>525</v>
      </c>
      <c r="H526" t="s">
        <v>634</v>
      </c>
      <c r="I526" t="s">
        <v>1076</v>
      </c>
      <c r="J526" t="s">
        <v>867</v>
      </c>
      <c r="K526">
        <v>1.17</v>
      </c>
      <c r="L526">
        <v>3.82</v>
      </c>
      <c r="M526">
        <v>9.5299999999999994</v>
      </c>
      <c r="N526" s="20">
        <v>0.11</v>
      </c>
      <c r="O526">
        <v>25.46</v>
      </c>
      <c r="P526">
        <v>49.79</v>
      </c>
      <c r="Q526">
        <v>20.2</v>
      </c>
      <c r="R526" s="21">
        <v>4025.0796</v>
      </c>
    </row>
    <row r="527" spans="7:18" x14ac:dyDescent="0.15">
      <c r="G527" s="11">
        <v>526</v>
      </c>
      <c r="H527" t="s">
        <v>1336</v>
      </c>
      <c r="I527" t="s">
        <v>1337</v>
      </c>
      <c r="J527" t="s">
        <v>1685</v>
      </c>
      <c r="K527">
        <v>0.76</v>
      </c>
      <c r="L527">
        <v>-0.43</v>
      </c>
      <c r="M527">
        <v>5.86</v>
      </c>
      <c r="N527" s="20">
        <v>0</v>
      </c>
      <c r="O527">
        <v>25.32</v>
      </c>
      <c r="P527">
        <v>28.59</v>
      </c>
      <c r="Q527">
        <v>41.39</v>
      </c>
      <c r="R527" s="21">
        <v>4756.0240999999996</v>
      </c>
    </row>
    <row r="528" spans="7:18" x14ac:dyDescent="0.15">
      <c r="G528" s="11">
        <v>527</v>
      </c>
      <c r="H528" t="s">
        <v>642</v>
      </c>
      <c r="I528" t="s">
        <v>1176</v>
      </c>
      <c r="J528" t="s">
        <v>867</v>
      </c>
      <c r="K528">
        <v>0.72</v>
      </c>
      <c r="L528">
        <v>3.21</v>
      </c>
      <c r="M528">
        <v>8.75</v>
      </c>
      <c r="N528" s="20">
        <v>0.08</v>
      </c>
      <c r="O528">
        <v>25.18</v>
      </c>
      <c r="P528">
        <v>45.23</v>
      </c>
      <c r="Q528">
        <v>24.75</v>
      </c>
      <c r="R528" s="21">
        <v>129417.6121</v>
      </c>
    </row>
    <row r="529" spans="7:18" x14ac:dyDescent="0.15">
      <c r="G529" s="11">
        <v>528</v>
      </c>
      <c r="H529" t="s">
        <v>1373</v>
      </c>
      <c r="I529" t="s">
        <v>1374</v>
      </c>
      <c r="J529" t="s">
        <v>1685</v>
      </c>
      <c r="K529">
        <v>-0.67</v>
      </c>
      <c r="L529">
        <v>2.0099999999999998</v>
      </c>
      <c r="M529">
        <v>8.6300000000000008</v>
      </c>
      <c r="N529" s="20">
        <v>0.08</v>
      </c>
      <c r="O529">
        <v>25.04</v>
      </c>
      <c r="P529">
        <v>44.24</v>
      </c>
      <c r="Q529">
        <v>24.89</v>
      </c>
      <c r="R529" s="21">
        <v>312.32951000000003</v>
      </c>
    </row>
    <row r="530" spans="7:18" x14ac:dyDescent="0.15">
      <c r="G530" s="11">
        <v>529</v>
      </c>
      <c r="H530" t="s">
        <v>732</v>
      </c>
      <c r="I530" t="s">
        <v>1032</v>
      </c>
      <c r="J530" t="s">
        <v>867</v>
      </c>
      <c r="K530">
        <v>-2.0099999999999998</v>
      </c>
      <c r="L530">
        <v>0.99</v>
      </c>
      <c r="M530">
        <v>5.25</v>
      </c>
      <c r="N530" s="20">
        <v>0</v>
      </c>
      <c r="O530">
        <v>24.89</v>
      </c>
      <c r="P530">
        <v>26.46</v>
      </c>
      <c r="Q530">
        <v>42.53</v>
      </c>
      <c r="R530" s="21">
        <v>1886.6710295000003</v>
      </c>
    </row>
    <row r="531" spans="7:18" x14ac:dyDescent="0.15">
      <c r="G531" s="11">
        <v>530</v>
      </c>
      <c r="H531" t="s">
        <v>400</v>
      </c>
      <c r="I531" t="s">
        <v>946</v>
      </c>
      <c r="J531" t="s">
        <v>867</v>
      </c>
      <c r="K531">
        <v>2.33</v>
      </c>
      <c r="L531">
        <v>6.2</v>
      </c>
      <c r="M531">
        <v>9.9600000000000009</v>
      </c>
      <c r="N531" s="20">
        <v>0.2</v>
      </c>
      <c r="O531">
        <v>24.75</v>
      </c>
      <c r="P531">
        <v>54.34</v>
      </c>
      <c r="Q531">
        <v>14.51</v>
      </c>
      <c r="R531" s="21">
        <v>1061.8288</v>
      </c>
    </row>
    <row r="532" spans="7:18" x14ac:dyDescent="0.15">
      <c r="G532" s="11">
        <v>531</v>
      </c>
      <c r="H532" t="s">
        <v>711</v>
      </c>
      <c r="I532" t="s">
        <v>1167</v>
      </c>
      <c r="J532" t="s">
        <v>867</v>
      </c>
      <c r="K532">
        <v>1.85</v>
      </c>
      <c r="L532">
        <v>3.73</v>
      </c>
      <c r="M532">
        <v>8.17</v>
      </c>
      <c r="N532" s="20">
        <v>0</v>
      </c>
      <c r="O532">
        <v>24.61</v>
      </c>
      <c r="P532">
        <v>39.54</v>
      </c>
      <c r="Q532">
        <v>29.02</v>
      </c>
      <c r="R532" s="21">
        <v>61814.561699999998</v>
      </c>
    </row>
    <row r="533" spans="7:18" x14ac:dyDescent="0.15">
      <c r="G533" s="11">
        <v>532</v>
      </c>
      <c r="H533" t="s">
        <v>487</v>
      </c>
      <c r="I533" t="s">
        <v>1155</v>
      </c>
      <c r="J533" t="s">
        <v>867</v>
      </c>
      <c r="K533">
        <v>-0.62</v>
      </c>
      <c r="L533">
        <v>0.25</v>
      </c>
      <c r="M533">
        <v>2.5</v>
      </c>
      <c r="N533" s="20">
        <v>-0.08</v>
      </c>
      <c r="O533">
        <v>24.47</v>
      </c>
      <c r="P533">
        <v>20.48</v>
      </c>
      <c r="Q533">
        <v>48.08</v>
      </c>
      <c r="R533" s="21">
        <v>62597.688346000003</v>
      </c>
    </row>
    <row r="534" spans="7:18" x14ac:dyDescent="0.15">
      <c r="G534" s="11">
        <v>533</v>
      </c>
      <c r="H534" t="s">
        <v>336</v>
      </c>
      <c r="I534" t="s">
        <v>945</v>
      </c>
      <c r="J534" t="s">
        <v>867</v>
      </c>
      <c r="K534">
        <v>3.32</v>
      </c>
      <c r="L534">
        <v>6.94</v>
      </c>
      <c r="M534">
        <v>9.6999999999999993</v>
      </c>
      <c r="N534" s="20">
        <v>0.14000000000000001</v>
      </c>
      <c r="O534">
        <v>24.32</v>
      </c>
      <c r="P534">
        <v>51.64</v>
      </c>
      <c r="Q534">
        <v>16.79</v>
      </c>
      <c r="R534" s="21">
        <v>888.4067</v>
      </c>
    </row>
    <row r="535" spans="7:18" x14ac:dyDescent="0.15">
      <c r="G535" s="11">
        <v>534</v>
      </c>
      <c r="H535" t="s">
        <v>301</v>
      </c>
      <c r="I535" t="s">
        <v>1270</v>
      </c>
      <c r="J535" t="s">
        <v>1248</v>
      </c>
      <c r="K535">
        <v>2.82</v>
      </c>
      <c r="L535">
        <v>7.2</v>
      </c>
      <c r="M535">
        <v>10.28</v>
      </c>
      <c r="N535" s="20">
        <v>0.34</v>
      </c>
      <c r="O535">
        <v>24.18</v>
      </c>
      <c r="P535">
        <v>58.04</v>
      </c>
      <c r="Q535">
        <v>10.38</v>
      </c>
      <c r="R535" s="21">
        <v>1397.432</v>
      </c>
    </row>
    <row r="536" spans="7:18" x14ac:dyDescent="0.15">
      <c r="G536" s="11">
        <v>535</v>
      </c>
      <c r="H536" t="s">
        <v>484</v>
      </c>
      <c r="I536" t="s">
        <v>1243</v>
      </c>
      <c r="J536" t="s">
        <v>1239</v>
      </c>
      <c r="K536">
        <v>-0.71</v>
      </c>
      <c r="L536">
        <v>0.61</v>
      </c>
      <c r="M536">
        <v>3.48</v>
      </c>
      <c r="N536" s="20">
        <v>-0.06</v>
      </c>
      <c r="O536">
        <v>24.04</v>
      </c>
      <c r="P536">
        <v>22.62</v>
      </c>
      <c r="Q536">
        <v>45.8</v>
      </c>
      <c r="R536" s="21">
        <v>80.838523300000006</v>
      </c>
    </row>
    <row r="537" spans="7:18" x14ac:dyDescent="0.15">
      <c r="G537" s="11">
        <v>536</v>
      </c>
      <c r="H537" t="s">
        <v>646</v>
      </c>
      <c r="I537" t="s">
        <v>1156</v>
      </c>
      <c r="J537" t="s">
        <v>867</v>
      </c>
      <c r="K537">
        <v>0.7</v>
      </c>
      <c r="L537">
        <v>3.1</v>
      </c>
      <c r="M537">
        <v>8.77</v>
      </c>
      <c r="N537" s="20">
        <v>0.09</v>
      </c>
      <c r="O537">
        <v>23.9</v>
      </c>
      <c r="P537">
        <v>45.52</v>
      </c>
      <c r="Q537">
        <v>22.62</v>
      </c>
      <c r="R537" s="21">
        <v>17366.694599999999</v>
      </c>
    </row>
    <row r="538" spans="7:18" x14ac:dyDescent="0.15">
      <c r="G538" s="11">
        <v>537</v>
      </c>
      <c r="H538" t="s">
        <v>1445</v>
      </c>
      <c r="I538" t="s">
        <v>1446</v>
      </c>
      <c r="J538" t="s">
        <v>1685</v>
      </c>
      <c r="N538" s="20">
        <v>-0.18</v>
      </c>
      <c r="O538">
        <v>23.76</v>
      </c>
      <c r="P538">
        <v>1.71</v>
      </c>
      <c r="Q538">
        <v>66.150000000000006</v>
      </c>
      <c r="R538" s="21">
        <v>1414.7029242000001</v>
      </c>
    </row>
    <row r="539" spans="7:18" x14ac:dyDescent="0.15">
      <c r="G539" s="11">
        <v>538</v>
      </c>
      <c r="H539" t="s">
        <v>309</v>
      </c>
      <c r="I539" t="s">
        <v>838</v>
      </c>
      <c r="J539" t="s">
        <v>830</v>
      </c>
      <c r="K539">
        <v>1.75</v>
      </c>
      <c r="L539">
        <v>2.2000000000000002</v>
      </c>
      <c r="M539">
        <v>4.9000000000000004</v>
      </c>
      <c r="N539" s="20">
        <v>0</v>
      </c>
      <c r="O539">
        <v>23.61</v>
      </c>
      <c r="P539">
        <v>25.46</v>
      </c>
      <c r="Q539">
        <v>42.11</v>
      </c>
      <c r="R539" s="21">
        <v>89.131900000000002</v>
      </c>
    </row>
    <row r="540" spans="7:18" x14ac:dyDescent="0.15">
      <c r="G540" s="11">
        <v>539</v>
      </c>
      <c r="H540" t="s">
        <v>377</v>
      </c>
      <c r="I540" t="s">
        <v>972</v>
      </c>
      <c r="J540" t="s">
        <v>867</v>
      </c>
      <c r="K540">
        <v>-2.33</v>
      </c>
      <c r="L540">
        <v>-2.83</v>
      </c>
      <c r="M540">
        <v>5.68</v>
      </c>
      <c r="N540" s="20">
        <v>0</v>
      </c>
      <c r="O540">
        <v>23.47</v>
      </c>
      <c r="P540">
        <v>28.31</v>
      </c>
      <c r="Q540">
        <v>39.119999999999997</v>
      </c>
      <c r="R540" s="21">
        <v>739.69309999999996</v>
      </c>
    </row>
    <row r="541" spans="7:18" x14ac:dyDescent="0.15">
      <c r="G541" s="11">
        <v>540</v>
      </c>
      <c r="H541" t="s">
        <v>1375</v>
      </c>
      <c r="I541" t="s">
        <v>1376</v>
      </c>
      <c r="J541" t="s">
        <v>1685</v>
      </c>
      <c r="K541">
        <v>-0.75</v>
      </c>
      <c r="L541">
        <v>2.25</v>
      </c>
      <c r="M541">
        <v>7.99</v>
      </c>
      <c r="N541" s="20">
        <v>0</v>
      </c>
      <c r="O541">
        <v>23.33</v>
      </c>
      <c r="P541">
        <v>38.26</v>
      </c>
      <c r="Q541">
        <v>29.16</v>
      </c>
      <c r="R541" s="21">
        <v>65.004800000000003</v>
      </c>
    </row>
    <row r="542" spans="7:18" x14ac:dyDescent="0.15">
      <c r="G542" s="11">
        <v>541</v>
      </c>
      <c r="H542" t="s">
        <v>774</v>
      </c>
      <c r="I542" t="s">
        <v>1198</v>
      </c>
      <c r="J542" t="s">
        <v>1195</v>
      </c>
      <c r="K542">
        <v>16.96</v>
      </c>
      <c r="L542">
        <v>7.77</v>
      </c>
      <c r="M542">
        <v>11.79</v>
      </c>
      <c r="N542" s="20">
        <v>6.39</v>
      </c>
      <c r="O542">
        <v>23.19</v>
      </c>
      <c r="P542">
        <v>65.290000000000006</v>
      </c>
      <c r="Q542">
        <v>1.85</v>
      </c>
      <c r="R542" s="21">
        <v>2096.5182010000003</v>
      </c>
    </row>
    <row r="543" spans="7:18" x14ac:dyDescent="0.15">
      <c r="G543" s="11">
        <v>542</v>
      </c>
      <c r="H543" t="s">
        <v>1426</v>
      </c>
      <c r="I543" t="s">
        <v>1427</v>
      </c>
      <c r="J543" t="s">
        <v>1685</v>
      </c>
      <c r="K543">
        <v>1.27</v>
      </c>
      <c r="L543">
        <v>1.8</v>
      </c>
      <c r="M543">
        <v>3.75</v>
      </c>
      <c r="N543" s="20">
        <v>0</v>
      </c>
      <c r="O543">
        <v>23.04</v>
      </c>
      <c r="P543">
        <v>23.61</v>
      </c>
      <c r="Q543">
        <v>42.96</v>
      </c>
      <c r="R543" s="21">
        <v>4610.6235197999995</v>
      </c>
    </row>
    <row r="544" spans="7:18" x14ac:dyDescent="0.15">
      <c r="G544" s="11">
        <v>543</v>
      </c>
      <c r="H544" t="s">
        <v>727</v>
      </c>
      <c r="I544" t="s">
        <v>933</v>
      </c>
      <c r="J544" t="s">
        <v>867</v>
      </c>
      <c r="K544">
        <v>2.38</v>
      </c>
      <c r="L544">
        <v>6.01</v>
      </c>
      <c r="M544">
        <v>8.32</v>
      </c>
      <c r="N544" s="20">
        <v>0.08</v>
      </c>
      <c r="O544">
        <v>22.9</v>
      </c>
      <c r="P544">
        <v>40.97</v>
      </c>
      <c r="Q544">
        <v>25.46</v>
      </c>
      <c r="R544" s="21">
        <v>776.46050000000002</v>
      </c>
    </row>
    <row r="545" spans="7:18" x14ac:dyDescent="0.15">
      <c r="G545" s="11">
        <v>544</v>
      </c>
      <c r="H545" t="s">
        <v>384</v>
      </c>
      <c r="I545" t="s">
        <v>1241</v>
      </c>
      <c r="J545" t="s">
        <v>1239</v>
      </c>
      <c r="K545">
        <v>1.17</v>
      </c>
      <c r="L545">
        <v>1.26</v>
      </c>
      <c r="M545">
        <v>4.3499999999999996</v>
      </c>
      <c r="N545" s="20">
        <v>0</v>
      </c>
      <c r="O545">
        <v>22.76</v>
      </c>
      <c r="P545">
        <v>24.18</v>
      </c>
      <c r="Q545">
        <v>42.25</v>
      </c>
      <c r="R545" s="21">
        <v>59.499099999999999</v>
      </c>
    </row>
    <row r="546" spans="7:18" x14ac:dyDescent="0.15">
      <c r="G546" s="11">
        <v>545</v>
      </c>
      <c r="H546" t="s">
        <v>411</v>
      </c>
      <c r="I546" t="s">
        <v>22</v>
      </c>
      <c r="J546" t="s">
        <v>1685</v>
      </c>
      <c r="K546">
        <v>-1.18</v>
      </c>
      <c r="L546">
        <v>-0.99</v>
      </c>
      <c r="M546">
        <v>-1.94</v>
      </c>
      <c r="N546" s="20">
        <v>-0.13</v>
      </c>
      <c r="O546">
        <v>22.62</v>
      </c>
      <c r="P546">
        <v>6.54</v>
      </c>
      <c r="Q546">
        <v>59.74</v>
      </c>
      <c r="R546" s="21">
        <v>282.71420000000001</v>
      </c>
    </row>
    <row r="547" spans="7:18" x14ac:dyDescent="0.15">
      <c r="G547" s="11">
        <v>546</v>
      </c>
      <c r="H547" t="s">
        <v>508</v>
      </c>
      <c r="I547" t="s">
        <v>1452</v>
      </c>
      <c r="J547" t="s">
        <v>1685</v>
      </c>
      <c r="K547">
        <v>-0.19</v>
      </c>
      <c r="L547">
        <v>0.48</v>
      </c>
      <c r="M547">
        <v>1.28</v>
      </c>
      <c r="N547" s="20">
        <v>-0.08</v>
      </c>
      <c r="O547">
        <v>22.48</v>
      </c>
      <c r="P547">
        <v>16.64</v>
      </c>
      <c r="Q547">
        <v>48.93</v>
      </c>
      <c r="R547" s="21">
        <v>8210.3531999999996</v>
      </c>
    </row>
    <row r="548" spans="7:18" x14ac:dyDescent="0.15">
      <c r="G548" s="11">
        <v>547</v>
      </c>
      <c r="H548" t="s">
        <v>364</v>
      </c>
      <c r="I548" t="s">
        <v>23</v>
      </c>
      <c r="J548" t="s">
        <v>1179</v>
      </c>
      <c r="K548">
        <v>-1.18</v>
      </c>
      <c r="L548">
        <v>-0.99</v>
      </c>
      <c r="M548">
        <v>-1.94</v>
      </c>
      <c r="N548" s="20">
        <v>-0.13</v>
      </c>
      <c r="O548">
        <v>22.33</v>
      </c>
      <c r="P548">
        <v>6.69</v>
      </c>
      <c r="Q548">
        <v>58.61</v>
      </c>
      <c r="R548" s="21">
        <v>688.06140000000005</v>
      </c>
    </row>
    <row r="549" spans="7:18" x14ac:dyDescent="0.15">
      <c r="G549" s="11">
        <v>548</v>
      </c>
      <c r="H549" t="s">
        <v>1658</v>
      </c>
      <c r="I549" t="s">
        <v>1659</v>
      </c>
      <c r="J549" t="s">
        <v>1685</v>
      </c>
      <c r="K549">
        <v>-0.32</v>
      </c>
      <c r="L549">
        <v>1.34</v>
      </c>
      <c r="M549">
        <v>7.36</v>
      </c>
      <c r="N549" s="20">
        <v>0</v>
      </c>
      <c r="O549">
        <v>22.19</v>
      </c>
      <c r="P549">
        <v>34.28</v>
      </c>
      <c r="Q549">
        <v>30.44</v>
      </c>
      <c r="R549" s="21">
        <v>1036.5826</v>
      </c>
    </row>
    <row r="550" spans="7:18" x14ac:dyDescent="0.15">
      <c r="G550" s="11">
        <v>549</v>
      </c>
      <c r="H550" t="s">
        <v>658</v>
      </c>
      <c r="I550" t="s">
        <v>1249</v>
      </c>
      <c r="J550" t="s">
        <v>1248</v>
      </c>
      <c r="K550">
        <v>2.96</v>
      </c>
      <c r="L550">
        <v>5.42</v>
      </c>
      <c r="M550">
        <v>10.63</v>
      </c>
      <c r="N550" s="20">
        <v>1.32</v>
      </c>
      <c r="O550">
        <v>22.05</v>
      </c>
      <c r="P550">
        <v>59.6</v>
      </c>
      <c r="Q550">
        <v>5.12</v>
      </c>
      <c r="R550" s="21">
        <v>98.501199999999997</v>
      </c>
    </row>
    <row r="551" spans="7:18" x14ac:dyDescent="0.15">
      <c r="G551" s="11">
        <v>550</v>
      </c>
      <c r="H551" t="s">
        <v>532</v>
      </c>
      <c r="I551" t="s">
        <v>1008</v>
      </c>
      <c r="J551" t="s">
        <v>867</v>
      </c>
      <c r="K551">
        <v>0.21</v>
      </c>
      <c r="L551">
        <v>3.05</v>
      </c>
      <c r="M551">
        <v>8.56</v>
      </c>
      <c r="N551" s="20">
        <v>0.1</v>
      </c>
      <c r="O551">
        <v>21.91</v>
      </c>
      <c r="P551">
        <v>43.1</v>
      </c>
      <c r="Q551">
        <v>21.19</v>
      </c>
      <c r="R551" s="21">
        <v>11307.6488632</v>
      </c>
    </row>
    <row r="552" spans="7:18" x14ac:dyDescent="0.15">
      <c r="G552" s="11">
        <v>551</v>
      </c>
      <c r="H552" t="s">
        <v>1334</v>
      </c>
      <c r="I552" t="s">
        <v>1335</v>
      </c>
      <c r="J552" t="s">
        <v>1685</v>
      </c>
      <c r="K552">
        <v>0.3</v>
      </c>
      <c r="L552">
        <v>-0.23</v>
      </c>
      <c r="M552">
        <v>7.15</v>
      </c>
      <c r="N552" s="20">
        <v>0</v>
      </c>
      <c r="O552">
        <v>21.76</v>
      </c>
      <c r="P552">
        <v>33.43</v>
      </c>
      <c r="Q552">
        <v>30.58</v>
      </c>
      <c r="R552" s="21">
        <v>1973.0854999999999</v>
      </c>
    </row>
    <row r="553" spans="7:18" x14ac:dyDescent="0.15">
      <c r="G553" s="11">
        <v>552</v>
      </c>
      <c r="H553" t="s">
        <v>1384</v>
      </c>
      <c r="I553" t="s">
        <v>1385</v>
      </c>
      <c r="J553" t="s">
        <v>1685</v>
      </c>
      <c r="K553">
        <v>1.37</v>
      </c>
      <c r="L553">
        <v>1.04</v>
      </c>
      <c r="M553">
        <v>2.78</v>
      </c>
      <c r="N553" s="20">
        <v>0</v>
      </c>
      <c r="O553">
        <v>21.62</v>
      </c>
      <c r="P553">
        <v>21.19</v>
      </c>
      <c r="Q553">
        <v>42.39</v>
      </c>
      <c r="R553" s="21">
        <v>6663.4115308999999</v>
      </c>
    </row>
    <row r="554" spans="7:18" x14ac:dyDescent="0.15">
      <c r="G554" s="11">
        <v>553</v>
      </c>
      <c r="H554" t="s">
        <v>1320</v>
      </c>
      <c r="I554" t="s">
        <v>1321</v>
      </c>
      <c r="J554" t="s">
        <v>1685</v>
      </c>
      <c r="K554">
        <v>-2.79</v>
      </c>
      <c r="L554">
        <v>-3.8</v>
      </c>
      <c r="M554">
        <v>2.2200000000000002</v>
      </c>
      <c r="N554" s="20">
        <v>0</v>
      </c>
      <c r="O554">
        <v>21.48</v>
      </c>
      <c r="P554">
        <v>19.489999999999998</v>
      </c>
      <c r="Q554">
        <v>43.95</v>
      </c>
      <c r="R554" s="21">
        <v>6960.5927000000001</v>
      </c>
    </row>
    <row r="555" spans="7:18" x14ac:dyDescent="0.15">
      <c r="G555" s="11">
        <v>554</v>
      </c>
      <c r="H555" t="s">
        <v>656</v>
      </c>
      <c r="I555" t="s">
        <v>256</v>
      </c>
      <c r="J555" t="s">
        <v>1239</v>
      </c>
      <c r="K555">
        <v>-4.66</v>
      </c>
      <c r="L555">
        <v>-5.92</v>
      </c>
      <c r="M555">
        <v>-1.01</v>
      </c>
      <c r="N555" s="20">
        <v>-0.11</v>
      </c>
      <c r="O555">
        <v>21.34</v>
      </c>
      <c r="P555">
        <v>8.25</v>
      </c>
      <c r="Q555">
        <v>55.05</v>
      </c>
      <c r="R555" s="21">
        <v>32.095875100000001</v>
      </c>
    </row>
    <row r="556" spans="7:18" x14ac:dyDescent="0.15">
      <c r="G556" s="11">
        <v>555</v>
      </c>
      <c r="H556" t="s">
        <v>403</v>
      </c>
      <c r="I556" t="s">
        <v>1099</v>
      </c>
      <c r="J556" t="s">
        <v>867</v>
      </c>
      <c r="K556">
        <v>-5.42</v>
      </c>
      <c r="L556">
        <v>-7.52</v>
      </c>
      <c r="M556">
        <v>-4.95</v>
      </c>
      <c r="N556" s="20">
        <v>-0.13</v>
      </c>
      <c r="O556">
        <v>21.19</v>
      </c>
      <c r="P556">
        <v>4.41</v>
      </c>
      <c r="Q556">
        <v>58.75</v>
      </c>
      <c r="R556" s="21">
        <v>6739.3736699999999</v>
      </c>
    </row>
    <row r="557" spans="7:18" x14ac:dyDescent="0.15">
      <c r="G557" s="11">
        <v>556</v>
      </c>
      <c r="H557" t="s">
        <v>534</v>
      </c>
      <c r="I557" t="s">
        <v>1065</v>
      </c>
      <c r="J557" t="s">
        <v>867</v>
      </c>
      <c r="K557">
        <v>0.79</v>
      </c>
      <c r="L557">
        <v>3.01</v>
      </c>
      <c r="M557">
        <v>8.58</v>
      </c>
      <c r="N557" s="20">
        <v>0.11</v>
      </c>
      <c r="O557">
        <v>21.05</v>
      </c>
      <c r="P557">
        <v>43.24</v>
      </c>
      <c r="Q557">
        <v>19.77</v>
      </c>
      <c r="R557" s="21">
        <v>1710.9805094000001</v>
      </c>
    </row>
    <row r="558" spans="7:18" x14ac:dyDescent="0.15">
      <c r="G558" s="11">
        <v>557</v>
      </c>
      <c r="H558" t="s">
        <v>452</v>
      </c>
      <c r="I558" t="s">
        <v>1107</v>
      </c>
      <c r="J558" t="s">
        <v>867</v>
      </c>
      <c r="K558">
        <v>-0.56999999999999995</v>
      </c>
      <c r="L558">
        <v>0.01</v>
      </c>
      <c r="M558">
        <v>2.1800000000000002</v>
      </c>
      <c r="N558" s="20">
        <v>0</v>
      </c>
      <c r="O558">
        <v>20.91</v>
      </c>
      <c r="P558">
        <v>19.350000000000001</v>
      </c>
      <c r="Q558">
        <v>43.24</v>
      </c>
      <c r="R558" s="21">
        <v>11108.4016233</v>
      </c>
    </row>
    <row r="559" spans="7:18" x14ac:dyDescent="0.15">
      <c r="G559" s="11">
        <v>558</v>
      </c>
      <c r="H559" t="s">
        <v>329</v>
      </c>
      <c r="I559" t="s">
        <v>998</v>
      </c>
      <c r="J559" t="s">
        <v>867</v>
      </c>
      <c r="K559">
        <v>1.42</v>
      </c>
      <c r="L559">
        <v>3.2</v>
      </c>
      <c r="M559">
        <v>8.74</v>
      </c>
      <c r="N559" s="20">
        <v>0.13</v>
      </c>
      <c r="O559">
        <v>20.77</v>
      </c>
      <c r="P559">
        <v>45.09</v>
      </c>
      <c r="Q559">
        <v>17.5</v>
      </c>
      <c r="R559" s="21">
        <v>1112.68948</v>
      </c>
    </row>
    <row r="560" spans="7:18" x14ac:dyDescent="0.15">
      <c r="G560" s="11">
        <v>559</v>
      </c>
      <c r="H560" t="s">
        <v>1471</v>
      </c>
      <c r="I560" t="s">
        <v>1472</v>
      </c>
      <c r="J560" t="s">
        <v>1685</v>
      </c>
      <c r="K560">
        <v>-1.23</v>
      </c>
      <c r="L560">
        <v>0.52</v>
      </c>
      <c r="M560">
        <v>5.28</v>
      </c>
      <c r="N560" s="20">
        <v>0</v>
      </c>
      <c r="O560">
        <v>20.63</v>
      </c>
      <c r="P560">
        <v>26.74</v>
      </c>
      <c r="Q560">
        <v>35.700000000000003</v>
      </c>
      <c r="R560" s="21">
        <v>947.67113019999988</v>
      </c>
    </row>
    <row r="561" spans="7:18" x14ac:dyDescent="0.15">
      <c r="G561" s="11">
        <v>560</v>
      </c>
      <c r="H561" t="s">
        <v>523</v>
      </c>
      <c r="I561" t="s">
        <v>883</v>
      </c>
      <c r="J561" t="s">
        <v>867</v>
      </c>
      <c r="K561">
        <v>0.04</v>
      </c>
      <c r="L561">
        <v>0.66</v>
      </c>
      <c r="M561">
        <v>4.37</v>
      </c>
      <c r="N561" s="20">
        <v>0</v>
      </c>
      <c r="O561">
        <v>20.48</v>
      </c>
      <c r="P561">
        <v>24.32</v>
      </c>
      <c r="Q561">
        <v>37.979999999999997</v>
      </c>
      <c r="R561" s="21">
        <v>64.259957700000001</v>
      </c>
    </row>
    <row r="562" spans="7:18" x14ac:dyDescent="0.15">
      <c r="G562" s="11">
        <v>561</v>
      </c>
      <c r="H562" t="s">
        <v>1664</v>
      </c>
      <c r="I562" t="s">
        <v>1665</v>
      </c>
      <c r="J562" t="s">
        <v>1685</v>
      </c>
      <c r="K562">
        <v>4.7699999999999996</v>
      </c>
      <c r="L562">
        <v>4.62</v>
      </c>
      <c r="M562">
        <v>8.35</v>
      </c>
      <c r="N562" s="20">
        <v>0.1</v>
      </c>
      <c r="O562">
        <v>20.34</v>
      </c>
      <c r="P562">
        <v>41.11</v>
      </c>
      <c r="Q562">
        <v>21.05</v>
      </c>
      <c r="R562" s="21">
        <v>5666.4273000000003</v>
      </c>
    </row>
    <row r="563" spans="7:18" x14ac:dyDescent="0.15">
      <c r="G563" s="11">
        <v>562</v>
      </c>
      <c r="H563" t="s">
        <v>1355</v>
      </c>
      <c r="I563" t="s">
        <v>1356</v>
      </c>
      <c r="J563" t="s">
        <v>1685</v>
      </c>
      <c r="K563">
        <v>2.59</v>
      </c>
      <c r="L563">
        <v>4.41</v>
      </c>
      <c r="M563">
        <v>4.3</v>
      </c>
      <c r="N563" s="20">
        <v>0</v>
      </c>
      <c r="O563">
        <v>20.2</v>
      </c>
      <c r="P563">
        <v>24.04</v>
      </c>
      <c r="Q563">
        <v>37.409999999999997</v>
      </c>
      <c r="R563" s="21">
        <v>332.79379419999998</v>
      </c>
    </row>
    <row r="564" spans="7:18" x14ac:dyDescent="0.15">
      <c r="G564" s="11">
        <v>563</v>
      </c>
      <c r="H564" t="s">
        <v>553</v>
      </c>
      <c r="I564" t="s">
        <v>1172</v>
      </c>
      <c r="J564" t="s">
        <v>867</v>
      </c>
      <c r="K564">
        <v>0.31</v>
      </c>
      <c r="L564">
        <v>0.05</v>
      </c>
      <c r="M564">
        <v>7.73</v>
      </c>
      <c r="N564" s="20">
        <v>0.09</v>
      </c>
      <c r="O564">
        <v>20.059999999999999</v>
      </c>
      <c r="P564">
        <v>36.840000000000003</v>
      </c>
      <c r="Q564">
        <v>24.32</v>
      </c>
      <c r="R564" s="21">
        <v>162407.26809999999</v>
      </c>
    </row>
    <row r="565" spans="7:18" x14ac:dyDescent="0.15">
      <c r="G565" s="11">
        <v>564</v>
      </c>
      <c r="H565" t="s">
        <v>450</v>
      </c>
      <c r="I565" t="s">
        <v>1188</v>
      </c>
      <c r="J565" t="s">
        <v>1316</v>
      </c>
      <c r="K565">
        <v>8.85</v>
      </c>
      <c r="L565">
        <v>6.48</v>
      </c>
      <c r="M565">
        <v>3.51</v>
      </c>
      <c r="N565" s="20">
        <v>0</v>
      </c>
      <c r="O565">
        <v>19.91</v>
      </c>
      <c r="P565">
        <v>22.76</v>
      </c>
      <c r="Q565">
        <v>38.26</v>
      </c>
      <c r="R565" s="21">
        <v>3832.8890000000001</v>
      </c>
    </row>
    <row r="566" spans="7:18" x14ac:dyDescent="0.15">
      <c r="G566" s="11">
        <v>565</v>
      </c>
      <c r="H566" t="s">
        <v>332</v>
      </c>
      <c r="I566" t="s">
        <v>1143</v>
      </c>
      <c r="J566" t="s">
        <v>867</v>
      </c>
      <c r="K566">
        <v>0</v>
      </c>
      <c r="L566">
        <v>-0.08</v>
      </c>
      <c r="M566">
        <v>0</v>
      </c>
      <c r="N566" s="20">
        <v>-0.09</v>
      </c>
      <c r="O566">
        <v>19.77</v>
      </c>
      <c r="P566">
        <v>10.81</v>
      </c>
      <c r="Q566">
        <v>50.07</v>
      </c>
      <c r="R566" s="21">
        <v>43748.4755</v>
      </c>
    </row>
    <row r="567" spans="7:18" x14ac:dyDescent="0.15">
      <c r="G567" s="11">
        <v>566</v>
      </c>
      <c r="H567" t="s">
        <v>477</v>
      </c>
      <c r="I567" t="s">
        <v>1098</v>
      </c>
      <c r="J567" t="s">
        <v>867</v>
      </c>
      <c r="K567">
        <v>2.17</v>
      </c>
      <c r="L567">
        <v>3.15</v>
      </c>
      <c r="M567">
        <v>9.6300000000000008</v>
      </c>
      <c r="N567" s="20">
        <v>0.35</v>
      </c>
      <c r="O567">
        <v>19.63</v>
      </c>
      <c r="P567">
        <v>50.78</v>
      </c>
      <c r="Q567">
        <v>10.1</v>
      </c>
      <c r="R567" s="21">
        <v>83987.458700000003</v>
      </c>
    </row>
    <row r="568" spans="7:18" x14ac:dyDescent="0.15">
      <c r="G568" s="11">
        <v>567</v>
      </c>
      <c r="H568" t="s">
        <v>318</v>
      </c>
      <c r="I568" t="s">
        <v>1436</v>
      </c>
      <c r="J568" t="s">
        <v>1685</v>
      </c>
      <c r="K568">
        <v>0</v>
      </c>
      <c r="L568">
        <v>-0.04</v>
      </c>
      <c r="M568">
        <v>-0.04</v>
      </c>
      <c r="N568" s="20">
        <v>-0.09</v>
      </c>
      <c r="O568">
        <v>19.489999999999998</v>
      </c>
      <c r="P568">
        <v>10.67</v>
      </c>
      <c r="Q568">
        <v>49.64</v>
      </c>
      <c r="R568" s="21">
        <v>59.253</v>
      </c>
    </row>
    <row r="569" spans="7:18" x14ac:dyDescent="0.15">
      <c r="G569" s="11">
        <v>568</v>
      </c>
      <c r="H569" t="s">
        <v>1302</v>
      </c>
      <c r="I569" t="s">
        <v>1170</v>
      </c>
      <c r="J569" t="s">
        <v>1285</v>
      </c>
      <c r="K569">
        <v>2.78</v>
      </c>
      <c r="L569">
        <v>-1.43</v>
      </c>
      <c r="M569">
        <v>8.49</v>
      </c>
      <c r="N569" s="20">
        <v>0.13</v>
      </c>
      <c r="O569">
        <v>19.350000000000001</v>
      </c>
      <c r="P569">
        <v>42.25</v>
      </c>
      <c r="Q569">
        <v>17.78</v>
      </c>
      <c r="R569" s="21">
        <v>1699.9404999999999</v>
      </c>
    </row>
    <row r="570" spans="7:18" x14ac:dyDescent="0.15">
      <c r="G570" s="11">
        <v>569</v>
      </c>
      <c r="H570" t="s">
        <v>1504</v>
      </c>
      <c r="I570" t="s">
        <v>1505</v>
      </c>
      <c r="J570" t="s">
        <v>1685</v>
      </c>
      <c r="K570">
        <v>0.19</v>
      </c>
      <c r="L570">
        <v>-0.55000000000000004</v>
      </c>
      <c r="M570">
        <v>-0.78</v>
      </c>
      <c r="N570" s="20">
        <v>-0.1</v>
      </c>
      <c r="O570">
        <v>19.2</v>
      </c>
      <c r="P570">
        <v>9.5299999999999994</v>
      </c>
      <c r="Q570">
        <v>50.5</v>
      </c>
      <c r="R570" s="21">
        <v>600.43092879999995</v>
      </c>
    </row>
    <row r="571" spans="7:18" x14ac:dyDescent="0.15">
      <c r="G571" s="11">
        <v>570</v>
      </c>
      <c r="H571" t="s">
        <v>1487</v>
      </c>
      <c r="I571" t="s">
        <v>1488</v>
      </c>
      <c r="J571" t="s">
        <v>1685</v>
      </c>
      <c r="N571" s="20">
        <v>-0.13</v>
      </c>
      <c r="O571">
        <v>19.059999999999999</v>
      </c>
      <c r="P571">
        <v>1.56</v>
      </c>
      <c r="Q571">
        <v>58.32</v>
      </c>
      <c r="R571" s="21">
        <v>262.42888999999997</v>
      </c>
    </row>
    <row r="572" spans="7:18" x14ac:dyDescent="0.15">
      <c r="G572" s="11">
        <v>571</v>
      </c>
      <c r="H572" t="s">
        <v>472</v>
      </c>
      <c r="I572" t="s">
        <v>977</v>
      </c>
      <c r="J572" t="s">
        <v>867</v>
      </c>
      <c r="K572">
        <v>1.1100000000000001</v>
      </c>
      <c r="L572">
        <v>1.1200000000000001</v>
      </c>
      <c r="M572">
        <v>7.87</v>
      </c>
      <c r="N572" s="20">
        <v>0.1</v>
      </c>
      <c r="O572">
        <v>18.920000000000002</v>
      </c>
      <c r="P572">
        <v>37.549999999999997</v>
      </c>
      <c r="Q572">
        <v>22.33</v>
      </c>
      <c r="R572" s="21">
        <v>3857.4446549000004</v>
      </c>
    </row>
    <row r="573" spans="7:18" x14ac:dyDescent="0.15">
      <c r="G573" s="11">
        <v>572</v>
      </c>
      <c r="H573" t="s">
        <v>319</v>
      </c>
      <c r="I573" t="s">
        <v>912</v>
      </c>
      <c r="J573" t="s">
        <v>867</v>
      </c>
      <c r="K573">
        <v>-0.85</v>
      </c>
      <c r="L573">
        <v>1.77</v>
      </c>
      <c r="M573">
        <v>9.4</v>
      </c>
      <c r="N573" s="20">
        <v>0.35</v>
      </c>
      <c r="O573">
        <v>18.78</v>
      </c>
      <c r="P573">
        <v>49.08</v>
      </c>
      <c r="Q573">
        <v>9.9600000000000009</v>
      </c>
      <c r="R573" s="21">
        <v>110.62269999999999</v>
      </c>
    </row>
    <row r="574" spans="7:18" x14ac:dyDescent="0.15">
      <c r="G574" s="11">
        <v>573</v>
      </c>
      <c r="H574" t="s">
        <v>1314</v>
      </c>
      <c r="I574" t="s">
        <v>1315</v>
      </c>
      <c r="J574" t="s">
        <v>867</v>
      </c>
      <c r="K574">
        <v>0.67</v>
      </c>
      <c r="L574">
        <v>1.98</v>
      </c>
      <c r="M574">
        <v>3</v>
      </c>
      <c r="N574" s="20">
        <v>0</v>
      </c>
      <c r="O574">
        <v>18.63</v>
      </c>
      <c r="P574">
        <v>21.76</v>
      </c>
      <c r="Q574">
        <v>37.270000000000003</v>
      </c>
      <c r="R574" s="21">
        <v>317.99299999999999</v>
      </c>
    </row>
    <row r="575" spans="7:18" x14ac:dyDescent="0.15">
      <c r="G575" s="11">
        <v>574</v>
      </c>
      <c r="H575" t="s">
        <v>511</v>
      </c>
      <c r="I575" t="s">
        <v>1102</v>
      </c>
      <c r="J575" t="s">
        <v>867</v>
      </c>
      <c r="K575">
        <v>-0.14000000000000001</v>
      </c>
      <c r="L575">
        <v>-0.47</v>
      </c>
      <c r="M575">
        <v>1.67</v>
      </c>
      <c r="N575" s="20">
        <v>0</v>
      </c>
      <c r="O575">
        <v>18.489999999999998</v>
      </c>
      <c r="P575">
        <v>17.5</v>
      </c>
      <c r="Q575">
        <v>41.25</v>
      </c>
      <c r="R575" s="21">
        <v>5783.5889999999999</v>
      </c>
    </row>
    <row r="576" spans="7:18" x14ac:dyDescent="0.15">
      <c r="G576" s="11">
        <v>575</v>
      </c>
      <c r="H576" t="s">
        <v>397</v>
      </c>
      <c r="I576" t="s">
        <v>1508</v>
      </c>
      <c r="J576" t="s">
        <v>1685</v>
      </c>
      <c r="K576">
        <v>-1.08</v>
      </c>
      <c r="L576">
        <v>-0.87</v>
      </c>
      <c r="M576">
        <v>-1.8</v>
      </c>
      <c r="N576" s="20">
        <v>-0.1</v>
      </c>
      <c r="O576">
        <v>18.350000000000001</v>
      </c>
      <c r="P576">
        <v>6.83</v>
      </c>
      <c r="Q576">
        <v>51.35</v>
      </c>
      <c r="R576" s="21">
        <v>296.2491</v>
      </c>
    </row>
    <row r="577" spans="7:18" x14ac:dyDescent="0.15">
      <c r="G577" s="11">
        <v>576</v>
      </c>
      <c r="H577" t="s">
        <v>419</v>
      </c>
      <c r="I577" t="s">
        <v>1016</v>
      </c>
      <c r="J577" t="s">
        <v>867</v>
      </c>
      <c r="K577">
        <v>0.51</v>
      </c>
      <c r="L577">
        <v>1</v>
      </c>
      <c r="M577">
        <v>1.61</v>
      </c>
      <c r="N577" s="20">
        <v>0</v>
      </c>
      <c r="O577">
        <v>18.21</v>
      </c>
      <c r="P577">
        <v>17.350000000000001</v>
      </c>
      <c r="Q577">
        <v>40.68</v>
      </c>
      <c r="R577" s="21">
        <v>1505.4231</v>
      </c>
    </row>
    <row r="578" spans="7:18" x14ac:dyDescent="0.15">
      <c r="G578" s="11">
        <v>577</v>
      </c>
      <c r="H578" t="s">
        <v>693</v>
      </c>
      <c r="I578" t="s">
        <v>983</v>
      </c>
      <c r="J578" t="s">
        <v>867</v>
      </c>
      <c r="K578">
        <v>0.44</v>
      </c>
      <c r="L578">
        <v>-0.02</v>
      </c>
      <c r="M578">
        <v>1.1200000000000001</v>
      </c>
      <c r="N578" s="20">
        <v>0</v>
      </c>
      <c r="O578">
        <v>18.07</v>
      </c>
      <c r="P578">
        <v>16.22</v>
      </c>
      <c r="Q578">
        <v>41.68</v>
      </c>
      <c r="R578" s="21">
        <v>1104.6804400000001</v>
      </c>
    </row>
    <row r="579" spans="7:18" x14ac:dyDescent="0.15">
      <c r="G579" s="11">
        <v>578</v>
      </c>
      <c r="H579" t="s">
        <v>420</v>
      </c>
      <c r="I579" t="s">
        <v>1192</v>
      </c>
      <c r="J579" t="s">
        <v>1316</v>
      </c>
      <c r="K579">
        <v>0.03</v>
      </c>
      <c r="L579">
        <v>0.05</v>
      </c>
      <c r="M579">
        <v>0.11</v>
      </c>
      <c r="N579" s="20">
        <v>-0.01</v>
      </c>
      <c r="O579">
        <v>17.920000000000002</v>
      </c>
      <c r="P579">
        <v>13.37</v>
      </c>
      <c r="Q579">
        <v>44.52</v>
      </c>
      <c r="R579" s="21">
        <v>1586443.1842</v>
      </c>
    </row>
    <row r="580" spans="7:18" x14ac:dyDescent="0.15">
      <c r="G580" s="11">
        <v>579</v>
      </c>
      <c r="H580" t="s">
        <v>652</v>
      </c>
      <c r="I580" t="s">
        <v>1138</v>
      </c>
      <c r="J580" t="s">
        <v>867</v>
      </c>
      <c r="K580">
        <v>-0.54</v>
      </c>
      <c r="L580">
        <v>-0.52</v>
      </c>
      <c r="M580">
        <v>1.88</v>
      </c>
      <c r="N580" s="20">
        <v>0</v>
      </c>
      <c r="O580">
        <v>17.78</v>
      </c>
      <c r="P580">
        <v>17.920000000000002</v>
      </c>
      <c r="Q580">
        <v>39.69</v>
      </c>
      <c r="R580" s="21">
        <v>9381.8948999999993</v>
      </c>
    </row>
    <row r="581" spans="7:18" x14ac:dyDescent="0.15">
      <c r="G581" s="11">
        <v>580</v>
      </c>
      <c r="H581" t="s">
        <v>383</v>
      </c>
      <c r="I581" t="s">
        <v>1179</v>
      </c>
      <c r="J581" t="s">
        <v>1179</v>
      </c>
      <c r="K581">
        <v>0.21</v>
      </c>
      <c r="L581">
        <v>-0.56999999999999995</v>
      </c>
      <c r="M581">
        <v>-0.86</v>
      </c>
      <c r="N581" s="20">
        <v>-0.08</v>
      </c>
      <c r="O581">
        <v>17.64</v>
      </c>
      <c r="P581">
        <v>8.9600000000000009</v>
      </c>
      <c r="Q581">
        <v>48.51</v>
      </c>
      <c r="R581" s="21">
        <v>65636.001499999998</v>
      </c>
    </row>
    <row r="582" spans="7:18" x14ac:dyDescent="0.15">
      <c r="G582" s="11">
        <v>581</v>
      </c>
      <c r="H582" t="s">
        <v>426</v>
      </c>
      <c r="I582" t="s">
        <v>1184</v>
      </c>
      <c r="J582" t="s">
        <v>1316</v>
      </c>
      <c r="K582">
        <v>0.17</v>
      </c>
      <c r="L582">
        <v>-5.36</v>
      </c>
      <c r="M582">
        <v>0.56999999999999995</v>
      </c>
      <c r="N582" s="20">
        <v>0</v>
      </c>
      <c r="O582">
        <v>17.5</v>
      </c>
      <c r="P582">
        <v>14.65</v>
      </c>
      <c r="Q582">
        <v>42.67</v>
      </c>
      <c r="R582" s="21">
        <v>100.0201998</v>
      </c>
    </row>
    <row r="583" spans="7:18" x14ac:dyDescent="0.15">
      <c r="G583" s="11">
        <v>582</v>
      </c>
      <c r="H583" t="s">
        <v>359</v>
      </c>
      <c r="I583" t="s">
        <v>1181</v>
      </c>
      <c r="J583" t="s">
        <v>1179</v>
      </c>
      <c r="K583">
        <v>-1.18</v>
      </c>
      <c r="L583">
        <v>-0.99</v>
      </c>
      <c r="M583">
        <v>-1.95</v>
      </c>
      <c r="N583" s="20">
        <v>-0.1</v>
      </c>
      <c r="O583">
        <v>17.350000000000001</v>
      </c>
      <c r="P583">
        <v>6.4</v>
      </c>
      <c r="Q583">
        <v>50.78</v>
      </c>
      <c r="R583" s="21">
        <v>3633.2892000000002</v>
      </c>
    </row>
    <row r="584" spans="7:18" x14ac:dyDescent="0.15">
      <c r="G584" s="11">
        <v>583</v>
      </c>
      <c r="H584" t="s">
        <v>1386</v>
      </c>
      <c r="I584" t="s">
        <v>1387</v>
      </c>
      <c r="J584" t="s">
        <v>1685</v>
      </c>
      <c r="N584" s="20">
        <v>-0.12</v>
      </c>
      <c r="O584">
        <v>17.21</v>
      </c>
      <c r="P584">
        <v>1.42</v>
      </c>
      <c r="Q584">
        <v>55.62</v>
      </c>
      <c r="R584" s="21">
        <v>59.1338814</v>
      </c>
    </row>
    <row r="585" spans="7:18" x14ac:dyDescent="0.15">
      <c r="G585" s="11">
        <v>584</v>
      </c>
      <c r="H585" t="s">
        <v>696</v>
      </c>
      <c r="I585" t="s">
        <v>1141</v>
      </c>
      <c r="J585" t="s">
        <v>867</v>
      </c>
      <c r="K585">
        <v>-0.2</v>
      </c>
      <c r="L585">
        <v>0.24</v>
      </c>
      <c r="M585">
        <v>2.0299999999999998</v>
      </c>
      <c r="N585" s="20">
        <v>0</v>
      </c>
      <c r="O585">
        <v>17.07</v>
      </c>
      <c r="P585">
        <v>18.78</v>
      </c>
      <c r="Q585">
        <v>37.840000000000003</v>
      </c>
      <c r="R585" s="21">
        <v>13275.3601</v>
      </c>
    </row>
    <row r="586" spans="7:18" x14ac:dyDescent="0.15">
      <c r="G586" s="11">
        <v>585</v>
      </c>
      <c r="H586" t="s">
        <v>461</v>
      </c>
      <c r="I586" t="s">
        <v>905</v>
      </c>
      <c r="J586" t="s">
        <v>867</v>
      </c>
      <c r="K586">
        <v>1.04</v>
      </c>
      <c r="L586">
        <v>3.01</v>
      </c>
      <c r="M586">
        <v>7.75</v>
      </c>
      <c r="N586" s="20">
        <v>0.11</v>
      </c>
      <c r="O586">
        <v>16.93</v>
      </c>
      <c r="P586">
        <v>36.979999999999997</v>
      </c>
      <c r="Q586">
        <v>19.63</v>
      </c>
      <c r="R586" s="21">
        <v>401.21230000000003</v>
      </c>
    </row>
    <row r="587" spans="7:18" x14ac:dyDescent="0.15">
      <c r="G587" s="11">
        <v>586</v>
      </c>
      <c r="H587" t="s">
        <v>1644</v>
      </c>
      <c r="I587" t="s">
        <v>1645</v>
      </c>
      <c r="J587" t="s">
        <v>1685</v>
      </c>
      <c r="K587">
        <v>0.72</v>
      </c>
      <c r="L587">
        <v>3.02</v>
      </c>
      <c r="M587">
        <v>8.48</v>
      </c>
      <c r="N587" s="20">
        <v>0.22</v>
      </c>
      <c r="O587">
        <v>16.79</v>
      </c>
      <c r="P587">
        <v>42.11</v>
      </c>
      <c r="Q587">
        <v>13.66</v>
      </c>
      <c r="R587" s="21">
        <v>7510.6905999999999</v>
      </c>
    </row>
    <row r="588" spans="7:18" x14ac:dyDescent="0.15">
      <c r="G588" s="11">
        <v>587</v>
      </c>
      <c r="H588" t="s">
        <v>476</v>
      </c>
      <c r="I588" t="s">
        <v>1106</v>
      </c>
      <c r="J588" t="s">
        <v>867</v>
      </c>
      <c r="K588">
        <v>1.82</v>
      </c>
      <c r="L588">
        <v>3.68</v>
      </c>
      <c r="M588">
        <v>6.47</v>
      </c>
      <c r="N588" s="20">
        <v>0.08</v>
      </c>
      <c r="O588">
        <v>16.64</v>
      </c>
      <c r="P588">
        <v>30.73</v>
      </c>
      <c r="Q588">
        <v>25.04</v>
      </c>
      <c r="R588" s="21">
        <v>21704.1037</v>
      </c>
    </row>
    <row r="589" spans="7:18" x14ac:dyDescent="0.15">
      <c r="G589" s="11">
        <v>588</v>
      </c>
      <c r="H589" t="s">
        <v>733</v>
      </c>
      <c r="I589" t="s">
        <v>1297</v>
      </c>
      <c r="J589" t="s">
        <v>1285</v>
      </c>
      <c r="K589">
        <v>-2.35</v>
      </c>
      <c r="L589">
        <v>-7.9</v>
      </c>
      <c r="M589">
        <v>-7.74</v>
      </c>
      <c r="N589" s="20">
        <v>-0.1</v>
      </c>
      <c r="O589">
        <v>16.5</v>
      </c>
      <c r="P589">
        <v>3.7</v>
      </c>
      <c r="Q589">
        <v>51.78</v>
      </c>
      <c r="R589" s="21">
        <v>291.09809999999999</v>
      </c>
    </row>
    <row r="590" spans="7:18" x14ac:dyDescent="0.15">
      <c r="G590" s="11">
        <v>589</v>
      </c>
      <c r="H590" t="s">
        <v>1462</v>
      </c>
      <c r="I590" t="s">
        <v>1463</v>
      </c>
      <c r="J590" t="s">
        <v>1685</v>
      </c>
      <c r="N590" s="20">
        <v>-0.11</v>
      </c>
      <c r="O590">
        <v>16.36</v>
      </c>
      <c r="P590">
        <v>1.28</v>
      </c>
      <c r="Q590">
        <v>54.05</v>
      </c>
      <c r="R590" s="21">
        <v>2402.2955007</v>
      </c>
    </row>
    <row r="591" spans="7:18" x14ac:dyDescent="0.15">
      <c r="G591" s="11">
        <v>590</v>
      </c>
      <c r="H591" t="s">
        <v>341</v>
      </c>
      <c r="I591" t="s">
        <v>1086</v>
      </c>
      <c r="J591" t="s">
        <v>867</v>
      </c>
      <c r="K591">
        <v>1.41</v>
      </c>
      <c r="L591">
        <v>3.14</v>
      </c>
      <c r="M591">
        <v>8.59</v>
      </c>
      <c r="N591" s="20">
        <v>0.26</v>
      </c>
      <c r="O591">
        <v>16.22</v>
      </c>
      <c r="P591">
        <v>43.39</v>
      </c>
      <c r="Q591">
        <v>11.81</v>
      </c>
      <c r="R591" s="21">
        <v>6231.2844999999998</v>
      </c>
    </row>
    <row r="592" spans="7:18" x14ac:dyDescent="0.15">
      <c r="G592" s="11">
        <v>591</v>
      </c>
      <c r="H592" t="s">
        <v>435</v>
      </c>
      <c r="I592" t="s">
        <v>1190</v>
      </c>
      <c r="J592" t="s">
        <v>1316</v>
      </c>
      <c r="K592">
        <v>1.23</v>
      </c>
      <c r="L592">
        <v>1.29</v>
      </c>
      <c r="M592">
        <v>-0.06</v>
      </c>
      <c r="N592" s="20">
        <v>-0.01</v>
      </c>
      <c r="O592">
        <v>16.07</v>
      </c>
      <c r="P592">
        <v>10.38</v>
      </c>
      <c r="Q592">
        <v>44.81</v>
      </c>
      <c r="R592" s="21">
        <v>169916.32550000001</v>
      </c>
    </row>
    <row r="593" spans="7:18" x14ac:dyDescent="0.15">
      <c r="G593" s="11">
        <v>592</v>
      </c>
      <c r="H593" t="s">
        <v>378</v>
      </c>
      <c r="I593" t="s">
        <v>1134</v>
      </c>
      <c r="J593" t="s">
        <v>867</v>
      </c>
      <c r="K593">
        <v>0</v>
      </c>
      <c r="L593">
        <v>0</v>
      </c>
      <c r="M593">
        <v>-0.08</v>
      </c>
      <c r="N593" s="20">
        <v>-0.03</v>
      </c>
      <c r="O593">
        <v>15.93</v>
      </c>
      <c r="P593">
        <v>10.1</v>
      </c>
      <c r="Q593">
        <v>44.95</v>
      </c>
      <c r="R593" s="21">
        <v>24001.1603</v>
      </c>
    </row>
    <row r="594" spans="7:18" x14ac:dyDescent="0.15">
      <c r="G594" s="11">
        <v>593</v>
      </c>
      <c r="H594" t="s">
        <v>775</v>
      </c>
      <c r="I594" t="s">
        <v>1209</v>
      </c>
      <c r="J594" t="s">
        <v>1210</v>
      </c>
      <c r="K594">
        <v>-8.11</v>
      </c>
      <c r="L594">
        <v>-11.46</v>
      </c>
      <c r="M594">
        <v>-2.2799999999999998</v>
      </c>
      <c r="N594" s="20">
        <v>-0.08</v>
      </c>
      <c r="O594">
        <v>15.79</v>
      </c>
      <c r="P594">
        <v>5.97</v>
      </c>
      <c r="Q594">
        <v>49.08</v>
      </c>
      <c r="R594" s="21">
        <v>545.31550000000004</v>
      </c>
    </row>
    <row r="595" spans="7:18" x14ac:dyDescent="0.15">
      <c r="G595" s="11">
        <v>594</v>
      </c>
      <c r="H595" t="s">
        <v>326</v>
      </c>
      <c r="I595" t="s">
        <v>1501</v>
      </c>
      <c r="J595" t="s">
        <v>1685</v>
      </c>
      <c r="K595">
        <v>0.2</v>
      </c>
      <c r="L595">
        <v>-0.59</v>
      </c>
      <c r="M595">
        <v>-0.88</v>
      </c>
      <c r="N595" s="20">
        <v>-0.03</v>
      </c>
      <c r="O595">
        <v>15.65</v>
      </c>
      <c r="P595">
        <v>8.5299999999999994</v>
      </c>
      <c r="Q595">
        <v>45.09</v>
      </c>
      <c r="R595" s="21">
        <v>27.689159999999998</v>
      </c>
    </row>
    <row r="596" spans="7:18" x14ac:dyDescent="0.15">
      <c r="G596" s="11">
        <v>595</v>
      </c>
      <c r="H596" t="s">
        <v>414</v>
      </c>
      <c r="I596" t="s">
        <v>982</v>
      </c>
      <c r="J596" t="s">
        <v>867</v>
      </c>
      <c r="K596">
        <v>-0.61</v>
      </c>
      <c r="L596">
        <v>-1.56</v>
      </c>
      <c r="M596">
        <v>0.46</v>
      </c>
      <c r="N596" s="20">
        <v>0</v>
      </c>
      <c r="O596">
        <v>15.5</v>
      </c>
      <c r="P596">
        <v>14.51</v>
      </c>
      <c r="Q596">
        <v>38.549999999999997</v>
      </c>
      <c r="R596" s="21">
        <v>18789.221000000001</v>
      </c>
    </row>
    <row r="597" spans="7:18" x14ac:dyDescent="0.15">
      <c r="G597" s="11">
        <v>596</v>
      </c>
      <c r="H597" t="s">
        <v>754</v>
      </c>
      <c r="I597" t="s">
        <v>1317</v>
      </c>
      <c r="J597" t="s">
        <v>1285</v>
      </c>
      <c r="K597">
        <v>2.71</v>
      </c>
      <c r="L597">
        <v>-1.2</v>
      </c>
      <c r="M597">
        <v>9.32</v>
      </c>
      <c r="N597" s="20">
        <v>1.2</v>
      </c>
      <c r="O597">
        <v>15.36</v>
      </c>
      <c r="P597">
        <v>47.8</v>
      </c>
      <c r="Q597">
        <v>5.26</v>
      </c>
      <c r="R597" s="21">
        <v>36.221130000000002</v>
      </c>
    </row>
    <row r="598" spans="7:18" x14ac:dyDescent="0.15">
      <c r="G598" s="11">
        <v>597</v>
      </c>
      <c r="H598" t="s">
        <v>1515</v>
      </c>
      <c r="I598" t="s">
        <v>1516</v>
      </c>
      <c r="J598" t="s">
        <v>1685</v>
      </c>
      <c r="K598">
        <v>1.22</v>
      </c>
      <c r="L598">
        <v>2.71</v>
      </c>
      <c r="M598">
        <v>8</v>
      </c>
      <c r="N598" s="20">
        <v>0.22</v>
      </c>
      <c r="O598">
        <v>15.22</v>
      </c>
      <c r="P598">
        <v>38.549999999999997</v>
      </c>
      <c r="Q598">
        <v>13.51</v>
      </c>
      <c r="R598" s="21">
        <v>876.75390000000004</v>
      </c>
    </row>
    <row r="599" spans="7:18" x14ac:dyDescent="0.15">
      <c r="G599" s="11">
        <v>598</v>
      </c>
      <c r="H599" t="s">
        <v>1652</v>
      </c>
      <c r="I599" t="s">
        <v>1653</v>
      </c>
      <c r="J599" t="s">
        <v>1685</v>
      </c>
      <c r="K599">
        <v>0.41</v>
      </c>
      <c r="L599">
        <v>2.08</v>
      </c>
      <c r="M599">
        <v>7.93</v>
      </c>
      <c r="N599" s="20">
        <v>0.21</v>
      </c>
      <c r="O599">
        <v>15.08</v>
      </c>
      <c r="P599">
        <v>37.700000000000003</v>
      </c>
      <c r="Q599">
        <v>14.08</v>
      </c>
      <c r="R599" s="21">
        <v>20960.755799999999</v>
      </c>
    </row>
    <row r="600" spans="7:18" x14ac:dyDescent="0.15">
      <c r="G600" s="11">
        <v>599</v>
      </c>
      <c r="H600" t="s">
        <v>1527</v>
      </c>
      <c r="I600" t="s">
        <v>1528</v>
      </c>
      <c r="J600" t="s">
        <v>1685</v>
      </c>
      <c r="K600">
        <v>-1.33</v>
      </c>
      <c r="L600">
        <v>-1.83</v>
      </c>
      <c r="M600">
        <v>-0.39</v>
      </c>
      <c r="N600" s="20">
        <v>0</v>
      </c>
      <c r="O600">
        <v>14.94</v>
      </c>
      <c r="P600">
        <v>9.82</v>
      </c>
      <c r="Q600">
        <v>41.54</v>
      </c>
      <c r="R600" s="21">
        <v>12.927899999999999</v>
      </c>
    </row>
    <row r="601" spans="7:18" x14ac:dyDescent="0.15">
      <c r="G601" s="11">
        <v>600</v>
      </c>
      <c r="H601" t="s">
        <v>1547</v>
      </c>
      <c r="I601" t="s">
        <v>1548</v>
      </c>
      <c r="J601" t="s">
        <v>1685</v>
      </c>
      <c r="K601">
        <v>1.91</v>
      </c>
      <c r="L601">
        <v>3.76</v>
      </c>
      <c r="M601">
        <v>7.38</v>
      </c>
      <c r="N601" s="20">
        <v>0.14000000000000001</v>
      </c>
      <c r="O601">
        <v>14.79</v>
      </c>
      <c r="P601">
        <v>34.42</v>
      </c>
      <c r="Q601">
        <v>16.5</v>
      </c>
      <c r="R601" s="21">
        <v>409.45600000000002</v>
      </c>
    </row>
    <row r="602" spans="7:18" x14ac:dyDescent="0.15">
      <c r="G602" s="11">
        <v>601</v>
      </c>
      <c r="H602" t="s">
        <v>407</v>
      </c>
      <c r="I602" t="s">
        <v>1179</v>
      </c>
      <c r="J602" t="s">
        <v>1179</v>
      </c>
      <c r="K602">
        <v>-1.07</v>
      </c>
      <c r="L602">
        <v>-0.86</v>
      </c>
      <c r="M602">
        <v>-1.79</v>
      </c>
      <c r="N602" s="20">
        <v>0</v>
      </c>
      <c r="O602">
        <v>14.65</v>
      </c>
      <c r="P602">
        <v>6.97</v>
      </c>
      <c r="Q602">
        <v>43.53</v>
      </c>
      <c r="R602" s="21">
        <v>22491.423569999999</v>
      </c>
    </row>
    <row r="603" spans="7:18" x14ac:dyDescent="0.15">
      <c r="G603" s="11">
        <v>602</v>
      </c>
      <c r="H603" t="s">
        <v>489</v>
      </c>
      <c r="I603" t="s">
        <v>1155</v>
      </c>
      <c r="J603" t="s">
        <v>867</v>
      </c>
      <c r="K603">
        <v>0.85</v>
      </c>
      <c r="L603">
        <v>-0.32</v>
      </c>
      <c r="M603">
        <v>5.4</v>
      </c>
      <c r="N603" s="20">
        <v>0.09</v>
      </c>
      <c r="O603">
        <v>14.51</v>
      </c>
      <c r="P603">
        <v>27.31</v>
      </c>
      <c r="Q603">
        <v>23.04</v>
      </c>
      <c r="R603" s="21">
        <v>43348.996500000001</v>
      </c>
    </row>
    <row r="604" spans="7:18" x14ac:dyDescent="0.15">
      <c r="G604" s="11">
        <v>603</v>
      </c>
      <c r="H604" t="s">
        <v>371</v>
      </c>
      <c r="I604" t="s">
        <v>1182</v>
      </c>
      <c r="J604" t="s">
        <v>1179</v>
      </c>
      <c r="K604">
        <v>-1.08</v>
      </c>
      <c r="L604">
        <v>-0.86</v>
      </c>
      <c r="M604">
        <v>-1.79</v>
      </c>
      <c r="N604" s="20">
        <v>0</v>
      </c>
      <c r="O604">
        <v>14.37</v>
      </c>
      <c r="P604">
        <v>7.11</v>
      </c>
      <c r="Q604">
        <v>43.1</v>
      </c>
      <c r="R604" s="21">
        <v>18911.501499999998</v>
      </c>
    </row>
    <row r="605" spans="7:18" x14ac:dyDescent="0.15">
      <c r="G605" s="11">
        <v>604</v>
      </c>
      <c r="H605" t="s">
        <v>611</v>
      </c>
      <c r="I605" t="s">
        <v>1006</v>
      </c>
      <c r="J605" t="s">
        <v>867</v>
      </c>
      <c r="K605">
        <v>0.57999999999999996</v>
      </c>
      <c r="L605">
        <v>1.23</v>
      </c>
      <c r="M605">
        <v>7.28</v>
      </c>
      <c r="N605" s="20">
        <v>0.15</v>
      </c>
      <c r="O605">
        <v>14.22</v>
      </c>
      <c r="P605">
        <v>33.85</v>
      </c>
      <c r="Q605">
        <v>16.22</v>
      </c>
      <c r="R605" s="21">
        <v>2621.2633999999998</v>
      </c>
    </row>
    <row r="606" spans="7:18" x14ac:dyDescent="0.15">
      <c r="G606" s="11">
        <v>605</v>
      </c>
      <c r="H606" t="s">
        <v>295</v>
      </c>
      <c r="I606" t="s">
        <v>810</v>
      </c>
      <c r="J606" t="s">
        <v>867</v>
      </c>
      <c r="K606">
        <v>-4.8499999999999996</v>
      </c>
      <c r="L606">
        <v>-10.01</v>
      </c>
      <c r="M606">
        <v>-1.29</v>
      </c>
      <c r="N606" s="20">
        <v>0</v>
      </c>
      <c r="O606">
        <v>14.08</v>
      </c>
      <c r="P606">
        <v>7.97</v>
      </c>
      <c r="Q606">
        <v>41.96</v>
      </c>
      <c r="R606" s="21">
        <v>5286.6999619999997</v>
      </c>
    </row>
    <row r="607" spans="7:18" x14ac:dyDescent="0.15">
      <c r="G607" s="11">
        <v>606</v>
      </c>
      <c r="H607" t="s">
        <v>528</v>
      </c>
      <c r="I607" t="s">
        <v>871</v>
      </c>
      <c r="J607" t="s">
        <v>867</v>
      </c>
      <c r="K607">
        <v>-0.08</v>
      </c>
      <c r="L607">
        <v>1.39</v>
      </c>
      <c r="M607">
        <v>3.94</v>
      </c>
      <c r="N607" s="20">
        <v>7.0000000000000007E-2</v>
      </c>
      <c r="O607">
        <v>13.94</v>
      </c>
      <c r="P607">
        <v>23.9</v>
      </c>
      <c r="Q607">
        <v>25.6</v>
      </c>
      <c r="R607" s="21">
        <v>1055.2976000000001</v>
      </c>
    </row>
    <row r="608" spans="7:18" x14ac:dyDescent="0.15">
      <c r="G608" s="11">
        <v>607</v>
      </c>
      <c r="H608" t="s">
        <v>440</v>
      </c>
      <c r="I608" t="s">
        <v>1193</v>
      </c>
      <c r="J608" t="s">
        <v>1316</v>
      </c>
      <c r="K608">
        <v>-1.66</v>
      </c>
      <c r="L608">
        <v>-4.37</v>
      </c>
      <c r="M608">
        <v>-4.3099999999999996</v>
      </c>
      <c r="N608" s="20">
        <v>-0.01</v>
      </c>
      <c r="O608">
        <v>13.8</v>
      </c>
      <c r="P608">
        <v>4.55</v>
      </c>
      <c r="Q608">
        <v>44.67</v>
      </c>
      <c r="R608" s="21">
        <v>1686572.5138000001</v>
      </c>
    </row>
    <row r="609" spans="7:18" x14ac:dyDescent="0.15">
      <c r="G609" s="11">
        <v>608</v>
      </c>
      <c r="H609" t="s">
        <v>509</v>
      </c>
      <c r="I609" t="s">
        <v>1247</v>
      </c>
      <c r="J609" t="s">
        <v>1239</v>
      </c>
      <c r="K609">
        <v>1.22</v>
      </c>
      <c r="L609">
        <v>2.0099999999999998</v>
      </c>
      <c r="M609">
        <v>8.6</v>
      </c>
      <c r="N609" s="20">
        <v>1.18</v>
      </c>
      <c r="O609">
        <v>13.66</v>
      </c>
      <c r="P609">
        <v>43.67</v>
      </c>
      <c r="Q609">
        <v>5.41</v>
      </c>
      <c r="R609" s="21">
        <v>6959.7936160999998</v>
      </c>
    </row>
    <row r="610" spans="7:18" x14ac:dyDescent="0.15">
      <c r="G610" s="11">
        <v>609</v>
      </c>
      <c r="H610" t="s">
        <v>1646</v>
      </c>
      <c r="I610" t="s">
        <v>1647</v>
      </c>
      <c r="J610" t="s">
        <v>1685</v>
      </c>
      <c r="K610">
        <v>0.64</v>
      </c>
      <c r="L610">
        <v>0.6</v>
      </c>
      <c r="M610">
        <v>7.69</v>
      </c>
      <c r="N610" s="20">
        <v>0.25</v>
      </c>
      <c r="O610">
        <v>13.51</v>
      </c>
      <c r="P610">
        <v>36.130000000000003</v>
      </c>
      <c r="Q610">
        <v>12.66</v>
      </c>
      <c r="R610" s="21">
        <v>151.70949999999999</v>
      </c>
    </row>
    <row r="611" spans="7:18" x14ac:dyDescent="0.15">
      <c r="G611" s="11">
        <v>610</v>
      </c>
      <c r="H611" t="s">
        <v>402</v>
      </c>
      <c r="I611" t="s">
        <v>1180</v>
      </c>
      <c r="J611" t="s">
        <v>1179</v>
      </c>
      <c r="K611">
        <v>0.21</v>
      </c>
      <c r="L611">
        <v>-0.56999999999999995</v>
      </c>
      <c r="M611">
        <v>-0.86</v>
      </c>
      <c r="N611" s="20">
        <v>0</v>
      </c>
      <c r="O611">
        <v>13.37</v>
      </c>
      <c r="P611">
        <v>8.82</v>
      </c>
      <c r="Q611">
        <v>38.979999999999997</v>
      </c>
      <c r="R611" s="21">
        <v>27173.885630000001</v>
      </c>
    </row>
    <row r="612" spans="7:18" x14ac:dyDescent="0.15">
      <c r="G612" s="11">
        <v>611</v>
      </c>
      <c r="H612" t="s">
        <v>722</v>
      </c>
      <c r="I612" t="s">
        <v>1101</v>
      </c>
      <c r="J612" t="s">
        <v>867</v>
      </c>
      <c r="K612">
        <v>-1.66</v>
      </c>
      <c r="L612">
        <v>2.1</v>
      </c>
      <c r="M612">
        <v>5.75</v>
      </c>
      <c r="N612" s="20">
        <v>0.12</v>
      </c>
      <c r="O612">
        <v>13.23</v>
      </c>
      <c r="P612">
        <v>28.45</v>
      </c>
      <c r="Q612">
        <v>18.920000000000002</v>
      </c>
      <c r="R612" s="21">
        <v>4153.5582000000004</v>
      </c>
    </row>
    <row r="613" spans="7:18" x14ac:dyDescent="0.15">
      <c r="G613" s="11">
        <v>612</v>
      </c>
      <c r="H613" t="s">
        <v>432</v>
      </c>
      <c r="I613" t="s">
        <v>1003</v>
      </c>
      <c r="J613" t="s">
        <v>867</v>
      </c>
      <c r="K613">
        <v>-3.09</v>
      </c>
      <c r="L613">
        <v>-2.91</v>
      </c>
      <c r="M613">
        <v>4.45</v>
      </c>
      <c r="N613" s="20">
        <v>0.09</v>
      </c>
      <c r="O613">
        <v>13.09</v>
      </c>
      <c r="P613">
        <v>24.47</v>
      </c>
      <c r="Q613">
        <v>22.9</v>
      </c>
      <c r="R613" s="21">
        <v>2264.2707999999998</v>
      </c>
    </row>
    <row r="614" spans="7:18" x14ac:dyDescent="0.15">
      <c r="G614" s="11">
        <v>613</v>
      </c>
      <c r="H614" t="s">
        <v>1517</v>
      </c>
      <c r="I614" t="s">
        <v>1518</v>
      </c>
      <c r="J614" t="s">
        <v>1685</v>
      </c>
      <c r="K614">
        <v>-0.21</v>
      </c>
      <c r="L614">
        <v>0.23</v>
      </c>
      <c r="M614">
        <v>2.0499999999999998</v>
      </c>
      <c r="N614" s="20">
        <v>0</v>
      </c>
      <c r="O614">
        <v>12.94</v>
      </c>
      <c r="P614">
        <v>18.920000000000002</v>
      </c>
      <c r="Q614">
        <v>27.88</v>
      </c>
      <c r="R614" s="21">
        <v>1021.1952</v>
      </c>
    </row>
    <row r="615" spans="7:18" x14ac:dyDescent="0.15">
      <c r="G615" s="11">
        <v>614</v>
      </c>
      <c r="H615" t="s">
        <v>515</v>
      </c>
      <c r="I615" t="s">
        <v>964</v>
      </c>
      <c r="J615" t="s">
        <v>867</v>
      </c>
      <c r="N615" s="20">
        <v>-0.06</v>
      </c>
      <c r="O615">
        <v>12.8</v>
      </c>
      <c r="P615">
        <v>1.1399999999999999</v>
      </c>
      <c r="Q615">
        <v>45.38</v>
      </c>
      <c r="R615" s="21">
        <v>1204.3942500000001</v>
      </c>
    </row>
    <row r="616" spans="7:18" x14ac:dyDescent="0.15">
      <c r="G616" s="11">
        <v>615</v>
      </c>
      <c r="H616" t="s">
        <v>355</v>
      </c>
      <c r="I616" t="s">
        <v>1051</v>
      </c>
      <c r="J616" t="s">
        <v>867</v>
      </c>
      <c r="K616">
        <v>-5.29</v>
      </c>
      <c r="L616">
        <v>-11.32</v>
      </c>
      <c r="M616">
        <v>-2.82</v>
      </c>
      <c r="N616" s="20">
        <v>0</v>
      </c>
      <c r="O616">
        <v>12.66</v>
      </c>
      <c r="P616">
        <v>5.12</v>
      </c>
      <c r="Q616">
        <v>40.4</v>
      </c>
      <c r="R616" s="21">
        <v>3574.8347399999998</v>
      </c>
    </row>
    <row r="617" spans="7:18" x14ac:dyDescent="0.15">
      <c r="G617" s="11">
        <v>616</v>
      </c>
      <c r="H617" t="s">
        <v>653</v>
      </c>
      <c r="I617" t="s">
        <v>1252</v>
      </c>
      <c r="J617" t="s">
        <v>1248</v>
      </c>
      <c r="K617">
        <v>0.65</v>
      </c>
      <c r="L617">
        <v>2.87</v>
      </c>
      <c r="M617">
        <v>7.8</v>
      </c>
      <c r="N617" s="20">
        <v>0.65</v>
      </c>
      <c r="O617">
        <v>12.52</v>
      </c>
      <c r="P617">
        <v>37.409999999999997</v>
      </c>
      <c r="Q617">
        <v>7.11</v>
      </c>
      <c r="R617" s="21">
        <v>114.49379860000001</v>
      </c>
    </row>
    <row r="618" spans="7:18" x14ac:dyDescent="0.15">
      <c r="G618" s="11">
        <v>617</v>
      </c>
      <c r="H618" t="s">
        <v>501</v>
      </c>
      <c r="I618" t="s">
        <v>893</v>
      </c>
      <c r="J618" t="s">
        <v>867</v>
      </c>
      <c r="K618">
        <v>-7.0000000000000007E-2</v>
      </c>
      <c r="L618">
        <v>0.74</v>
      </c>
      <c r="M618">
        <v>3.46</v>
      </c>
      <c r="N618" s="20">
        <v>0.1</v>
      </c>
      <c r="O618">
        <v>12.38</v>
      </c>
      <c r="P618">
        <v>22.33</v>
      </c>
      <c r="Q618">
        <v>22.05</v>
      </c>
      <c r="R618" s="21">
        <v>377.0129</v>
      </c>
    </row>
    <row r="619" spans="7:18" x14ac:dyDescent="0.15">
      <c r="G619" s="11">
        <v>618</v>
      </c>
      <c r="H619" t="s">
        <v>618</v>
      </c>
      <c r="I619" t="s">
        <v>904</v>
      </c>
      <c r="J619" t="s">
        <v>867</v>
      </c>
      <c r="K619">
        <v>0.89</v>
      </c>
      <c r="L619">
        <v>3.9</v>
      </c>
      <c r="M619">
        <v>6.64</v>
      </c>
      <c r="N619" s="20">
        <v>0.25</v>
      </c>
      <c r="O619">
        <v>12.23</v>
      </c>
      <c r="P619">
        <v>31.58</v>
      </c>
      <c r="Q619">
        <v>12.52</v>
      </c>
      <c r="R619" s="21">
        <v>405.58780000000002</v>
      </c>
    </row>
    <row r="620" spans="7:18" x14ac:dyDescent="0.15">
      <c r="G620" s="11">
        <v>619</v>
      </c>
      <c r="H620" t="s">
        <v>734</v>
      </c>
      <c r="I620" t="s">
        <v>1101</v>
      </c>
      <c r="J620" t="s">
        <v>867</v>
      </c>
      <c r="K620">
        <v>0.04</v>
      </c>
      <c r="L620">
        <v>1.33</v>
      </c>
      <c r="M620">
        <v>4.92</v>
      </c>
      <c r="N620" s="20">
        <v>0.12</v>
      </c>
      <c r="O620">
        <v>12.09</v>
      </c>
      <c r="P620">
        <v>25.6</v>
      </c>
      <c r="Q620">
        <v>18.489999999999998</v>
      </c>
      <c r="R620" s="21">
        <v>3909.4587239000002</v>
      </c>
    </row>
    <row r="621" spans="7:18" x14ac:dyDescent="0.15">
      <c r="G621" s="11">
        <v>620</v>
      </c>
      <c r="H621" t="s">
        <v>1357</v>
      </c>
      <c r="I621" t="s">
        <v>1358</v>
      </c>
      <c r="J621" t="s">
        <v>1685</v>
      </c>
      <c r="K621">
        <v>-1.75</v>
      </c>
      <c r="L621">
        <v>0.74</v>
      </c>
      <c r="M621">
        <v>5.28</v>
      </c>
      <c r="N621" s="20">
        <v>0.13</v>
      </c>
      <c r="O621">
        <v>11.95</v>
      </c>
      <c r="P621">
        <v>26.6</v>
      </c>
      <c r="Q621">
        <v>17.07</v>
      </c>
      <c r="R621" s="21">
        <v>132.98565099999999</v>
      </c>
    </row>
    <row r="622" spans="7:18" x14ac:dyDescent="0.15">
      <c r="G622" s="11">
        <v>621</v>
      </c>
      <c r="H622" t="s">
        <v>451</v>
      </c>
      <c r="I622" t="s">
        <v>1161</v>
      </c>
      <c r="J622" t="s">
        <v>867</v>
      </c>
      <c r="K622">
        <v>-1.21</v>
      </c>
      <c r="L622">
        <v>-0.46</v>
      </c>
      <c r="M622">
        <v>2.59</v>
      </c>
      <c r="N622" s="20">
        <v>0.1</v>
      </c>
      <c r="O622">
        <v>11.81</v>
      </c>
      <c r="P622">
        <v>20.77</v>
      </c>
      <c r="Q622">
        <v>22.48</v>
      </c>
      <c r="R622" s="21">
        <v>66840.357499999998</v>
      </c>
    </row>
    <row r="623" spans="7:18" x14ac:dyDescent="0.15">
      <c r="G623" s="11">
        <v>622</v>
      </c>
      <c r="H623" t="s">
        <v>444</v>
      </c>
      <c r="I623" t="s">
        <v>1185</v>
      </c>
      <c r="J623" t="s">
        <v>1316</v>
      </c>
      <c r="K623">
        <v>2.15</v>
      </c>
      <c r="L623">
        <v>3.61</v>
      </c>
      <c r="M623">
        <v>1.3</v>
      </c>
      <c r="N623" s="20">
        <v>0.01</v>
      </c>
      <c r="O623">
        <v>11.66</v>
      </c>
      <c r="P623">
        <v>16.79</v>
      </c>
      <c r="Q623">
        <v>26.46</v>
      </c>
      <c r="R623" s="21">
        <v>1304.4305999999999</v>
      </c>
    </row>
    <row r="624" spans="7:18" x14ac:dyDescent="0.15">
      <c r="G624" s="11">
        <v>623</v>
      </c>
      <c r="H624" t="s">
        <v>681</v>
      </c>
      <c r="I624" t="s">
        <v>1251</v>
      </c>
      <c r="J624" t="s">
        <v>1248</v>
      </c>
      <c r="K624">
        <v>1.94</v>
      </c>
      <c r="L624">
        <v>2.0099999999999998</v>
      </c>
      <c r="M624">
        <v>7.33</v>
      </c>
      <c r="N624" s="20">
        <v>0.42</v>
      </c>
      <c r="O624">
        <v>11.52</v>
      </c>
      <c r="P624">
        <v>34</v>
      </c>
      <c r="Q624">
        <v>9.25</v>
      </c>
      <c r="R624" s="21">
        <v>240.1413</v>
      </c>
    </row>
    <row r="625" spans="7:18" x14ac:dyDescent="0.15">
      <c r="G625" s="11">
        <v>624</v>
      </c>
      <c r="H625" t="s">
        <v>594</v>
      </c>
      <c r="I625" t="s">
        <v>1258</v>
      </c>
      <c r="J625" t="s">
        <v>1248</v>
      </c>
      <c r="K625">
        <v>0.95</v>
      </c>
      <c r="L625">
        <v>1.89</v>
      </c>
      <c r="M625">
        <v>7.12</v>
      </c>
      <c r="N625" s="20">
        <v>0.38</v>
      </c>
      <c r="O625">
        <v>11.38</v>
      </c>
      <c r="P625">
        <v>33.14</v>
      </c>
      <c r="Q625">
        <v>9.82</v>
      </c>
      <c r="R625" s="21">
        <v>107.81625099999999</v>
      </c>
    </row>
    <row r="626" spans="7:18" x14ac:dyDescent="0.15">
      <c r="G626" s="11">
        <v>625</v>
      </c>
      <c r="H626" t="s">
        <v>1680</v>
      </c>
      <c r="I626" t="s">
        <v>1681</v>
      </c>
      <c r="J626" t="s">
        <v>1685</v>
      </c>
      <c r="K626">
        <v>1.29</v>
      </c>
      <c r="L626">
        <v>0.96</v>
      </c>
      <c r="M626">
        <v>2.61</v>
      </c>
      <c r="N626" s="20">
        <v>0.1</v>
      </c>
      <c r="O626">
        <v>11.24</v>
      </c>
      <c r="P626">
        <v>21.05</v>
      </c>
      <c r="Q626">
        <v>21.76</v>
      </c>
      <c r="R626" s="21">
        <v>3060.7689999999998</v>
      </c>
    </row>
    <row r="627" spans="7:18" x14ac:dyDescent="0.15">
      <c r="G627" s="11">
        <v>626</v>
      </c>
      <c r="H627" t="s">
        <v>521</v>
      </c>
      <c r="I627" t="s">
        <v>1254</v>
      </c>
      <c r="J627" t="s">
        <v>1248</v>
      </c>
      <c r="K627">
        <v>0.54</v>
      </c>
      <c r="L627">
        <v>1.73</v>
      </c>
      <c r="M627">
        <v>7.4</v>
      </c>
      <c r="N627" s="20">
        <v>0.53</v>
      </c>
      <c r="O627">
        <v>11.1</v>
      </c>
      <c r="P627">
        <v>34.85</v>
      </c>
      <c r="Q627">
        <v>7.68</v>
      </c>
      <c r="R627" s="21">
        <v>119.47669999999999</v>
      </c>
    </row>
    <row r="628" spans="7:18" x14ac:dyDescent="0.15">
      <c r="G628" s="11">
        <v>627</v>
      </c>
      <c r="H628" t="s">
        <v>405</v>
      </c>
      <c r="I628" t="s">
        <v>267</v>
      </c>
      <c r="J628" t="s">
        <v>1239</v>
      </c>
      <c r="K628">
        <v>0.32</v>
      </c>
      <c r="L628">
        <v>0.4</v>
      </c>
      <c r="M628">
        <v>1.36</v>
      </c>
      <c r="N628" s="20">
        <v>0.08</v>
      </c>
      <c r="O628">
        <v>10.95</v>
      </c>
      <c r="P628">
        <v>16.93</v>
      </c>
      <c r="Q628">
        <v>25.18</v>
      </c>
      <c r="R628" s="21">
        <v>193.22038620000001</v>
      </c>
    </row>
    <row r="629" spans="7:18" x14ac:dyDescent="0.15">
      <c r="G629" s="11">
        <v>628</v>
      </c>
      <c r="H629" t="s">
        <v>1390</v>
      </c>
      <c r="I629" t="s">
        <v>1391</v>
      </c>
      <c r="J629" t="s">
        <v>1685</v>
      </c>
      <c r="N629" s="20">
        <v>0</v>
      </c>
      <c r="O629">
        <v>10.81</v>
      </c>
      <c r="P629">
        <v>1</v>
      </c>
      <c r="Q629">
        <v>40.83</v>
      </c>
      <c r="R629" s="21">
        <v>2060.6270199999999</v>
      </c>
    </row>
    <row r="630" spans="7:18" x14ac:dyDescent="0.15">
      <c r="G630" s="11">
        <v>629</v>
      </c>
      <c r="H630" t="s">
        <v>728</v>
      </c>
      <c r="I630" t="s">
        <v>1029</v>
      </c>
      <c r="J630" t="s">
        <v>867</v>
      </c>
      <c r="K630">
        <v>-0.53</v>
      </c>
      <c r="L630">
        <v>-0.51</v>
      </c>
      <c r="M630">
        <v>1.82</v>
      </c>
      <c r="N630" s="20">
        <v>0.09</v>
      </c>
      <c r="O630">
        <v>10.67</v>
      </c>
      <c r="P630">
        <v>17.64</v>
      </c>
      <c r="Q630">
        <v>24.18</v>
      </c>
      <c r="R630" s="21">
        <v>3233.7692000000002</v>
      </c>
    </row>
    <row r="631" spans="7:18" x14ac:dyDescent="0.15">
      <c r="G631" s="11">
        <v>630</v>
      </c>
      <c r="H631" t="s">
        <v>554</v>
      </c>
      <c r="I631" t="s">
        <v>1024</v>
      </c>
      <c r="J631" t="s">
        <v>867</v>
      </c>
      <c r="K631">
        <v>-0.52</v>
      </c>
      <c r="L631">
        <v>-0.5</v>
      </c>
      <c r="M631">
        <v>1.85</v>
      </c>
      <c r="N631" s="20">
        <v>0.09</v>
      </c>
      <c r="O631">
        <v>10.53</v>
      </c>
      <c r="P631">
        <v>17.78</v>
      </c>
      <c r="Q631">
        <v>24.04</v>
      </c>
      <c r="R631" s="21">
        <v>2333.0990000000002</v>
      </c>
    </row>
    <row r="632" spans="7:18" x14ac:dyDescent="0.15">
      <c r="G632" s="11">
        <v>631</v>
      </c>
      <c r="H632" t="s">
        <v>579</v>
      </c>
      <c r="I632" t="s">
        <v>873</v>
      </c>
      <c r="J632" t="s">
        <v>867</v>
      </c>
      <c r="K632">
        <v>0.86</v>
      </c>
      <c r="L632">
        <v>2.11</v>
      </c>
      <c r="M632">
        <v>5.46</v>
      </c>
      <c r="N632" s="20">
        <v>0.2</v>
      </c>
      <c r="O632">
        <v>10.38</v>
      </c>
      <c r="P632">
        <v>27.6</v>
      </c>
      <c r="Q632">
        <v>14.22</v>
      </c>
      <c r="R632" s="21">
        <v>5580.0726000000004</v>
      </c>
    </row>
    <row r="633" spans="7:18" x14ac:dyDescent="0.15">
      <c r="G633" s="11">
        <v>632</v>
      </c>
      <c r="H633" t="s">
        <v>607</v>
      </c>
      <c r="I633" t="s">
        <v>892</v>
      </c>
      <c r="J633" t="s">
        <v>867</v>
      </c>
      <c r="K633">
        <v>0.65</v>
      </c>
      <c r="L633">
        <v>1.4</v>
      </c>
      <c r="M633">
        <v>3.66</v>
      </c>
      <c r="N633" s="20">
        <v>0.13</v>
      </c>
      <c r="O633">
        <v>10.24</v>
      </c>
      <c r="P633">
        <v>23.47</v>
      </c>
      <c r="Q633">
        <v>17.64</v>
      </c>
      <c r="R633" s="21">
        <v>43.052700000000002</v>
      </c>
    </row>
    <row r="634" spans="7:18" x14ac:dyDescent="0.15">
      <c r="G634" s="11">
        <v>633</v>
      </c>
      <c r="H634" t="s">
        <v>601</v>
      </c>
      <c r="I634" t="s">
        <v>1110</v>
      </c>
      <c r="J634" t="s">
        <v>867</v>
      </c>
      <c r="K634">
        <v>3.78</v>
      </c>
      <c r="L634">
        <v>5.37</v>
      </c>
      <c r="M634">
        <v>5.33</v>
      </c>
      <c r="N634" s="20">
        <v>0.22</v>
      </c>
      <c r="O634">
        <v>10.1</v>
      </c>
      <c r="P634">
        <v>27.03</v>
      </c>
      <c r="Q634">
        <v>13.37</v>
      </c>
      <c r="R634" s="21">
        <v>8354.8784699999997</v>
      </c>
    </row>
    <row r="635" spans="7:18" x14ac:dyDescent="0.15">
      <c r="G635" s="11">
        <v>634</v>
      </c>
      <c r="H635" t="s">
        <v>1408</v>
      </c>
      <c r="I635" t="s">
        <v>1409</v>
      </c>
      <c r="J635" t="s">
        <v>1685</v>
      </c>
      <c r="K635">
        <v>3.64</v>
      </c>
      <c r="L635">
        <v>5.04</v>
      </c>
      <c r="M635">
        <v>4.83</v>
      </c>
      <c r="N635" s="20">
        <v>0.19</v>
      </c>
      <c r="O635">
        <v>9.9600000000000009</v>
      </c>
      <c r="P635">
        <v>25.32</v>
      </c>
      <c r="Q635">
        <v>14.94</v>
      </c>
      <c r="R635" s="21">
        <v>2814.5695000000001</v>
      </c>
    </row>
    <row r="636" spans="7:18" x14ac:dyDescent="0.15">
      <c r="G636" s="11">
        <v>635</v>
      </c>
      <c r="H636" t="s">
        <v>424</v>
      </c>
      <c r="I636" t="s">
        <v>1459</v>
      </c>
      <c r="J636" t="s">
        <v>1685</v>
      </c>
      <c r="K636">
        <v>0.06</v>
      </c>
      <c r="L636">
        <v>0.1</v>
      </c>
      <c r="M636">
        <v>0.14000000000000001</v>
      </c>
      <c r="N636" s="20">
        <v>0.01</v>
      </c>
      <c r="O636">
        <v>9.82</v>
      </c>
      <c r="P636">
        <v>13.8</v>
      </c>
      <c r="Q636">
        <v>26.32</v>
      </c>
      <c r="R636" s="21">
        <v>573010.13630000001</v>
      </c>
    </row>
    <row r="637" spans="7:18" x14ac:dyDescent="0.15">
      <c r="G637" s="11">
        <v>636</v>
      </c>
      <c r="H637" t="s">
        <v>635</v>
      </c>
      <c r="I637" t="s">
        <v>1033</v>
      </c>
      <c r="J637" t="s">
        <v>867</v>
      </c>
      <c r="K637">
        <v>-1.67</v>
      </c>
      <c r="L637">
        <v>1.99</v>
      </c>
      <c r="M637">
        <v>5.43</v>
      </c>
      <c r="N637" s="20">
        <v>0.25</v>
      </c>
      <c r="O637">
        <v>9.67</v>
      </c>
      <c r="P637">
        <v>27.45</v>
      </c>
      <c r="Q637">
        <v>12.23</v>
      </c>
      <c r="R637" s="21">
        <v>2048.6415999999999</v>
      </c>
    </row>
    <row r="638" spans="7:18" x14ac:dyDescent="0.15">
      <c r="G638" s="11">
        <v>637</v>
      </c>
      <c r="H638" t="s">
        <v>390</v>
      </c>
      <c r="I638" t="s">
        <v>268</v>
      </c>
      <c r="J638" t="s">
        <v>1239</v>
      </c>
      <c r="K638">
        <v>1.1200000000000001</v>
      </c>
      <c r="L638">
        <v>3.07</v>
      </c>
      <c r="M638">
        <v>7.38</v>
      </c>
      <c r="N638" s="20">
        <v>1.48</v>
      </c>
      <c r="O638">
        <v>9.5299999999999994</v>
      </c>
      <c r="P638">
        <v>34.57</v>
      </c>
      <c r="Q638">
        <v>4.2699999999999996</v>
      </c>
      <c r="R638" s="21">
        <v>934.29575999999997</v>
      </c>
    </row>
    <row r="639" spans="7:18" x14ac:dyDescent="0.15">
      <c r="G639" s="11">
        <v>638</v>
      </c>
      <c r="H639" t="s">
        <v>747</v>
      </c>
      <c r="I639" t="s">
        <v>1304</v>
      </c>
      <c r="J639" t="s">
        <v>1285</v>
      </c>
      <c r="K639">
        <v>2.0299999999999998</v>
      </c>
      <c r="L639">
        <v>-2.21</v>
      </c>
      <c r="M639">
        <v>6</v>
      </c>
      <c r="N639" s="20">
        <v>0.42</v>
      </c>
      <c r="O639">
        <v>9.39</v>
      </c>
      <c r="P639">
        <v>29.45</v>
      </c>
      <c r="Q639">
        <v>9.39</v>
      </c>
      <c r="R639" s="21">
        <v>5586.1962999999996</v>
      </c>
    </row>
    <row r="640" spans="7:18" x14ac:dyDescent="0.15">
      <c r="G640" s="11">
        <v>639</v>
      </c>
      <c r="H640" t="s">
        <v>648</v>
      </c>
      <c r="I640" t="s">
        <v>1100</v>
      </c>
      <c r="J640" t="s">
        <v>867</v>
      </c>
      <c r="K640">
        <v>-0.48</v>
      </c>
      <c r="L640">
        <v>-0.46</v>
      </c>
      <c r="M640">
        <v>1.91</v>
      </c>
      <c r="N640" s="20">
        <v>0.11</v>
      </c>
      <c r="O640">
        <v>9.25</v>
      </c>
      <c r="P640">
        <v>18.350000000000001</v>
      </c>
      <c r="Q640">
        <v>19.489999999999998</v>
      </c>
      <c r="R640" s="21">
        <v>5532.0000001999997</v>
      </c>
    </row>
    <row r="641" spans="7:18" x14ac:dyDescent="0.15">
      <c r="G641" s="11">
        <v>640</v>
      </c>
      <c r="H641" t="s">
        <v>396</v>
      </c>
      <c r="I641" t="s">
        <v>916</v>
      </c>
      <c r="J641" t="s">
        <v>867</v>
      </c>
      <c r="K641">
        <v>-5.18</v>
      </c>
      <c r="L641">
        <v>-8.33</v>
      </c>
      <c r="M641">
        <v>0.84</v>
      </c>
      <c r="N641" s="20">
        <v>0.1</v>
      </c>
      <c r="O641">
        <v>9.1</v>
      </c>
      <c r="P641">
        <v>15.5</v>
      </c>
      <c r="Q641">
        <v>21.91</v>
      </c>
      <c r="R641" s="21">
        <v>908.27077159999999</v>
      </c>
    </row>
    <row r="642" spans="7:18" x14ac:dyDescent="0.15">
      <c r="G642" s="11">
        <v>641</v>
      </c>
      <c r="H642" t="s">
        <v>366</v>
      </c>
      <c r="I642" t="s">
        <v>1067</v>
      </c>
      <c r="J642" t="s">
        <v>867</v>
      </c>
      <c r="K642">
        <v>-1.06</v>
      </c>
      <c r="L642">
        <v>-3.23</v>
      </c>
      <c r="M642">
        <v>0.46</v>
      </c>
      <c r="N642" s="20">
        <v>0.09</v>
      </c>
      <c r="O642">
        <v>8.9600000000000009</v>
      </c>
      <c r="P642">
        <v>14.37</v>
      </c>
      <c r="Q642">
        <v>22.76</v>
      </c>
      <c r="R642" s="21">
        <v>2846.6761999999999</v>
      </c>
    </row>
    <row r="643" spans="7:18" x14ac:dyDescent="0.15">
      <c r="G643" s="11">
        <v>642</v>
      </c>
      <c r="H643" t="s">
        <v>294</v>
      </c>
      <c r="I643" t="s">
        <v>1250</v>
      </c>
      <c r="J643" t="s">
        <v>1248</v>
      </c>
      <c r="K643">
        <v>-4.5599999999999996</v>
      </c>
      <c r="L643">
        <v>-6.14</v>
      </c>
      <c r="M643">
        <v>4.5999999999999996</v>
      </c>
      <c r="N643" s="20">
        <v>0.26</v>
      </c>
      <c r="O643">
        <v>8.82</v>
      </c>
      <c r="P643">
        <v>24.89</v>
      </c>
      <c r="Q643">
        <v>11.95</v>
      </c>
      <c r="R643" s="21">
        <v>117.0987095</v>
      </c>
    </row>
    <row r="644" spans="7:18" x14ac:dyDescent="0.15">
      <c r="G644" s="11">
        <v>643</v>
      </c>
      <c r="H644" t="s">
        <v>559</v>
      </c>
      <c r="I644" t="s">
        <v>1165</v>
      </c>
      <c r="J644" t="s">
        <v>867</v>
      </c>
      <c r="K644">
        <v>-0.56000000000000005</v>
      </c>
      <c r="L644">
        <v>-1.23</v>
      </c>
      <c r="M644">
        <v>0.08</v>
      </c>
      <c r="N644" s="20">
        <v>0.09</v>
      </c>
      <c r="O644">
        <v>8.68</v>
      </c>
      <c r="P644">
        <v>12.94</v>
      </c>
      <c r="Q644">
        <v>23.76</v>
      </c>
      <c r="R644" s="21">
        <v>30697.769499999999</v>
      </c>
    </row>
    <row r="645" spans="7:18" x14ac:dyDescent="0.15">
      <c r="G645" s="11">
        <v>644</v>
      </c>
      <c r="H645" t="s">
        <v>551</v>
      </c>
      <c r="I645" t="s">
        <v>1245</v>
      </c>
      <c r="J645" t="s">
        <v>1239</v>
      </c>
      <c r="K645">
        <v>2.59</v>
      </c>
      <c r="L645">
        <v>2.82</v>
      </c>
      <c r="M645">
        <v>6.98</v>
      </c>
      <c r="N645" s="20">
        <v>1.88</v>
      </c>
      <c r="O645">
        <v>8.5299999999999994</v>
      </c>
      <c r="P645">
        <v>32.57</v>
      </c>
      <c r="Q645">
        <v>3.41</v>
      </c>
      <c r="R645" s="21">
        <v>2080.7455326999998</v>
      </c>
    </row>
    <row r="646" spans="7:18" x14ac:dyDescent="0.15">
      <c r="G646" s="11">
        <v>645</v>
      </c>
      <c r="H646" t="s">
        <v>1324</v>
      </c>
      <c r="I646" t="s">
        <v>1325</v>
      </c>
      <c r="J646" t="s">
        <v>1685</v>
      </c>
      <c r="K646">
        <v>0.43</v>
      </c>
      <c r="L646">
        <v>-0.14000000000000001</v>
      </c>
      <c r="M646">
        <v>0.89</v>
      </c>
      <c r="N646" s="20">
        <v>0.11</v>
      </c>
      <c r="O646">
        <v>8.39</v>
      </c>
      <c r="P646">
        <v>15.79</v>
      </c>
      <c r="Q646">
        <v>19.91</v>
      </c>
      <c r="R646" s="21">
        <v>1319.4911</v>
      </c>
    </row>
    <row r="647" spans="7:18" x14ac:dyDescent="0.15">
      <c r="G647" s="11">
        <v>646</v>
      </c>
      <c r="H647" t="s">
        <v>1549</v>
      </c>
      <c r="I647" t="s">
        <v>1550</v>
      </c>
      <c r="J647" t="s">
        <v>1685</v>
      </c>
      <c r="K647">
        <v>-0.66</v>
      </c>
      <c r="L647">
        <v>-0.18</v>
      </c>
      <c r="M647">
        <v>0.69</v>
      </c>
      <c r="N647" s="20">
        <v>0.11</v>
      </c>
      <c r="O647">
        <v>8.25</v>
      </c>
      <c r="P647">
        <v>15.22</v>
      </c>
      <c r="Q647">
        <v>20.48</v>
      </c>
      <c r="R647" s="21">
        <v>3133.7191330999999</v>
      </c>
    </row>
    <row r="648" spans="7:18" x14ac:dyDescent="0.15">
      <c r="G648" s="11">
        <v>647</v>
      </c>
      <c r="H648" t="s">
        <v>315</v>
      </c>
      <c r="I648" t="s">
        <v>1096</v>
      </c>
      <c r="J648" t="s">
        <v>1248</v>
      </c>
      <c r="K648">
        <v>1.82</v>
      </c>
      <c r="L648">
        <v>3.42</v>
      </c>
      <c r="M648">
        <v>7.06</v>
      </c>
      <c r="N648" s="20">
        <v>2.65</v>
      </c>
      <c r="O648">
        <v>8.11</v>
      </c>
      <c r="P648">
        <v>32.86</v>
      </c>
      <c r="Q648">
        <v>2.7</v>
      </c>
      <c r="R648" s="21">
        <v>132.5154</v>
      </c>
    </row>
    <row r="649" spans="7:18" x14ac:dyDescent="0.15">
      <c r="G649" s="11">
        <v>648</v>
      </c>
      <c r="H649" t="s">
        <v>1326</v>
      </c>
      <c r="I649" t="s">
        <v>1327</v>
      </c>
      <c r="J649" t="s">
        <v>1685</v>
      </c>
      <c r="K649">
        <v>2.66</v>
      </c>
      <c r="L649">
        <v>2.92</v>
      </c>
      <c r="M649">
        <v>0.28999999999999998</v>
      </c>
      <c r="N649" s="20">
        <v>0.11</v>
      </c>
      <c r="O649">
        <v>7.97</v>
      </c>
      <c r="P649">
        <v>14.08</v>
      </c>
      <c r="Q649">
        <v>20.77</v>
      </c>
      <c r="R649" s="21">
        <v>4513.0477799999999</v>
      </c>
    </row>
    <row r="650" spans="7:18" x14ac:dyDescent="0.15">
      <c r="G650" s="11">
        <v>649</v>
      </c>
      <c r="H650" t="s">
        <v>689</v>
      </c>
      <c r="I650" t="s">
        <v>1100</v>
      </c>
      <c r="J650" t="s">
        <v>867</v>
      </c>
      <c r="K650">
        <v>-0.22</v>
      </c>
      <c r="L650">
        <v>0.23</v>
      </c>
      <c r="M650">
        <v>2.12</v>
      </c>
      <c r="N650" s="20">
        <v>0.18</v>
      </c>
      <c r="O650">
        <v>7.82</v>
      </c>
      <c r="P650">
        <v>19.059999999999999</v>
      </c>
      <c r="Q650">
        <v>15.22</v>
      </c>
      <c r="R650" s="21">
        <v>40039.911399999997</v>
      </c>
    </row>
    <row r="651" spans="7:18" x14ac:dyDescent="0.15">
      <c r="G651" s="11">
        <v>650</v>
      </c>
      <c r="H651" t="s">
        <v>436</v>
      </c>
      <c r="I651" t="s">
        <v>265</v>
      </c>
      <c r="J651" t="s">
        <v>1239</v>
      </c>
      <c r="K651">
        <v>0.59</v>
      </c>
      <c r="L651">
        <v>3.28</v>
      </c>
      <c r="M651">
        <v>6</v>
      </c>
      <c r="N651" s="20">
        <v>1.37</v>
      </c>
      <c r="O651">
        <v>7.68</v>
      </c>
      <c r="P651">
        <v>29.3</v>
      </c>
      <c r="Q651">
        <v>4.84</v>
      </c>
      <c r="R651" s="21">
        <v>543.64433569999994</v>
      </c>
    </row>
    <row r="652" spans="7:18" x14ac:dyDescent="0.15">
      <c r="G652" s="11">
        <v>651</v>
      </c>
      <c r="H652" t="s">
        <v>412</v>
      </c>
      <c r="I652" t="s">
        <v>1271</v>
      </c>
      <c r="J652" t="s">
        <v>1248</v>
      </c>
      <c r="K652">
        <v>1.39</v>
      </c>
      <c r="L652">
        <v>1.87</v>
      </c>
      <c r="M652">
        <v>5.4</v>
      </c>
      <c r="N652" s="20">
        <v>0.92</v>
      </c>
      <c r="O652">
        <v>7.54</v>
      </c>
      <c r="P652">
        <v>27.17</v>
      </c>
      <c r="Q652">
        <v>6.26</v>
      </c>
      <c r="R652" s="21">
        <v>5191.7271473999999</v>
      </c>
    </row>
    <row r="653" spans="7:18" x14ac:dyDescent="0.15">
      <c r="G653" s="11">
        <v>652</v>
      </c>
      <c r="H653" t="s">
        <v>717</v>
      </c>
      <c r="I653" t="s">
        <v>1159</v>
      </c>
      <c r="J653" t="s">
        <v>867</v>
      </c>
      <c r="K653">
        <v>2.02</v>
      </c>
      <c r="L653">
        <v>2.4900000000000002</v>
      </c>
      <c r="M653">
        <v>0.61</v>
      </c>
      <c r="N653" s="20">
        <v>0.13</v>
      </c>
      <c r="O653">
        <v>7.4</v>
      </c>
      <c r="P653">
        <v>14.94</v>
      </c>
      <c r="Q653">
        <v>18.07</v>
      </c>
      <c r="R653" s="21">
        <v>46473.8701</v>
      </c>
    </row>
    <row r="654" spans="7:18" x14ac:dyDescent="0.15">
      <c r="G654" s="11">
        <v>653</v>
      </c>
      <c r="H654" t="s">
        <v>1272</v>
      </c>
      <c r="I654" t="s">
        <v>1273</v>
      </c>
      <c r="J654" t="s">
        <v>867</v>
      </c>
      <c r="N654" s="20">
        <v>0</v>
      </c>
      <c r="O654">
        <v>7.25</v>
      </c>
      <c r="P654">
        <v>0.85</v>
      </c>
      <c r="Q654">
        <v>32.01</v>
      </c>
      <c r="R654" s="21">
        <v>273.96976219999999</v>
      </c>
    </row>
    <row r="655" spans="7:18" x14ac:dyDescent="0.15">
      <c r="G655" s="11">
        <v>654</v>
      </c>
      <c r="H655" t="s">
        <v>726</v>
      </c>
      <c r="I655" t="s">
        <v>1246</v>
      </c>
      <c r="J655" t="s">
        <v>1239</v>
      </c>
      <c r="K655">
        <v>0.71</v>
      </c>
      <c r="L655">
        <v>1.19</v>
      </c>
      <c r="M655">
        <v>5.17</v>
      </c>
      <c r="N655" s="20">
        <v>0.78</v>
      </c>
      <c r="O655">
        <v>7.11</v>
      </c>
      <c r="P655">
        <v>26.03</v>
      </c>
      <c r="Q655">
        <v>6.69</v>
      </c>
      <c r="R655" s="21">
        <v>2867.4891284</v>
      </c>
    </row>
    <row r="656" spans="7:18" x14ac:dyDescent="0.15">
      <c r="G656" s="11">
        <v>655</v>
      </c>
      <c r="H656" t="s">
        <v>721</v>
      </c>
      <c r="I656" t="s">
        <v>1290</v>
      </c>
      <c r="J656" t="s">
        <v>1285</v>
      </c>
      <c r="K656">
        <v>2.5299999999999998</v>
      </c>
      <c r="L656">
        <v>-1.0900000000000001</v>
      </c>
      <c r="M656">
        <v>5.01</v>
      </c>
      <c r="N656" s="20">
        <v>0.96</v>
      </c>
      <c r="O656">
        <v>6.97</v>
      </c>
      <c r="P656">
        <v>25.89</v>
      </c>
      <c r="Q656">
        <v>5.97</v>
      </c>
      <c r="R656" s="21">
        <v>36.268799999999999</v>
      </c>
    </row>
    <row r="657" spans="7:18" x14ac:dyDescent="0.15">
      <c r="G657" s="11">
        <v>656</v>
      </c>
      <c r="H657" t="s">
        <v>323</v>
      </c>
      <c r="I657" t="s">
        <v>1154</v>
      </c>
      <c r="J657" t="s">
        <v>867</v>
      </c>
      <c r="K657">
        <v>-5.47</v>
      </c>
      <c r="L657">
        <v>-8.9499999999999993</v>
      </c>
      <c r="M657">
        <v>0.98</v>
      </c>
      <c r="N657" s="20">
        <v>0.17</v>
      </c>
      <c r="O657">
        <v>6.83</v>
      </c>
      <c r="P657">
        <v>15.93</v>
      </c>
      <c r="Q657">
        <v>15.5</v>
      </c>
      <c r="R657" s="21">
        <v>51185.975400000003</v>
      </c>
    </row>
    <row r="658" spans="7:18" x14ac:dyDescent="0.15">
      <c r="G658" s="11">
        <v>657</v>
      </c>
      <c r="H658" t="s">
        <v>624</v>
      </c>
      <c r="I658" t="s">
        <v>1023</v>
      </c>
      <c r="J658" t="s">
        <v>867</v>
      </c>
      <c r="K658">
        <v>-0.14000000000000001</v>
      </c>
      <c r="L658">
        <v>0.33</v>
      </c>
      <c r="M658">
        <v>2.37</v>
      </c>
      <c r="N658" s="20">
        <v>0.27</v>
      </c>
      <c r="O658">
        <v>6.69</v>
      </c>
      <c r="P658">
        <v>19.77</v>
      </c>
      <c r="Q658">
        <v>11.52</v>
      </c>
      <c r="R658" s="21">
        <v>977.21450000000004</v>
      </c>
    </row>
    <row r="659" spans="7:18" x14ac:dyDescent="0.15">
      <c r="G659" s="11">
        <v>658</v>
      </c>
      <c r="H659" t="s">
        <v>496</v>
      </c>
      <c r="I659" t="s">
        <v>1447</v>
      </c>
      <c r="J659" t="s">
        <v>1685</v>
      </c>
      <c r="K659">
        <v>0.09</v>
      </c>
      <c r="L659">
        <v>0.17</v>
      </c>
      <c r="M659">
        <v>0.12</v>
      </c>
      <c r="N659" s="20">
        <v>0.13</v>
      </c>
      <c r="O659">
        <v>6.54</v>
      </c>
      <c r="P659">
        <v>13.66</v>
      </c>
      <c r="Q659">
        <v>17.21</v>
      </c>
      <c r="R659" s="21">
        <v>844.45659999999998</v>
      </c>
    </row>
    <row r="660" spans="7:18" x14ac:dyDescent="0.15">
      <c r="G660" s="11">
        <v>659</v>
      </c>
      <c r="H660" t="s">
        <v>585</v>
      </c>
      <c r="I660" t="s">
        <v>1261</v>
      </c>
      <c r="J660" t="s">
        <v>1248</v>
      </c>
      <c r="K660">
        <v>0.75</v>
      </c>
      <c r="L660">
        <v>1.33</v>
      </c>
      <c r="M660">
        <v>2.89</v>
      </c>
      <c r="N660" s="20">
        <v>0.46</v>
      </c>
      <c r="O660">
        <v>6.4</v>
      </c>
      <c r="P660">
        <v>21.48</v>
      </c>
      <c r="Q660">
        <v>8.39</v>
      </c>
      <c r="R660" s="21">
        <v>236.91180419999998</v>
      </c>
    </row>
    <row r="661" spans="7:18" x14ac:dyDescent="0.15">
      <c r="G661" s="11">
        <v>660</v>
      </c>
      <c r="H661" t="s">
        <v>593</v>
      </c>
      <c r="I661" t="s">
        <v>261</v>
      </c>
      <c r="J661" t="s">
        <v>1239</v>
      </c>
      <c r="K661">
        <v>0.38</v>
      </c>
      <c r="L661">
        <v>0.32</v>
      </c>
      <c r="M661">
        <v>3.16</v>
      </c>
      <c r="N661" s="20">
        <v>0.65</v>
      </c>
      <c r="O661">
        <v>6.26</v>
      </c>
      <c r="P661">
        <v>21.91</v>
      </c>
      <c r="Q661">
        <v>7.25</v>
      </c>
      <c r="R661" s="21">
        <v>258.73856460000002</v>
      </c>
    </row>
    <row r="662" spans="7:18" x14ac:dyDescent="0.15">
      <c r="G662" s="11">
        <v>661</v>
      </c>
      <c r="H662" t="s">
        <v>456</v>
      </c>
      <c r="I662" t="s">
        <v>259</v>
      </c>
      <c r="J662" t="s">
        <v>1239</v>
      </c>
      <c r="K662">
        <v>1.36</v>
      </c>
      <c r="L662">
        <v>1.45</v>
      </c>
      <c r="M662">
        <v>4.68</v>
      </c>
      <c r="N662" s="20">
        <v>1.86</v>
      </c>
      <c r="O662">
        <v>6.12</v>
      </c>
      <c r="P662">
        <v>25.04</v>
      </c>
      <c r="Q662">
        <v>3.7</v>
      </c>
      <c r="R662" s="21">
        <v>2366.3063421000002</v>
      </c>
    </row>
    <row r="663" spans="7:18" x14ac:dyDescent="0.15">
      <c r="G663" s="11">
        <v>662</v>
      </c>
      <c r="H663" t="s">
        <v>1565</v>
      </c>
      <c r="I663" t="s">
        <v>1566</v>
      </c>
      <c r="J663" t="s">
        <v>1685</v>
      </c>
      <c r="K663">
        <v>-0.48</v>
      </c>
      <c r="L663">
        <v>-5.84</v>
      </c>
      <c r="M663">
        <v>-2.46</v>
      </c>
      <c r="N663" s="20">
        <v>0.1</v>
      </c>
      <c r="O663">
        <v>5.97</v>
      </c>
      <c r="P663">
        <v>5.69</v>
      </c>
      <c r="Q663">
        <v>22.19</v>
      </c>
      <c r="R663" s="21">
        <v>1415.2309</v>
      </c>
    </row>
    <row r="664" spans="7:18" x14ac:dyDescent="0.15">
      <c r="G664" s="11">
        <v>663</v>
      </c>
      <c r="H664" t="s">
        <v>376</v>
      </c>
      <c r="I664" t="s">
        <v>1267</v>
      </c>
      <c r="J664" t="s">
        <v>1248</v>
      </c>
      <c r="K664">
        <v>1.4</v>
      </c>
      <c r="L664">
        <v>2.15</v>
      </c>
      <c r="M664">
        <v>3.61</v>
      </c>
      <c r="N664" s="20">
        <v>1.39</v>
      </c>
      <c r="O664">
        <v>5.83</v>
      </c>
      <c r="P664">
        <v>23.04</v>
      </c>
      <c r="Q664">
        <v>4.6900000000000004</v>
      </c>
      <c r="R664" s="21">
        <v>328.39429089999999</v>
      </c>
    </row>
    <row r="665" spans="7:18" x14ac:dyDescent="0.15">
      <c r="G665" s="11">
        <v>664</v>
      </c>
      <c r="H665" t="s">
        <v>1678</v>
      </c>
      <c r="I665" t="s">
        <v>1679</v>
      </c>
      <c r="J665" t="s">
        <v>1685</v>
      </c>
      <c r="K665">
        <v>3.15</v>
      </c>
      <c r="L665">
        <v>-4.97</v>
      </c>
      <c r="M665">
        <v>-3.21</v>
      </c>
      <c r="N665" s="20">
        <v>0.1</v>
      </c>
      <c r="O665">
        <v>5.69</v>
      </c>
      <c r="P665">
        <v>4.9800000000000004</v>
      </c>
      <c r="Q665">
        <v>21.34</v>
      </c>
      <c r="R665" s="21">
        <v>867.23231999999996</v>
      </c>
    </row>
    <row r="666" spans="7:18" x14ac:dyDescent="0.15">
      <c r="G666" s="11">
        <v>665</v>
      </c>
      <c r="H666" t="s">
        <v>337</v>
      </c>
      <c r="I666" t="s">
        <v>260</v>
      </c>
      <c r="J666" t="s">
        <v>1239</v>
      </c>
      <c r="K666">
        <v>-0.72</v>
      </c>
      <c r="L666">
        <v>-0.38</v>
      </c>
      <c r="M666">
        <v>2.4300000000000002</v>
      </c>
      <c r="N666" s="20">
        <v>0.96</v>
      </c>
      <c r="O666">
        <v>5.55</v>
      </c>
      <c r="P666">
        <v>20.059999999999999</v>
      </c>
      <c r="Q666">
        <v>5.83</v>
      </c>
      <c r="R666" s="21">
        <v>965.09841799999992</v>
      </c>
    </row>
    <row r="667" spans="7:18" x14ac:dyDescent="0.15">
      <c r="G667" s="11">
        <v>666</v>
      </c>
      <c r="H667" t="s">
        <v>333</v>
      </c>
      <c r="I667" t="s">
        <v>1255</v>
      </c>
      <c r="J667" t="s">
        <v>1248</v>
      </c>
      <c r="K667">
        <v>1.48</v>
      </c>
      <c r="L667">
        <v>2.04</v>
      </c>
      <c r="M667">
        <v>3.58</v>
      </c>
      <c r="N667" s="20">
        <v>2.4500000000000002</v>
      </c>
      <c r="O667">
        <v>5.41</v>
      </c>
      <c r="P667">
        <v>22.9</v>
      </c>
      <c r="Q667">
        <v>2.84</v>
      </c>
      <c r="R667" s="21">
        <v>323.12094830000001</v>
      </c>
    </row>
    <row r="668" spans="7:18" x14ac:dyDescent="0.15">
      <c r="G668" s="11">
        <v>667</v>
      </c>
      <c r="H668" t="s">
        <v>1457</v>
      </c>
      <c r="I668" t="s">
        <v>1458</v>
      </c>
      <c r="J668" t="s">
        <v>1685</v>
      </c>
      <c r="K668">
        <v>-0.08</v>
      </c>
      <c r="L668">
        <v>0.54</v>
      </c>
      <c r="M668">
        <v>1.24</v>
      </c>
      <c r="N668" s="20">
        <v>0.42</v>
      </c>
      <c r="O668">
        <v>5.26</v>
      </c>
      <c r="P668">
        <v>16.5</v>
      </c>
      <c r="Q668">
        <v>8.9600000000000009</v>
      </c>
      <c r="R668" s="21">
        <v>3595.6966000000002</v>
      </c>
    </row>
    <row r="669" spans="7:18" x14ac:dyDescent="0.15">
      <c r="G669" s="11">
        <v>668</v>
      </c>
      <c r="H669" t="s">
        <v>644</v>
      </c>
      <c r="I669" t="s">
        <v>266</v>
      </c>
      <c r="J669" t="s">
        <v>1239</v>
      </c>
      <c r="K669">
        <v>0.51</v>
      </c>
      <c r="L669">
        <v>0.6</v>
      </c>
      <c r="M669">
        <v>1.24</v>
      </c>
      <c r="N669" s="20">
        <v>0.43</v>
      </c>
      <c r="O669">
        <v>5.12</v>
      </c>
      <c r="P669">
        <v>16.36</v>
      </c>
      <c r="Q669">
        <v>8.5299999999999994</v>
      </c>
      <c r="R669" s="21">
        <v>949.20107540000004</v>
      </c>
    </row>
    <row r="670" spans="7:18" x14ac:dyDescent="0.15">
      <c r="G670" s="11">
        <v>669</v>
      </c>
      <c r="H670" t="s">
        <v>303</v>
      </c>
      <c r="I670" t="s">
        <v>1259</v>
      </c>
      <c r="J670" t="s">
        <v>1248</v>
      </c>
      <c r="K670">
        <v>0.79</v>
      </c>
      <c r="L670">
        <v>1.39</v>
      </c>
      <c r="M670">
        <v>2.84</v>
      </c>
      <c r="N670" s="20">
        <v>2.34</v>
      </c>
      <c r="O670">
        <v>4.9800000000000004</v>
      </c>
      <c r="P670">
        <v>21.34</v>
      </c>
      <c r="Q670">
        <v>3.13</v>
      </c>
      <c r="R670" s="21">
        <v>515.59959709999998</v>
      </c>
    </row>
    <row r="671" spans="7:18" x14ac:dyDescent="0.15">
      <c r="G671" s="11">
        <v>670</v>
      </c>
      <c r="H671" t="s">
        <v>547</v>
      </c>
      <c r="I671" t="s">
        <v>1057</v>
      </c>
      <c r="J671" t="s">
        <v>867</v>
      </c>
      <c r="K671">
        <v>2</v>
      </c>
      <c r="L671">
        <v>2.4700000000000002</v>
      </c>
      <c r="M671">
        <v>0.86</v>
      </c>
      <c r="N671" s="20">
        <v>0.42</v>
      </c>
      <c r="O671">
        <v>4.84</v>
      </c>
      <c r="P671">
        <v>15.65</v>
      </c>
      <c r="Q671">
        <v>8.82</v>
      </c>
      <c r="R671" s="21">
        <v>1846.1229000000001</v>
      </c>
    </row>
    <row r="672" spans="7:18" x14ac:dyDescent="0.15">
      <c r="G672" s="11">
        <v>671</v>
      </c>
      <c r="H672" t="s">
        <v>373</v>
      </c>
      <c r="I672" t="s">
        <v>1260</v>
      </c>
      <c r="J672" t="s">
        <v>1248</v>
      </c>
      <c r="K672">
        <v>0.48</v>
      </c>
      <c r="L672">
        <v>0.69</v>
      </c>
      <c r="M672">
        <v>1.89</v>
      </c>
      <c r="N672" s="20">
        <v>1.1200000000000001</v>
      </c>
      <c r="O672">
        <v>4.6900000000000004</v>
      </c>
      <c r="P672">
        <v>18.21</v>
      </c>
      <c r="Q672">
        <v>5.55</v>
      </c>
      <c r="R672" s="21">
        <v>244.72657340000001</v>
      </c>
    </row>
    <row r="673" spans="7:18" x14ac:dyDescent="0.15">
      <c r="G673" s="11">
        <v>672</v>
      </c>
      <c r="H673" t="s">
        <v>350</v>
      </c>
      <c r="I673" t="s">
        <v>1265</v>
      </c>
      <c r="J673" t="s">
        <v>1248</v>
      </c>
      <c r="K673">
        <v>0.68</v>
      </c>
      <c r="L673">
        <v>1.26</v>
      </c>
      <c r="M673">
        <v>2.38</v>
      </c>
      <c r="N673" s="20">
        <v>1.86</v>
      </c>
      <c r="O673">
        <v>4.55</v>
      </c>
      <c r="P673">
        <v>19.91</v>
      </c>
      <c r="Q673">
        <v>3.56</v>
      </c>
      <c r="R673" s="21">
        <v>461.26474189999999</v>
      </c>
    </row>
    <row r="674" spans="7:18" x14ac:dyDescent="0.15">
      <c r="G674" s="11">
        <v>673</v>
      </c>
      <c r="H674" t="s">
        <v>499</v>
      </c>
      <c r="I674" t="s">
        <v>1203</v>
      </c>
      <c r="J674" t="s">
        <v>1195</v>
      </c>
      <c r="K674">
        <v>-1.78</v>
      </c>
      <c r="L674">
        <v>-7.78</v>
      </c>
      <c r="M674">
        <v>2.02</v>
      </c>
      <c r="N674" s="20">
        <v>1.53</v>
      </c>
      <c r="O674">
        <v>4.41</v>
      </c>
      <c r="P674">
        <v>18.63</v>
      </c>
      <c r="Q674">
        <v>4.13</v>
      </c>
      <c r="R674" s="21">
        <v>83.571514099999987</v>
      </c>
    </row>
    <row r="675" spans="7:18" x14ac:dyDescent="0.15">
      <c r="G675" s="11">
        <v>674</v>
      </c>
      <c r="H675" t="s">
        <v>718</v>
      </c>
      <c r="I675" t="s">
        <v>1091</v>
      </c>
      <c r="J675" t="s">
        <v>867</v>
      </c>
      <c r="K675">
        <v>2.67</v>
      </c>
      <c r="L675">
        <v>2.85</v>
      </c>
      <c r="M675">
        <v>0.09</v>
      </c>
      <c r="N675" s="20">
        <v>0.52</v>
      </c>
      <c r="O675">
        <v>4.2699999999999996</v>
      </c>
      <c r="P675">
        <v>13.09</v>
      </c>
      <c r="Q675">
        <v>7.82</v>
      </c>
      <c r="R675" s="21">
        <v>4193.3182700000007</v>
      </c>
    </row>
    <row r="676" spans="7:18" x14ac:dyDescent="0.15">
      <c r="G676" s="11">
        <v>675</v>
      </c>
      <c r="H676" t="s">
        <v>299</v>
      </c>
      <c r="I676" t="s">
        <v>809</v>
      </c>
      <c r="J676" t="s">
        <v>867</v>
      </c>
      <c r="K676">
        <v>-6.25</v>
      </c>
      <c r="L676">
        <v>-10.050000000000001</v>
      </c>
      <c r="M676">
        <v>-6.42</v>
      </c>
      <c r="N676" s="20">
        <v>0.14000000000000001</v>
      </c>
      <c r="O676">
        <v>4.13</v>
      </c>
      <c r="P676">
        <v>3.98</v>
      </c>
      <c r="Q676">
        <v>16.93</v>
      </c>
      <c r="R676" s="21">
        <v>13963.89417</v>
      </c>
    </row>
    <row r="677" spans="7:18" x14ac:dyDescent="0.15">
      <c r="G677" s="11">
        <v>676</v>
      </c>
      <c r="H677" t="s">
        <v>1640</v>
      </c>
      <c r="I677" t="s">
        <v>1641</v>
      </c>
      <c r="J677" t="s">
        <v>1685</v>
      </c>
      <c r="N677" s="20">
        <v>0.11</v>
      </c>
      <c r="O677">
        <v>3.98</v>
      </c>
      <c r="P677">
        <v>0.71</v>
      </c>
      <c r="Q677">
        <v>20.059999999999999</v>
      </c>
      <c r="R677" s="21">
        <v>1006.4616</v>
      </c>
    </row>
    <row r="678" spans="7:18" x14ac:dyDescent="0.15">
      <c r="G678" s="11">
        <v>677</v>
      </c>
      <c r="H678" t="s">
        <v>1224</v>
      </c>
      <c r="I678" t="s">
        <v>1225</v>
      </c>
      <c r="J678" t="s">
        <v>1217</v>
      </c>
      <c r="K678">
        <v>1.95</v>
      </c>
      <c r="L678">
        <v>1.95</v>
      </c>
      <c r="M678">
        <v>1.95</v>
      </c>
      <c r="N678" s="20">
        <v>30.14</v>
      </c>
      <c r="O678">
        <v>3.84</v>
      </c>
      <c r="P678">
        <v>18.489999999999998</v>
      </c>
      <c r="Q678">
        <v>1.56</v>
      </c>
      <c r="R678" s="21">
        <v>4597.1572999999999</v>
      </c>
    </row>
    <row r="679" spans="7:18" x14ac:dyDescent="0.15">
      <c r="G679" s="11">
        <v>678</v>
      </c>
      <c r="H679" t="s">
        <v>628</v>
      </c>
      <c r="I679" t="s">
        <v>1025</v>
      </c>
      <c r="J679" t="s">
        <v>867</v>
      </c>
      <c r="N679" s="20">
        <v>0.11</v>
      </c>
      <c r="O679">
        <v>3.7</v>
      </c>
      <c r="P679">
        <v>0.56999999999999995</v>
      </c>
      <c r="Q679">
        <v>19.2</v>
      </c>
      <c r="R679" s="21">
        <v>2476.6224999999999</v>
      </c>
    </row>
    <row r="680" spans="7:18" x14ac:dyDescent="0.15">
      <c r="G680" s="11">
        <v>679</v>
      </c>
      <c r="H680" t="s">
        <v>1222</v>
      </c>
      <c r="I680" t="s">
        <v>1223</v>
      </c>
      <c r="J680" t="s">
        <v>1217</v>
      </c>
      <c r="K680">
        <v>0</v>
      </c>
      <c r="L680">
        <v>0</v>
      </c>
      <c r="M680">
        <v>0</v>
      </c>
      <c r="N680" s="20">
        <v>0.9</v>
      </c>
      <c r="O680">
        <v>3.56</v>
      </c>
      <c r="P680">
        <v>11.1</v>
      </c>
      <c r="Q680">
        <v>6.4</v>
      </c>
      <c r="R680" s="21">
        <v>3058.3869</v>
      </c>
    </row>
    <row r="681" spans="7:18" x14ac:dyDescent="0.15">
      <c r="G681" s="11">
        <v>680</v>
      </c>
      <c r="H681" t="s">
        <v>1559</v>
      </c>
      <c r="I681" t="s">
        <v>1560</v>
      </c>
      <c r="J681" t="s">
        <v>1685</v>
      </c>
      <c r="K681">
        <v>-0.37</v>
      </c>
      <c r="L681">
        <v>-1.88</v>
      </c>
      <c r="M681">
        <v>-0.8</v>
      </c>
      <c r="N681" s="20">
        <v>0.57999999999999996</v>
      </c>
      <c r="O681">
        <v>3.41</v>
      </c>
      <c r="P681">
        <v>9.1</v>
      </c>
      <c r="Q681">
        <v>7.54</v>
      </c>
      <c r="R681" s="21">
        <v>277.41800000000001</v>
      </c>
    </row>
    <row r="682" spans="7:18" x14ac:dyDescent="0.15">
      <c r="G682" s="11">
        <v>681</v>
      </c>
      <c r="H682" t="s">
        <v>666</v>
      </c>
      <c r="I682" t="s">
        <v>1202</v>
      </c>
      <c r="J682" t="s">
        <v>1195</v>
      </c>
      <c r="K682">
        <v>3.47</v>
      </c>
      <c r="L682">
        <v>-5.15</v>
      </c>
      <c r="M682">
        <v>-3.84</v>
      </c>
      <c r="N682" s="20">
        <v>0.42</v>
      </c>
      <c r="O682">
        <v>3.27</v>
      </c>
      <c r="P682">
        <v>4.6900000000000004</v>
      </c>
      <c r="Q682">
        <v>9.1</v>
      </c>
      <c r="R682" s="21">
        <v>22211.311000000002</v>
      </c>
    </row>
    <row r="683" spans="7:18" x14ac:dyDescent="0.15">
      <c r="G683" s="11">
        <v>682</v>
      </c>
      <c r="H683" t="s">
        <v>627</v>
      </c>
      <c r="I683" t="s">
        <v>1205</v>
      </c>
      <c r="J683" t="s">
        <v>1195</v>
      </c>
      <c r="K683">
        <v>5.03</v>
      </c>
      <c r="L683">
        <v>-4.33</v>
      </c>
      <c r="M683">
        <v>-1.37</v>
      </c>
      <c r="N683" s="20">
        <v>0.95</v>
      </c>
      <c r="O683">
        <v>3.13</v>
      </c>
      <c r="P683">
        <v>7.4</v>
      </c>
      <c r="Q683">
        <v>6.12</v>
      </c>
      <c r="R683" s="21">
        <v>39475.742550000003</v>
      </c>
    </row>
    <row r="684" spans="7:18" x14ac:dyDescent="0.15">
      <c r="G684" s="11">
        <v>683</v>
      </c>
      <c r="H684" t="s">
        <v>1233</v>
      </c>
      <c r="I684" t="s">
        <v>1234</v>
      </c>
      <c r="J684" t="s">
        <v>1217</v>
      </c>
      <c r="K684">
        <v>0</v>
      </c>
      <c r="L684">
        <v>0</v>
      </c>
      <c r="M684">
        <v>0</v>
      </c>
      <c r="N684" s="20">
        <v>751.6</v>
      </c>
      <c r="O684">
        <v>2.99</v>
      </c>
      <c r="P684">
        <v>12.09</v>
      </c>
      <c r="Q684">
        <v>1.1399999999999999</v>
      </c>
      <c r="R684" s="21">
        <v>1627.4798246999999</v>
      </c>
    </row>
    <row r="685" spans="7:18" x14ac:dyDescent="0.15">
      <c r="G685" s="11">
        <v>684</v>
      </c>
      <c r="H685" t="s">
        <v>756</v>
      </c>
      <c r="I685" t="s">
        <v>1282</v>
      </c>
      <c r="J685" t="s">
        <v>1195</v>
      </c>
      <c r="K685">
        <v>-2.29</v>
      </c>
      <c r="L685">
        <v>-9.89</v>
      </c>
      <c r="M685">
        <v>-6.29</v>
      </c>
      <c r="N685" s="20">
        <v>0.43</v>
      </c>
      <c r="O685">
        <v>2.84</v>
      </c>
      <c r="P685">
        <v>4.13</v>
      </c>
      <c r="Q685">
        <v>8.68</v>
      </c>
      <c r="R685" s="21">
        <v>8167.2804999999998</v>
      </c>
    </row>
    <row r="686" spans="7:18" x14ac:dyDescent="0.15">
      <c r="G686" s="11">
        <v>685</v>
      </c>
      <c r="H686" t="s">
        <v>1231</v>
      </c>
      <c r="I686" t="s">
        <v>1232</v>
      </c>
      <c r="J686" t="s">
        <v>1217</v>
      </c>
      <c r="K686">
        <v>0</v>
      </c>
      <c r="L686">
        <v>0</v>
      </c>
      <c r="M686">
        <v>0</v>
      </c>
      <c r="N686" s="20">
        <v>40.42</v>
      </c>
      <c r="O686">
        <v>2.7</v>
      </c>
      <c r="P686">
        <v>11.24</v>
      </c>
      <c r="Q686">
        <v>1.42</v>
      </c>
      <c r="R686" s="21">
        <v>1156.1672176999998</v>
      </c>
    </row>
    <row r="687" spans="7:18" x14ac:dyDescent="0.15">
      <c r="G687" s="11">
        <v>686</v>
      </c>
      <c r="H687" t="s">
        <v>1215</v>
      </c>
      <c r="I687" t="s">
        <v>1216</v>
      </c>
      <c r="J687" t="s">
        <v>1217</v>
      </c>
      <c r="K687">
        <v>0</v>
      </c>
      <c r="L687">
        <v>0</v>
      </c>
      <c r="M687">
        <v>0</v>
      </c>
      <c r="O687">
        <v>2.56</v>
      </c>
      <c r="P687">
        <v>12.23</v>
      </c>
      <c r="Q687">
        <v>0.28000000000000003</v>
      </c>
      <c r="R687" s="21">
        <v>1605.0926999999999</v>
      </c>
    </row>
    <row r="688" spans="7:18" x14ac:dyDescent="0.15">
      <c r="G688" s="11">
        <v>687</v>
      </c>
      <c r="H688" t="s">
        <v>1228</v>
      </c>
      <c r="I688" t="s">
        <v>1229</v>
      </c>
      <c r="J688" t="s">
        <v>1217</v>
      </c>
      <c r="K688">
        <v>0</v>
      </c>
      <c r="L688">
        <v>0</v>
      </c>
      <c r="M688">
        <v>0</v>
      </c>
      <c r="O688">
        <v>2.42</v>
      </c>
      <c r="P688">
        <v>11.81</v>
      </c>
      <c r="Q688">
        <v>0.56999999999999995</v>
      </c>
      <c r="R688" s="21">
        <v>1141.4446</v>
      </c>
    </row>
    <row r="689" spans="7:18" x14ac:dyDescent="0.15">
      <c r="G689" s="11">
        <v>688</v>
      </c>
      <c r="H689" t="s">
        <v>1226</v>
      </c>
      <c r="I689" t="s">
        <v>1227</v>
      </c>
      <c r="J689" t="s">
        <v>1217</v>
      </c>
      <c r="K689">
        <v>0</v>
      </c>
      <c r="L689">
        <v>0</v>
      </c>
      <c r="M689">
        <v>0</v>
      </c>
      <c r="O689">
        <v>2.2799999999999998</v>
      </c>
      <c r="P689">
        <v>11.38</v>
      </c>
      <c r="Q689">
        <v>1</v>
      </c>
      <c r="R689" s="21">
        <v>876.30840000000001</v>
      </c>
    </row>
    <row r="690" spans="7:18" x14ac:dyDescent="0.15">
      <c r="G690" s="11">
        <v>689</v>
      </c>
      <c r="H690" t="s">
        <v>1237</v>
      </c>
      <c r="I690" t="s">
        <v>1238</v>
      </c>
      <c r="J690" t="s">
        <v>1217</v>
      </c>
      <c r="K690">
        <v>0</v>
      </c>
      <c r="L690">
        <v>0</v>
      </c>
      <c r="M690">
        <v>0</v>
      </c>
      <c r="O690">
        <v>2.13</v>
      </c>
      <c r="P690">
        <v>11.95</v>
      </c>
      <c r="Q690">
        <v>0.43</v>
      </c>
      <c r="R690" s="21">
        <v>2010.3899072000002</v>
      </c>
    </row>
    <row r="691" spans="7:18" x14ac:dyDescent="0.15">
      <c r="G691" s="11">
        <v>690</v>
      </c>
      <c r="H691" t="s">
        <v>1220</v>
      </c>
      <c r="I691" t="s">
        <v>1221</v>
      </c>
      <c r="J691" t="s">
        <v>1217</v>
      </c>
      <c r="K691">
        <v>0</v>
      </c>
      <c r="L691">
        <v>0</v>
      </c>
      <c r="M691">
        <v>0</v>
      </c>
      <c r="O691">
        <v>1.99</v>
      </c>
      <c r="P691">
        <v>11.66</v>
      </c>
      <c r="Q691">
        <v>0.71</v>
      </c>
      <c r="R691" s="21">
        <v>1562.7787000000001</v>
      </c>
    </row>
    <row r="692" spans="7:18" x14ac:dyDescent="0.15">
      <c r="G692" s="11">
        <v>691</v>
      </c>
      <c r="H692" t="s">
        <v>1218</v>
      </c>
      <c r="I692" t="s">
        <v>1219</v>
      </c>
      <c r="J692" t="s">
        <v>1217</v>
      </c>
      <c r="K692">
        <v>0</v>
      </c>
      <c r="L692">
        <v>0</v>
      </c>
      <c r="M692">
        <v>0</v>
      </c>
      <c r="O692">
        <v>1.85</v>
      </c>
      <c r="P692">
        <v>11.52</v>
      </c>
      <c r="Q692">
        <v>0.85</v>
      </c>
      <c r="R692" s="21">
        <v>2321.0924</v>
      </c>
    </row>
    <row r="693" spans="7:18" x14ac:dyDescent="0.15">
      <c r="G693" s="11">
        <v>692</v>
      </c>
      <c r="H693" t="s">
        <v>769</v>
      </c>
      <c r="I693" t="s">
        <v>1206</v>
      </c>
      <c r="J693" t="s">
        <v>1195</v>
      </c>
      <c r="K693">
        <v>4.71</v>
      </c>
      <c r="L693">
        <v>-3.98</v>
      </c>
      <c r="M693">
        <v>-1.1499999999999999</v>
      </c>
      <c r="N693" s="20">
        <v>1.7</v>
      </c>
      <c r="O693">
        <v>1.71</v>
      </c>
      <c r="P693">
        <v>8.11</v>
      </c>
      <c r="Q693">
        <v>3.98</v>
      </c>
      <c r="R693" s="21">
        <v>1349.9924017999999</v>
      </c>
    </row>
    <row r="694" spans="7:18" x14ac:dyDescent="0.15">
      <c r="G694" s="11">
        <v>693</v>
      </c>
      <c r="H694" t="s">
        <v>748</v>
      </c>
      <c r="I694" t="s">
        <v>808</v>
      </c>
      <c r="J694" t="s">
        <v>1285</v>
      </c>
      <c r="K694">
        <v>-1.91</v>
      </c>
      <c r="L694">
        <v>-8.1999999999999993</v>
      </c>
      <c r="M694">
        <v>-7.65</v>
      </c>
      <c r="N694" s="20">
        <v>0.51</v>
      </c>
      <c r="O694">
        <v>1.56</v>
      </c>
      <c r="P694">
        <v>3.84</v>
      </c>
      <c r="Q694">
        <v>7.97</v>
      </c>
      <c r="R694" s="21">
        <v>649.27030000000002</v>
      </c>
    </row>
    <row r="695" spans="7:18" x14ac:dyDescent="0.15">
      <c r="G695" s="11">
        <v>694</v>
      </c>
      <c r="H695" t="s">
        <v>527</v>
      </c>
      <c r="I695" t="s">
        <v>1146</v>
      </c>
      <c r="J695" t="s">
        <v>867</v>
      </c>
      <c r="N695" s="20">
        <v>0.3</v>
      </c>
      <c r="O695">
        <v>1.42</v>
      </c>
      <c r="P695">
        <v>0.43</v>
      </c>
      <c r="Q695">
        <v>11.1</v>
      </c>
      <c r="R695" s="21">
        <v>10618.5041</v>
      </c>
    </row>
    <row r="696" spans="7:18" x14ac:dyDescent="0.15">
      <c r="G696" s="11">
        <v>695</v>
      </c>
      <c r="H696" t="s">
        <v>1235</v>
      </c>
      <c r="I696" t="s">
        <v>1236</v>
      </c>
      <c r="J696" t="s">
        <v>1217</v>
      </c>
      <c r="K696">
        <v>0</v>
      </c>
      <c r="L696">
        <v>0</v>
      </c>
      <c r="M696">
        <v>0</v>
      </c>
      <c r="O696">
        <v>1.28</v>
      </c>
      <c r="P696">
        <v>10.95</v>
      </c>
      <c r="Q696">
        <v>0.14000000000000001</v>
      </c>
      <c r="R696" s="21">
        <v>1384.2249505999998</v>
      </c>
    </row>
    <row r="697" spans="7:18" x14ac:dyDescent="0.15">
      <c r="G697" s="11">
        <v>696</v>
      </c>
      <c r="H697" t="s">
        <v>773</v>
      </c>
      <c r="I697" t="s">
        <v>1207</v>
      </c>
      <c r="J697" t="s">
        <v>1195</v>
      </c>
      <c r="K697">
        <v>4.2699999999999996</v>
      </c>
      <c r="L697">
        <v>-4.6399999999999997</v>
      </c>
      <c r="M697">
        <v>-2.4500000000000002</v>
      </c>
      <c r="N697" s="20">
        <v>1.36</v>
      </c>
      <c r="O697">
        <v>1.1399999999999999</v>
      </c>
      <c r="P697">
        <v>5.83</v>
      </c>
      <c r="Q697">
        <v>4.9800000000000004</v>
      </c>
      <c r="R697" s="21">
        <v>177.0245539</v>
      </c>
    </row>
    <row r="698" spans="7:18" x14ac:dyDescent="0.15">
      <c r="G698" s="11">
        <v>697</v>
      </c>
      <c r="H698" t="s">
        <v>749</v>
      </c>
      <c r="I698" t="s">
        <v>1073</v>
      </c>
      <c r="J698" t="s">
        <v>867</v>
      </c>
      <c r="N698" s="20">
        <v>0.32</v>
      </c>
      <c r="O698">
        <v>1</v>
      </c>
      <c r="P698">
        <v>0.28000000000000003</v>
      </c>
      <c r="Q698">
        <v>10.53</v>
      </c>
      <c r="R698" s="21">
        <v>3528.0695340000002</v>
      </c>
    </row>
    <row r="699" spans="7:18" x14ac:dyDescent="0.15">
      <c r="G699" s="11">
        <v>698</v>
      </c>
      <c r="H699" t="s">
        <v>765</v>
      </c>
      <c r="I699" t="s">
        <v>1204</v>
      </c>
      <c r="J699" t="s">
        <v>1195</v>
      </c>
      <c r="K699">
        <v>5.04</v>
      </c>
      <c r="L699">
        <v>-4.3899999999999997</v>
      </c>
      <c r="M699">
        <v>-1.51</v>
      </c>
      <c r="N699" s="20">
        <v>2.12</v>
      </c>
      <c r="O699">
        <v>0.85</v>
      </c>
      <c r="P699">
        <v>7.25</v>
      </c>
      <c r="Q699">
        <v>3.27</v>
      </c>
      <c r="R699" s="21">
        <v>13464.6746</v>
      </c>
    </row>
    <row r="700" spans="7:18" x14ac:dyDescent="0.15">
      <c r="G700" s="11">
        <v>699</v>
      </c>
      <c r="H700" t="s">
        <v>712</v>
      </c>
      <c r="I700" t="s">
        <v>1205</v>
      </c>
      <c r="J700" t="s">
        <v>1195</v>
      </c>
      <c r="K700">
        <v>4.99</v>
      </c>
      <c r="L700">
        <v>-4.3099999999999996</v>
      </c>
      <c r="M700">
        <v>-1.36</v>
      </c>
      <c r="N700" s="20">
        <v>3</v>
      </c>
      <c r="O700">
        <v>0.71</v>
      </c>
      <c r="P700">
        <v>7.54</v>
      </c>
      <c r="Q700">
        <v>2.56</v>
      </c>
      <c r="R700" s="21">
        <v>33740.001799999998</v>
      </c>
    </row>
    <row r="701" spans="7:18" x14ac:dyDescent="0.15">
      <c r="G701" s="11">
        <v>700</v>
      </c>
      <c r="H701" t="s">
        <v>767</v>
      </c>
      <c r="I701" t="s">
        <v>1201</v>
      </c>
      <c r="J701" t="s">
        <v>1195</v>
      </c>
      <c r="K701">
        <v>-1.43</v>
      </c>
      <c r="L701">
        <v>-8.84</v>
      </c>
      <c r="M701">
        <v>-5.37</v>
      </c>
      <c r="N701" s="20">
        <v>1.02</v>
      </c>
      <c r="O701">
        <v>0.56999999999999995</v>
      </c>
      <c r="P701">
        <v>4.2699999999999996</v>
      </c>
      <c r="Q701">
        <v>5.69</v>
      </c>
      <c r="R701" s="21">
        <v>366.56979999999999</v>
      </c>
    </row>
    <row r="702" spans="7:18" x14ac:dyDescent="0.15">
      <c r="G702" s="11">
        <v>701</v>
      </c>
      <c r="H702" t="s">
        <v>768</v>
      </c>
      <c r="I702" t="s">
        <v>1200</v>
      </c>
      <c r="J702" t="s">
        <v>1195</v>
      </c>
      <c r="K702">
        <v>0.84</v>
      </c>
      <c r="L702">
        <v>-3.67</v>
      </c>
      <c r="M702">
        <v>-2.77</v>
      </c>
      <c r="N702" s="20">
        <v>1.75</v>
      </c>
      <c r="O702">
        <v>0.43</v>
      </c>
      <c r="P702">
        <v>5.26</v>
      </c>
      <c r="Q702">
        <v>3.84</v>
      </c>
      <c r="R702" s="21">
        <v>87.387967000000003</v>
      </c>
    </row>
    <row r="703" spans="7:18" x14ac:dyDescent="0.15">
      <c r="G703" s="11">
        <v>702</v>
      </c>
      <c r="H703" t="s">
        <v>751</v>
      </c>
      <c r="I703" t="s">
        <v>1293</v>
      </c>
      <c r="J703" t="s">
        <v>1285</v>
      </c>
      <c r="N703" s="20">
        <v>1.4</v>
      </c>
      <c r="O703">
        <v>0.28000000000000003</v>
      </c>
      <c r="P703">
        <v>0.14000000000000001</v>
      </c>
      <c r="Q703">
        <v>4.41</v>
      </c>
      <c r="R703" s="21">
        <v>56.359539399999996</v>
      </c>
    </row>
    <row r="704" spans="7:18" x14ac:dyDescent="0.15">
      <c r="G704" s="11">
        <v>703</v>
      </c>
      <c r="H704" t="s">
        <v>1934</v>
      </c>
      <c r="I704" t="s">
        <v>1230</v>
      </c>
      <c r="J704" t="s">
        <v>1217</v>
      </c>
      <c r="K704">
        <v>-10.76</v>
      </c>
      <c r="L704">
        <v>-10.76</v>
      </c>
      <c r="M704">
        <v>-10.76</v>
      </c>
      <c r="N704" s="20">
        <v>43.78</v>
      </c>
      <c r="O704">
        <v>0.14000000000000001</v>
      </c>
      <c r="P704">
        <v>2.99</v>
      </c>
      <c r="Q704">
        <v>1.28</v>
      </c>
      <c r="R704" s="21">
        <v>741.96486379999999</v>
      </c>
    </row>
  </sheetData>
  <autoFilter ref="A1:R704"/>
  <phoneticPr fontId="2" type="noConversion"/>
  <hyperlinks>
    <hyperlink ref="T1"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模块1.rotate_LOF_ETF">
                <anchor moveWithCells="1" sizeWithCells="1">
                  <from>
                    <xdr:col>19</xdr:col>
                    <xdr:colOff>123825</xdr:colOff>
                    <xdr:row>1</xdr:row>
                    <xdr:rowOff>123825</xdr:rowOff>
                  </from>
                  <to>
                    <xdr:col>20</xdr:col>
                    <xdr:colOff>542925</xdr:colOff>
                    <xdr:row>4</xdr:row>
                    <xdr:rowOff>57150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U115"/>
  <sheetViews>
    <sheetView tabSelected="1" workbookViewId="0">
      <pane ySplit="1" topLeftCell="A2" activePane="bottomLeft" state="frozen"/>
      <selection pane="bottomLeft" activeCell="M14" sqref="M14"/>
    </sheetView>
  </sheetViews>
  <sheetFormatPr defaultRowHeight="14.25" x14ac:dyDescent="0.15"/>
  <cols>
    <col min="1" max="1" width="10.5" customWidth="1"/>
    <col min="2" max="2" width="10.125" customWidth="1"/>
    <col min="3" max="3" width="13.75" bestFit="1" customWidth="1"/>
    <col min="4" max="4" width="9.375" customWidth="1"/>
    <col min="5" max="5" width="11.375" customWidth="1"/>
    <col min="6" max="6" width="10.875" customWidth="1"/>
    <col min="7" max="7" width="4.625" style="11" customWidth="1"/>
    <col min="8" max="8" width="9.75" customWidth="1"/>
    <col min="9" max="9" width="19.375" bestFit="1" customWidth="1"/>
    <col min="10" max="10" width="12" customWidth="1"/>
    <col min="11" max="13" width="10.375" customWidth="1"/>
    <col min="14" max="14" width="8" style="20" customWidth="1"/>
    <col min="15" max="15" width="8.625" customWidth="1"/>
    <col min="16" max="16" width="9" customWidth="1"/>
    <col min="17" max="17" width="7.25" customWidth="1"/>
    <col min="18" max="18" width="12.375" style="21" customWidth="1"/>
  </cols>
  <sheetData>
    <row r="1" spans="1:21" s="22" customFormat="1" ht="50.25" customHeight="1" x14ac:dyDescent="0.15">
      <c r="A1" s="28" t="s">
        <v>280</v>
      </c>
      <c r="B1" s="23" t="s">
        <v>39</v>
      </c>
      <c r="C1" s="23" t="s">
        <v>38</v>
      </c>
      <c r="D1" s="23" t="s">
        <v>1687</v>
      </c>
      <c r="E1" s="27"/>
      <c r="F1" s="28" t="s">
        <v>1686</v>
      </c>
      <c r="G1" s="24"/>
      <c r="H1" s="23" t="s">
        <v>39</v>
      </c>
      <c r="I1" s="23" t="s">
        <v>38</v>
      </c>
      <c r="J1" s="23" t="s">
        <v>37</v>
      </c>
      <c r="K1" s="23" t="s">
        <v>1958</v>
      </c>
      <c r="L1" s="23" t="s">
        <v>1959</v>
      </c>
      <c r="M1" s="23" t="s">
        <v>36</v>
      </c>
      <c r="N1" s="25" t="s">
        <v>35</v>
      </c>
      <c r="O1" s="23" t="s">
        <v>34</v>
      </c>
      <c r="P1" s="23" t="s">
        <v>1682</v>
      </c>
      <c r="Q1" s="23" t="s">
        <v>1683</v>
      </c>
      <c r="R1" s="26" t="s">
        <v>1684</v>
      </c>
      <c r="T1" s="56" t="s">
        <v>1948</v>
      </c>
    </row>
    <row r="2" spans="1:21" x14ac:dyDescent="0.15">
      <c r="A2">
        <v>1</v>
      </c>
      <c r="B2">
        <v>159980</v>
      </c>
      <c r="C2" t="s">
        <v>809</v>
      </c>
      <c r="D2">
        <f t="shared" ref="D2:D8" si="0">MATCH(IF(B2&lt;499999,"SZ"&amp;B2,"SH"&amp;B2),$H$2:$H$2993,0)</f>
        <v>105</v>
      </c>
      <c r="G2" s="11">
        <v>1</v>
      </c>
      <c r="H2" t="s">
        <v>764</v>
      </c>
      <c r="I2" t="s">
        <v>1751</v>
      </c>
      <c r="J2" t="s">
        <v>15</v>
      </c>
      <c r="K2">
        <v>-1.93</v>
      </c>
      <c r="L2">
        <v>7.26</v>
      </c>
      <c r="M2">
        <v>32.770000000000003</v>
      </c>
      <c r="N2" s="20">
        <v>-1.97</v>
      </c>
      <c r="O2">
        <v>100</v>
      </c>
      <c r="P2">
        <v>98.25</v>
      </c>
      <c r="Q2">
        <v>92.98</v>
      </c>
      <c r="R2" s="21">
        <v>15146.529</v>
      </c>
      <c r="T2" s="9"/>
      <c r="U2" s="9"/>
    </row>
    <row r="3" spans="1:21" x14ac:dyDescent="0.15">
      <c r="A3">
        <v>2</v>
      </c>
      <c r="B3">
        <v>159981</v>
      </c>
      <c r="C3" t="s">
        <v>810</v>
      </c>
      <c r="D3">
        <f t="shared" si="0"/>
        <v>77</v>
      </c>
      <c r="G3" s="11">
        <v>2</v>
      </c>
      <c r="H3" t="s">
        <v>542</v>
      </c>
      <c r="I3" t="s">
        <v>1691</v>
      </c>
      <c r="J3" t="s">
        <v>15</v>
      </c>
      <c r="K3">
        <v>6.09</v>
      </c>
      <c r="L3">
        <v>2.2999999999999998</v>
      </c>
      <c r="M3">
        <v>25.26</v>
      </c>
      <c r="N3" s="20">
        <v>-0.21</v>
      </c>
      <c r="O3">
        <v>99.12</v>
      </c>
      <c r="P3">
        <v>95.61</v>
      </c>
      <c r="Q3">
        <v>77.19</v>
      </c>
      <c r="R3" s="21">
        <v>3949.3322379000001</v>
      </c>
      <c r="T3" s="9"/>
      <c r="U3" s="9"/>
    </row>
    <row r="4" spans="1:21" x14ac:dyDescent="0.15">
      <c r="A4">
        <v>3</v>
      </c>
      <c r="B4">
        <v>160216</v>
      </c>
      <c r="C4" t="s">
        <v>28</v>
      </c>
      <c r="D4">
        <f t="shared" si="0"/>
        <v>31</v>
      </c>
      <c r="G4" s="11">
        <v>3</v>
      </c>
      <c r="H4" t="s">
        <v>608</v>
      </c>
      <c r="I4" t="s">
        <v>1689</v>
      </c>
      <c r="J4" t="s">
        <v>15</v>
      </c>
      <c r="K4">
        <v>2.16</v>
      </c>
      <c r="L4">
        <v>-1.6</v>
      </c>
      <c r="M4">
        <v>15.26</v>
      </c>
      <c r="N4" s="20">
        <v>-0.78</v>
      </c>
      <c r="O4">
        <v>98.25</v>
      </c>
      <c r="P4">
        <v>82.46</v>
      </c>
      <c r="Q4">
        <v>88.6</v>
      </c>
      <c r="R4" s="21">
        <v>4129.7503999999999</v>
      </c>
      <c r="T4" s="9"/>
      <c r="U4" s="9"/>
    </row>
    <row r="5" spans="1:21" x14ac:dyDescent="0.15">
      <c r="A5">
        <v>4</v>
      </c>
      <c r="B5">
        <v>161815</v>
      </c>
      <c r="C5" t="s">
        <v>20</v>
      </c>
      <c r="D5">
        <f t="shared" si="0"/>
        <v>44</v>
      </c>
      <c r="G5" s="11">
        <v>4</v>
      </c>
      <c r="H5" t="s">
        <v>572</v>
      </c>
      <c r="I5" t="s">
        <v>1696</v>
      </c>
      <c r="J5" t="s">
        <v>15</v>
      </c>
      <c r="K5">
        <v>12.33</v>
      </c>
      <c r="L5">
        <v>10.06</v>
      </c>
      <c r="M5">
        <v>26.65</v>
      </c>
      <c r="N5" s="20">
        <v>-0.17</v>
      </c>
      <c r="O5">
        <v>97.37</v>
      </c>
      <c r="P5">
        <v>96.49</v>
      </c>
      <c r="Q5">
        <v>74.56</v>
      </c>
      <c r="R5" s="21">
        <v>195847.9087</v>
      </c>
      <c r="T5" s="9"/>
      <c r="U5" s="9"/>
    </row>
    <row r="6" spans="1:21" x14ac:dyDescent="0.15">
      <c r="A6">
        <v>5</v>
      </c>
      <c r="B6">
        <v>163208</v>
      </c>
      <c r="C6" t="s">
        <v>24</v>
      </c>
      <c r="D6">
        <f t="shared" si="0"/>
        <v>50</v>
      </c>
      <c r="G6" s="11">
        <v>5</v>
      </c>
      <c r="H6" t="s">
        <v>725</v>
      </c>
      <c r="I6" t="s">
        <v>1706</v>
      </c>
      <c r="J6" t="s">
        <v>15</v>
      </c>
      <c r="K6">
        <v>12.68</v>
      </c>
      <c r="L6">
        <v>10.34</v>
      </c>
      <c r="M6">
        <v>27.27</v>
      </c>
      <c r="N6" s="20">
        <v>-0.15</v>
      </c>
      <c r="O6">
        <v>96.49</v>
      </c>
      <c r="P6">
        <v>97.37</v>
      </c>
      <c r="Q6">
        <v>71.05</v>
      </c>
      <c r="R6" s="21">
        <v>3678.9996380999996</v>
      </c>
      <c r="T6" t="s">
        <v>2049</v>
      </c>
    </row>
    <row r="7" spans="1:21" x14ac:dyDescent="0.15">
      <c r="A7">
        <v>6</v>
      </c>
      <c r="B7">
        <v>165513</v>
      </c>
      <c r="C7" t="s">
        <v>26</v>
      </c>
      <c r="D7">
        <f t="shared" si="0"/>
        <v>35</v>
      </c>
      <c r="G7" s="11">
        <v>6</v>
      </c>
      <c r="H7" t="s">
        <v>617</v>
      </c>
      <c r="I7" t="s">
        <v>1808</v>
      </c>
      <c r="J7" t="s">
        <v>15</v>
      </c>
      <c r="K7">
        <v>2.3199999999999998</v>
      </c>
      <c r="L7">
        <v>-1.7</v>
      </c>
      <c r="M7">
        <v>15.89</v>
      </c>
      <c r="N7" s="20">
        <v>-0.49</v>
      </c>
      <c r="O7">
        <v>95.61</v>
      </c>
      <c r="P7">
        <v>84.21</v>
      </c>
      <c r="Q7">
        <v>84.21</v>
      </c>
      <c r="R7" s="21">
        <v>5453.8169100000005</v>
      </c>
    </row>
    <row r="8" spans="1:21" x14ac:dyDescent="0.15">
      <c r="A8">
        <v>7</v>
      </c>
      <c r="B8">
        <v>513130</v>
      </c>
      <c r="C8" t="s">
        <v>811</v>
      </c>
      <c r="D8">
        <f t="shared" si="0"/>
        <v>47</v>
      </c>
      <c r="G8" s="11">
        <v>7</v>
      </c>
      <c r="H8" t="s">
        <v>743</v>
      </c>
      <c r="I8" t="s">
        <v>1694</v>
      </c>
      <c r="J8" t="s">
        <v>15</v>
      </c>
      <c r="K8">
        <v>3.71</v>
      </c>
      <c r="L8">
        <v>0.31</v>
      </c>
      <c r="M8">
        <v>11.91</v>
      </c>
      <c r="N8" s="20">
        <v>-0.57999999999999996</v>
      </c>
      <c r="O8">
        <v>94.74</v>
      </c>
      <c r="P8">
        <v>80.7</v>
      </c>
      <c r="Q8">
        <v>86.84</v>
      </c>
      <c r="R8" s="21">
        <v>2496.9025780000002</v>
      </c>
    </row>
    <row r="9" spans="1:21" x14ac:dyDescent="0.15">
      <c r="G9" s="11">
        <v>8</v>
      </c>
      <c r="H9" t="s">
        <v>698</v>
      </c>
      <c r="I9" t="s">
        <v>1695</v>
      </c>
      <c r="J9" t="s">
        <v>15</v>
      </c>
      <c r="K9">
        <v>3</v>
      </c>
      <c r="L9">
        <v>-1.33</v>
      </c>
      <c r="M9">
        <v>9.39</v>
      </c>
      <c r="N9" s="20">
        <v>-0.4</v>
      </c>
      <c r="O9">
        <v>93.86</v>
      </c>
      <c r="P9">
        <v>78.069999999999993</v>
      </c>
      <c r="Q9">
        <v>80.7</v>
      </c>
      <c r="R9" s="21">
        <v>184.87013000000002</v>
      </c>
    </row>
    <row r="10" spans="1:21" x14ac:dyDescent="0.15">
      <c r="G10" s="11">
        <v>9</v>
      </c>
      <c r="H10" t="s">
        <v>755</v>
      </c>
      <c r="I10" t="s">
        <v>1736</v>
      </c>
      <c r="J10" t="s">
        <v>15</v>
      </c>
      <c r="K10">
        <v>3.5</v>
      </c>
      <c r="L10">
        <v>0.36</v>
      </c>
      <c r="M10">
        <v>11.23</v>
      </c>
      <c r="N10" s="20">
        <v>-0.35</v>
      </c>
      <c r="O10">
        <v>92.98</v>
      </c>
      <c r="P10">
        <v>78.95</v>
      </c>
      <c r="Q10">
        <v>79.819999999999993</v>
      </c>
      <c r="R10" s="21">
        <v>31671.341700000001</v>
      </c>
    </row>
    <row r="11" spans="1:21" x14ac:dyDescent="0.15">
      <c r="G11" s="11">
        <v>10</v>
      </c>
      <c r="H11" t="s">
        <v>538</v>
      </c>
      <c r="I11" t="s">
        <v>17</v>
      </c>
      <c r="J11" t="s">
        <v>1699</v>
      </c>
      <c r="K11">
        <v>0.18</v>
      </c>
      <c r="L11">
        <v>1.02</v>
      </c>
      <c r="M11">
        <v>2.59</v>
      </c>
      <c r="N11" s="20">
        <v>-0.57999999999999996</v>
      </c>
      <c r="O11">
        <v>92.11</v>
      </c>
      <c r="P11">
        <v>67.540000000000006</v>
      </c>
      <c r="Q11">
        <v>87.72</v>
      </c>
      <c r="R11" s="21">
        <v>21770.970700000002</v>
      </c>
    </row>
    <row r="12" spans="1:21" x14ac:dyDescent="0.15">
      <c r="G12" s="11">
        <v>11</v>
      </c>
      <c r="H12" t="s">
        <v>316</v>
      </c>
      <c r="I12" t="s">
        <v>19</v>
      </c>
      <c r="J12" t="s">
        <v>1699</v>
      </c>
      <c r="K12">
        <v>0.02</v>
      </c>
      <c r="L12">
        <v>0.05</v>
      </c>
      <c r="M12">
        <v>0.01</v>
      </c>
      <c r="N12" s="20">
        <v>-2.0699999999999998</v>
      </c>
      <c r="O12">
        <v>91.23</v>
      </c>
      <c r="P12">
        <v>50.88</v>
      </c>
      <c r="Q12">
        <v>96.49</v>
      </c>
      <c r="R12" s="21">
        <v>469.88256950000005</v>
      </c>
    </row>
    <row r="13" spans="1:21" x14ac:dyDescent="0.15">
      <c r="G13" s="11">
        <v>12</v>
      </c>
      <c r="H13" t="s">
        <v>320</v>
      </c>
      <c r="I13" t="s">
        <v>1722</v>
      </c>
      <c r="J13" t="s">
        <v>1699</v>
      </c>
      <c r="K13">
        <v>0</v>
      </c>
      <c r="L13">
        <v>0.11</v>
      </c>
      <c r="M13">
        <v>0.17</v>
      </c>
      <c r="N13" s="20">
        <v>-0.8</v>
      </c>
      <c r="O13">
        <v>90.35</v>
      </c>
      <c r="P13">
        <v>57.89</v>
      </c>
      <c r="Q13">
        <v>89.47</v>
      </c>
      <c r="R13" s="21">
        <v>0</v>
      </c>
    </row>
    <row r="14" spans="1:21" x14ac:dyDescent="0.15">
      <c r="G14" s="11">
        <v>13</v>
      </c>
      <c r="H14" t="s">
        <v>739</v>
      </c>
      <c r="I14" t="s">
        <v>1717</v>
      </c>
      <c r="J14" t="s">
        <v>15</v>
      </c>
      <c r="K14">
        <v>1.96</v>
      </c>
      <c r="L14">
        <v>-2.1</v>
      </c>
      <c r="M14">
        <v>6.34</v>
      </c>
      <c r="N14" s="20">
        <v>-0.17</v>
      </c>
      <c r="O14">
        <v>89.47</v>
      </c>
      <c r="P14">
        <v>71.930000000000007</v>
      </c>
      <c r="Q14">
        <v>73.680000000000007</v>
      </c>
      <c r="R14" s="21">
        <v>36682.752731699999</v>
      </c>
    </row>
    <row r="15" spans="1:21" x14ac:dyDescent="0.15">
      <c r="G15" s="11">
        <v>14</v>
      </c>
      <c r="H15" t="s">
        <v>423</v>
      </c>
      <c r="I15" t="s">
        <v>1778</v>
      </c>
      <c r="J15" t="s">
        <v>1704</v>
      </c>
      <c r="K15">
        <v>10.45</v>
      </c>
      <c r="L15">
        <v>14.76</v>
      </c>
      <c r="M15">
        <v>33.93</v>
      </c>
      <c r="N15" s="20">
        <v>0</v>
      </c>
      <c r="O15">
        <v>88.6</v>
      </c>
      <c r="P15">
        <v>99.12</v>
      </c>
      <c r="Q15">
        <v>45.61</v>
      </c>
      <c r="R15" s="21">
        <v>1652.7647423000001</v>
      </c>
    </row>
    <row r="16" spans="1:21" x14ac:dyDescent="0.15">
      <c r="G16" s="11">
        <v>15</v>
      </c>
      <c r="H16" t="s">
        <v>469</v>
      </c>
      <c r="I16" t="s">
        <v>1757</v>
      </c>
      <c r="J16" t="s">
        <v>1699</v>
      </c>
      <c r="K16">
        <v>7.0000000000000007E-2</v>
      </c>
      <c r="L16">
        <v>0.12</v>
      </c>
      <c r="M16">
        <v>0.02</v>
      </c>
      <c r="N16" s="20">
        <v>-1.1399999999999999</v>
      </c>
      <c r="O16">
        <v>87.72</v>
      </c>
      <c r="P16">
        <v>51.75</v>
      </c>
      <c r="Q16">
        <v>90.35</v>
      </c>
      <c r="R16" s="21">
        <v>2471.6696999999999</v>
      </c>
    </row>
    <row r="17" spans="7:18" x14ac:dyDescent="0.15">
      <c r="G17" s="11">
        <v>16</v>
      </c>
      <c r="H17" t="s">
        <v>312</v>
      </c>
      <c r="I17" t="s">
        <v>1715</v>
      </c>
      <c r="J17" t="s">
        <v>1699</v>
      </c>
      <c r="K17">
        <v>0.03</v>
      </c>
      <c r="L17">
        <v>0.09</v>
      </c>
      <c r="M17">
        <v>0.12</v>
      </c>
      <c r="N17" s="20">
        <v>-0.49</v>
      </c>
      <c r="O17">
        <v>86.84</v>
      </c>
      <c r="P17">
        <v>55.26</v>
      </c>
      <c r="Q17">
        <v>85.09</v>
      </c>
      <c r="R17" s="21">
        <v>862.78770999999995</v>
      </c>
    </row>
    <row r="18" spans="7:18" x14ac:dyDescent="0.15">
      <c r="G18" s="11">
        <v>17</v>
      </c>
      <c r="H18" t="s">
        <v>1701</v>
      </c>
      <c r="I18" t="s">
        <v>1702</v>
      </c>
      <c r="J18" t="s">
        <v>15</v>
      </c>
      <c r="K18">
        <v>-0.41</v>
      </c>
      <c r="L18">
        <v>0.02</v>
      </c>
      <c r="M18">
        <v>-0.14000000000000001</v>
      </c>
      <c r="N18" s="20">
        <v>-2.0499999999999998</v>
      </c>
      <c r="O18">
        <v>85.96</v>
      </c>
      <c r="P18">
        <v>43.86</v>
      </c>
      <c r="Q18">
        <v>95.61</v>
      </c>
      <c r="R18" s="21">
        <v>75.523799999999994</v>
      </c>
    </row>
    <row r="19" spans="7:18" x14ac:dyDescent="0.15">
      <c r="G19" s="11">
        <v>18</v>
      </c>
      <c r="H19" t="s">
        <v>668</v>
      </c>
      <c r="I19" t="s">
        <v>1692</v>
      </c>
      <c r="J19" t="s">
        <v>15</v>
      </c>
      <c r="K19">
        <v>4.6900000000000004</v>
      </c>
      <c r="L19">
        <v>0.03</v>
      </c>
      <c r="M19">
        <v>20.68</v>
      </c>
      <c r="N19" s="20">
        <v>0</v>
      </c>
      <c r="O19">
        <v>85.09</v>
      </c>
      <c r="P19">
        <v>91.23</v>
      </c>
      <c r="Q19">
        <v>43.86</v>
      </c>
      <c r="R19" s="21">
        <v>4546.6567740999999</v>
      </c>
    </row>
    <row r="20" spans="7:18" x14ac:dyDescent="0.15">
      <c r="G20" s="11">
        <v>19</v>
      </c>
      <c r="H20" t="s">
        <v>723</v>
      </c>
      <c r="I20" t="s">
        <v>1740</v>
      </c>
      <c r="J20" t="s">
        <v>15</v>
      </c>
      <c r="K20">
        <v>3.04</v>
      </c>
      <c r="L20">
        <v>-0.26</v>
      </c>
      <c r="M20">
        <v>7.02</v>
      </c>
      <c r="N20" s="20">
        <v>-0.04</v>
      </c>
      <c r="O20">
        <v>84.21</v>
      </c>
      <c r="P20">
        <v>73.680000000000007</v>
      </c>
      <c r="Q20">
        <v>60.53</v>
      </c>
      <c r="R20" s="21">
        <v>5802.0848999999998</v>
      </c>
    </row>
    <row r="21" spans="7:18" x14ac:dyDescent="0.15">
      <c r="G21" s="11">
        <v>20</v>
      </c>
      <c r="H21" t="s">
        <v>327</v>
      </c>
      <c r="I21" t="s">
        <v>1707</v>
      </c>
      <c r="J21" t="s">
        <v>1699</v>
      </c>
      <c r="K21">
        <v>-0.05</v>
      </c>
      <c r="L21">
        <v>-0.01</v>
      </c>
      <c r="M21">
        <v>0.04</v>
      </c>
      <c r="N21" s="20">
        <v>-0.42</v>
      </c>
      <c r="O21">
        <v>83.33</v>
      </c>
      <c r="P21">
        <v>52.63</v>
      </c>
      <c r="Q21">
        <v>81.58</v>
      </c>
      <c r="R21" s="21">
        <v>5577.1097</v>
      </c>
    </row>
    <row r="22" spans="7:18" x14ac:dyDescent="0.15">
      <c r="G22" s="11">
        <v>21</v>
      </c>
      <c r="H22" t="s">
        <v>430</v>
      </c>
      <c r="I22" t="s">
        <v>1770</v>
      </c>
      <c r="J22" t="s">
        <v>1704</v>
      </c>
      <c r="K22">
        <v>15.8</v>
      </c>
      <c r="L22">
        <v>20.74</v>
      </c>
      <c r="M22">
        <v>7.12</v>
      </c>
      <c r="N22" s="20">
        <v>-0.01</v>
      </c>
      <c r="O22">
        <v>82.46</v>
      </c>
      <c r="P22">
        <v>75.44</v>
      </c>
      <c r="Q22">
        <v>57.89</v>
      </c>
      <c r="R22" s="21">
        <v>221366.05729999999</v>
      </c>
    </row>
    <row r="23" spans="7:18" x14ac:dyDescent="0.15">
      <c r="G23" s="11">
        <v>22</v>
      </c>
      <c r="H23" t="s">
        <v>321</v>
      </c>
      <c r="I23" t="s">
        <v>1705</v>
      </c>
      <c r="J23" t="s">
        <v>1699</v>
      </c>
      <c r="K23">
        <v>0.04</v>
      </c>
      <c r="L23">
        <v>-0.01</v>
      </c>
      <c r="M23">
        <v>-0.06</v>
      </c>
      <c r="N23" s="20">
        <v>-0.51</v>
      </c>
      <c r="O23">
        <v>81.58</v>
      </c>
      <c r="P23">
        <v>47.37</v>
      </c>
      <c r="Q23">
        <v>85.96</v>
      </c>
      <c r="R23" s="21">
        <v>522.17269999999996</v>
      </c>
    </row>
    <row r="24" spans="7:18" x14ac:dyDescent="0.15">
      <c r="G24" s="11">
        <v>23</v>
      </c>
      <c r="H24" t="s">
        <v>429</v>
      </c>
      <c r="I24" t="s">
        <v>1703</v>
      </c>
      <c r="J24" t="s">
        <v>1704</v>
      </c>
      <c r="K24">
        <v>36.229999999999997</v>
      </c>
      <c r="L24">
        <v>70.010000000000005</v>
      </c>
      <c r="M24">
        <v>16.93</v>
      </c>
      <c r="N24" s="20">
        <v>0</v>
      </c>
      <c r="O24">
        <v>80.7</v>
      </c>
      <c r="P24">
        <v>86.84</v>
      </c>
      <c r="Q24">
        <v>44.74</v>
      </c>
      <c r="R24" s="21">
        <v>3508.4423999999999</v>
      </c>
    </row>
    <row r="25" spans="7:18" x14ac:dyDescent="0.15">
      <c r="G25" s="11">
        <v>24</v>
      </c>
      <c r="H25" t="s">
        <v>310</v>
      </c>
      <c r="I25" t="s">
        <v>1712</v>
      </c>
      <c r="J25" t="s">
        <v>1699</v>
      </c>
      <c r="K25">
        <v>-0.12</v>
      </c>
      <c r="L25">
        <v>-0.04</v>
      </c>
      <c r="M25">
        <v>0.1</v>
      </c>
      <c r="N25" s="20">
        <v>-0.22</v>
      </c>
      <c r="O25">
        <v>79.819999999999993</v>
      </c>
      <c r="P25">
        <v>53.51</v>
      </c>
      <c r="Q25">
        <v>78.069999999999993</v>
      </c>
      <c r="R25" s="21">
        <v>3929.7739149999998</v>
      </c>
    </row>
    <row r="26" spans="7:18" x14ac:dyDescent="0.15">
      <c r="G26" s="11">
        <v>25</v>
      </c>
      <c r="H26" t="s">
        <v>770</v>
      </c>
      <c r="I26" t="s">
        <v>16</v>
      </c>
      <c r="J26" t="s">
        <v>15</v>
      </c>
      <c r="K26">
        <v>-8.32</v>
      </c>
      <c r="L26">
        <v>-10.01</v>
      </c>
      <c r="M26">
        <v>-0.05</v>
      </c>
      <c r="N26" s="20">
        <v>-0.25</v>
      </c>
      <c r="O26">
        <v>78.95</v>
      </c>
      <c r="P26">
        <v>48.25</v>
      </c>
      <c r="Q26">
        <v>78.95</v>
      </c>
      <c r="R26" s="21">
        <v>372.74703999999997</v>
      </c>
    </row>
    <row r="27" spans="7:18" x14ac:dyDescent="0.15">
      <c r="G27" s="11">
        <v>26</v>
      </c>
      <c r="H27" t="s">
        <v>508</v>
      </c>
      <c r="I27" t="s">
        <v>1716</v>
      </c>
      <c r="J27" t="s">
        <v>1699</v>
      </c>
      <c r="K27">
        <v>-0.19</v>
      </c>
      <c r="L27">
        <v>0.48</v>
      </c>
      <c r="M27">
        <v>1.28</v>
      </c>
      <c r="N27" s="20">
        <v>-0.08</v>
      </c>
      <c r="O27">
        <v>78.069999999999993</v>
      </c>
      <c r="P27">
        <v>64.040000000000006</v>
      </c>
      <c r="Q27">
        <v>62.28</v>
      </c>
      <c r="R27" s="21">
        <v>8210.3531999999996</v>
      </c>
    </row>
    <row r="28" spans="7:18" x14ac:dyDescent="0.15">
      <c r="G28" s="11">
        <v>27</v>
      </c>
      <c r="H28" t="s">
        <v>1782</v>
      </c>
      <c r="I28" t="s">
        <v>1783</v>
      </c>
      <c r="J28" t="s">
        <v>1704</v>
      </c>
      <c r="K28">
        <v>-2.99</v>
      </c>
      <c r="L28">
        <v>161.81</v>
      </c>
      <c r="M28">
        <v>146.28</v>
      </c>
      <c r="N28" s="20">
        <v>0.34</v>
      </c>
      <c r="O28">
        <v>77.19</v>
      </c>
      <c r="P28">
        <v>100</v>
      </c>
      <c r="Q28">
        <v>24.56</v>
      </c>
      <c r="R28" s="21">
        <v>95.280299999999997</v>
      </c>
    </row>
    <row r="29" spans="7:18" x14ac:dyDescent="0.15">
      <c r="G29" s="11">
        <v>28</v>
      </c>
      <c r="H29" t="s">
        <v>596</v>
      </c>
      <c r="I29" t="s">
        <v>1693</v>
      </c>
      <c r="J29" t="s">
        <v>15</v>
      </c>
      <c r="K29">
        <v>4.16</v>
      </c>
      <c r="L29">
        <v>0.36</v>
      </c>
      <c r="M29">
        <v>20.329999999999998</v>
      </c>
      <c r="N29" s="20">
        <v>0</v>
      </c>
      <c r="O29">
        <v>76.319999999999993</v>
      </c>
      <c r="P29">
        <v>88.6</v>
      </c>
      <c r="Q29">
        <v>35.96</v>
      </c>
      <c r="R29" s="21">
        <v>9686.4418849000012</v>
      </c>
    </row>
    <row r="30" spans="7:18" x14ac:dyDescent="0.15">
      <c r="G30" s="11">
        <v>29</v>
      </c>
      <c r="H30" t="s">
        <v>1788</v>
      </c>
      <c r="I30" t="s">
        <v>1789</v>
      </c>
      <c r="J30" t="s">
        <v>1704</v>
      </c>
      <c r="K30">
        <v>5.65</v>
      </c>
      <c r="L30">
        <v>11</v>
      </c>
      <c r="M30">
        <v>7.34</v>
      </c>
      <c r="N30" s="20">
        <v>0</v>
      </c>
      <c r="O30">
        <v>75.44</v>
      </c>
      <c r="P30">
        <v>76.319999999999993</v>
      </c>
      <c r="Q30">
        <v>47.37</v>
      </c>
      <c r="R30" s="21">
        <v>33.569899999999997</v>
      </c>
    </row>
    <row r="31" spans="7:18" x14ac:dyDescent="0.15">
      <c r="G31" s="11">
        <v>30</v>
      </c>
      <c r="H31" t="s">
        <v>715</v>
      </c>
      <c r="I31" t="s">
        <v>1721</v>
      </c>
      <c r="J31" t="s">
        <v>15</v>
      </c>
      <c r="K31">
        <v>2.36</v>
      </c>
      <c r="L31">
        <v>-1.62</v>
      </c>
      <c r="M31">
        <v>16.14</v>
      </c>
      <c r="N31" s="20">
        <v>0</v>
      </c>
      <c r="O31">
        <v>74.56</v>
      </c>
      <c r="P31">
        <v>85.09</v>
      </c>
      <c r="Q31">
        <v>37.72</v>
      </c>
      <c r="R31" s="21">
        <v>9608.4081999999999</v>
      </c>
    </row>
    <row r="32" spans="7:18" x14ac:dyDescent="0.15">
      <c r="G32" s="11">
        <v>31</v>
      </c>
      <c r="H32" t="s">
        <v>504</v>
      </c>
      <c r="I32" t="s">
        <v>28</v>
      </c>
      <c r="J32" t="s">
        <v>15</v>
      </c>
      <c r="K32">
        <v>-8.35</v>
      </c>
      <c r="L32">
        <v>-10.72</v>
      </c>
      <c r="M32">
        <v>-2.62</v>
      </c>
      <c r="N32" s="20">
        <v>-2.23</v>
      </c>
      <c r="O32">
        <v>73.680000000000007</v>
      </c>
      <c r="P32">
        <v>22.81</v>
      </c>
      <c r="Q32">
        <v>97.37</v>
      </c>
      <c r="R32" s="21">
        <v>607.50460410000005</v>
      </c>
    </row>
    <row r="33" spans="7:18" x14ac:dyDescent="0.15">
      <c r="G33" s="11">
        <v>32</v>
      </c>
      <c r="H33" t="s">
        <v>632</v>
      </c>
      <c r="I33" t="s">
        <v>1710</v>
      </c>
      <c r="J33" t="s">
        <v>15</v>
      </c>
      <c r="K33">
        <v>4.1900000000000004</v>
      </c>
      <c r="L33">
        <v>0.43</v>
      </c>
      <c r="M33">
        <v>20.57</v>
      </c>
      <c r="N33" s="20">
        <v>0.16</v>
      </c>
      <c r="O33">
        <v>72.81</v>
      </c>
      <c r="P33">
        <v>90.35</v>
      </c>
      <c r="Q33">
        <v>28.95</v>
      </c>
      <c r="R33" s="21">
        <v>12037.05413</v>
      </c>
    </row>
    <row r="34" spans="7:18" x14ac:dyDescent="0.15">
      <c r="G34" s="11">
        <v>33</v>
      </c>
      <c r="H34" t="s">
        <v>731</v>
      </c>
      <c r="I34" t="s">
        <v>1719</v>
      </c>
      <c r="J34" t="s">
        <v>15</v>
      </c>
      <c r="K34">
        <v>4.18</v>
      </c>
      <c r="L34">
        <v>0.32</v>
      </c>
      <c r="M34">
        <v>20.440000000000001</v>
      </c>
      <c r="N34" s="20">
        <v>0.16</v>
      </c>
      <c r="O34">
        <v>71.930000000000007</v>
      </c>
      <c r="P34">
        <v>89.47</v>
      </c>
      <c r="Q34">
        <v>29.82</v>
      </c>
      <c r="R34" s="21">
        <v>29555.335999999999</v>
      </c>
    </row>
    <row r="35" spans="7:18" x14ac:dyDescent="0.15">
      <c r="G35" s="11">
        <v>34</v>
      </c>
      <c r="H35" t="s">
        <v>1794</v>
      </c>
      <c r="I35" t="s">
        <v>1795</v>
      </c>
      <c r="J35" t="s">
        <v>1700</v>
      </c>
      <c r="K35">
        <v>-0.89</v>
      </c>
      <c r="L35">
        <v>-2.77</v>
      </c>
      <c r="M35">
        <v>-2.91</v>
      </c>
      <c r="N35" s="20">
        <v>-2.25</v>
      </c>
      <c r="O35">
        <v>71.05</v>
      </c>
      <c r="P35">
        <v>20.18</v>
      </c>
      <c r="Q35">
        <v>98.25</v>
      </c>
      <c r="R35" s="21">
        <v>5283.1231385000001</v>
      </c>
    </row>
    <row r="36" spans="7:18" x14ac:dyDescent="0.15">
      <c r="G36" s="11">
        <v>35</v>
      </c>
      <c r="H36" t="s">
        <v>282</v>
      </c>
      <c r="I36" t="s">
        <v>26</v>
      </c>
      <c r="J36" t="s">
        <v>15</v>
      </c>
      <c r="K36">
        <v>-7</v>
      </c>
      <c r="L36">
        <v>-9.35</v>
      </c>
      <c r="M36">
        <v>-2.2400000000000002</v>
      </c>
      <c r="N36" s="20">
        <v>-1.6</v>
      </c>
      <c r="O36">
        <v>70.180000000000007</v>
      </c>
      <c r="P36">
        <v>25.44</v>
      </c>
      <c r="Q36">
        <v>92.11</v>
      </c>
      <c r="R36" s="21">
        <v>53.902738800000002</v>
      </c>
    </row>
    <row r="37" spans="7:18" x14ac:dyDescent="0.15">
      <c r="G37" s="11">
        <v>36</v>
      </c>
      <c r="H37" t="s">
        <v>1786</v>
      </c>
      <c r="I37" t="s">
        <v>1787</v>
      </c>
      <c r="J37" t="s">
        <v>1704</v>
      </c>
      <c r="K37">
        <v>3.16</v>
      </c>
      <c r="L37">
        <v>9.64</v>
      </c>
      <c r="M37">
        <v>7.08</v>
      </c>
      <c r="N37" s="20">
        <v>0</v>
      </c>
      <c r="O37">
        <v>69.3</v>
      </c>
      <c r="P37">
        <v>74.56</v>
      </c>
      <c r="Q37">
        <v>42.98</v>
      </c>
      <c r="R37" s="21">
        <v>1120.1821</v>
      </c>
    </row>
    <row r="38" spans="7:18" x14ac:dyDescent="0.15">
      <c r="G38" s="11">
        <v>37</v>
      </c>
      <c r="H38" t="s">
        <v>409</v>
      </c>
      <c r="I38" t="s">
        <v>1746</v>
      </c>
      <c r="J38" t="s">
        <v>1726</v>
      </c>
      <c r="K38">
        <v>0.21</v>
      </c>
      <c r="L38">
        <v>-0.57999999999999996</v>
      </c>
      <c r="M38">
        <v>-0.87</v>
      </c>
      <c r="N38" s="20">
        <v>-0.18</v>
      </c>
      <c r="O38">
        <v>68.42</v>
      </c>
      <c r="P38">
        <v>39.47</v>
      </c>
      <c r="Q38">
        <v>75.44</v>
      </c>
      <c r="R38" s="21">
        <v>972.92700000000002</v>
      </c>
    </row>
    <row r="39" spans="7:18" x14ac:dyDescent="0.15">
      <c r="G39" s="11">
        <v>38</v>
      </c>
      <c r="H39" t="s">
        <v>426</v>
      </c>
      <c r="I39" t="s">
        <v>1720</v>
      </c>
      <c r="J39" t="s">
        <v>1704</v>
      </c>
      <c r="K39">
        <v>0.17</v>
      </c>
      <c r="L39">
        <v>-5.36</v>
      </c>
      <c r="M39">
        <v>0.56999999999999995</v>
      </c>
      <c r="N39" s="20">
        <v>0</v>
      </c>
      <c r="O39">
        <v>67.540000000000006</v>
      </c>
      <c r="P39">
        <v>62.28</v>
      </c>
      <c r="Q39">
        <v>52.63</v>
      </c>
      <c r="R39" s="21">
        <v>100.0201998</v>
      </c>
    </row>
    <row r="40" spans="7:18" x14ac:dyDescent="0.15">
      <c r="G40" s="11">
        <v>39</v>
      </c>
      <c r="H40" t="s">
        <v>803</v>
      </c>
      <c r="I40" t="s">
        <v>802</v>
      </c>
      <c r="J40" t="s">
        <v>1700</v>
      </c>
      <c r="K40">
        <v>0.2</v>
      </c>
      <c r="L40">
        <v>-0.55000000000000004</v>
      </c>
      <c r="M40">
        <v>-0.79</v>
      </c>
      <c r="N40" s="20">
        <v>-0.15</v>
      </c>
      <c r="O40">
        <v>66.67</v>
      </c>
      <c r="P40">
        <v>42.11</v>
      </c>
      <c r="Q40">
        <v>71.930000000000007</v>
      </c>
      <c r="R40" s="21">
        <v>1018.4131875</v>
      </c>
    </row>
    <row r="41" spans="7:18" x14ac:dyDescent="0.15">
      <c r="G41" s="11">
        <v>40</v>
      </c>
      <c r="H41" t="s">
        <v>332</v>
      </c>
      <c r="I41" t="s">
        <v>1713</v>
      </c>
      <c r="J41" t="s">
        <v>1699</v>
      </c>
      <c r="K41">
        <v>0</v>
      </c>
      <c r="L41">
        <v>-0.08</v>
      </c>
      <c r="M41">
        <v>0</v>
      </c>
      <c r="N41" s="20">
        <v>-0.09</v>
      </c>
      <c r="O41">
        <v>65.790000000000006</v>
      </c>
      <c r="P41">
        <v>50</v>
      </c>
      <c r="Q41">
        <v>64.040000000000006</v>
      </c>
      <c r="R41" s="21">
        <v>43748.4755</v>
      </c>
    </row>
    <row r="42" spans="7:18" x14ac:dyDescent="0.15">
      <c r="G42" s="11">
        <v>41</v>
      </c>
      <c r="H42" t="s">
        <v>318</v>
      </c>
      <c r="I42" t="s">
        <v>1714</v>
      </c>
      <c r="J42" t="s">
        <v>1699</v>
      </c>
      <c r="K42">
        <v>0</v>
      </c>
      <c r="L42">
        <v>-0.04</v>
      </c>
      <c r="M42">
        <v>-0.04</v>
      </c>
      <c r="N42" s="20">
        <v>-0.09</v>
      </c>
      <c r="O42">
        <v>64.91</v>
      </c>
      <c r="P42">
        <v>49.12</v>
      </c>
      <c r="Q42">
        <v>64.91</v>
      </c>
      <c r="R42" s="21">
        <v>59.253</v>
      </c>
    </row>
    <row r="43" spans="7:18" x14ac:dyDescent="0.15">
      <c r="G43" s="11">
        <v>42</v>
      </c>
      <c r="H43" t="s">
        <v>829</v>
      </c>
      <c r="I43" t="s">
        <v>828</v>
      </c>
      <c r="J43" t="s">
        <v>1700</v>
      </c>
      <c r="K43">
        <v>-1.1599999999999999</v>
      </c>
      <c r="L43">
        <v>-0.98</v>
      </c>
      <c r="M43">
        <v>-1.9</v>
      </c>
      <c r="N43" s="20">
        <v>-0.44</v>
      </c>
      <c r="O43">
        <v>64.040000000000006</v>
      </c>
      <c r="P43">
        <v>30.7</v>
      </c>
      <c r="Q43">
        <v>82.46</v>
      </c>
      <c r="R43" s="21">
        <v>356.7452303</v>
      </c>
    </row>
    <row r="44" spans="7:18" x14ac:dyDescent="0.15">
      <c r="G44" s="11">
        <v>43</v>
      </c>
      <c r="H44" t="s">
        <v>1784</v>
      </c>
      <c r="I44" t="s">
        <v>1785</v>
      </c>
      <c r="J44" t="s">
        <v>1704</v>
      </c>
      <c r="K44">
        <v>1.56</v>
      </c>
      <c r="L44">
        <v>3.68</v>
      </c>
      <c r="M44">
        <v>2.5499999999999998</v>
      </c>
      <c r="N44" s="20">
        <v>0</v>
      </c>
      <c r="O44">
        <v>63.16</v>
      </c>
      <c r="P44">
        <v>66.67</v>
      </c>
      <c r="Q44">
        <v>46.49</v>
      </c>
      <c r="R44" s="21">
        <v>37.000999999999998</v>
      </c>
    </row>
    <row r="45" spans="7:18" x14ac:dyDescent="0.15">
      <c r="G45" s="11">
        <v>44</v>
      </c>
      <c r="H45" t="s">
        <v>283</v>
      </c>
      <c r="I45" t="s">
        <v>20</v>
      </c>
      <c r="J45" t="s">
        <v>15</v>
      </c>
      <c r="K45">
        <v>-7.76</v>
      </c>
      <c r="L45">
        <v>-10.050000000000001</v>
      </c>
      <c r="M45">
        <v>-3.55</v>
      </c>
      <c r="N45" s="20">
        <v>-2.0499999999999998</v>
      </c>
      <c r="O45">
        <v>62.28</v>
      </c>
      <c r="P45">
        <v>18.420000000000002</v>
      </c>
      <c r="Q45">
        <v>94.74</v>
      </c>
      <c r="R45" s="21">
        <v>237.48497000000003</v>
      </c>
    </row>
    <row r="46" spans="7:18" x14ac:dyDescent="0.15">
      <c r="G46" s="11">
        <v>45</v>
      </c>
      <c r="H46" t="s">
        <v>420</v>
      </c>
      <c r="I46" t="s">
        <v>1772</v>
      </c>
      <c r="J46" t="s">
        <v>1704</v>
      </c>
      <c r="K46">
        <v>0.03</v>
      </c>
      <c r="L46">
        <v>0.05</v>
      </c>
      <c r="M46">
        <v>0.11</v>
      </c>
      <c r="N46" s="20">
        <v>-0.01</v>
      </c>
      <c r="O46">
        <v>61.4</v>
      </c>
      <c r="P46">
        <v>54.39</v>
      </c>
      <c r="Q46">
        <v>57.02</v>
      </c>
      <c r="R46" s="21">
        <v>1586443.1842</v>
      </c>
    </row>
    <row r="47" spans="7:18" x14ac:dyDescent="0.15">
      <c r="G47" s="11">
        <v>46</v>
      </c>
      <c r="H47" t="s">
        <v>759</v>
      </c>
      <c r="I47" t="s">
        <v>1728</v>
      </c>
      <c r="J47" t="s">
        <v>15</v>
      </c>
      <c r="K47">
        <v>2.35</v>
      </c>
      <c r="L47">
        <v>-1.8</v>
      </c>
      <c r="M47">
        <v>15.81</v>
      </c>
      <c r="N47" s="20">
        <v>0.16</v>
      </c>
      <c r="O47">
        <v>60.53</v>
      </c>
      <c r="P47">
        <v>83.33</v>
      </c>
      <c r="Q47">
        <v>28.07</v>
      </c>
      <c r="R47" s="21">
        <v>112087.6223</v>
      </c>
    </row>
    <row r="48" spans="7:18" x14ac:dyDescent="0.15">
      <c r="G48" s="11">
        <v>47</v>
      </c>
      <c r="H48" t="s">
        <v>680</v>
      </c>
      <c r="I48" t="s">
        <v>1718</v>
      </c>
      <c r="J48" t="s">
        <v>15</v>
      </c>
      <c r="K48">
        <v>2.94</v>
      </c>
      <c r="L48">
        <v>-1.54</v>
      </c>
      <c r="M48">
        <v>16.170000000000002</v>
      </c>
      <c r="N48" s="20">
        <v>0.32</v>
      </c>
      <c r="O48">
        <v>59.65</v>
      </c>
      <c r="P48">
        <v>85.96</v>
      </c>
      <c r="Q48">
        <v>25.44</v>
      </c>
      <c r="R48" s="21">
        <v>60935.0507</v>
      </c>
    </row>
    <row r="49" spans="7:18" x14ac:dyDescent="0.15">
      <c r="G49" s="11">
        <v>48</v>
      </c>
      <c r="H49" t="s">
        <v>434</v>
      </c>
      <c r="I49" t="s">
        <v>1781</v>
      </c>
      <c r="J49" t="s">
        <v>1704</v>
      </c>
      <c r="K49">
        <v>3.57</v>
      </c>
      <c r="L49">
        <v>10.19</v>
      </c>
      <c r="M49">
        <v>5.66</v>
      </c>
      <c r="N49" s="20">
        <v>0</v>
      </c>
      <c r="O49">
        <v>58.77</v>
      </c>
      <c r="P49">
        <v>70.180000000000007</v>
      </c>
      <c r="Q49">
        <v>39.47</v>
      </c>
      <c r="R49" s="21">
        <v>24769.895060700001</v>
      </c>
    </row>
    <row r="50" spans="7:18" x14ac:dyDescent="0.15">
      <c r="G50" s="11">
        <v>49</v>
      </c>
      <c r="H50" t="s">
        <v>760</v>
      </c>
      <c r="I50" t="s">
        <v>1735</v>
      </c>
      <c r="J50" t="s">
        <v>15</v>
      </c>
      <c r="K50">
        <v>1.67</v>
      </c>
      <c r="L50">
        <v>-3.07</v>
      </c>
      <c r="M50">
        <v>17.37</v>
      </c>
      <c r="N50" s="20">
        <v>0.75</v>
      </c>
      <c r="O50">
        <v>57.89</v>
      </c>
      <c r="P50">
        <v>87.72</v>
      </c>
      <c r="Q50">
        <v>20.18</v>
      </c>
      <c r="R50" s="21">
        <v>321346.71750000003</v>
      </c>
    </row>
    <row r="51" spans="7:18" x14ac:dyDescent="0.15">
      <c r="G51" s="11">
        <v>50</v>
      </c>
      <c r="H51" t="s">
        <v>284</v>
      </c>
      <c r="I51" t="s">
        <v>24</v>
      </c>
      <c r="J51" t="s">
        <v>15</v>
      </c>
      <c r="K51">
        <v>-9.77</v>
      </c>
      <c r="L51">
        <v>-16.34</v>
      </c>
      <c r="M51">
        <v>-8.3699999999999992</v>
      </c>
      <c r="N51" s="20">
        <v>-3.4</v>
      </c>
      <c r="O51">
        <v>57.02</v>
      </c>
      <c r="P51">
        <v>7.02</v>
      </c>
      <c r="Q51">
        <v>100</v>
      </c>
      <c r="R51" s="21">
        <v>279.376261</v>
      </c>
    </row>
    <row r="52" spans="7:18" x14ac:dyDescent="0.15">
      <c r="G52" s="11">
        <v>51</v>
      </c>
      <c r="H52" t="s">
        <v>772</v>
      </c>
      <c r="I52" t="s">
        <v>1743</v>
      </c>
      <c r="J52" t="s">
        <v>15</v>
      </c>
      <c r="K52">
        <v>-8.52</v>
      </c>
      <c r="L52">
        <v>-11.86</v>
      </c>
      <c r="M52">
        <v>-2.62</v>
      </c>
      <c r="N52" s="20">
        <v>-0.45</v>
      </c>
      <c r="O52">
        <v>56.14</v>
      </c>
      <c r="P52">
        <v>21.93</v>
      </c>
      <c r="Q52">
        <v>83.33</v>
      </c>
      <c r="R52" s="21">
        <v>886.52893100000006</v>
      </c>
    </row>
    <row r="53" spans="7:18" x14ac:dyDescent="0.15">
      <c r="G53" s="11">
        <v>52</v>
      </c>
      <c r="H53" t="s">
        <v>378</v>
      </c>
      <c r="I53" t="s">
        <v>1724</v>
      </c>
      <c r="J53" t="s">
        <v>1699</v>
      </c>
      <c r="K53">
        <v>0</v>
      </c>
      <c r="L53">
        <v>0</v>
      </c>
      <c r="M53">
        <v>-0.08</v>
      </c>
      <c r="N53" s="20">
        <v>-0.03</v>
      </c>
      <c r="O53">
        <v>55.26</v>
      </c>
      <c r="P53">
        <v>44.74</v>
      </c>
      <c r="Q53">
        <v>58.77</v>
      </c>
      <c r="R53" s="21">
        <v>24001.1603</v>
      </c>
    </row>
    <row r="54" spans="7:18" x14ac:dyDescent="0.15">
      <c r="G54" s="11">
        <v>53</v>
      </c>
      <c r="H54" t="s">
        <v>771</v>
      </c>
      <c r="I54" t="s">
        <v>1734</v>
      </c>
      <c r="J54" t="s">
        <v>15</v>
      </c>
      <c r="K54">
        <v>-10.82</v>
      </c>
      <c r="L54">
        <v>-22.58</v>
      </c>
      <c r="M54">
        <v>-16.420000000000002</v>
      </c>
      <c r="N54" s="20">
        <v>-3.23</v>
      </c>
      <c r="O54">
        <v>54.39</v>
      </c>
      <c r="P54">
        <v>2.63</v>
      </c>
      <c r="Q54">
        <v>99.12</v>
      </c>
      <c r="R54" s="21">
        <v>1195.0053425000001</v>
      </c>
    </row>
    <row r="55" spans="7:18" x14ac:dyDescent="0.15">
      <c r="G55" s="11">
        <v>54</v>
      </c>
      <c r="H55" t="s">
        <v>383</v>
      </c>
      <c r="I55" t="s">
        <v>1727</v>
      </c>
      <c r="J55" t="s">
        <v>1726</v>
      </c>
      <c r="K55">
        <v>0.21</v>
      </c>
      <c r="L55">
        <v>-0.56999999999999995</v>
      </c>
      <c r="M55">
        <v>-0.86</v>
      </c>
      <c r="N55" s="20">
        <v>-0.08</v>
      </c>
      <c r="O55">
        <v>53.51</v>
      </c>
      <c r="P55">
        <v>40.35</v>
      </c>
      <c r="Q55">
        <v>61.4</v>
      </c>
      <c r="R55" s="21">
        <v>65636.001499999998</v>
      </c>
    </row>
    <row r="56" spans="7:18" x14ac:dyDescent="0.15">
      <c r="G56" s="11">
        <v>55</v>
      </c>
      <c r="H56" t="s">
        <v>435</v>
      </c>
      <c r="I56" t="s">
        <v>1779</v>
      </c>
      <c r="J56" t="s">
        <v>1704</v>
      </c>
      <c r="K56">
        <v>1.23</v>
      </c>
      <c r="L56">
        <v>1.29</v>
      </c>
      <c r="M56">
        <v>-0.06</v>
      </c>
      <c r="N56" s="20">
        <v>-0.01</v>
      </c>
      <c r="O56">
        <v>52.63</v>
      </c>
      <c r="P56">
        <v>45.61</v>
      </c>
      <c r="Q56">
        <v>56.14</v>
      </c>
      <c r="R56" s="21">
        <v>169916.32550000001</v>
      </c>
    </row>
    <row r="57" spans="7:18" x14ac:dyDescent="0.15">
      <c r="G57" s="11">
        <v>56</v>
      </c>
      <c r="H57" t="s">
        <v>1764</v>
      </c>
      <c r="I57" t="s">
        <v>1765</v>
      </c>
      <c r="J57" t="s">
        <v>1699</v>
      </c>
      <c r="K57">
        <v>0</v>
      </c>
      <c r="L57">
        <v>0.06</v>
      </c>
      <c r="M57">
        <v>-0.06</v>
      </c>
      <c r="N57" s="20">
        <v>0</v>
      </c>
      <c r="O57">
        <v>51.75</v>
      </c>
      <c r="P57">
        <v>46.49</v>
      </c>
      <c r="Q57">
        <v>54.39</v>
      </c>
      <c r="R57" s="21">
        <v>1783.2156954999998</v>
      </c>
    </row>
    <row r="58" spans="7:18" x14ac:dyDescent="0.15">
      <c r="G58" s="11">
        <v>57</v>
      </c>
      <c r="H58" t="s">
        <v>1753</v>
      </c>
      <c r="I58" t="s">
        <v>1754</v>
      </c>
      <c r="J58" t="s">
        <v>1699</v>
      </c>
      <c r="K58">
        <v>0.08</v>
      </c>
      <c r="L58">
        <v>0.17</v>
      </c>
      <c r="M58">
        <v>0.18</v>
      </c>
      <c r="N58" s="20">
        <v>0</v>
      </c>
      <c r="O58">
        <v>50.88</v>
      </c>
      <c r="P58">
        <v>58.77</v>
      </c>
      <c r="Q58">
        <v>42.11</v>
      </c>
      <c r="R58" s="21">
        <v>21.848110000000002</v>
      </c>
    </row>
    <row r="59" spans="7:18" x14ac:dyDescent="0.15">
      <c r="G59" s="11">
        <v>58</v>
      </c>
      <c r="H59" t="s">
        <v>450</v>
      </c>
      <c r="I59" t="s">
        <v>1775</v>
      </c>
      <c r="J59" t="s">
        <v>1704</v>
      </c>
      <c r="K59">
        <v>5.48</v>
      </c>
      <c r="L59">
        <v>4.22</v>
      </c>
      <c r="M59">
        <v>0.18</v>
      </c>
      <c r="N59" s="20">
        <v>0</v>
      </c>
      <c r="O59">
        <v>50</v>
      </c>
      <c r="P59">
        <v>59.65</v>
      </c>
      <c r="Q59">
        <v>41.23</v>
      </c>
      <c r="R59" s="21">
        <v>3832.8890000000001</v>
      </c>
    </row>
    <row r="60" spans="7:18" x14ac:dyDescent="0.15">
      <c r="G60" s="11">
        <v>59</v>
      </c>
      <c r="H60" t="s">
        <v>351</v>
      </c>
      <c r="I60" t="s">
        <v>21</v>
      </c>
      <c r="J60" t="s">
        <v>1700</v>
      </c>
      <c r="K60">
        <v>-1.2</v>
      </c>
      <c r="L60">
        <v>-1.02</v>
      </c>
      <c r="M60">
        <v>-2.02</v>
      </c>
      <c r="N60" s="20">
        <v>-0.16</v>
      </c>
      <c r="O60">
        <v>49.12</v>
      </c>
      <c r="P60">
        <v>27.19</v>
      </c>
      <c r="Q60">
        <v>72.81</v>
      </c>
      <c r="R60" s="21">
        <v>869.23996999999997</v>
      </c>
    </row>
    <row r="61" spans="7:18" x14ac:dyDescent="0.15">
      <c r="G61" s="11">
        <v>60</v>
      </c>
      <c r="H61" t="s">
        <v>411</v>
      </c>
      <c r="I61" t="s">
        <v>22</v>
      </c>
      <c r="J61" t="s">
        <v>1700</v>
      </c>
      <c r="K61">
        <v>-1.18</v>
      </c>
      <c r="L61">
        <v>-0.99</v>
      </c>
      <c r="M61">
        <v>-1.94</v>
      </c>
      <c r="N61" s="20">
        <v>-0.13</v>
      </c>
      <c r="O61">
        <v>48.25</v>
      </c>
      <c r="P61">
        <v>29.82</v>
      </c>
      <c r="Q61">
        <v>69.3</v>
      </c>
      <c r="R61" s="21">
        <v>282.71420000000001</v>
      </c>
    </row>
    <row r="62" spans="7:18" x14ac:dyDescent="0.15">
      <c r="G62" s="11">
        <v>61</v>
      </c>
      <c r="H62" t="s">
        <v>285</v>
      </c>
      <c r="I62" t="s">
        <v>27</v>
      </c>
      <c r="J62" t="s">
        <v>15</v>
      </c>
      <c r="K62">
        <v>-15.32</v>
      </c>
      <c r="L62">
        <v>-22.85</v>
      </c>
      <c r="M62">
        <v>-9.69</v>
      </c>
      <c r="N62" s="20">
        <v>-2.04</v>
      </c>
      <c r="O62">
        <v>47.37</v>
      </c>
      <c r="P62">
        <v>5.26</v>
      </c>
      <c r="Q62">
        <v>93.86</v>
      </c>
      <c r="R62" s="21">
        <v>14135.7903486</v>
      </c>
    </row>
    <row r="63" spans="7:18" x14ac:dyDescent="0.15">
      <c r="G63" s="11">
        <v>62</v>
      </c>
      <c r="H63" t="s">
        <v>444</v>
      </c>
      <c r="I63" t="s">
        <v>1776</v>
      </c>
      <c r="J63" t="s">
        <v>1704</v>
      </c>
      <c r="K63">
        <v>2.15</v>
      </c>
      <c r="L63">
        <v>3.61</v>
      </c>
      <c r="M63">
        <v>1.3</v>
      </c>
      <c r="N63" s="20">
        <v>0.01</v>
      </c>
      <c r="O63">
        <v>46.49</v>
      </c>
      <c r="P63">
        <v>64.91</v>
      </c>
      <c r="Q63">
        <v>34.21</v>
      </c>
      <c r="R63" s="21">
        <v>1304.4305999999999</v>
      </c>
    </row>
    <row r="64" spans="7:18" x14ac:dyDescent="0.15">
      <c r="G64" s="11">
        <v>63</v>
      </c>
      <c r="H64" t="s">
        <v>716</v>
      </c>
      <c r="I64" t="s">
        <v>31</v>
      </c>
      <c r="J64" t="s">
        <v>15</v>
      </c>
      <c r="K64">
        <v>4.2300000000000004</v>
      </c>
      <c r="L64">
        <v>-0.49</v>
      </c>
      <c r="M64">
        <v>24.69</v>
      </c>
      <c r="N64" s="20">
        <v>4.8600000000000003</v>
      </c>
      <c r="O64">
        <v>45.61</v>
      </c>
      <c r="P64">
        <v>94.74</v>
      </c>
      <c r="Q64">
        <v>3.51</v>
      </c>
      <c r="R64" s="21">
        <v>11036.8755903</v>
      </c>
    </row>
    <row r="65" spans="7:18" x14ac:dyDescent="0.15">
      <c r="G65" s="11">
        <v>64</v>
      </c>
      <c r="H65" t="s">
        <v>762</v>
      </c>
      <c r="I65" t="s">
        <v>1690</v>
      </c>
      <c r="J65" t="s">
        <v>15</v>
      </c>
      <c r="K65">
        <v>3.5</v>
      </c>
      <c r="L65">
        <v>-0.52</v>
      </c>
      <c r="M65">
        <v>23.43</v>
      </c>
      <c r="N65" s="20">
        <v>3.92</v>
      </c>
      <c r="O65">
        <v>44.74</v>
      </c>
      <c r="P65">
        <v>93.86</v>
      </c>
      <c r="Q65">
        <v>4.3899999999999997</v>
      </c>
      <c r="R65" s="21">
        <v>93003.5160779</v>
      </c>
    </row>
    <row r="66" spans="7:18" x14ac:dyDescent="0.15">
      <c r="G66" s="11">
        <v>65</v>
      </c>
      <c r="H66" t="s">
        <v>326</v>
      </c>
      <c r="I66" t="s">
        <v>1737</v>
      </c>
      <c r="J66" t="s">
        <v>1726</v>
      </c>
      <c r="K66">
        <v>0.2</v>
      </c>
      <c r="L66">
        <v>-0.59</v>
      </c>
      <c r="M66">
        <v>-0.88</v>
      </c>
      <c r="N66" s="20">
        <v>-0.03</v>
      </c>
      <c r="O66">
        <v>43.86</v>
      </c>
      <c r="P66">
        <v>38.6</v>
      </c>
      <c r="Q66">
        <v>59.65</v>
      </c>
      <c r="R66" s="21">
        <v>27.689159999999998</v>
      </c>
    </row>
    <row r="67" spans="7:18" x14ac:dyDescent="0.15">
      <c r="G67" s="11">
        <v>66</v>
      </c>
      <c r="H67" t="s">
        <v>397</v>
      </c>
      <c r="I67" t="s">
        <v>1763</v>
      </c>
      <c r="J67" t="s">
        <v>1726</v>
      </c>
      <c r="K67">
        <v>-1.08</v>
      </c>
      <c r="L67">
        <v>-0.87</v>
      </c>
      <c r="M67">
        <v>-1.8</v>
      </c>
      <c r="N67" s="20">
        <v>-0.1</v>
      </c>
      <c r="O67">
        <v>42.98</v>
      </c>
      <c r="P67">
        <v>31.58</v>
      </c>
      <c r="Q67">
        <v>65.790000000000006</v>
      </c>
      <c r="R67" s="21">
        <v>296.2491</v>
      </c>
    </row>
    <row r="68" spans="7:18" x14ac:dyDescent="0.15">
      <c r="G68" s="11">
        <v>67</v>
      </c>
      <c r="H68" t="s">
        <v>763</v>
      </c>
      <c r="I68" t="s">
        <v>1809</v>
      </c>
      <c r="J68" t="s">
        <v>15</v>
      </c>
      <c r="K68">
        <v>-3.37</v>
      </c>
      <c r="L68">
        <v>-7.34</v>
      </c>
      <c r="M68">
        <v>21.47</v>
      </c>
      <c r="N68" s="20">
        <v>3.9</v>
      </c>
      <c r="O68">
        <v>42.11</v>
      </c>
      <c r="P68">
        <v>92.11</v>
      </c>
      <c r="Q68">
        <v>5.26</v>
      </c>
      <c r="R68" s="21">
        <v>12613.2755581</v>
      </c>
    </row>
    <row r="69" spans="7:18" x14ac:dyDescent="0.15">
      <c r="G69" s="11">
        <v>68</v>
      </c>
      <c r="H69" t="s">
        <v>364</v>
      </c>
      <c r="I69" t="s">
        <v>23</v>
      </c>
      <c r="J69" t="s">
        <v>1700</v>
      </c>
      <c r="K69">
        <v>-1.18</v>
      </c>
      <c r="L69">
        <v>-0.99</v>
      </c>
      <c r="M69">
        <v>-1.94</v>
      </c>
      <c r="N69" s="20">
        <v>-0.13</v>
      </c>
      <c r="O69">
        <v>41.23</v>
      </c>
      <c r="P69">
        <v>28.95</v>
      </c>
      <c r="Q69">
        <v>68.42</v>
      </c>
      <c r="R69" s="21">
        <v>688.06140000000005</v>
      </c>
    </row>
    <row r="70" spans="7:18" x14ac:dyDescent="0.15">
      <c r="G70" s="11">
        <v>69</v>
      </c>
      <c r="H70" t="s">
        <v>356</v>
      </c>
      <c r="I70" t="s">
        <v>1731</v>
      </c>
      <c r="J70" t="s">
        <v>15</v>
      </c>
      <c r="K70">
        <v>-8.59</v>
      </c>
      <c r="L70">
        <v>-15.82</v>
      </c>
      <c r="M70">
        <v>-8.85</v>
      </c>
      <c r="N70" s="20">
        <v>-1.54</v>
      </c>
      <c r="O70">
        <v>40.35</v>
      </c>
      <c r="P70">
        <v>6.14</v>
      </c>
      <c r="Q70">
        <v>91.23</v>
      </c>
      <c r="R70" s="21">
        <v>307.3252799</v>
      </c>
    </row>
    <row r="71" spans="7:18" x14ac:dyDescent="0.15">
      <c r="G71" s="11">
        <v>70</v>
      </c>
      <c r="H71" t="s">
        <v>359</v>
      </c>
      <c r="I71" t="s">
        <v>1742</v>
      </c>
      <c r="J71" t="s">
        <v>1700</v>
      </c>
      <c r="K71">
        <v>-1.18</v>
      </c>
      <c r="L71">
        <v>-0.99</v>
      </c>
      <c r="M71">
        <v>-1.95</v>
      </c>
      <c r="N71" s="20">
        <v>-0.1</v>
      </c>
      <c r="O71">
        <v>39.47</v>
      </c>
      <c r="P71">
        <v>28.07</v>
      </c>
      <c r="Q71">
        <v>67.540000000000006</v>
      </c>
      <c r="R71" s="21">
        <v>3633.2892000000002</v>
      </c>
    </row>
    <row r="72" spans="7:18" x14ac:dyDescent="0.15">
      <c r="G72" s="11">
        <v>71</v>
      </c>
      <c r="H72" t="s">
        <v>761</v>
      </c>
      <c r="I72" t="s">
        <v>1758</v>
      </c>
      <c r="J72" t="s">
        <v>15</v>
      </c>
      <c r="K72">
        <v>3.16</v>
      </c>
      <c r="L72">
        <v>-1.81</v>
      </c>
      <c r="M72">
        <v>22.12</v>
      </c>
      <c r="N72" s="20">
        <v>7.75</v>
      </c>
      <c r="O72">
        <v>38.6</v>
      </c>
      <c r="P72">
        <v>92.98</v>
      </c>
      <c r="Q72">
        <v>0.88</v>
      </c>
      <c r="R72" s="21">
        <v>267984.30089999997</v>
      </c>
    </row>
    <row r="73" spans="7:18" x14ac:dyDescent="0.15">
      <c r="G73" s="11">
        <v>72</v>
      </c>
      <c r="H73" t="s">
        <v>747</v>
      </c>
      <c r="I73" t="s">
        <v>1741</v>
      </c>
      <c r="J73" t="s">
        <v>15</v>
      </c>
      <c r="K73">
        <v>2.0299999999999998</v>
      </c>
      <c r="L73">
        <v>-2.21</v>
      </c>
      <c r="M73">
        <v>6</v>
      </c>
      <c r="N73" s="20">
        <v>0.42</v>
      </c>
      <c r="O73">
        <v>37.72</v>
      </c>
      <c r="P73">
        <v>71.05</v>
      </c>
      <c r="Q73">
        <v>22.81</v>
      </c>
      <c r="R73" s="21">
        <v>5586.1962999999996</v>
      </c>
    </row>
    <row r="74" spans="7:18" x14ac:dyDescent="0.15">
      <c r="G74" s="11">
        <v>73</v>
      </c>
      <c r="H74" t="s">
        <v>1755</v>
      </c>
      <c r="I74" t="s">
        <v>1756</v>
      </c>
      <c r="J74" t="s">
        <v>1699</v>
      </c>
      <c r="K74">
        <v>0.09</v>
      </c>
      <c r="L74">
        <v>0.19</v>
      </c>
      <c r="M74">
        <v>0.4</v>
      </c>
      <c r="N74" s="20">
        <v>0.1</v>
      </c>
      <c r="O74">
        <v>36.840000000000003</v>
      </c>
      <c r="P74">
        <v>61.4</v>
      </c>
      <c r="Q74">
        <v>32.46</v>
      </c>
      <c r="R74" s="21">
        <v>21.891249999999999</v>
      </c>
    </row>
    <row r="75" spans="7:18" x14ac:dyDescent="0.15">
      <c r="G75" s="11">
        <v>74</v>
      </c>
      <c r="H75" t="s">
        <v>424</v>
      </c>
      <c r="I75" t="s">
        <v>1768</v>
      </c>
      <c r="J75" t="s">
        <v>1699</v>
      </c>
      <c r="K75">
        <v>0.06</v>
      </c>
      <c r="L75">
        <v>0.1</v>
      </c>
      <c r="M75">
        <v>0.14000000000000001</v>
      </c>
      <c r="N75" s="20">
        <v>0.01</v>
      </c>
      <c r="O75">
        <v>35.96</v>
      </c>
      <c r="P75">
        <v>57.02</v>
      </c>
      <c r="Q75">
        <v>35.090000000000003</v>
      </c>
      <c r="R75" s="21">
        <v>573010.13630000001</v>
      </c>
    </row>
    <row r="76" spans="7:18" x14ac:dyDescent="0.15">
      <c r="G76" s="11">
        <v>75</v>
      </c>
      <c r="H76" t="s">
        <v>754</v>
      </c>
      <c r="I76" t="s">
        <v>25</v>
      </c>
      <c r="J76" t="s">
        <v>15</v>
      </c>
      <c r="K76">
        <v>2.71</v>
      </c>
      <c r="L76">
        <v>-1.2</v>
      </c>
      <c r="M76">
        <v>9.32</v>
      </c>
      <c r="N76" s="20">
        <v>1.2</v>
      </c>
      <c r="O76">
        <v>35.090000000000003</v>
      </c>
      <c r="P76">
        <v>77.19</v>
      </c>
      <c r="Q76">
        <v>14.91</v>
      </c>
      <c r="R76" s="21">
        <v>36.221130000000002</v>
      </c>
    </row>
    <row r="77" spans="7:18" x14ac:dyDescent="0.15">
      <c r="G77" s="11">
        <v>76</v>
      </c>
      <c r="H77" t="s">
        <v>1708</v>
      </c>
      <c r="I77" t="s">
        <v>1709</v>
      </c>
      <c r="J77" t="s">
        <v>1699</v>
      </c>
      <c r="K77">
        <v>0.15</v>
      </c>
      <c r="L77">
        <v>0.5</v>
      </c>
      <c r="M77">
        <v>0.99</v>
      </c>
      <c r="N77" s="20">
        <v>0.17</v>
      </c>
      <c r="O77">
        <v>34.21</v>
      </c>
      <c r="P77">
        <v>63.16</v>
      </c>
      <c r="Q77">
        <v>27.19</v>
      </c>
      <c r="R77" s="21">
        <v>159.80348999999998</v>
      </c>
    </row>
    <row r="78" spans="7:18" x14ac:dyDescent="0.15">
      <c r="G78" s="11">
        <v>77</v>
      </c>
      <c r="H78" t="s">
        <v>295</v>
      </c>
      <c r="I78" t="s">
        <v>33</v>
      </c>
      <c r="J78" t="s">
        <v>1700</v>
      </c>
      <c r="K78">
        <v>-4.8499999999999996</v>
      </c>
      <c r="L78">
        <v>-10.01</v>
      </c>
      <c r="M78">
        <v>-1.29</v>
      </c>
      <c r="N78" s="20">
        <v>0</v>
      </c>
      <c r="O78">
        <v>33.33</v>
      </c>
      <c r="P78">
        <v>36.840000000000003</v>
      </c>
      <c r="Q78">
        <v>53.51</v>
      </c>
      <c r="R78" s="21">
        <v>5286.6999619999997</v>
      </c>
    </row>
    <row r="79" spans="7:18" x14ac:dyDescent="0.15">
      <c r="G79" s="11">
        <v>78</v>
      </c>
      <c r="H79" t="s">
        <v>766</v>
      </c>
      <c r="I79" t="s">
        <v>1777</v>
      </c>
      <c r="J79" t="s">
        <v>15</v>
      </c>
      <c r="K79">
        <v>0.73</v>
      </c>
      <c r="L79">
        <v>-0.82</v>
      </c>
      <c r="M79">
        <v>12.43</v>
      </c>
      <c r="N79" s="20">
        <v>2.4500000000000002</v>
      </c>
      <c r="O79">
        <v>32.46</v>
      </c>
      <c r="P79">
        <v>81.58</v>
      </c>
      <c r="Q79">
        <v>7.02</v>
      </c>
      <c r="R79" s="21">
        <v>1468.4381202</v>
      </c>
    </row>
    <row r="80" spans="7:18" x14ac:dyDescent="0.15">
      <c r="G80" s="11">
        <v>79</v>
      </c>
      <c r="H80" t="s">
        <v>496</v>
      </c>
      <c r="I80" t="s">
        <v>1738</v>
      </c>
      <c r="J80" t="s">
        <v>1699</v>
      </c>
      <c r="K80">
        <v>0.09</v>
      </c>
      <c r="L80">
        <v>0.17</v>
      </c>
      <c r="M80">
        <v>0.12</v>
      </c>
      <c r="N80" s="20">
        <v>0.13</v>
      </c>
      <c r="O80">
        <v>31.58</v>
      </c>
      <c r="P80">
        <v>56.14</v>
      </c>
      <c r="Q80">
        <v>31.58</v>
      </c>
      <c r="R80" s="21">
        <v>844.45659999999998</v>
      </c>
    </row>
    <row r="81" spans="7:18" x14ac:dyDescent="0.15">
      <c r="G81" s="11">
        <v>80</v>
      </c>
      <c r="H81" t="s">
        <v>721</v>
      </c>
      <c r="I81" t="s">
        <v>1744</v>
      </c>
      <c r="J81" t="s">
        <v>15</v>
      </c>
      <c r="K81">
        <v>2.5299999999999998</v>
      </c>
      <c r="L81">
        <v>-1.0900000000000001</v>
      </c>
      <c r="M81">
        <v>5.01</v>
      </c>
      <c r="N81" s="20">
        <v>0.96</v>
      </c>
      <c r="O81">
        <v>30.7</v>
      </c>
      <c r="P81">
        <v>69.3</v>
      </c>
      <c r="Q81">
        <v>18.420000000000002</v>
      </c>
      <c r="R81" s="21">
        <v>36.268799999999999</v>
      </c>
    </row>
    <row r="82" spans="7:18" x14ac:dyDescent="0.15">
      <c r="G82" s="11">
        <v>81</v>
      </c>
      <c r="H82" t="s">
        <v>775</v>
      </c>
      <c r="I82" t="s">
        <v>1745</v>
      </c>
      <c r="J82" t="s">
        <v>15</v>
      </c>
      <c r="K82">
        <v>-8.11</v>
      </c>
      <c r="L82">
        <v>-11.46</v>
      </c>
      <c r="M82">
        <v>-2.2799999999999998</v>
      </c>
      <c r="N82" s="20">
        <v>-0.08</v>
      </c>
      <c r="O82">
        <v>29.82</v>
      </c>
      <c r="P82">
        <v>24.56</v>
      </c>
      <c r="Q82">
        <v>63.16</v>
      </c>
      <c r="R82" s="21">
        <v>545.31550000000004</v>
      </c>
    </row>
    <row r="83" spans="7:18" x14ac:dyDescent="0.15">
      <c r="G83" s="11">
        <v>82</v>
      </c>
      <c r="H83" t="s">
        <v>1749</v>
      </c>
      <c r="I83" t="s">
        <v>1750</v>
      </c>
      <c r="J83" t="s">
        <v>1699</v>
      </c>
      <c r="K83">
        <v>0.08</v>
      </c>
      <c r="L83">
        <v>0.16</v>
      </c>
      <c r="M83">
        <v>0.24</v>
      </c>
      <c r="N83" s="20">
        <v>0.19</v>
      </c>
      <c r="O83">
        <v>28.95</v>
      </c>
      <c r="P83">
        <v>60.53</v>
      </c>
      <c r="Q83">
        <v>26.32</v>
      </c>
      <c r="R83" s="21">
        <v>304.71767499999999</v>
      </c>
    </row>
    <row r="84" spans="7:18" x14ac:dyDescent="0.15">
      <c r="G84" s="11">
        <v>83</v>
      </c>
      <c r="H84" t="s">
        <v>1697</v>
      </c>
      <c r="I84" t="s">
        <v>1698</v>
      </c>
      <c r="J84" t="s">
        <v>1699</v>
      </c>
      <c r="K84">
        <v>0.66</v>
      </c>
      <c r="L84">
        <v>2.0699999999999998</v>
      </c>
      <c r="M84">
        <v>3.53</v>
      </c>
      <c r="N84" s="20">
        <v>1.02</v>
      </c>
      <c r="O84">
        <v>28.07</v>
      </c>
      <c r="P84">
        <v>68.42</v>
      </c>
      <c r="Q84">
        <v>17.54</v>
      </c>
      <c r="R84" s="21">
        <v>114.6089642</v>
      </c>
    </row>
    <row r="85" spans="7:18" x14ac:dyDescent="0.15">
      <c r="G85" s="11">
        <v>84</v>
      </c>
      <c r="H85" t="s">
        <v>403</v>
      </c>
      <c r="I85" t="s">
        <v>30</v>
      </c>
      <c r="J85" t="s">
        <v>1700</v>
      </c>
      <c r="K85">
        <v>-5.42</v>
      </c>
      <c r="L85">
        <v>-7.52</v>
      </c>
      <c r="M85">
        <v>-4.95</v>
      </c>
      <c r="N85" s="20">
        <v>-0.13</v>
      </c>
      <c r="O85">
        <v>27.19</v>
      </c>
      <c r="P85">
        <v>14.04</v>
      </c>
      <c r="Q85">
        <v>70.180000000000007</v>
      </c>
      <c r="R85" s="21">
        <v>6739.3736699999999</v>
      </c>
    </row>
    <row r="86" spans="7:18" x14ac:dyDescent="0.15">
      <c r="G86" s="11">
        <v>85</v>
      </c>
      <c r="H86" t="s">
        <v>1773</v>
      </c>
      <c r="I86" t="s">
        <v>1774</v>
      </c>
      <c r="J86" t="s">
        <v>15</v>
      </c>
      <c r="K86">
        <v>2.58</v>
      </c>
      <c r="L86">
        <v>-0.28000000000000003</v>
      </c>
      <c r="M86">
        <v>6.81</v>
      </c>
      <c r="N86" s="20">
        <v>1.46</v>
      </c>
      <c r="O86">
        <v>26.32</v>
      </c>
      <c r="P86">
        <v>72.81</v>
      </c>
      <c r="Q86">
        <v>11.4</v>
      </c>
      <c r="R86" s="21">
        <v>10.186043700000001</v>
      </c>
    </row>
    <row r="87" spans="7:18" x14ac:dyDescent="0.15">
      <c r="G87" s="11">
        <v>86</v>
      </c>
      <c r="H87" t="s">
        <v>774</v>
      </c>
      <c r="I87" t="s">
        <v>1806</v>
      </c>
      <c r="J87" t="s">
        <v>15</v>
      </c>
      <c r="K87">
        <v>16.96</v>
      </c>
      <c r="L87">
        <v>7.77</v>
      </c>
      <c r="M87">
        <v>11.79</v>
      </c>
      <c r="N87" s="20">
        <v>6.39</v>
      </c>
      <c r="O87">
        <v>25.44</v>
      </c>
      <c r="P87">
        <v>79.819999999999993</v>
      </c>
      <c r="Q87">
        <v>2.63</v>
      </c>
      <c r="R87" s="21">
        <v>2096.5182010000003</v>
      </c>
    </row>
    <row r="88" spans="7:18" x14ac:dyDescent="0.15">
      <c r="G88" s="11">
        <v>87</v>
      </c>
      <c r="H88" t="s">
        <v>371</v>
      </c>
      <c r="I88" t="s">
        <v>1730</v>
      </c>
      <c r="J88" t="s">
        <v>1726</v>
      </c>
      <c r="K88">
        <v>-1.08</v>
      </c>
      <c r="L88">
        <v>-0.86</v>
      </c>
      <c r="M88">
        <v>-1.79</v>
      </c>
      <c r="N88" s="20">
        <v>0</v>
      </c>
      <c r="O88">
        <v>24.56</v>
      </c>
      <c r="P88">
        <v>33.33</v>
      </c>
      <c r="Q88">
        <v>48.25</v>
      </c>
      <c r="R88" s="21">
        <v>18911.501499999998</v>
      </c>
    </row>
    <row r="89" spans="7:18" x14ac:dyDescent="0.15">
      <c r="G89" s="11">
        <v>88</v>
      </c>
      <c r="H89" t="s">
        <v>619</v>
      </c>
      <c r="I89" t="s">
        <v>1739</v>
      </c>
      <c r="J89" t="s">
        <v>15</v>
      </c>
      <c r="N89" s="20">
        <v>-0.2</v>
      </c>
      <c r="O89">
        <v>23.68</v>
      </c>
      <c r="P89">
        <v>1.75</v>
      </c>
      <c r="Q89">
        <v>76.319999999999993</v>
      </c>
      <c r="R89" s="21">
        <v>363.61939999999998</v>
      </c>
    </row>
    <row r="90" spans="7:18" x14ac:dyDescent="0.15">
      <c r="G90" s="11">
        <v>89</v>
      </c>
      <c r="H90" t="s">
        <v>402</v>
      </c>
      <c r="I90" t="s">
        <v>1729</v>
      </c>
      <c r="J90" t="s">
        <v>1726</v>
      </c>
      <c r="K90">
        <v>0.21</v>
      </c>
      <c r="L90">
        <v>-0.56999999999999995</v>
      </c>
      <c r="M90">
        <v>-0.86</v>
      </c>
      <c r="N90" s="20">
        <v>0</v>
      </c>
      <c r="O90">
        <v>22.81</v>
      </c>
      <c r="P90">
        <v>41.23</v>
      </c>
      <c r="Q90">
        <v>36.840000000000003</v>
      </c>
      <c r="R90" s="21">
        <v>27173.885630000001</v>
      </c>
    </row>
    <row r="91" spans="7:18" x14ac:dyDescent="0.15">
      <c r="G91" s="11">
        <v>90</v>
      </c>
      <c r="H91" t="s">
        <v>499</v>
      </c>
      <c r="I91" t="s">
        <v>18</v>
      </c>
      <c r="J91" t="s">
        <v>15</v>
      </c>
      <c r="K91">
        <v>-1.78</v>
      </c>
      <c r="L91">
        <v>-7.78</v>
      </c>
      <c r="M91">
        <v>2.02</v>
      </c>
      <c r="N91" s="20">
        <v>1.53</v>
      </c>
      <c r="O91">
        <v>21.93</v>
      </c>
      <c r="P91">
        <v>65.790000000000006</v>
      </c>
      <c r="Q91">
        <v>10.53</v>
      </c>
      <c r="R91" s="21">
        <v>83.571514099999987</v>
      </c>
    </row>
    <row r="92" spans="7:18" x14ac:dyDescent="0.15">
      <c r="G92" s="11">
        <v>91</v>
      </c>
      <c r="H92" t="s">
        <v>1747</v>
      </c>
      <c r="I92" t="s">
        <v>1748</v>
      </c>
      <c r="J92" t="s">
        <v>1699</v>
      </c>
      <c r="K92">
        <v>0.05</v>
      </c>
      <c r="L92">
        <v>0.1</v>
      </c>
      <c r="M92">
        <v>-0.14000000000000001</v>
      </c>
      <c r="N92" s="20">
        <v>0.06</v>
      </c>
      <c r="O92">
        <v>21.05</v>
      </c>
      <c r="P92">
        <v>42.98</v>
      </c>
      <c r="Q92">
        <v>33.33</v>
      </c>
      <c r="R92" s="21">
        <v>9.6410499999999999</v>
      </c>
    </row>
    <row r="93" spans="7:18" x14ac:dyDescent="0.15">
      <c r="G93" s="11">
        <v>92</v>
      </c>
      <c r="H93" t="s">
        <v>733</v>
      </c>
      <c r="I93" t="s">
        <v>1711</v>
      </c>
      <c r="J93" t="s">
        <v>15</v>
      </c>
      <c r="K93">
        <v>-2.35</v>
      </c>
      <c r="L93">
        <v>-7.9</v>
      </c>
      <c r="M93">
        <v>-7.74</v>
      </c>
      <c r="N93" s="20">
        <v>-0.1</v>
      </c>
      <c r="O93">
        <v>20.18</v>
      </c>
      <c r="P93">
        <v>7.89</v>
      </c>
      <c r="Q93">
        <v>66.67</v>
      </c>
      <c r="R93" s="21">
        <v>291.09809999999999</v>
      </c>
    </row>
    <row r="94" spans="7:18" x14ac:dyDescent="0.15">
      <c r="G94" s="11">
        <v>93</v>
      </c>
      <c r="H94" t="s">
        <v>407</v>
      </c>
      <c r="I94" t="s">
        <v>1725</v>
      </c>
      <c r="J94" t="s">
        <v>1726</v>
      </c>
      <c r="K94">
        <v>-1.07</v>
      </c>
      <c r="L94">
        <v>-0.86</v>
      </c>
      <c r="M94">
        <v>-1.79</v>
      </c>
      <c r="N94" s="20">
        <v>0</v>
      </c>
      <c r="O94">
        <v>19.3</v>
      </c>
      <c r="P94">
        <v>32.46</v>
      </c>
      <c r="Q94">
        <v>40.35</v>
      </c>
      <c r="R94" s="21">
        <v>22491.423569999999</v>
      </c>
    </row>
    <row r="95" spans="7:18" x14ac:dyDescent="0.15">
      <c r="G95" s="11">
        <v>94</v>
      </c>
      <c r="H95" t="s">
        <v>440</v>
      </c>
      <c r="I95" t="s">
        <v>1780</v>
      </c>
      <c r="J95" t="s">
        <v>1704</v>
      </c>
      <c r="K95">
        <v>-1.66</v>
      </c>
      <c r="L95">
        <v>-4.37</v>
      </c>
      <c r="M95">
        <v>-4.3099999999999996</v>
      </c>
      <c r="N95" s="20">
        <v>-0.01</v>
      </c>
      <c r="O95">
        <v>18.420000000000002</v>
      </c>
      <c r="P95">
        <v>15.79</v>
      </c>
      <c r="Q95">
        <v>55.26</v>
      </c>
      <c r="R95" s="21">
        <v>1686572.5138000001</v>
      </c>
    </row>
    <row r="96" spans="7:18" x14ac:dyDescent="0.15">
      <c r="G96" s="11">
        <v>95</v>
      </c>
      <c r="H96" t="s">
        <v>1766</v>
      </c>
      <c r="I96" t="s">
        <v>1767</v>
      </c>
      <c r="J96" t="s">
        <v>1704</v>
      </c>
      <c r="K96">
        <v>-1.05</v>
      </c>
      <c r="L96">
        <v>-11.52</v>
      </c>
      <c r="M96">
        <v>-4.91</v>
      </c>
      <c r="N96" s="20">
        <v>0</v>
      </c>
      <c r="O96">
        <v>17.54</v>
      </c>
      <c r="P96">
        <v>14.91</v>
      </c>
      <c r="Q96">
        <v>51.75</v>
      </c>
      <c r="R96" s="21">
        <v>37.998100000000001</v>
      </c>
    </row>
    <row r="97" spans="7:18" x14ac:dyDescent="0.15">
      <c r="G97" s="11">
        <v>96</v>
      </c>
      <c r="H97" t="s">
        <v>1792</v>
      </c>
      <c r="I97" t="s">
        <v>1793</v>
      </c>
      <c r="J97" t="s">
        <v>1704</v>
      </c>
      <c r="K97">
        <v>-2.83</v>
      </c>
      <c r="L97">
        <v>-29.13</v>
      </c>
      <c r="M97">
        <v>-3.92</v>
      </c>
      <c r="N97" s="20">
        <v>0</v>
      </c>
      <c r="O97">
        <v>16.670000000000002</v>
      </c>
      <c r="P97">
        <v>16.670000000000002</v>
      </c>
      <c r="Q97">
        <v>49.12</v>
      </c>
      <c r="R97" s="21">
        <v>8.0004000000000008</v>
      </c>
    </row>
    <row r="98" spans="7:18" x14ac:dyDescent="0.15">
      <c r="G98" s="11">
        <v>97</v>
      </c>
      <c r="H98" t="s">
        <v>1759</v>
      </c>
      <c r="I98" t="s">
        <v>1760</v>
      </c>
      <c r="J98" t="s">
        <v>1704</v>
      </c>
      <c r="K98">
        <v>-26.91</v>
      </c>
      <c r="L98">
        <v>-12.09</v>
      </c>
      <c r="M98">
        <v>-2.0699999999999998</v>
      </c>
      <c r="N98" s="20">
        <v>0</v>
      </c>
      <c r="O98">
        <v>15.79</v>
      </c>
      <c r="P98">
        <v>26.32</v>
      </c>
      <c r="Q98">
        <v>38.6</v>
      </c>
      <c r="R98" s="21">
        <v>13.39</v>
      </c>
    </row>
    <row r="99" spans="7:18" x14ac:dyDescent="0.15">
      <c r="G99" s="11">
        <v>98</v>
      </c>
      <c r="H99" t="s">
        <v>1732</v>
      </c>
      <c r="I99" t="s">
        <v>1733</v>
      </c>
      <c r="J99" t="s">
        <v>1704</v>
      </c>
      <c r="K99">
        <v>-0.67</v>
      </c>
      <c r="L99">
        <v>-2.73</v>
      </c>
      <c r="M99">
        <v>-12.72</v>
      </c>
      <c r="N99" s="20">
        <v>0</v>
      </c>
      <c r="O99">
        <v>14.91</v>
      </c>
      <c r="P99">
        <v>3.51</v>
      </c>
      <c r="Q99">
        <v>50.88</v>
      </c>
      <c r="R99" s="21">
        <v>111.7381</v>
      </c>
    </row>
    <row r="100" spans="7:18" x14ac:dyDescent="0.15">
      <c r="G100" s="11">
        <v>99</v>
      </c>
      <c r="H100" t="s">
        <v>1761</v>
      </c>
      <c r="I100" t="s">
        <v>1762</v>
      </c>
      <c r="J100" t="s">
        <v>1704</v>
      </c>
      <c r="K100">
        <v>-21.5</v>
      </c>
      <c r="L100">
        <v>0.19</v>
      </c>
      <c r="M100">
        <v>-11.77</v>
      </c>
      <c r="N100" s="20">
        <v>0</v>
      </c>
      <c r="O100">
        <v>14.04</v>
      </c>
      <c r="P100">
        <v>4.3899999999999997</v>
      </c>
      <c r="Q100">
        <v>50</v>
      </c>
      <c r="R100" s="21">
        <v>15082.491900000001</v>
      </c>
    </row>
    <row r="101" spans="7:18" x14ac:dyDescent="0.15">
      <c r="G101" s="11">
        <v>100</v>
      </c>
      <c r="H101" t="s">
        <v>627</v>
      </c>
      <c r="I101" t="s">
        <v>1800</v>
      </c>
      <c r="J101" t="s">
        <v>15</v>
      </c>
      <c r="K101">
        <v>5.03</v>
      </c>
      <c r="L101">
        <v>-4.33</v>
      </c>
      <c r="M101">
        <v>-1.37</v>
      </c>
      <c r="N101" s="20">
        <v>0.95</v>
      </c>
      <c r="O101">
        <v>13.16</v>
      </c>
      <c r="P101">
        <v>35.090000000000003</v>
      </c>
      <c r="Q101">
        <v>19.3</v>
      </c>
      <c r="R101" s="21">
        <v>39475.742550000003</v>
      </c>
    </row>
    <row r="102" spans="7:18" x14ac:dyDescent="0.15">
      <c r="G102" s="11">
        <v>101</v>
      </c>
      <c r="H102" t="s">
        <v>769</v>
      </c>
      <c r="I102" t="s">
        <v>1807</v>
      </c>
      <c r="J102" t="s">
        <v>15</v>
      </c>
      <c r="K102">
        <v>4.71</v>
      </c>
      <c r="L102">
        <v>-3.98</v>
      </c>
      <c r="M102">
        <v>-1.1499999999999999</v>
      </c>
      <c r="N102" s="20">
        <v>1.7</v>
      </c>
      <c r="O102">
        <v>12.28</v>
      </c>
      <c r="P102">
        <v>37.72</v>
      </c>
      <c r="Q102">
        <v>9.65</v>
      </c>
      <c r="R102" s="21">
        <v>1349.9924017999999</v>
      </c>
    </row>
    <row r="103" spans="7:18" x14ac:dyDescent="0.15">
      <c r="G103" s="11">
        <v>102</v>
      </c>
      <c r="H103" t="s">
        <v>712</v>
      </c>
      <c r="I103" t="s">
        <v>1801</v>
      </c>
      <c r="J103" t="s">
        <v>15</v>
      </c>
      <c r="K103">
        <v>4.99</v>
      </c>
      <c r="L103">
        <v>-4.3099999999999996</v>
      </c>
      <c r="M103">
        <v>-1.36</v>
      </c>
      <c r="N103" s="20">
        <v>3</v>
      </c>
      <c r="O103">
        <v>11.4</v>
      </c>
      <c r="P103">
        <v>35.96</v>
      </c>
      <c r="Q103">
        <v>6.14</v>
      </c>
      <c r="R103" s="21">
        <v>33740.001799999998</v>
      </c>
    </row>
    <row r="104" spans="7:18" x14ac:dyDescent="0.15">
      <c r="G104" s="11">
        <v>103</v>
      </c>
      <c r="H104" t="s">
        <v>765</v>
      </c>
      <c r="I104" t="s">
        <v>1790</v>
      </c>
      <c r="J104" t="s">
        <v>15</v>
      </c>
      <c r="K104">
        <v>5.04</v>
      </c>
      <c r="L104">
        <v>-4.3899999999999997</v>
      </c>
      <c r="M104">
        <v>-1.51</v>
      </c>
      <c r="N104" s="20">
        <v>2.12</v>
      </c>
      <c r="O104">
        <v>10.53</v>
      </c>
      <c r="P104">
        <v>34.21</v>
      </c>
      <c r="Q104">
        <v>7.89</v>
      </c>
      <c r="R104" s="21">
        <v>13464.6746</v>
      </c>
    </row>
    <row r="105" spans="7:18" x14ac:dyDescent="0.15">
      <c r="G105" s="11">
        <v>104</v>
      </c>
      <c r="H105" t="s">
        <v>666</v>
      </c>
      <c r="I105" t="s">
        <v>1791</v>
      </c>
      <c r="J105" t="s">
        <v>15</v>
      </c>
      <c r="K105">
        <v>3.47</v>
      </c>
      <c r="L105">
        <v>-5.15</v>
      </c>
      <c r="M105">
        <v>-3.84</v>
      </c>
      <c r="N105" s="20">
        <v>0.42</v>
      </c>
      <c r="O105">
        <v>9.65</v>
      </c>
      <c r="P105">
        <v>17.54</v>
      </c>
      <c r="Q105">
        <v>23.68</v>
      </c>
      <c r="R105" s="21">
        <v>22211.311000000002</v>
      </c>
    </row>
    <row r="106" spans="7:18" x14ac:dyDescent="0.15">
      <c r="G106" s="11">
        <v>105</v>
      </c>
      <c r="H106" t="s">
        <v>299</v>
      </c>
      <c r="I106" t="s">
        <v>29</v>
      </c>
      <c r="J106" t="s">
        <v>1700</v>
      </c>
      <c r="K106">
        <v>-6.25</v>
      </c>
      <c r="L106">
        <v>-10.050000000000001</v>
      </c>
      <c r="M106">
        <v>-6.42</v>
      </c>
      <c r="N106" s="20">
        <v>0.14000000000000001</v>
      </c>
      <c r="O106">
        <v>8.77</v>
      </c>
      <c r="P106">
        <v>9.65</v>
      </c>
      <c r="Q106">
        <v>30.7</v>
      </c>
      <c r="R106" s="21">
        <v>13963.89417</v>
      </c>
    </row>
    <row r="107" spans="7:18" x14ac:dyDescent="0.15">
      <c r="G107" s="11">
        <v>106</v>
      </c>
      <c r="H107" t="s">
        <v>773</v>
      </c>
      <c r="I107" t="s">
        <v>1803</v>
      </c>
      <c r="J107" t="s">
        <v>15</v>
      </c>
      <c r="K107">
        <v>4.2699999999999996</v>
      </c>
      <c r="L107">
        <v>-4.6399999999999997</v>
      </c>
      <c r="M107">
        <v>-2.4500000000000002</v>
      </c>
      <c r="N107" s="20">
        <v>1.36</v>
      </c>
      <c r="O107">
        <v>7.89</v>
      </c>
      <c r="P107">
        <v>23.68</v>
      </c>
      <c r="Q107">
        <v>13.16</v>
      </c>
      <c r="R107" s="21">
        <v>177.0245539</v>
      </c>
    </row>
    <row r="108" spans="7:18" x14ac:dyDescent="0.15">
      <c r="G108" s="11">
        <v>107</v>
      </c>
      <c r="H108" t="s">
        <v>1796</v>
      </c>
      <c r="I108" t="s">
        <v>1797</v>
      </c>
      <c r="J108" t="s">
        <v>15</v>
      </c>
      <c r="K108">
        <v>3.26</v>
      </c>
      <c r="L108">
        <v>-4.83</v>
      </c>
      <c r="M108">
        <v>-3.54</v>
      </c>
      <c r="N108" s="20">
        <v>1.2</v>
      </c>
      <c r="O108">
        <v>7.02</v>
      </c>
      <c r="P108">
        <v>19.3</v>
      </c>
      <c r="Q108">
        <v>14.04</v>
      </c>
      <c r="R108" s="21">
        <v>80.892419200000006</v>
      </c>
    </row>
    <row r="109" spans="7:18" x14ac:dyDescent="0.15">
      <c r="G109" s="11">
        <v>108</v>
      </c>
      <c r="H109" t="s">
        <v>756</v>
      </c>
      <c r="I109" t="s">
        <v>1771</v>
      </c>
      <c r="J109" t="s">
        <v>15</v>
      </c>
      <c r="K109">
        <v>-2.29</v>
      </c>
      <c r="L109">
        <v>-9.89</v>
      </c>
      <c r="M109">
        <v>-6.29</v>
      </c>
      <c r="N109" s="20">
        <v>0.43</v>
      </c>
      <c r="O109">
        <v>6.14</v>
      </c>
      <c r="P109">
        <v>10.53</v>
      </c>
      <c r="Q109">
        <v>21.93</v>
      </c>
      <c r="R109" s="21">
        <v>8167.2804999999998</v>
      </c>
    </row>
    <row r="110" spans="7:18" x14ac:dyDescent="0.15">
      <c r="G110" s="11">
        <v>109</v>
      </c>
      <c r="H110" t="s">
        <v>748</v>
      </c>
      <c r="I110" t="s">
        <v>1723</v>
      </c>
      <c r="J110" t="s">
        <v>15</v>
      </c>
      <c r="K110">
        <v>-1.91</v>
      </c>
      <c r="L110">
        <v>-8.1999999999999993</v>
      </c>
      <c r="M110">
        <v>-7.65</v>
      </c>
      <c r="N110" s="20">
        <v>0.51</v>
      </c>
      <c r="O110">
        <v>5.26</v>
      </c>
      <c r="P110">
        <v>8.77</v>
      </c>
      <c r="Q110">
        <v>21.05</v>
      </c>
      <c r="R110" s="21">
        <v>649.27030000000002</v>
      </c>
    </row>
    <row r="111" spans="7:18" x14ac:dyDescent="0.15">
      <c r="G111" s="11">
        <v>110</v>
      </c>
      <c r="H111" t="s">
        <v>768</v>
      </c>
      <c r="I111" t="s">
        <v>1802</v>
      </c>
      <c r="J111" t="s">
        <v>15</v>
      </c>
      <c r="K111">
        <v>0.84</v>
      </c>
      <c r="L111">
        <v>-3.67</v>
      </c>
      <c r="M111">
        <v>-2.77</v>
      </c>
      <c r="N111" s="20">
        <v>1.75</v>
      </c>
      <c r="O111">
        <v>4.3899999999999997</v>
      </c>
      <c r="P111">
        <v>21.05</v>
      </c>
      <c r="Q111">
        <v>8.77</v>
      </c>
      <c r="R111" s="21">
        <v>87.387967000000003</v>
      </c>
    </row>
    <row r="112" spans="7:18" x14ac:dyDescent="0.15">
      <c r="G112" s="11">
        <v>111</v>
      </c>
      <c r="H112" t="s">
        <v>767</v>
      </c>
      <c r="I112" t="s">
        <v>1769</v>
      </c>
      <c r="J112" t="s">
        <v>15</v>
      </c>
      <c r="K112">
        <v>-1.43</v>
      </c>
      <c r="L112">
        <v>-8.84</v>
      </c>
      <c r="M112">
        <v>-5.37</v>
      </c>
      <c r="N112" s="20">
        <v>1.02</v>
      </c>
      <c r="O112">
        <v>3.51</v>
      </c>
      <c r="P112">
        <v>12.28</v>
      </c>
      <c r="Q112">
        <v>16.670000000000002</v>
      </c>
      <c r="R112" s="21">
        <v>366.56979999999999</v>
      </c>
    </row>
    <row r="113" spans="7:18" x14ac:dyDescent="0.15">
      <c r="G113" s="11">
        <v>112</v>
      </c>
      <c r="H113" t="s">
        <v>1798</v>
      </c>
      <c r="I113" t="s">
        <v>1799</v>
      </c>
      <c r="J113" t="s">
        <v>15</v>
      </c>
      <c r="K113">
        <v>3.75</v>
      </c>
      <c r="L113">
        <v>-2.4900000000000002</v>
      </c>
      <c r="M113">
        <v>-5.09</v>
      </c>
      <c r="N113" s="20">
        <v>1.1100000000000001</v>
      </c>
      <c r="O113">
        <v>2.63</v>
      </c>
      <c r="P113">
        <v>13.16</v>
      </c>
      <c r="Q113">
        <v>15.79</v>
      </c>
      <c r="R113" s="21">
        <v>41.105165700000001</v>
      </c>
    </row>
    <row r="114" spans="7:18" x14ac:dyDescent="0.15">
      <c r="G114" s="11">
        <v>113</v>
      </c>
      <c r="H114" t="s">
        <v>751</v>
      </c>
      <c r="I114" t="s">
        <v>1752</v>
      </c>
      <c r="J114" t="s">
        <v>15</v>
      </c>
      <c r="N114" s="20">
        <v>1.4</v>
      </c>
      <c r="O114">
        <v>1.75</v>
      </c>
      <c r="P114">
        <v>0.88</v>
      </c>
      <c r="Q114">
        <v>12.28</v>
      </c>
      <c r="R114" s="21">
        <v>56.359539399999996</v>
      </c>
    </row>
    <row r="115" spans="7:18" ht="15" customHeight="1" x14ac:dyDescent="0.15">
      <c r="G115" s="11">
        <v>114</v>
      </c>
      <c r="H115" t="s">
        <v>1804</v>
      </c>
      <c r="I115" t="s">
        <v>1805</v>
      </c>
      <c r="J115" t="s">
        <v>1726</v>
      </c>
      <c r="K115">
        <v>-3.49</v>
      </c>
      <c r="L115">
        <v>-3.74</v>
      </c>
      <c r="M115">
        <v>-6.27</v>
      </c>
      <c r="N115" s="20">
        <v>6.96</v>
      </c>
      <c r="O115">
        <v>0.88</v>
      </c>
      <c r="P115">
        <v>11.4</v>
      </c>
      <c r="Q115">
        <v>1.75</v>
      </c>
      <c r="R115" s="21">
        <v>6.0267610000000005</v>
      </c>
    </row>
  </sheetData>
  <autoFilter ref="A1:R115"/>
  <phoneticPr fontId="2" type="noConversion"/>
  <hyperlinks>
    <hyperlink ref="T1"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7169" r:id="rId5" name="Button 1">
              <controlPr defaultSize="0" print="0" autoFill="0" autoPict="0" macro="[0]!模块1.rotate_abroad_fund">
                <anchor moveWithCells="1" sizeWithCells="1">
                  <from>
                    <xdr:col>19</xdr:col>
                    <xdr:colOff>171450</xdr:colOff>
                    <xdr:row>1</xdr:row>
                    <xdr:rowOff>133350</xdr:rowOff>
                  </from>
                  <to>
                    <xdr:col>20</xdr:col>
                    <xdr:colOff>495300</xdr:colOff>
                    <xdr:row>4</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17"/>
  <sheetViews>
    <sheetView workbookViewId="0">
      <selection activeCell="C21" sqref="C21"/>
    </sheetView>
  </sheetViews>
  <sheetFormatPr defaultColWidth="8.875" defaultRowHeight="14.25" x14ac:dyDescent="0.15"/>
  <cols>
    <col min="1" max="1" width="14.75" style="1" customWidth="1"/>
    <col min="2" max="2" width="9.25" style="1" customWidth="1"/>
    <col min="3" max="16384" width="8.875" style="1"/>
  </cols>
  <sheetData>
    <row r="1" spans="1:2" x14ac:dyDescent="0.15">
      <c r="A1" s="1" t="s">
        <v>8</v>
      </c>
      <c r="B1" s="1" t="s">
        <v>13</v>
      </c>
    </row>
    <row r="2" spans="1:2" x14ac:dyDescent="0.15">
      <c r="A2" s="1" t="s">
        <v>9</v>
      </c>
    </row>
    <row r="3" spans="1:2" x14ac:dyDescent="0.15">
      <c r="A3" s="1" t="s">
        <v>0</v>
      </c>
    </row>
    <row r="4" spans="1:2" x14ac:dyDescent="0.15">
      <c r="A4" s="1" t="s">
        <v>7</v>
      </c>
    </row>
    <row r="5" spans="1:2" x14ac:dyDescent="0.15">
      <c r="A5" s="1" t="s">
        <v>5</v>
      </c>
    </row>
    <row r="6" spans="1:2" x14ac:dyDescent="0.15">
      <c r="A6" s="1" t="s">
        <v>1</v>
      </c>
    </row>
    <row r="7" spans="1:2" x14ac:dyDescent="0.15">
      <c r="A7" s="1" t="s">
        <v>2</v>
      </c>
      <c r="B7" s="1" t="b">
        <v>0</v>
      </c>
    </row>
    <row r="8" spans="1:2" x14ac:dyDescent="0.15">
      <c r="A8" s="1" t="s">
        <v>3</v>
      </c>
      <c r="B8" s="1" t="b">
        <v>0</v>
      </c>
    </row>
    <row r="9" spans="1:2" x14ac:dyDescent="0.15">
      <c r="A9" s="1" t="s">
        <v>14</v>
      </c>
      <c r="B9" s="1" t="b">
        <v>1</v>
      </c>
    </row>
    <row r="13" spans="1:2" x14ac:dyDescent="0.15">
      <c r="A13" s="2" t="s">
        <v>4</v>
      </c>
    </row>
    <row r="14" spans="1:2" x14ac:dyDescent="0.15">
      <c r="A14" s="1" t="s">
        <v>10</v>
      </c>
    </row>
    <row r="15" spans="1:2" x14ac:dyDescent="0.15">
      <c r="A15" s="1" t="s">
        <v>11</v>
      </c>
    </row>
    <row r="16" spans="1:2" x14ac:dyDescent="0.15">
      <c r="A16" s="1" t="s">
        <v>6</v>
      </c>
    </row>
    <row r="17" spans="1:1" x14ac:dyDescent="0.15">
      <c r="A17" s="1" t="s">
        <v>12</v>
      </c>
    </row>
  </sheetData>
  <phoneticPr fontId="2"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工作表</vt:lpstr>
      </vt:variant>
      <vt:variant>
        <vt:i4>7</vt:i4>
      </vt:variant>
    </vt:vector>
  </HeadingPairs>
  <TitlesOfParts>
    <vt:vector size="7" baseType="lpstr">
      <vt:lpstr>Readme</vt:lpstr>
      <vt:lpstr>可转债实时数据</vt:lpstr>
      <vt:lpstr>低溢价可转债轮动</vt:lpstr>
      <vt:lpstr>双低可转债轮动</vt:lpstr>
      <vt:lpstr>20天净值增长率和溢价率轮动LOF、ETF和封基</vt:lpstr>
      <vt:lpstr>20天净值增长率和溢价率轮动债券和境外基金</vt:lpstr>
      <vt:lpstr>_xlwings.conf</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Administrator</cp:lastModifiedBy>
  <dcterms:created xsi:type="dcterms:W3CDTF">2015-01-25T11:31:25Z</dcterms:created>
  <dcterms:modified xsi:type="dcterms:W3CDTF">2022-06-24T12:16:32Z</dcterms:modified>
</cp:coreProperties>
</file>