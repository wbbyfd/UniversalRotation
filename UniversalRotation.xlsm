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95" yWindow="-95" windowWidth="12811" windowHeight="5461" tabRatio="733" firstSheet="5" activeTab="5"/>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股票实时数据" sheetId="20" r:id="rId8"/>
    <sheet name="低估优质小盘" sheetId="16" r:id="rId9"/>
    <sheet name="高股息红利" sheetId="17" r:id="rId10"/>
    <sheet name="低估白马" sheetId="18" r:id="rId11"/>
    <sheet name="_xlwings.conf" sheetId="2" r:id="rId12"/>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10" hidden="1">低估白马!$G$1:$Y$101</definedName>
    <definedName name="_xlnm._FilterDatabase" localSheetId="8" hidden="1">低估优质小盘!$G$1:$AC$101</definedName>
    <definedName name="_xlnm._FilterDatabase" localSheetId="3" hidden="1">低溢价可转债轮动!$A$2:$W$43</definedName>
    <definedName name="_xlnm._FilterDatabase" localSheetId="9"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<sst xmlns="http://schemas.openxmlformats.org/spreadsheetml/2006/main" count="2324" uniqueCount="1107">
  <si>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</si>
  <si>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</si>
  <si>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</si>
  <si>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</si>
  <si>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</si>
  <si>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</si>
  <si>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</si>
  <si>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</si>
  <si>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</si>
  <si>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</si>
  <si>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</si>
  <si>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</si>
  <si>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</si>
  <si>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</si>
  <si>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</si>
  <si>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</si>
  <si>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</si>
  <si>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</si>
  <si>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</si>
  <si>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</si>
  <si>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</si>
  <si>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</si>
  <si>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</si>
  <si>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</si>
  <si>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</si>
  <si>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</si>
  <si>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</si>
  <si>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</si>
  <si>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</si>
  <si>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</si>
  <si>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</si>
  <si>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</si>
  <si>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</si>
  <si>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</si>
  <si>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</si>
  <si>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证券名称</t>
  </si>
  <si>
    <t>证券代码</t>
  </si>
  <si>
    <t>法兰转债</t>
  </si>
  <si>
    <t>是否已买</t>
  </si>
  <si>
    <t>建信港股通ETF</t>
  </si>
  <si>
    <t>最新低溢价排名</t>
    <phoneticPr fontId="2" type="noConversion"/>
  </si>
  <si>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</si>
  <si>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</si>
  <si>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</si>
  <si>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</si>
  <si>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</si>
  <si>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</si>
  <si>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</si>
  <si>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</si>
  <si>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</si>
  <si>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</si>
  <si>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</si>
  <si>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</si>
  <si>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</si>
  <si>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</si>
  <si>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</si>
  <si>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</si>
  <si>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</si>
  <si>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</si>
  <si>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</si>
  <si>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</si>
  <si>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</si>
  <si>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</si>
  <si>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</si>
  <si>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</si>
  <si>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</si>
  <si>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</si>
  <si>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</si>
  <si>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</si>
  <si>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</si>
  <si>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</si>
  <si>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</si>
  <si>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</si>
  <si>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</si>
  <si>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</si>
  <si>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</si>
  <si>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</si>
  <si>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</si>
  <si>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</si>
  <si>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</si>
  <si>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</si>
  <si>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</si>
  <si>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</si>
  <si>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</si>
  <si>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</si>
  <si>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</si>
  <si>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</si>
  <si>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</si>
  <si>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</si>
  <si>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</si>
  <si>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</si>
  <si>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</si>
  <si>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</si>
  <si>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</si>
  <si>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</si>
  <si>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</si>
  <si>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</si>
  <si>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</si>
  <si>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</si>
  <si>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</si>
  <si>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</si>
  <si>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</si>
  <si>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</si>
  <si>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</si>
  <si>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</si>
  <si>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</si>
  <si>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</si>
  <si>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</si>
  <si>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</si>
  <si>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</si>
  <si>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</si>
  <si>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</si>
  <si>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</si>
  <si>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</si>
  <si>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</si>
  <si>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</si>
  <si>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</si>
  <si>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</si>
  <si>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</si>
  <si>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</si>
  <si>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</si>
  <si>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</si>
  <si>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</si>
  <si>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</si>
  <si>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</si>
  <si>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</si>
  <si>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</si>
  <si>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</si>
  <si>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</si>
  <si>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</si>
  <si>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</si>
  <si>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</si>
  <si>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</si>
  <si>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</si>
  <si>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</si>
  <si>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</si>
  <si>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</si>
  <si>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</si>
  <si>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</si>
  <si>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</si>
  <si>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</si>
  <si>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</si>
  <si>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</si>
  <si>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</si>
  <si>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</si>
  <si>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</si>
  <si>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</si>
  <si>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</si>
  <si>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</si>
  <si>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</si>
  <si>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</si>
  <si>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</si>
  <si>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</si>
  <si>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</si>
  <si>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</si>
  <si>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</si>
  <si>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</si>
  <si>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</si>
  <si>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</si>
  <si>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</si>
  <si>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</si>
  <si>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</si>
  <si>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</si>
  <si>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</si>
  <si>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</si>
  <si>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</si>
  <si>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</si>
  <si>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</si>
  <si>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</si>
  <si>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</si>
  <si>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</si>
  <si>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</si>
  <si>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</si>
  <si>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</si>
  <si>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</si>
  <si>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</si>
  <si>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</si>
  <si>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</si>
  <si>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</si>
  <si>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</si>
  <si>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</si>
  <si>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</si>
  <si>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</si>
  <si>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</si>
  <si>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</si>
  <si>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</si>
  <si>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</si>
  <si>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</si>
  <si>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</si>
  <si>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</si>
  <si>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</si>
  <si>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</si>
  <si>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</si>
  <si>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</si>
  <si>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</si>
  <si>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</si>
  <si>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</si>
  <si>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</si>
  <si>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</si>
  <si>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</si>
  <si>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</si>
  <si>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</si>
  <si>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</si>
  <si>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</si>
  <si>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</si>
  <si>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</si>
  <si>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</si>
  <si>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</si>
  <si>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</si>
  <si>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</si>
  <si>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</si>
  <si>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</si>
  <si>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</si>
  <si>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</si>
  <si>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</si>
  <si>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</si>
  <si>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</si>
  <si>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</si>
  <si>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</si>
  <si>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</si>
  <si>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</si>
  <si>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</si>
  <si>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</si>
  <si>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</si>
  <si>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</si>
  <si>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</si>
  <si>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</si>
  <si>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</si>
  <si>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</si>
  <si>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</si>
  <si>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</si>
  <si>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</si>
  <si>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</si>
  <si>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</si>
  <si>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</si>
  <si>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</si>
  <si>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</si>
  <si>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</si>
  <si>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</si>
  <si>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</si>
  <si>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</si>
  <si>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</si>
  <si>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</si>
  <si>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</si>
  <si>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</si>
  <si>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</si>
  <si>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</si>
  <si>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</si>
  <si>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</si>
  <si>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</si>
  <si>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</si>
  <si>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</si>
  <si>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</si>
  <si>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</si>
  <si>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</si>
  <si>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</si>
  <si>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</si>
  <si>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</si>
  <si>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</si>
  <si>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</si>
  <si>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</si>
  <si>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</si>
  <si>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</si>
  <si>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</si>
  <si>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</si>
  <si>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</si>
  <si>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</si>
  <si>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</si>
  <si>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</si>
  <si>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</si>
  <si>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</si>
  <si>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</si>
  <si>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</si>
  <si>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</si>
  <si>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</si>
  <si>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</si>
  <si>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</si>
  <si>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</si>
  <si>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</si>
  <si>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</si>
  <si>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</si>
  <si>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</si>
  <si>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</si>
  <si>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</si>
  <si>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</si>
  <si>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</si>
  <si>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</si>
  <si>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</si>
  <si>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</si>
  <si>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</si>
  <si>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</si>
  <si>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</si>
  <si>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</si>
  <si>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</si>
  <si>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</si>
  <si>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</si>
  <si>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</si>
  <si>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</si>
  <si>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</si>
  <si>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</si>
  <si>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</si>
  <si>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</si>
  <si>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</si>
  <si>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</si>
  <si>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</si>
  <si>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</si>
  <si>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</si>
  <si>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</si>
  <si>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</si>
  <si>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</si>
  <si>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</si>
  <si>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</si>
  <si>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</si>
  <si>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</si>
  <si>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</si>
  <si>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</si>
  <si>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</si>
  <si>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</si>
  <si>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</si>
  <si>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</si>
  <si>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</si>
  <si>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</si>
  <si>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</si>
  <si>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</si>
  <si>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</si>
  <si>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</si>
  <si>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</si>
  <si>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</si>
  <si>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</si>
  <si>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</si>
  <si>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</si>
  <si>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</si>
  <si>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</si>
  <si>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</si>
  <si>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</si>
  <si>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</si>
  <si>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</si>
  <si>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</si>
  <si>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</si>
  <si>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</si>
  <si>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</si>
  <si>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</si>
  <si>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</si>
  <si>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</si>
  <si>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</si>
  <si>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</si>
  <si>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</si>
  <si>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</si>
  <si>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</si>
  <si>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</si>
  <si>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</si>
  <si>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</si>
  <si>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</si>
  <si>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</si>
  <si>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</si>
  <si>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</si>
  <si>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</si>
  <si>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</si>
  <si>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</si>
  <si>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</si>
  <si>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</si>
  <si>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</si>
  <si>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</si>
  <si>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</si>
  <si>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</si>
  <si>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</si>
  <si>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</si>
  <si>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</si>
  <si>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</si>
  <si>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</si>
  <si>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</si>
  <si>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</si>
  <si>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</si>
  <si>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</si>
  <si>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</si>
  <si>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</si>
  <si>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</si>
  <si>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</si>
  <si>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</si>
  <si>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</si>
  <si>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</si>
  <si>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</si>
  <si>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</si>
  <si>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</si>
  <si>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</si>
  <si>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</si>
  <si>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</si>
  <si>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</si>
  <si>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</si>
  <si>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</si>
  <si>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</si>
  <si>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</si>
  <si>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</si>
  <si>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</si>
  <si>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</si>
  <si>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</si>
  <si>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</si>
  <si>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</si>
  <si>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</si>
  <si>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</si>
  <si>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</si>
  <si>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</si>
  <si>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</si>
  <si>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</si>
  <si>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</si>
  <si>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</si>
  <si>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</si>
  <si>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</si>
  <si>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</si>
  <si>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</si>
  <si>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</si>
  <si>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</si>
  <si>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</si>
  <si>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</si>
  <si>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</si>
  <si>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</si>
  <si>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</si>
  <si>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</si>
  <si>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</si>
  <si>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</si>
  <si>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</si>
  <si>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</si>
  <si>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</si>
  <si>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</si>
  <si>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</si>
  <si>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</si>
  <si>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</si>
  <si>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</si>
  <si>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</si>
  <si>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</si>
  <si>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</si>
  <si>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</si>
  <si>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</si>
  <si>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</si>
  <si>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</si>
  <si>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</si>
  <si>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</si>
  <si>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</si>
  <si>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</si>
  <si>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</si>
  <si>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</si>
  <si>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</si>
  <si>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</si>
  <si>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</si>
  <si>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</si>
  <si>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</si>
  <si>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</si>
  <si>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</si>
  <si>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</si>
  <si>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</si>
  <si>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</si>
  <si>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</si>
  <si>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</si>
  <si>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</si>
  <si>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</si>
  <si>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</si>
  <si>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</si>
  <si>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</si>
  <si>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</si>
  <si>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</si>
  <si>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</si>
  <si>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</si>
  <si>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</si>
  <si>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</si>
  <si>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</si>
  <si>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</si>
  <si>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</si>
  <si>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</si>
  <si>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</si>
  <si>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</si>
  <si>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</si>
  <si>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</si>
  <si>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</si>
  <si>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</si>
  <si>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</si>
  <si>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</si>
  <si>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</si>
  <si>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</si>
  <si>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</si>
  <si>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</si>
  <si>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</si>
  <si>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</si>
  <si>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</si>
  <si>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</si>
  <si>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</si>
  <si>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</si>
  <si>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</si>
  <si>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</si>
  <si>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</si>
  <si>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</si>
  <si>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</si>
  <si>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</si>
  <si>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</si>
  <si>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</si>
  <si>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</si>
  <si>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</si>
  <si>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</si>
  <si>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</si>
  <si>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</si>
  <si>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</si>
  <si>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</si>
  <si>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</si>
  <si>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</si>
  <si>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</si>
  <si>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</si>
  <si>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</si>
  <si>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</si>
  <si>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</si>
  <si>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</si>
  <si>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</si>
  <si>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</si>
  <si>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</si>
  <si>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</si>
  <si>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</si>
  <si>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</si>
  <si>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</si>
  <si>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</si>
  <si>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</si>
  <si>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</si>
  <si>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</si>
  <si>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</si>
  <si>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</si>
  <si>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</si>
  <si>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</si>
  <si>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</si>
  <si>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</si>
  <si>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</si>
  <si>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</si>
  <si>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</si>
  <si>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</si>
  <si>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</si>
  <si>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</si>
  <si>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</si>
  <si>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</si>
  <si>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</si>
  <si>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</si>
  <si>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</si>
  <si>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</si>
  <si>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</si>
  <si>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</si>
  <si>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</si>
  <si>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</si>
  <si>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</si>
  <si>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</si>
  <si>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</si>
  <si>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</si>
  <si>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</si>
  <si>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</si>
  <si>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</si>
  <si>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</si>
  <si>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</si>
  <si>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</si>
  <si>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</si>
  <si>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</si>
  <si>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</si>
  <si>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</si>
  <si>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</si>
  <si>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</si>
  <si>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</si>
  <si>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</si>
  <si>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</si>
  <si>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</si>
  <si>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</si>
  <si>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</si>
  <si>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</si>
  <si>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</si>
  <si>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</si>
  <si>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</si>
  <si>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</si>
  <si>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</si>
  <si>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</si>
  <si>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</si>
  <si>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</si>
  <si>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</si>
  <si>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</si>
  <si>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</si>
  <si>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</si>
  <si>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</si>
  <si>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</si>
  <si>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</si>
  <si>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</si>
  <si>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</si>
  <si>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</si>
  <si>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</si>
  <si>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</si>
  <si>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</si>
  <si>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</si>
  <si>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</si>
  <si>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</si>
  <si>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</si>
  <si>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</si>
  <si>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</si>
  <si>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</si>
  <si>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</si>
  <si>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</si>
  <si>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</si>
  <si>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</si>
  <si>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</si>
  <si>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</si>
  <si>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</si>
  <si>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</si>
  <si>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</si>
  <si>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</si>
  <si>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</si>
  <si>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</si>
  <si>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华翔转债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</si>
  <si>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</si>
  <si>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</si>
  <si>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</si>
  <si>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</si>
  <si>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</si>
  <si>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</si>
  <si>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</si>
  <si>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</si>
  <si>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</si>
  <si>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</si>
  <si>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</si>
  <si>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</si>
  <si>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</si>
  <si>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</si>
  <si>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Mark</t>
  </si>
  <si>
    <t>Favorite</t>
  </si>
  <si>
    <t>大成有色金属期货ETF</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</si>
  <si>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</si>
  <si>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</si>
  <si>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</si>
  <si>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招商沪深300增强策略ETF</t>
  </si>
  <si>
    <t>中国国企开放共赢ETF</t>
  </si>
  <si>
    <t>港股通红利ETF</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</si>
  <si>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</si>
  <si>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</si>
  <si>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</si>
  <si>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</si>
  <si>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</si>
  <si>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</si>
  <si>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</si>
  <si>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</si>
  <si>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</si>
  <si>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</si>
  <si>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</si>
  <si>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</si>
  <si>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</si>
  <si>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</si>
  <si>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</si>
  <si>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</si>
  <si>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</si>
  <si>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</si>
  <si>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</si>
  <si>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</si>
  <si>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</si>
  <si>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</si>
  <si>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</si>
  <si>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</si>
  <si>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</si>
  <si>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</si>
  <si>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</si>
  <si>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</si>
  <si>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</si>
  <si>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</si>
  <si>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</si>
  <si>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</si>
  <si>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</si>
  <si>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</si>
  <si>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</si>
  <si>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</si>
  <si>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</si>
  <si>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</si>
  <si>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</si>
  <si>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</si>
  <si>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</si>
  <si>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</si>
  <si>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</si>
  <si>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</si>
  <si>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</si>
  <si>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</si>
  <si>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</si>
  <si>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</si>
  <si>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</si>
  <si>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</si>
  <si>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</si>
  <si>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</si>
  <si>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</si>
  <si>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</si>
  <si>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</si>
  <si>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</si>
  <si>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</si>
  <si>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</si>
  <si>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</si>
  <si>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</si>
  <si>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</si>
  <si>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</si>
  <si>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</si>
  <si>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</si>
  <si>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</si>
  <si>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</si>
  <si>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</si>
  <si>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</si>
  <si>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</si>
  <si>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</si>
  <si>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</si>
  <si>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</si>
  <si>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</si>
  <si>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</si>
  <si>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</si>
  <si>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</si>
  <si>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</si>
  <si>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</si>
  <si>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</si>
  <si>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</si>
  <si>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</si>
  <si>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</si>
  <si>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</si>
  <si>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</si>
  <si>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</si>
  <si>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</si>
  <si>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</si>
  <si>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</si>
  <si>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</si>
  <si>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</si>
  <si>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</si>
  <si>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</si>
  <si>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</si>
  <si>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</si>
  <si>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</si>
  <si>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</si>
  <si>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</si>
  <si>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</si>
  <si>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</si>
  <si>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</si>
  <si>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</si>
  <si>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</si>
  <si>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</si>
  <si>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</si>
  <si>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</si>
  <si>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</si>
  <si>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</si>
  <si>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</si>
  <si>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</si>
  <si>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</si>
  <si>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</si>
  <si>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</si>
  <si>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</si>
  <si>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</si>
  <si>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</si>
  <si>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</si>
  <si>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</si>
  <si>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</si>
  <si>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</si>
  <si>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</si>
  <si>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</si>
  <si>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</si>
  <si>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</si>
  <si>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</si>
  <si>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</si>
  <si>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</si>
  <si>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</si>
  <si>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</si>
  <si>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</si>
  <si>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</si>
  <si>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</si>
  <si>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</si>
  <si>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</si>
  <si>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</si>
  <si>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</si>
  <si>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</si>
  <si>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</si>
  <si>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</si>
  <si>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</si>
  <si>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</si>
  <si>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</si>
  <si>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</si>
  <si>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</si>
  <si>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</si>
  <si>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</si>
  <si>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</si>
  <si>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</si>
  <si>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</si>
  <si>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</si>
  <si>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</si>
  <si>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</si>
  <si>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</si>
  <si>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</si>
  <si>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</si>
  <si>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</si>
  <si>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</si>
  <si>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</si>
  <si>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</si>
  <si>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</si>
  <si>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</si>
  <si>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</si>
  <si>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</si>
  <si>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</si>
  <si>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</si>
  <si>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</si>
  <si>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</si>
  <si>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</si>
  <si>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</si>
  <si>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</si>
  <si>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</si>
  <si>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</si>
  <si>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</si>
  <si>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</si>
  <si>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</si>
  <si>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</si>
  <si>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</si>
  <si>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</si>
  <si>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</si>
  <si>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</si>
  <si>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</si>
  <si>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</si>
  <si>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</si>
  <si>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</si>
  <si>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</si>
  <si>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</si>
  <si>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</si>
  <si>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</si>
  <si>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</si>
  <si>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</si>
  <si>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</si>
  <si>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</si>
  <si>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</si>
  <si>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</si>
  <si>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</si>
  <si>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</si>
  <si>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</si>
  <si>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</si>
  <si>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</si>
  <si>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</si>
  <si>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</si>
  <si>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</si>
  <si>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</si>
  <si>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</si>
  <si>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</si>
  <si>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</si>
  <si>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</si>
  <si>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</si>
  <si>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</si>
  <si>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</si>
  <si>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</si>
  <si>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</si>
  <si>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</si>
  <si>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</si>
  <si>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</si>
  <si>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</si>
  <si>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</si>
  <si>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</si>
  <si>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</si>
  <si>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</si>
  <si>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</si>
  <si>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</si>
  <si>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</si>
  <si>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</si>
  <si>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</si>
  <si>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</si>
  <si>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</si>
  <si>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</si>
  <si>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</si>
  <si>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</si>
  <si>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</si>
  <si>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</si>
  <si>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</si>
  <si>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</si>
  <si>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</si>
  <si>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</si>
  <si>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SZ159513</t>
  </si>
  <si>
    <t>纳斯达克100指数ETF</t>
  </si>
  <si>
    <t>纽泰转债</t>
  </si>
  <si>
    <t>金丹转债</t>
  </si>
  <si>
    <t>开能转债</t>
  </si>
  <si>
    <t>红利低波100ETF</t>
  </si>
  <si>
    <t>医疗器械指数ETF</t>
  </si>
  <si>
    <t>海富通上证10年期地方债ETF</t>
  </si>
  <si>
    <t>海富通上证5年期地方债ETF</t>
  </si>
  <si>
    <t>易方达中证人工智能主题ETF</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</si>
  <si>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</si>
  <si>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</si>
  <si>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</si>
  <si>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</si>
  <si>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</si>
  <si>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</si>
  <si>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</si>
  <si>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</si>
  <si>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</si>
  <si>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</si>
  <si>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</si>
  <si>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</si>
  <si>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</si>
  <si>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</si>
  <si>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</si>
  <si>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</si>
  <si>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</si>
  <si>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</si>
  <si>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</si>
  <si>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</si>
  <si>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</si>
  <si>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</si>
  <si>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</si>
  <si>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</si>
  <si>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</si>
  <si>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</si>
  <si>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翔丰转债</t>
  </si>
  <si>
    <t>皖天转债</t>
  </si>
  <si>
    <t>东南亚科技ETF</t>
  </si>
  <si>
    <t>SH513730</t>
  </si>
  <si>
    <t>耐普转债!</t>
  </si>
  <si>
    <t>中旗转债</t>
  </si>
  <si>
    <t>SZ159607</t>
  </si>
  <si>
    <t>中概互联网ETF</t>
  </si>
  <si>
    <t>SH511090</t>
  </si>
  <si>
    <t>30年国债ETF</t>
  </si>
  <si>
    <t>央企结构调整ETF</t>
  </si>
  <si>
    <t>央企创新驱动ETF</t>
  </si>
  <si>
    <t>洪城转债!</t>
  </si>
  <si>
    <t>九典转02!</t>
  </si>
  <si>
    <t>广泰转债!</t>
  </si>
  <si>
    <t>冠盛转债!</t>
  </si>
  <si>
    <t>精达转债!!</t>
  </si>
  <si>
    <t>泰福转债!</t>
  </si>
  <si>
    <t>奇正转债</t>
  </si>
  <si>
    <t>东宝转债!</t>
  </si>
  <si>
    <t>山河转债</t>
  </si>
  <si>
    <t>百川转2</t>
  </si>
  <si>
    <t>SH513170</t>
  </si>
  <si>
    <t>恒生央企ETF</t>
  </si>
  <si>
    <t>SH560280</t>
  </si>
  <si>
    <t>工程机械ETF</t>
  </si>
  <si>
    <t>SH600436</t>
  </si>
  <si>
    <t>片仔癀</t>
  </si>
  <si>
    <t>SZ301387</t>
  </si>
  <si>
    <t>股票名称</t>
  </si>
  <si>
    <t>机械设备ETF</t>
  </si>
  <si>
    <t>目前持仓（截止到2024.6.15）</t>
    <phoneticPr fontId="2" type="noConversion"/>
  </si>
  <si>
    <t>项目地址：https://github.com/wbbyfd/UniversalRotation</t>
    <phoneticPr fontId="2" type="noConversion"/>
  </si>
  <si>
    <t>大禹转债</t>
  </si>
  <si>
    <t>交建转债</t>
  </si>
  <si>
    <t>九洲转2!</t>
  </si>
  <si>
    <t>隆华转债</t>
  </si>
  <si>
    <t>泉峰转债</t>
  </si>
  <si>
    <t>飞凯转债</t>
  </si>
  <si>
    <t>宏丰转债!</t>
  </si>
  <si>
    <t>中辰转债</t>
  </si>
  <si>
    <t>华兴转债</t>
  </si>
  <si>
    <t>广联转债</t>
  </si>
  <si>
    <t>鹿山转债</t>
  </si>
  <si>
    <t>金埔转债</t>
  </si>
  <si>
    <t>华设转债!</t>
  </si>
  <si>
    <t>宏昌转债</t>
  </si>
  <si>
    <t>易瑞转债</t>
  </si>
  <si>
    <t>运机转债!</t>
  </si>
  <si>
    <t>亿田转债!</t>
  </si>
  <si>
    <t>伟24转债</t>
  </si>
  <si>
    <t>宏柏转债</t>
  </si>
  <si>
    <t>利扬转债</t>
  </si>
  <si>
    <t>泰瑞转债</t>
  </si>
  <si>
    <t>严牌转债</t>
  </si>
  <si>
    <t>合顺转债</t>
  </si>
  <si>
    <t>松原转债</t>
  </si>
  <si>
    <t>豫光转债</t>
  </si>
  <si>
    <t>金钟转债</t>
  </si>
  <si>
    <t>中能转债</t>
  </si>
  <si>
    <t>如果想讨论该tool的用法或者新需求，以及量化轮动策略等相关的内容，可以关注公众号“多策略再平衡小杠杆对冲”(wangbaobaoyzy)，共同学习和进步！</t>
    <phoneticPr fontId="2" type="noConversion"/>
  </si>
  <si>
    <t>佳禾转债!</t>
  </si>
  <si>
    <t>楚江转债!</t>
  </si>
  <si>
    <t>福新转债!</t>
  </si>
  <si>
    <t>奥飞转债!!</t>
  </si>
  <si>
    <t>豪24转债</t>
  </si>
  <si>
    <t>英搏转债</t>
  </si>
  <si>
    <t>超达转债!</t>
  </si>
  <si>
    <t>东杰转债!</t>
  </si>
  <si>
    <t>测绘转债!</t>
  </si>
  <si>
    <t>煜邦转债</t>
  </si>
  <si>
    <t>润达转债!</t>
  </si>
  <si>
    <t>姚记转债!</t>
  </si>
  <si>
    <t>博俊转债!</t>
  </si>
  <si>
    <t>蓝天转债!</t>
  </si>
  <si>
    <t>盛航转债!</t>
  </si>
  <si>
    <t>聚隆转债!</t>
  </si>
  <si>
    <t>上声转债</t>
  </si>
  <si>
    <t>星球转债</t>
  </si>
  <si>
    <t>航新转债!</t>
  </si>
  <si>
    <t>嘉益转债</t>
  </si>
  <si>
    <t>蒙泰转债</t>
  </si>
  <si>
    <t>应急转债!</t>
  </si>
  <si>
    <t>天润转债</t>
  </si>
  <si>
    <t>福蓉转债!</t>
  </si>
  <si>
    <t>恒锋转债</t>
  </si>
  <si>
    <t>赛龙转债</t>
  </si>
  <si>
    <t>荣23转债</t>
  </si>
  <si>
    <t>科思转债</t>
  </si>
  <si>
    <t>国检转债</t>
  </si>
  <si>
    <t>皓元转债</t>
  </si>
  <si>
    <t>聚合转债</t>
  </si>
  <si>
    <t>万讯转债</t>
  </si>
  <si>
    <t>家联转债</t>
  </si>
  <si>
    <t>富仕转债</t>
  </si>
  <si>
    <t>能辉转债</t>
  </si>
  <si>
    <t>优彩转债</t>
  </si>
  <si>
    <t>佩蒂转债</t>
  </si>
  <si>
    <t>威唐转债</t>
  </si>
  <si>
    <t>中环转2!</t>
  </si>
  <si>
    <t>银邦转债</t>
  </si>
  <si>
    <t>华医转债</t>
  </si>
  <si>
    <t>洛凯转债</t>
  </si>
  <si>
    <t>伟隆转债</t>
  </si>
  <si>
    <t>龙星转债</t>
  </si>
  <si>
    <t>楚天转债!</t>
  </si>
  <si>
    <t>金现转债</t>
  </si>
  <si>
    <t>红墙转债!</t>
  </si>
  <si>
    <t>铭利转债!</t>
  </si>
  <si>
    <t>神通转债</t>
  </si>
  <si>
    <t>冠中转债</t>
  </si>
  <si>
    <t>东亚转债!S</t>
  </si>
  <si>
    <t>明电转02</t>
  </si>
  <si>
    <t>海泰转债</t>
  </si>
  <si>
    <t>声迅转债!</t>
  </si>
  <si>
    <t>中宠转2!</t>
  </si>
  <si>
    <t>永和转债</t>
  </si>
  <si>
    <t>再22转债!!</t>
  </si>
  <si>
    <t>利民转债</t>
  </si>
  <si>
    <t>双箭转债!</t>
  </si>
  <si>
    <t>锦鸡转债</t>
  </si>
  <si>
    <t>晨丰转债</t>
  </si>
  <si>
    <t>明电转债</t>
  </si>
  <si>
    <t>北陆转债</t>
  </si>
  <si>
    <t>景兴转债</t>
  </si>
  <si>
    <t>银信转债!</t>
  </si>
  <si>
    <t>国城转债</t>
  </si>
  <si>
    <t>道恩转债!</t>
  </si>
  <si>
    <t>思特转债!</t>
  </si>
  <si>
    <t>飞鹿转债</t>
  </si>
  <si>
    <t>恒辉转债!</t>
  </si>
  <si>
    <t>航宇转债!</t>
  </si>
  <si>
    <t>远信转债</t>
  </si>
  <si>
    <t>集智转债!</t>
  </si>
  <si>
    <t>奥锐转债</t>
  </si>
  <si>
    <t>振华转债!</t>
  </si>
  <si>
    <t>利扬转债!</t>
  </si>
  <si>
    <t>志特转债!</t>
  </si>
  <si>
    <t>晓鸣转债!</t>
  </si>
  <si>
    <t>水羊转债!</t>
  </si>
  <si>
    <t>锋工转债!</t>
  </si>
  <si>
    <t>镇洋转债!</t>
  </si>
  <si>
    <t>诺泰转债</t>
  </si>
  <si>
    <t>凯盛转债</t>
  </si>
  <si>
    <t>信测转债!S</t>
  </si>
  <si>
    <t>泰坦转债</t>
  </si>
  <si>
    <t>三羊转债</t>
  </si>
  <si>
    <t>艾录转债!</t>
  </si>
  <si>
    <t>中贝转债!</t>
  </si>
  <si>
    <t>章鼓转债</t>
  </si>
  <si>
    <t>宇邦转债</t>
  </si>
  <si>
    <t>盟升转债!</t>
  </si>
  <si>
    <t>赛特转债</t>
  </si>
  <si>
    <t>力诺转债</t>
  </si>
  <si>
    <t>福立转债!</t>
  </si>
  <si>
    <t>天源转债!</t>
  </si>
  <si>
    <t>阳谷转债!</t>
  </si>
  <si>
    <t>立中转债</t>
  </si>
  <si>
    <t>兴瑞转债</t>
  </si>
  <si>
    <t>力合转债</t>
  </si>
  <si>
    <t>艾迪转债!</t>
  </si>
  <si>
    <t>永吉转债</t>
  </si>
  <si>
    <t>天阳转债!</t>
  </si>
  <si>
    <t>海顺转债!</t>
  </si>
  <si>
    <t>春23转债!</t>
  </si>
  <si>
    <t>新港转债!</t>
  </si>
  <si>
    <t>精锻转债!</t>
  </si>
  <si>
    <t>华亚转债</t>
  </si>
  <si>
    <t>会通转债!</t>
  </si>
  <si>
    <t>大元转债</t>
  </si>
  <si>
    <t>新化转债!</t>
  </si>
  <si>
    <t>惠云转债!</t>
  </si>
  <si>
    <t>新致转债!</t>
  </si>
  <si>
    <t>泰福转债S</t>
  </si>
  <si>
    <t>博实转债!!</t>
  </si>
  <si>
    <t>科蓝转债</t>
  </si>
  <si>
    <t>京源转债!!</t>
  </si>
  <si>
    <t>永02转债S</t>
  </si>
  <si>
    <t>松霖转债!S</t>
  </si>
  <si>
    <t>丰山转债!</t>
  </si>
  <si>
    <t>富春转债!</t>
  </si>
  <si>
    <t>亚泰转债!*</t>
  </si>
  <si>
    <t>申昊转债!</t>
  </si>
  <si>
    <t>宏丰转债</t>
  </si>
  <si>
    <t>豪美转债!</t>
  </si>
  <si>
    <t>博瑞转债!</t>
  </si>
  <si>
    <t>春秋转债</t>
  </si>
  <si>
    <t>长集转债!</t>
  </si>
  <si>
    <t>鼎胜转债*</t>
  </si>
  <si>
    <t>普利转债</t>
  </si>
  <si>
    <t>彤程转债S</t>
  </si>
  <si>
    <t>英特转债</t>
  </si>
  <si>
    <t>天壕转债</t>
  </si>
  <si>
    <t>永安转债</t>
  </si>
  <si>
    <t>嘉泽转债</t>
  </si>
  <si>
    <t>塞力转债</t>
  </si>
  <si>
    <t>沪工转债!</t>
  </si>
  <si>
    <t>联诚转债!</t>
  </si>
  <si>
    <t>弘亚转债!</t>
  </si>
  <si>
    <t>雪榕转债!</t>
  </si>
  <si>
    <t>火炬转债!</t>
  </si>
  <si>
    <t>濮耐转债!!</t>
  </si>
  <si>
    <t>停牌</t>
  </si>
  <si>
    <t>更新时间:2025-04-12__14.16.49</t>
    <phoneticPr fontId="2" type="noConversion"/>
  </si>
  <si>
    <t>更新时间:2025-04-12__14.23.32</t>
    <phoneticPr fontId="2" type="noConversion"/>
  </si>
  <si>
    <t>更新时间:2025-04-12__14.23.55</t>
    <phoneticPr fontId="2" type="noConversion"/>
  </si>
  <si>
    <t>更新时间:2025-04-12__14.25.43</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</si>
</sst>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101">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15" fillId="2" borderId="0" xfId="4" applyNumberFormat="1" applyFont="1" applyFill="1" applyBorder="1" applyAlignment="1">
      <alignment horizontal="left" vertical="top" wrapText="1"/>
    </xf>
    <xf numFmtId="0" fontId="8" fillId="6" borderId="0" xfId="0" applyNumberFormat="1" applyFont="1" applyFill="1" applyBorder="1" applyAlignment="1">
      <alignment horizontal="left"/>
    </xf>
    <xf numFmtId="0" fontId="0" fillId="0" borderId="0" xfId="0" applyNumberFormat="1" applyBorder="1" applyAlignment="1">
      <alignment horizontal="left"/>
    </xf>
    <xf numFmtId="0" fontId="0" fillId="0" borderId="0" xfId="0" applyNumberFormat="1" applyAlignment="1">
      <alignment horizontal="left"/>
    </xf>
    <xf numFmtId="0" fontId="0" fillId="5" borderId="0" xfId="0" applyFill="1"/>
    <xf numFmtId="0" fontId="4" fillId="0" borderId="1" xfId="0" applyFont="1" applyBorder="1" applyAlignment="1">
      <alignment vertical="top" wrapText="1"/>
    </xf>
    <xf numFmtId="0" fontId="4" fillId="5" borderId="0" xfId="0" applyFont="1" applyFill="1" applyAlignment="1">
      <alignment vertical="top" wrapText="1"/>
    </xf>
    <xf numFmtId="0" fontId="0" fillId="0" borderId="0" xfId="0"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5</xdr:row>
      <xdr:rowOff>95251</xdr:rowOff>
    </xdr:from>
    <xdr:to>
      <xdr:col>5</xdr:col>
      <xdr:colOff>76201</xdr:colOff>
      <xdr:row>24</xdr:row>
      <xdr:rowOff>161926</xdr:rowOff>
    </xdr:to>
    <xdr:pic>
      <xdr:nvPicPr>
        <xdr:cNvPr id="5" name="图片 4"/>
        <xdr:cNvPicPr>
          <a:picLocks noChangeAspect="1"/>
        </xdr:cNvPicPr>
      </xdr:nvPicPr>
      <xdr:blipFill>
        <a:blip xmlns:r="http://schemas.openxmlformats.org/officeDocument/2006/relationships" r:embed="rId1"/>
        <a:stretch>
          <a:fillRect/>
        </a:stretch>
      </xdr:blipFill>
      <xdr:spPr>
        <a:xfrm>
          <a:off x="1" y="1000126"/>
          <a:ext cx="3505200" cy="3505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66675</xdr:colOff>
      <xdr:row>0</xdr:row>
      <xdr:rowOff>257175</xdr:rowOff>
    </xdr:from>
    <xdr:to>
      <xdr:col>19</xdr:col>
      <xdr:colOff>0</xdr:colOff>
      <xdr:row>37</xdr:row>
      <xdr:rowOff>42497</xdr:rowOff>
    </xdr:to>
    <xdr:pic>
      <xdr:nvPicPr>
        <xdr:cNvPr id="6" name="图片 5"/>
        <xdr:cNvPicPr>
          <a:picLocks noChangeAspect="1"/>
        </xdr:cNvPicPr>
      </xdr:nvPicPr>
      <xdr:blipFill>
        <a:blip xmlns:r="http://schemas.openxmlformats.org/officeDocument/2006/relationships" r:embed="rId1"/>
        <a:stretch>
          <a:fillRect/>
        </a:stretch>
      </xdr:blipFill>
      <xdr:spPr>
        <a:xfrm>
          <a:off x="7639050" y="257175"/>
          <a:ext cx="8943975" cy="6709997"/>
        </a:xfrm>
        <a:prstGeom prst="rect">
          <a:avLst/>
        </a:prstGeom>
      </xdr:spPr>
    </xdr:pic>
    <xdr:clientData/>
  </xdr:twoCellAnchor>
  <xdr:twoCellAnchor editAs="oneCell">
    <xdr:from>
      <xdr:col>0</xdr:col>
      <xdr:colOff>0</xdr:colOff>
      <xdr:row>4</xdr:row>
      <xdr:rowOff>0</xdr:rowOff>
    </xdr:from>
    <xdr:to>
      <xdr:col>1</xdr:col>
      <xdr:colOff>1047487</xdr:colOff>
      <xdr:row>21</xdr:row>
      <xdr:rowOff>37711</xdr:rowOff>
    </xdr:to>
    <xdr:pic>
      <xdr:nvPicPr>
        <xdr:cNvPr id="3" name="图片 2"/>
        <xdr:cNvPicPr>
          <a:picLocks noChangeAspect="1"/>
        </xdr:cNvPicPr>
      </xdr:nvPicPr>
      <xdr:blipFill>
        <a:blip xmlns:r="http://schemas.openxmlformats.org/officeDocument/2006/relationships" r:embed="rId2"/>
        <a:stretch>
          <a:fillRect/>
        </a:stretch>
      </xdr:blipFill>
      <xdr:spPr>
        <a:xfrm>
          <a:off x="0" y="952500"/>
          <a:ext cx="2104762" cy="3114286"/>
        </a:xfrm>
        <a:prstGeom prst="rect">
          <a:avLst/>
        </a:prstGeom>
      </xdr:spPr>
    </xdr:pic>
    <xdr:clientData/>
  </xdr:twoCellAnchor>
  <xdr:twoCellAnchor editAs="oneCell">
    <xdr:from>
      <xdr:col>0</xdr:col>
      <xdr:colOff>0</xdr:colOff>
      <xdr:row>23</xdr:row>
      <xdr:rowOff>9525</xdr:rowOff>
    </xdr:from>
    <xdr:to>
      <xdr:col>1</xdr:col>
      <xdr:colOff>552249</xdr:colOff>
      <xdr:row>28</xdr:row>
      <xdr:rowOff>180840</xdr:rowOff>
    </xdr:to>
    <xdr:pic>
      <xdr:nvPicPr>
        <xdr:cNvPr id="4" name="图片 3"/>
        <xdr:cNvPicPr>
          <a:picLocks noChangeAspect="1"/>
        </xdr:cNvPicPr>
      </xdr:nvPicPr>
      <xdr:blipFill>
        <a:blip xmlns:r="http://schemas.openxmlformats.org/officeDocument/2006/relationships" r:embed="rId3"/>
        <a:stretch>
          <a:fillRect/>
        </a:stretch>
      </xdr:blipFill>
      <xdr:spPr>
        <a:xfrm>
          <a:off x="0" y="4400550"/>
          <a:ext cx="1609524" cy="1076190"/>
        </a:xfrm>
        <a:prstGeom prst="rect">
          <a:avLst/>
        </a:prstGeom>
      </xdr:spPr>
    </xdr:pic>
    <xdr:clientData/>
  </xdr:twoCellAnchor>
  <xdr:twoCellAnchor editAs="oneCell">
    <xdr:from>
      <xdr:col>0</xdr:col>
      <xdr:colOff>0</xdr:colOff>
      <xdr:row>31</xdr:row>
      <xdr:rowOff>0</xdr:rowOff>
    </xdr:from>
    <xdr:to>
      <xdr:col>1</xdr:col>
      <xdr:colOff>514154</xdr:colOff>
      <xdr:row>38</xdr:row>
      <xdr:rowOff>18889</xdr:rowOff>
    </xdr:to>
    <xdr:pic>
      <xdr:nvPicPr>
        <xdr:cNvPr id="7" name="图片 6"/>
        <xdr:cNvPicPr>
          <a:picLocks noChangeAspect="1"/>
        </xdr:cNvPicPr>
      </xdr:nvPicPr>
      <xdr:blipFill>
        <a:blip xmlns:r="http://schemas.openxmlformats.org/officeDocument/2006/relationships" r:embed="rId4"/>
        <a:stretch>
          <a:fillRect/>
        </a:stretch>
      </xdr:blipFill>
      <xdr:spPr>
        <a:xfrm>
          <a:off x="0" y="5838825"/>
          <a:ext cx="1571429" cy="1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207034</xdr:colOff>
          <xdr:row>8</xdr:row>
          <xdr:rowOff>51758</xdr:rowOff>
        </xdr:from>
        <xdr:to>
          <xdr:col>23</xdr:col>
          <xdr:colOff>517585</xdr:colOff>
          <xdr:row>10</xdr:row>
          <xdr:rowOff>146649</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483079</xdr:colOff>
          <xdr:row>2</xdr:row>
          <xdr:rowOff>129396</xdr:rowOff>
        </xdr:from>
        <xdr:to>
          <xdr:col>14</xdr:col>
          <xdr:colOff>483079</xdr:colOff>
          <xdr:row>5</xdr:row>
          <xdr:rowOff>43132</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586596</xdr:colOff>
          <xdr:row>2</xdr:row>
          <xdr:rowOff>138023</xdr:rowOff>
        </xdr:from>
        <xdr:to>
          <xdr:col>23</xdr:col>
          <xdr:colOff>586596</xdr:colOff>
          <xdr:row>5</xdr:row>
          <xdr:rowOff>51758</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586596</xdr:colOff>
          <xdr:row>2</xdr:row>
          <xdr:rowOff>77638</xdr:rowOff>
        </xdr:from>
        <xdr:to>
          <xdr:col>15</xdr:col>
          <xdr:colOff>638355</xdr:colOff>
          <xdr:row>4</xdr:row>
          <xdr:rowOff>172528</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612475</xdr:colOff>
          <xdr:row>2</xdr:row>
          <xdr:rowOff>86264</xdr:rowOff>
        </xdr:from>
        <xdr:to>
          <xdr:col>24</xdr:col>
          <xdr:colOff>664234</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129396</xdr:colOff>
          <xdr:row>1</xdr:row>
          <xdr:rowOff>129396</xdr:rowOff>
        </xdr:from>
        <xdr:to>
          <xdr:col>27</xdr:col>
          <xdr:colOff>543464</xdr:colOff>
          <xdr:row>4</xdr:row>
          <xdr:rowOff>51758</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172528</xdr:colOff>
          <xdr:row>1</xdr:row>
          <xdr:rowOff>138023</xdr:rowOff>
        </xdr:from>
        <xdr:to>
          <xdr:col>27</xdr:col>
          <xdr:colOff>491706</xdr:colOff>
          <xdr:row>4</xdr:row>
          <xdr:rowOff>129396</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workbookViewId="0">
      <selection activeCell="J15" sqref="J15"/>
    </sheetView>
  </sheetViews>
  <sheetFormatPr defaultColWidth="9" defaultRowHeight="16.3" x14ac:dyDescent="0.25"/>
  <cols>
    <col min="1" max="16384" width="9" style="76"/>
  </cols>
  <sheetData>
    <row r="1" spans="1:10" x14ac:dyDescent="0.25">
      <c r="A1" s="99" t="s">
        <v>408</v>
      </c>
      <c r="B1" s="99"/>
      <c r="C1" s="99"/>
      <c r="D1" s="99"/>
      <c r="E1" s="99"/>
      <c r="F1" s="99"/>
    </row>
    <row r="2" spans="1:10" x14ac:dyDescent="0.25">
      <c r="A2" s="100" t="s">
        <v>932</v>
      </c>
      <c r="B2" s="100"/>
      <c r="C2" s="100"/>
      <c r="D2" s="100"/>
      <c r="E2" s="100"/>
      <c r="F2" s="100"/>
    </row>
    <row r="4" spans="1:10" x14ac:dyDescent="0.25">
      <c r="A4" s="77" t="s">
        <v>369</v>
      </c>
    </row>
    <row r="5" spans="1:10" s="79" customFormat="1" x14ac:dyDescent="0.25">
      <c r="A5" s="78" t="s">
        <v>960</v>
      </c>
      <c r="B5" s="78"/>
      <c r="C5" s="78"/>
      <c r="D5" s="78"/>
      <c r="E5" s="78"/>
      <c r="F5" s="78"/>
      <c r="G5" s="78"/>
      <c r="H5" s="78"/>
      <c r="I5" s="78"/>
      <c r="J5" s="78"/>
    </row>
    <row r="26" spans="1:1" s="77" customFormat="1" x14ac:dyDescent="0.25">
      <c r="A26" s="77" t="s">
        <v>374</v>
      </c>
    </row>
    <row r="27" spans="1:1" x14ac:dyDescent="0.25">
      <c r="A27" s="78" t="s">
        <v>877</v>
      </c>
    </row>
    <row r="28" spans="1:1" x14ac:dyDescent="0.25">
      <c r="A28" s="76" t="s">
        <v>878</v>
      </c>
    </row>
    <row r="29" spans="1:1" x14ac:dyDescent="0.25">
      <c r="A29" s="76" t="s">
        <v>879</v>
      </c>
    </row>
    <row r="30" spans="1:1" x14ac:dyDescent="0.25">
      <c r="A30" s="76" t="s">
        <v>880</v>
      </c>
    </row>
    <row r="31" spans="1:1" x14ac:dyDescent="0.25">
      <c r="A31" s="76" t="s">
        <v>881</v>
      </c>
    </row>
    <row r="32" spans="1:1" x14ac:dyDescent="0.25">
      <c r="A32" s="76" t="s">
        <v>882</v>
      </c>
    </row>
    <row r="34" spans="1:1" x14ac:dyDescent="0.25">
      <c r="A34" s="76" t="s">
        <v>375</v>
      </c>
    </row>
    <row r="35" spans="1:1" x14ac:dyDescent="0.25">
      <c r="A35" s="76" t="s">
        <v>376</v>
      </c>
    </row>
    <row r="36" spans="1:1" x14ac:dyDescent="0.25">
      <c r="A36" s="76" t="s">
        <v>883</v>
      </c>
    </row>
    <row r="37" spans="1:1" x14ac:dyDescent="0.25">
      <c r="A37" s="76" t="s">
        <v>884</v>
      </c>
    </row>
    <row r="38" spans="1:1" x14ac:dyDescent="0.25">
      <c r="A38" s="76" t="s">
        <v>885</v>
      </c>
    </row>
    <row r="40" spans="1:1" x14ac:dyDescent="0.25">
      <c r="A40" s="76" t="s">
        <v>623</v>
      </c>
    </row>
    <row r="41" spans="1:1" x14ac:dyDescent="0.25">
      <c r="A41" s="76" t="s">
        <v>625</v>
      </c>
    </row>
    <row r="43" spans="1:1" x14ac:dyDescent="0.25">
      <c r="A43" s="76" t="s">
        <v>624</v>
      </c>
    </row>
    <row r="44" spans="1:1" s="77" customFormat="1" x14ac:dyDescent="0.25"/>
    <row r="46" spans="1:1" s="77" customFormat="1" x14ac:dyDescent="0.25">
      <c r="A46" s="77" t="s">
        <v>377</v>
      </c>
    </row>
    <row r="47" spans="1:1" x14ac:dyDescent="0.25">
      <c r="A47" s="76" t="s">
        <v>619</v>
      </c>
    </row>
    <row r="48" spans="1:1" x14ac:dyDescent="0.25">
      <c r="A48" s="76" t="s">
        <v>370</v>
      </c>
    </row>
    <row r="49" spans="1:1" x14ac:dyDescent="0.25">
      <c r="A49" s="76" t="s">
        <v>606</v>
      </c>
    </row>
    <row r="50" spans="1:1" x14ac:dyDescent="0.25">
      <c r="A50" s="76" t="s">
        <v>378</v>
      </c>
    </row>
    <row r="52" spans="1:1" x14ac:dyDescent="0.25">
      <c r="A52" s="76" t="s">
        <v>379</v>
      </c>
    </row>
    <row r="54" spans="1:1" x14ac:dyDescent="0.25">
      <c r="A54" s="76" t="s">
        <v>607</v>
      </c>
    </row>
    <row r="56" spans="1:1" x14ac:dyDescent="0.25">
      <c r="A56" s="76" t="s">
        <v>380</v>
      </c>
    </row>
    <row r="57" spans="1:1" x14ac:dyDescent="0.25">
      <c r="A57" s="76" t="s">
        <v>371</v>
      </c>
    </row>
    <row r="60" spans="1:1" s="77" customFormat="1" x14ac:dyDescent="0.25">
      <c r="A60" s="77" t="s">
        <v>383</v>
      </c>
    </row>
    <row r="61" spans="1:1" x14ac:dyDescent="0.25">
      <c r="A61" s="76" t="s">
        <v>381</v>
      </c>
    </row>
    <row r="62" spans="1:1" x14ac:dyDescent="0.25">
      <c r="A62" s="76" t="s">
        <v>382</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1"/>
  <sheetViews>
    <sheetView workbookViewId="0">
      <selection activeCell="D34" sqref="D34"/>
    </sheetView>
  </sheetViews>
  <sheetFormatPr defaultRowHeight="16.3" x14ac:dyDescent="0.25"/>
  <cols>
    <col min="1" max="1" width="13.88671875" bestFit="1" customWidth="1"/>
    <col min="2" max="2" width="13.6640625" customWidth="1"/>
    <col min="3" max="3" width="11.21875" customWidth="1"/>
    <col min="4" max="4" width="15" bestFit="1" customWidth="1"/>
    <col min="5" max="5" width="10.44140625" customWidth="1"/>
    <col min="6" max="6" width="17.109375" customWidth="1"/>
    <col min="8" max="8" width="9" style="95" customWidth="1"/>
    <col min="9" max="9" width="28.21875" customWidth="1"/>
  </cols>
  <sheetData>
    <row r="1" spans="1:9" s="18" customFormat="1" ht="32.299999999999997" customHeight="1" x14ac:dyDescent="0.25">
      <c r="A1" s="96" t="s">
        <v>890</v>
      </c>
      <c r="B1" s="96" t="s">
        <v>899</v>
      </c>
      <c r="C1" s="96" t="s">
        <v>891</v>
      </c>
      <c r="D1" s="96" t="s">
        <v>894</v>
      </c>
      <c r="E1" s="96" t="s">
        <v>895</v>
      </c>
      <c r="F1" s="96" t="s">
        <v>892</v>
      </c>
      <c r="H1" s="97"/>
      <c r="I1" s="98" t="s">
        <v>931</v>
      </c>
    </row>
    <row r="2" spans="1:9" x14ac:dyDescent="0.25">
      <c r="A2" s="88" t="s">
        <v>893</v>
      </c>
      <c r="B2" s="89">
        <v>0.1</v>
      </c>
      <c r="C2" s="89">
        <v>0.2</v>
      </c>
      <c r="D2" s="89">
        <v>0.3</v>
      </c>
      <c r="E2" s="89">
        <v>0.3</v>
      </c>
      <c r="F2" s="89">
        <v>0.1</v>
      </c>
    </row>
    <row r="4" spans="1:9" x14ac:dyDescent="0.25">
      <c r="A4" s="90" t="s">
        <v>894</v>
      </c>
    </row>
    <row r="23" spans="1:1" x14ac:dyDescent="0.25">
      <c r="A23" s="90" t="s">
        <v>896</v>
      </c>
    </row>
    <row r="31" spans="1:1" x14ac:dyDescent="0.25">
      <c r="A31" s="90" t="s">
        <v>897</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90"/>
  <sheetViews>
    <sheetView workbookViewId="0">
      <pane ySplit="7" topLeftCell="A8" activePane="bottomLeft" state="frozen"/>
      <selection pane="bottomLeft" activeCell="M18" sqref="M18"/>
    </sheetView>
  </sheetViews>
  <sheetFormatPr defaultColWidth="9" defaultRowHeight="16.3" x14ac:dyDescent="0.25"/>
  <cols>
    <col min="1" max="1" width="9.6640625" style="26" customWidth="1"/>
    <col min="2" max="3" width="10.6640625" style="25" customWidth="1"/>
    <col min="4" max="4" width="8.88671875" style="25" customWidth="1"/>
    <col min="5" max="5" width="9.44140625" style="34" bestFit="1" customWidth="1"/>
    <col min="6" max="6" width="9" style="25"/>
    <col min="7" max="7" width="10.6640625" style="25" customWidth="1"/>
    <col min="8" max="8" width="8.6640625" style="43" customWidth="1"/>
    <col min="9" max="9" width="9.44140625" style="57" bestFit="1" customWidth="1"/>
    <col min="10" max="10" width="11.109375" style="25" customWidth="1"/>
    <col min="11" max="12" width="9.109375" style="33" customWidth="1"/>
    <col min="13" max="13" width="11.5546875" style="33" bestFit="1" customWidth="1"/>
    <col min="14" max="14" width="9" style="34" customWidth="1"/>
    <col min="15" max="15" width="10.6640625" style="34" customWidth="1"/>
    <col min="16" max="17" width="9" style="25"/>
    <col min="18" max="18" width="9" style="34"/>
    <col min="19" max="19" width="8.44140625" style="65" customWidth="1"/>
    <col min="20" max="20" width="8.5546875" style="67" customWidth="1"/>
    <col min="21" max="22" width="3.88671875" style="25" customWidth="1"/>
    <col min="23" max="16384" width="9" style="25"/>
  </cols>
  <sheetData>
    <row r="1" spans="1:24" s="56" customFormat="1" ht="16.5" customHeight="1" x14ac:dyDescent="0.25">
      <c r="A1" s="56" t="s">
        <v>615</v>
      </c>
      <c r="D1" s="56" t="s">
        <v>616</v>
      </c>
      <c r="H1" s="56" t="s">
        <v>617</v>
      </c>
      <c r="I1" s="25"/>
      <c r="J1" s="25"/>
      <c r="L1" s="56" t="s">
        <v>618</v>
      </c>
      <c r="U1" s="25"/>
    </row>
    <row r="2" spans="1:24" x14ac:dyDescent="0.25">
      <c r="A2" s="26" t="s">
        <v>596</v>
      </c>
      <c r="B2" s="58"/>
      <c r="C2" s="58"/>
      <c r="D2" s="58">
        <v>200</v>
      </c>
      <c r="E2" s="59"/>
      <c r="F2" s="58"/>
      <c r="G2" s="58"/>
      <c r="H2" s="72">
        <v>0.5</v>
      </c>
      <c r="I2" s="58"/>
      <c r="J2" s="58"/>
      <c r="K2" s="60"/>
      <c r="L2" s="60">
        <v>11</v>
      </c>
      <c r="M2" s="60"/>
      <c r="N2" s="59"/>
      <c r="O2" s="59"/>
      <c r="P2" s="58"/>
      <c r="Q2" s="58"/>
      <c r="R2" s="58"/>
      <c r="S2" s="58"/>
      <c r="T2" s="58"/>
    </row>
    <row r="3" spans="1:24" x14ac:dyDescent="0.25">
      <c r="A3" s="26" t="s">
        <v>597</v>
      </c>
      <c r="B3" s="61"/>
      <c r="C3" s="61"/>
      <c r="D3" s="61">
        <v>150</v>
      </c>
      <c r="E3" s="62"/>
      <c r="F3" s="61"/>
      <c r="G3" s="61"/>
      <c r="H3" s="73">
        <v>0.5</v>
      </c>
      <c r="I3" s="61"/>
      <c r="J3" s="61"/>
      <c r="K3" s="63"/>
      <c r="L3" s="63">
        <v>4</v>
      </c>
      <c r="M3" s="63"/>
      <c r="N3" s="62"/>
      <c r="O3" s="62"/>
      <c r="P3" s="61"/>
      <c r="Q3" s="61"/>
      <c r="R3" s="61"/>
      <c r="S3" s="61"/>
      <c r="T3" s="61"/>
    </row>
    <row r="4" spans="1:24" s="56" customFormat="1" ht="30.1" customHeight="1" x14ac:dyDescent="0.25">
      <c r="A4" s="56" t="s">
        <v>598</v>
      </c>
      <c r="D4" s="56" t="s">
        <v>608</v>
      </c>
      <c r="H4" s="56" t="s">
        <v>608</v>
      </c>
      <c r="I4" s="25"/>
      <c r="J4" s="25"/>
      <c r="L4" s="56" t="s">
        <v>608</v>
      </c>
      <c r="U4" s="25"/>
    </row>
    <row r="5" spans="1:24" x14ac:dyDescent="0.25">
      <c r="A5" s="26" t="s">
        <v>600</v>
      </c>
      <c r="B5" s="64"/>
      <c r="C5" s="64"/>
      <c r="D5" s="58" t="s">
        <v>611</v>
      </c>
      <c r="E5" s="68"/>
      <c r="F5" s="64"/>
      <c r="G5" s="64"/>
      <c r="H5" s="74" t="s">
        <v>610</v>
      </c>
      <c r="I5" s="64"/>
      <c r="J5" s="64"/>
      <c r="K5" s="69"/>
      <c r="L5" s="69" t="s">
        <v>609</v>
      </c>
      <c r="M5" s="69"/>
      <c r="N5" s="68"/>
      <c r="O5" s="68"/>
      <c r="P5" s="64"/>
      <c r="Q5" s="64"/>
      <c r="R5" s="64"/>
      <c r="S5" s="64"/>
      <c r="T5" s="64"/>
    </row>
    <row r="6" spans="1:24" x14ac:dyDescent="0.25">
      <c r="A6" s="26" t="s">
        <v>599</v>
      </c>
      <c r="B6" s="66"/>
      <c r="C6" s="66"/>
      <c r="D6" s="66" t="s">
        <v>612</v>
      </c>
      <c r="E6" s="70"/>
      <c r="F6" s="66"/>
      <c r="G6" s="66"/>
      <c r="H6" s="75" t="s">
        <v>613</v>
      </c>
      <c r="I6" s="66"/>
      <c r="J6" s="66"/>
      <c r="K6" s="71"/>
      <c r="L6" s="71" t="s">
        <v>614</v>
      </c>
      <c r="M6" s="71"/>
      <c r="N6" s="70"/>
      <c r="O6" s="70"/>
      <c r="P6" s="66"/>
      <c r="Q6" s="66"/>
      <c r="R6" s="66"/>
      <c r="S6" s="66"/>
      <c r="T6" s="66"/>
    </row>
    <row r="7" spans="1:24" s="52" customFormat="1" ht="36" customHeight="1" x14ac:dyDescent="0.25">
      <c r="A7" s="50"/>
      <c r="B7" s="47" t="s">
        <v>347</v>
      </c>
      <c r="C7" s="47" t="s">
        <v>348</v>
      </c>
      <c r="D7" s="48" t="s">
        <v>346</v>
      </c>
      <c r="E7" s="51" t="s">
        <v>355</v>
      </c>
      <c r="F7" s="52" t="s">
        <v>356</v>
      </c>
      <c r="G7" s="52" t="s">
        <v>357</v>
      </c>
      <c r="H7" s="52" t="s">
        <v>29</v>
      </c>
      <c r="I7" s="52" t="s">
        <v>349</v>
      </c>
      <c r="J7" s="52" t="s">
        <v>358</v>
      </c>
      <c r="K7" s="53" t="s">
        <v>359</v>
      </c>
      <c r="L7" s="54" t="s">
        <v>350</v>
      </c>
      <c r="M7" s="48" t="s">
        <v>360</v>
      </c>
      <c r="N7" s="49" t="s">
        <v>361</v>
      </c>
      <c r="O7" s="55" t="s">
        <v>362</v>
      </c>
      <c r="P7" s="48" t="s">
        <v>363</v>
      </c>
      <c r="Q7" s="48" t="s">
        <v>364</v>
      </c>
      <c r="R7" s="51" t="s">
        <v>365</v>
      </c>
      <c r="S7" s="51" t="s">
        <v>603</v>
      </c>
      <c r="T7" s="51" t="s">
        <v>604</v>
      </c>
    </row>
    <row r="8" spans="1:24" x14ac:dyDescent="0.25">
      <c r="A8" s="26">
        <v>1</v>
      </c>
      <c r="B8" s="25">
        <v>113582</v>
      </c>
      <c r="C8" s="25" t="s">
        <v>1100</v>
      </c>
      <c r="D8" s="25">
        <v>168.38800000000001</v>
      </c>
      <c r="E8" s="34">
        <v>-1.4199999999999999E-2</v>
      </c>
      <c r="F8" s="25">
        <v>23.89</v>
      </c>
      <c r="G8" s="25">
        <v>172.67</v>
      </c>
      <c r="H8" s="43">
        <v>-2.4799999999999999E-2</v>
      </c>
      <c r="I8" s="57">
        <v>165.90800000000002</v>
      </c>
      <c r="J8" s="32">
        <v>46169</v>
      </c>
      <c r="K8" s="33">
        <v>1.123</v>
      </c>
      <c r="L8" s="33">
        <v>2.29298</v>
      </c>
      <c r="M8" s="33">
        <v>75089.368900000001</v>
      </c>
      <c r="N8" s="34">
        <v>1.9447646369885039</v>
      </c>
      <c r="O8" s="34">
        <v>-0.30797599999999997</v>
      </c>
      <c r="P8" s="25">
        <v>173.40199999999999</v>
      </c>
      <c r="Q8" s="25">
        <v>166.11799999999999</v>
      </c>
      <c r="R8" s="34">
        <v>4.3848348764131476E-2</v>
      </c>
    </row>
    <row r="9" spans="1:24" x14ac:dyDescent="0.25">
      <c r="A9" s="26">
        <v>2</v>
      </c>
      <c r="B9" s="25">
        <v>127081</v>
      </c>
      <c r="C9" s="25" t="s">
        <v>905</v>
      </c>
      <c r="D9" s="25">
        <v>237.5</v>
      </c>
      <c r="E9" s="34">
        <v>6.4000000000000003E-3</v>
      </c>
      <c r="F9" s="25">
        <v>20.7</v>
      </c>
      <c r="G9" s="25">
        <v>242.8</v>
      </c>
      <c r="H9" s="43">
        <v>-2.18E-2</v>
      </c>
      <c r="I9" s="57">
        <v>235.32</v>
      </c>
      <c r="J9" s="32">
        <v>47180</v>
      </c>
      <c r="K9" s="33">
        <v>3.8929999999999998</v>
      </c>
      <c r="L9" s="33">
        <v>3.635999</v>
      </c>
      <c r="M9" s="33">
        <v>861905.77744550002</v>
      </c>
      <c r="N9" s="34">
        <v>9.9809624745916121</v>
      </c>
      <c r="O9" s="34">
        <v>-0.17110600000000001</v>
      </c>
      <c r="P9" s="25">
        <v>262.5</v>
      </c>
      <c r="Q9" s="25">
        <v>232.17500000000001</v>
      </c>
      <c r="R9" s="34">
        <v>0.13061268439754489</v>
      </c>
      <c r="W9" s="27"/>
      <c r="X9" s="27"/>
    </row>
    <row r="10" spans="1:24" x14ac:dyDescent="0.25">
      <c r="A10" s="26">
        <v>3</v>
      </c>
      <c r="B10" s="25">
        <v>127053</v>
      </c>
      <c r="C10" s="25" t="s">
        <v>1084</v>
      </c>
      <c r="D10" s="25">
        <v>143</v>
      </c>
      <c r="E10" s="34">
        <v>6.9999999999999993E-3</v>
      </c>
      <c r="F10" s="25">
        <v>17.73</v>
      </c>
      <c r="G10" s="25">
        <v>145.69</v>
      </c>
      <c r="H10" s="43">
        <v>-1.8500000000000003E-2</v>
      </c>
      <c r="I10" s="57">
        <v>141.15</v>
      </c>
      <c r="J10" s="32">
        <v>46776</v>
      </c>
      <c r="K10" s="33">
        <v>2.786</v>
      </c>
      <c r="L10" s="33">
        <v>4.2192949999999998</v>
      </c>
      <c r="M10" s="33">
        <v>29053.779275999997</v>
      </c>
      <c r="N10" s="34">
        <v>0.48153371985213078</v>
      </c>
      <c r="O10" s="34">
        <v>-5.5948999999999999E-2</v>
      </c>
      <c r="P10" s="25">
        <v>145.959</v>
      </c>
      <c r="Q10" s="25">
        <v>140.32900000000001</v>
      </c>
      <c r="R10" s="34">
        <v>4.012000370557757E-2</v>
      </c>
      <c r="W10" s="27"/>
      <c r="X10" s="27"/>
    </row>
    <row r="11" spans="1:24" x14ac:dyDescent="0.25">
      <c r="A11" s="26">
        <v>4</v>
      </c>
      <c r="B11" s="25">
        <v>118016</v>
      </c>
      <c r="C11" s="25" t="s">
        <v>1076</v>
      </c>
      <c r="D11" s="25">
        <v>178.53899999999999</v>
      </c>
      <c r="E11" s="34">
        <v>-5.4000000000000003E-3</v>
      </c>
      <c r="F11" s="25">
        <v>9.7899999999999991</v>
      </c>
      <c r="G11" s="25">
        <v>179.88</v>
      </c>
      <c r="H11" s="43">
        <v>-7.4999999999999997E-3</v>
      </c>
      <c r="I11" s="57">
        <v>177.78899999999999</v>
      </c>
      <c r="J11" s="32">
        <v>46970</v>
      </c>
      <c r="K11" s="33">
        <v>3.3180000000000001</v>
      </c>
      <c r="L11" s="33">
        <v>2.02054</v>
      </c>
      <c r="M11" s="33">
        <v>126843.4955</v>
      </c>
      <c r="N11" s="34">
        <v>3.5161520830613959</v>
      </c>
      <c r="O11" s="34">
        <v>-0.11393300000000001</v>
      </c>
      <c r="P11" s="25">
        <v>186.8</v>
      </c>
      <c r="Q11" s="25">
        <v>176.23699999999999</v>
      </c>
      <c r="R11" s="34">
        <v>5.9936335729727681E-2</v>
      </c>
      <c r="W11" s="27"/>
      <c r="X11" s="27"/>
    </row>
    <row r="12" spans="1:24" x14ac:dyDescent="0.25">
      <c r="A12" s="26">
        <v>5</v>
      </c>
      <c r="B12" s="25">
        <v>118046</v>
      </c>
      <c r="C12" s="25" t="s">
        <v>1042</v>
      </c>
      <c r="D12" s="25">
        <v>118.239</v>
      </c>
      <c r="E12" s="34">
        <v>-9.3999999999999986E-3</v>
      </c>
      <c r="F12" s="25">
        <v>42.23</v>
      </c>
      <c r="G12" s="25">
        <v>119.01</v>
      </c>
      <c r="H12" s="43">
        <v>-6.5000000000000006E-3</v>
      </c>
      <c r="I12" s="57">
        <v>117.589</v>
      </c>
      <c r="J12" s="32">
        <v>47467</v>
      </c>
      <c r="K12" s="33">
        <v>4.6790000000000003</v>
      </c>
      <c r="L12" s="33">
        <v>2.10846</v>
      </c>
      <c r="M12" s="33">
        <v>18438.5425</v>
      </c>
      <c r="N12" s="34">
        <v>0.73960608275885331</v>
      </c>
      <c r="O12" s="34">
        <v>2.6690000000000004E-3</v>
      </c>
      <c r="P12" s="25">
        <v>120.973</v>
      </c>
      <c r="Q12" s="25">
        <v>116.69199999999999</v>
      </c>
      <c r="R12" s="34">
        <v>3.668631954204235E-2</v>
      </c>
      <c r="W12" s="25" t="s">
        <v>1104</v>
      </c>
    </row>
    <row r="13" spans="1:24" x14ac:dyDescent="0.25">
      <c r="A13" s="26">
        <v>6</v>
      </c>
      <c r="B13" s="25">
        <v>128144</v>
      </c>
      <c r="C13" s="25" t="s">
        <v>1018</v>
      </c>
      <c r="D13" s="25">
        <v>136.755</v>
      </c>
      <c r="E13" s="34">
        <v>-2.3199999999999998E-2</v>
      </c>
      <c r="F13" s="25">
        <v>8.35</v>
      </c>
      <c r="G13" s="25">
        <v>137.01</v>
      </c>
      <c r="H13" s="43">
        <v>-1.9E-3</v>
      </c>
      <c r="I13" s="57">
        <v>136.565</v>
      </c>
      <c r="J13" s="32">
        <v>46447</v>
      </c>
      <c r="K13" s="33">
        <v>1.885</v>
      </c>
      <c r="L13" s="33">
        <v>6.4652919999999998</v>
      </c>
      <c r="M13" s="33">
        <v>43348.570090900001</v>
      </c>
      <c r="N13" s="34">
        <v>0.49027914288406477</v>
      </c>
      <c r="O13" s="34">
        <v>-0.10317399999999999</v>
      </c>
      <c r="P13" s="25">
        <v>141.85</v>
      </c>
      <c r="Q13" s="25">
        <v>136.33600000000001</v>
      </c>
      <c r="R13" s="34">
        <v>4.0444196690529143E-2</v>
      </c>
    </row>
    <row r="14" spans="1:24" x14ac:dyDescent="0.25">
      <c r="A14" s="26">
        <v>7</v>
      </c>
      <c r="B14" s="25">
        <v>127076</v>
      </c>
      <c r="C14" s="25" t="s">
        <v>1015</v>
      </c>
      <c r="D14" s="25">
        <v>155.09700000000001</v>
      </c>
      <c r="E14" s="34">
        <v>7.7000000000000002E-3</v>
      </c>
      <c r="F14" s="25">
        <v>27.81</v>
      </c>
      <c r="G14" s="25">
        <v>153.4</v>
      </c>
      <c r="H14" s="43">
        <v>1.11E-2</v>
      </c>
      <c r="I14" s="57">
        <v>156.20700000000002</v>
      </c>
      <c r="J14" s="32">
        <v>47051</v>
      </c>
      <c r="K14" s="33">
        <v>3.54</v>
      </c>
      <c r="L14" s="33">
        <v>7.4801849999999996</v>
      </c>
      <c r="M14" s="33">
        <v>14947.048876199999</v>
      </c>
      <c r="N14" s="34">
        <v>0.12883673734124215</v>
      </c>
      <c r="O14" s="34">
        <v>-8.0089000000000007E-2</v>
      </c>
      <c r="P14" s="25">
        <v>156.71199999999999</v>
      </c>
      <c r="Q14" s="25">
        <v>153.02099999999999</v>
      </c>
      <c r="R14" s="34">
        <v>2.4120872298573418E-2</v>
      </c>
    </row>
    <row r="15" spans="1:24" x14ac:dyDescent="0.25">
      <c r="A15" s="26">
        <v>8</v>
      </c>
      <c r="B15" s="25">
        <v>110077</v>
      </c>
      <c r="C15" s="25" t="s">
        <v>912</v>
      </c>
      <c r="D15" s="25">
        <v>187.91</v>
      </c>
      <c r="E15" s="34">
        <v>-1.55E-2</v>
      </c>
      <c r="F15" s="25">
        <v>5.34</v>
      </c>
      <c r="G15" s="25">
        <v>184.08</v>
      </c>
      <c r="H15" s="43">
        <v>2.0799999999999999E-2</v>
      </c>
      <c r="I15" s="57">
        <v>189.99</v>
      </c>
      <c r="J15" s="32">
        <v>46346</v>
      </c>
      <c r="K15" s="33">
        <v>1.6080000000000001</v>
      </c>
      <c r="L15" s="33">
        <v>6.6851799999999999</v>
      </c>
      <c r="M15" s="33">
        <v>5978.0685999999996</v>
      </c>
      <c r="N15" s="34">
        <v>4.7588048616950915E-2</v>
      </c>
      <c r="O15" s="34">
        <v>-0.27842699999999998</v>
      </c>
      <c r="P15" s="25">
        <v>192.28700000000001</v>
      </c>
      <c r="Q15" s="25">
        <v>187.19800000000001</v>
      </c>
      <c r="R15" s="34">
        <v>2.7185119499139938E-2</v>
      </c>
    </row>
    <row r="16" spans="1:24" x14ac:dyDescent="0.25">
      <c r="A16" s="26">
        <v>9</v>
      </c>
      <c r="B16" s="25">
        <v>123063</v>
      </c>
      <c r="C16" s="25" t="s">
        <v>933</v>
      </c>
      <c r="D16" s="25">
        <v>129.143</v>
      </c>
      <c r="E16" s="34">
        <v>-1.7000000000000001E-2</v>
      </c>
      <c r="F16" s="25">
        <v>3.71</v>
      </c>
      <c r="G16" s="25">
        <v>126.42</v>
      </c>
      <c r="H16" s="43">
        <v>2.1499999999999998E-2</v>
      </c>
      <c r="I16" s="57">
        <v>131.29300000000001</v>
      </c>
      <c r="J16" s="32">
        <v>46231</v>
      </c>
      <c r="K16" s="33">
        <v>1.2929999999999999</v>
      </c>
      <c r="L16" s="33">
        <v>5.7124319999999997</v>
      </c>
      <c r="M16" s="33">
        <v>19930.8758576</v>
      </c>
      <c r="N16" s="34">
        <v>0.27016834966450387</v>
      </c>
      <c r="O16" s="34">
        <v>-4.0544999999999998E-2</v>
      </c>
      <c r="P16" s="25">
        <v>131.85300000000001</v>
      </c>
      <c r="Q16" s="25">
        <v>128.69999999999999</v>
      </c>
      <c r="R16" s="34">
        <v>2.4498834498834658E-2</v>
      </c>
    </row>
    <row r="17" spans="1:18" x14ac:dyDescent="0.25">
      <c r="A17" s="26">
        <v>10</v>
      </c>
      <c r="B17" s="25">
        <v>123213</v>
      </c>
      <c r="C17" s="25" t="s">
        <v>1055</v>
      </c>
      <c r="D17" s="25">
        <v>211.99799999999999</v>
      </c>
      <c r="E17" s="34">
        <v>1.4800000000000001E-2</v>
      </c>
      <c r="F17" s="25">
        <v>7.24</v>
      </c>
      <c r="G17" s="25">
        <v>207.46</v>
      </c>
      <c r="H17" s="43">
        <v>2.1899999999999999E-2</v>
      </c>
      <c r="I17" s="57">
        <v>214.18799999999999</v>
      </c>
      <c r="J17" s="32">
        <v>47327</v>
      </c>
      <c r="K17" s="33">
        <v>4.2960000000000003</v>
      </c>
      <c r="L17" s="33">
        <v>5.2010100000000001</v>
      </c>
      <c r="M17" s="33">
        <v>38588.891357799999</v>
      </c>
      <c r="N17" s="34">
        <v>0.34997969559268216</v>
      </c>
      <c r="O17" s="34">
        <v>-0.131212</v>
      </c>
      <c r="P17" s="25">
        <v>216.8</v>
      </c>
      <c r="Q17" s="25">
        <v>207</v>
      </c>
      <c r="R17" s="34">
        <v>4.7342995169082178E-2</v>
      </c>
    </row>
    <row r="18" spans="1:18" x14ac:dyDescent="0.25">
      <c r="A18" s="26">
        <v>11</v>
      </c>
      <c r="B18" s="25">
        <v>123249</v>
      </c>
      <c r="C18" s="25" t="s">
        <v>966</v>
      </c>
      <c r="D18" s="25">
        <v>170.50299999999999</v>
      </c>
      <c r="E18" s="34">
        <v>3.0000000000000001E-3</v>
      </c>
      <c r="F18" s="25">
        <v>17.46</v>
      </c>
      <c r="G18" s="25">
        <v>166.72</v>
      </c>
      <c r="H18" s="43">
        <v>2.2700000000000001E-2</v>
      </c>
      <c r="I18" s="57">
        <v>172.773</v>
      </c>
      <c r="J18" s="32">
        <v>47780</v>
      </c>
      <c r="K18" s="33">
        <v>5.5369999999999999</v>
      </c>
      <c r="L18" s="33">
        <v>8.1715970000000002</v>
      </c>
      <c r="M18" s="33">
        <v>39689.698345099998</v>
      </c>
      <c r="N18" s="34">
        <v>0.28486482957970877</v>
      </c>
      <c r="O18" s="34">
        <v>-6.9555999999999993E-2</v>
      </c>
      <c r="P18" s="25">
        <v>174.76599999999999</v>
      </c>
      <c r="Q18" s="25">
        <v>168</v>
      </c>
      <c r="R18" s="34">
        <v>4.0273809523809469E-2</v>
      </c>
    </row>
    <row r="19" spans="1:18" x14ac:dyDescent="0.25">
      <c r="A19" s="26">
        <v>12</v>
      </c>
      <c r="B19" s="25">
        <v>127055</v>
      </c>
      <c r="C19" s="25" t="s">
        <v>874</v>
      </c>
      <c r="D19" s="25">
        <v>146.94999999999999</v>
      </c>
      <c r="E19" s="34">
        <v>1.38E-2</v>
      </c>
      <c r="F19" s="25">
        <v>18.5</v>
      </c>
      <c r="G19" s="25">
        <v>143.57</v>
      </c>
      <c r="H19" s="43">
        <v>2.35E-2</v>
      </c>
      <c r="I19" s="57">
        <v>149.29999999999998</v>
      </c>
      <c r="J19" s="32">
        <v>46805</v>
      </c>
      <c r="K19" s="33">
        <v>2.8660000000000001</v>
      </c>
      <c r="L19" s="33">
        <v>2.9828869999999998</v>
      </c>
      <c r="M19" s="33">
        <v>26583.4742152</v>
      </c>
      <c r="N19" s="34">
        <v>0.60646444792332999</v>
      </c>
      <c r="O19" s="34">
        <v>-7.3249000000000009E-2</v>
      </c>
      <c r="P19" s="25">
        <v>150.6</v>
      </c>
      <c r="Q19" s="25">
        <v>144.62100000000001</v>
      </c>
      <c r="R19" s="34">
        <v>4.1342543613997862E-2</v>
      </c>
    </row>
    <row r="20" spans="1:18" x14ac:dyDescent="0.25">
      <c r="A20" s="26">
        <v>13</v>
      </c>
      <c r="B20" s="25">
        <v>128117</v>
      </c>
      <c r="C20" s="25" t="s">
        <v>1027</v>
      </c>
      <c r="D20" s="25">
        <v>141.541</v>
      </c>
      <c r="E20" s="34">
        <v>5.6299999999999996E-2</v>
      </c>
      <c r="F20" s="25">
        <v>11.76</v>
      </c>
      <c r="G20" s="25">
        <v>137.07</v>
      </c>
      <c r="H20" s="43">
        <v>3.2599999999999997E-2</v>
      </c>
      <c r="I20" s="57">
        <v>144.80099999999999</v>
      </c>
      <c r="J20" s="32">
        <v>46205</v>
      </c>
      <c r="K20" s="33">
        <v>1.222</v>
      </c>
      <c r="L20" s="33">
        <v>2.2748140000000001</v>
      </c>
      <c r="M20" s="33">
        <v>154022.98884500001</v>
      </c>
      <c r="N20" s="34">
        <v>4.783627949635231</v>
      </c>
      <c r="O20" s="34">
        <v>-0.127637</v>
      </c>
      <c r="P20" s="25">
        <v>147.9</v>
      </c>
      <c r="Q20" s="25">
        <v>133.21700000000001</v>
      </c>
      <c r="R20" s="34">
        <v>0.11021866578589813</v>
      </c>
    </row>
    <row r="21" spans="1:18" x14ac:dyDescent="0.25">
      <c r="A21" s="26">
        <v>14</v>
      </c>
      <c r="B21" s="25">
        <v>127092</v>
      </c>
      <c r="C21" s="25" t="s">
        <v>948</v>
      </c>
      <c r="D21" s="25">
        <v>164.4</v>
      </c>
      <c r="E21" s="34">
        <v>-6.0999999999999995E-3</v>
      </c>
      <c r="F21" s="25">
        <v>17.18</v>
      </c>
      <c r="G21" s="25">
        <v>159.19999999999999</v>
      </c>
      <c r="H21" s="43">
        <v>3.27E-2</v>
      </c>
      <c r="I21" s="57">
        <v>167.67000000000002</v>
      </c>
      <c r="J21" s="32">
        <v>47382</v>
      </c>
      <c r="K21" s="33">
        <v>4.4470000000000001</v>
      </c>
      <c r="L21" s="33">
        <v>5.2513990000000002</v>
      </c>
      <c r="M21" s="33">
        <v>22257.574290599998</v>
      </c>
      <c r="N21" s="34">
        <v>0.25781073753995248</v>
      </c>
      <c r="O21" s="34">
        <v>-6.7823000000000008E-2</v>
      </c>
      <c r="P21" s="25">
        <v>169.99</v>
      </c>
      <c r="Q21" s="25">
        <v>162.19999999999999</v>
      </c>
      <c r="R21" s="34">
        <v>4.8027127003699266E-2</v>
      </c>
    </row>
    <row r="22" spans="1:18" x14ac:dyDescent="0.25">
      <c r="A22" s="26">
        <v>15</v>
      </c>
      <c r="B22" s="25">
        <v>111011</v>
      </c>
      <c r="C22" s="25" t="s">
        <v>915</v>
      </c>
      <c r="D22" s="25">
        <v>189.11199999999999</v>
      </c>
      <c r="E22" s="34">
        <v>-8.3000000000000001E-3</v>
      </c>
      <c r="F22" s="25">
        <v>17.010000000000002</v>
      </c>
      <c r="G22" s="25">
        <v>182.89</v>
      </c>
      <c r="H22" s="43">
        <v>3.4000000000000002E-2</v>
      </c>
      <c r="I22" s="57">
        <v>192.512</v>
      </c>
      <c r="J22" s="32">
        <v>47121</v>
      </c>
      <c r="K22" s="33">
        <v>3.7320000000000002</v>
      </c>
      <c r="L22" s="33">
        <v>3.2460300000000002</v>
      </c>
      <c r="M22" s="33">
        <v>77816.275999999998</v>
      </c>
      <c r="N22" s="34">
        <v>1.2676484399984158</v>
      </c>
      <c r="O22" s="34">
        <v>-0.11769399999999999</v>
      </c>
      <c r="P22" s="25">
        <v>197.995</v>
      </c>
      <c r="Q22" s="25">
        <v>186.214</v>
      </c>
      <c r="R22" s="34">
        <v>6.3265919855649985E-2</v>
      </c>
    </row>
    <row r="23" spans="1:18" x14ac:dyDescent="0.25">
      <c r="A23" s="26">
        <v>16</v>
      </c>
      <c r="B23" s="25">
        <v>113637</v>
      </c>
      <c r="C23" s="25" t="s">
        <v>605</v>
      </c>
      <c r="D23" s="25">
        <v>134.57499999999999</v>
      </c>
      <c r="E23" s="34">
        <v>2E-3</v>
      </c>
      <c r="F23" s="25">
        <v>11.65</v>
      </c>
      <c r="G23" s="25">
        <v>129.79</v>
      </c>
      <c r="H23" s="43">
        <v>3.6900000000000002E-2</v>
      </c>
      <c r="I23" s="57">
        <v>138.26499999999999</v>
      </c>
      <c r="J23" s="32">
        <v>46743</v>
      </c>
      <c r="K23" s="33">
        <v>2.6960000000000002</v>
      </c>
      <c r="L23" s="33">
        <v>7.9965999999999999</v>
      </c>
      <c r="M23" s="33">
        <v>17398.299299999999</v>
      </c>
      <c r="N23" s="34">
        <v>0.16167282854455203</v>
      </c>
      <c r="O23" s="34">
        <v>-4.5286999999999994E-2</v>
      </c>
      <c r="P23" s="25">
        <v>136.36000000000001</v>
      </c>
      <c r="Q23" s="25">
        <v>133.12299999999999</v>
      </c>
      <c r="R23" s="34">
        <v>2.4315858266415444E-2</v>
      </c>
    </row>
    <row r="24" spans="1:18" x14ac:dyDescent="0.25">
      <c r="A24" s="26">
        <v>17</v>
      </c>
      <c r="B24" s="25">
        <v>123245</v>
      </c>
      <c r="C24" s="25" t="s">
        <v>1033</v>
      </c>
      <c r="D24" s="25">
        <v>189.5</v>
      </c>
      <c r="E24" s="34">
        <v>1.9099999999999999E-2</v>
      </c>
      <c r="F24" s="25">
        <v>23.54</v>
      </c>
      <c r="G24" s="25">
        <v>181.78</v>
      </c>
      <c r="H24" s="43">
        <v>4.2500000000000003E-2</v>
      </c>
      <c r="I24" s="57">
        <v>193.75</v>
      </c>
      <c r="J24" s="32">
        <v>47709</v>
      </c>
      <c r="K24" s="33">
        <v>5.3419999999999996</v>
      </c>
      <c r="L24" s="33">
        <v>1.5882890000000001</v>
      </c>
      <c r="M24" s="33">
        <v>103082.40907899999</v>
      </c>
      <c r="N24" s="34">
        <v>3.4248836103448603</v>
      </c>
      <c r="O24" s="34">
        <v>-8.1775E-2</v>
      </c>
      <c r="P24" s="25">
        <v>198</v>
      </c>
      <c r="Q24" s="25">
        <v>185.35</v>
      </c>
      <c r="R24" s="34">
        <v>6.8249258160237428E-2</v>
      </c>
    </row>
    <row r="25" spans="1:18" x14ac:dyDescent="0.25">
      <c r="A25" s="26">
        <v>18</v>
      </c>
      <c r="B25" s="25">
        <v>123131</v>
      </c>
      <c r="C25" s="25" t="s">
        <v>964</v>
      </c>
      <c r="D25" s="25">
        <v>233.346</v>
      </c>
      <c r="E25" s="34">
        <v>1.5E-3</v>
      </c>
      <c r="F25" s="25">
        <v>10.07</v>
      </c>
      <c r="G25" s="25">
        <v>221.95</v>
      </c>
      <c r="H25" s="43">
        <v>5.1299999999999998E-2</v>
      </c>
      <c r="I25" s="57">
        <v>238.476</v>
      </c>
      <c r="J25" s="32">
        <v>46724</v>
      </c>
      <c r="K25" s="33">
        <v>2.6440000000000001</v>
      </c>
      <c r="L25" s="33">
        <v>3.165813</v>
      </c>
      <c r="M25" s="33">
        <v>153092.72579679999</v>
      </c>
      <c r="N25" s="34">
        <v>2.0723778265753339</v>
      </c>
      <c r="O25" s="34">
        <v>-0.2271</v>
      </c>
      <c r="P25" s="25">
        <v>238.53899999999999</v>
      </c>
      <c r="Q25" s="25">
        <v>229</v>
      </c>
      <c r="R25" s="34">
        <v>4.1655021834061078E-2</v>
      </c>
    </row>
    <row r="26" spans="1:18" x14ac:dyDescent="0.25">
      <c r="A26" s="26">
        <v>19</v>
      </c>
      <c r="B26" s="25">
        <v>123056</v>
      </c>
      <c r="C26" s="25" t="s">
        <v>1099</v>
      </c>
      <c r="D26" s="25">
        <v>129.80000000000001</v>
      </c>
      <c r="E26" s="34">
        <v>-3.9199999999999999E-2</v>
      </c>
      <c r="F26" s="25">
        <v>4.0999999999999996</v>
      </c>
      <c r="G26" s="25">
        <v>122.93</v>
      </c>
      <c r="H26" s="43">
        <v>5.5899999999999998E-2</v>
      </c>
      <c r="I26" s="57">
        <v>135.39000000000001</v>
      </c>
      <c r="J26" s="32">
        <v>46197</v>
      </c>
      <c r="K26" s="33">
        <v>1.2</v>
      </c>
      <c r="L26" s="33">
        <v>3.1176010000000001</v>
      </c>
      <c r="M26" s="33">
        <v>84587.670213000005</v>
      </c>
      <c r="N26" s="34">
        <v>2.0903154900253393</v>
      </c>
      <c r="O26" s="34">
        <v>-8.0756999999999995E-2</v>
      </c>
      <c r="P26" s="25">
        <v>135.19499999999999</v>
      </c>
      <c r="Q26" s="25">
        <v>129.22999999999999</v>
      </c>
      <c r="R26" s="34">
        <v>4.6158012845314587E-2</v>
      </c>
    </row>
    <row r="27" spans="1:18" x14ac:dyDescent="0.25">
      <c r="A27" s="26">
        <v>20</v>
      </c>
      <c r="B27" s="25">
        <v>113690</v>
      </c>
      <c r="C27" s="25" t="s">
        <v>965</v>
      </c>
      <c r="D27" s="25">
        <v>189.96299999999999</v>
      </c>
      <c r="E27" s="34">
        <v>2.1700000000000001E-2</v>
      </c>
      <c r="F27" s="25">
        <v>8.43</v>
      </c>
      <c r="G27" s="25">
        <v>178.88</v>
      </c>
      <c r="H27" s="43">
        <v>6.2E-2</v>
      </c>
      <c r="I27" s="57">
        <v>196.16299999999998</v>
      </c>
      <c r="J27" s="32">
        <v>47779</v>
      </c>
      <c r="K27" s="33">
        <v>5.5339999999999998</v>
      </c>
      <c r="L27" s="33">
        <v>5.5</v>
      </c>
      <c r="M27" s="33">
        <v>36728.265800000001</v>
      </c>
      <c r="N27" s="34">
        <v>0.35153511521143116</v>
      </c>
      <c r="O27" s="34">
        <v>-8.3771999999999999E-2</v>
      </c>
      <c r="P27" s="25">
        <v>193.316</v>
      </c>
      <c r="Q27" s="25">
        <v>183.33600000000001</v>
      </c>
      <c r="R27" s="34">
        <v>5.4435571846227632E-2</v>
      </c>
    </row>
    <row r="28" spans="1:18" x14ac:dyDescent="0.25">
      <c r="A28" s="26">
        <v>21</v>
      </c>
      <c r="B28" s="25">
        <v>123221</v>
      </c>
      <c r="C28" s="25" t="s">
        <v>1053</v>
      </c>
      <c r="D28" s="25">
        <v>130.9</v>
      </c>
      <c r="E28" s="34">
        <v>-1.1000000000000001E-3</v>
      </c>
      <c r="F28" s="25">
        <v>14.3</v>
      </c>
      <c r="G28" s="25">
        <v>123.22</v>
      </c>
      <c r="H28" s="43">
        <v>6.2300000000000001E-2</v>
      </c>
      <c r="I28" s="57">
        <v>137.13</v>
      </c>
      <c r="J28" s="32">
        <v>47353</v>
      </c>
      <c r="K28" s="33">
        <v>4.367</v>
      </c>
      <c r="L28" s="33">
        <v>4.9941519999999997</v>
      </c>
      <c r="M28" s="33">
        <v>4501.1747258000005</v>
      </c>
      <c r="N28" s="34">
        <v>6.8853253848971438E-2</v>
      </c>
      <c r="O28" s="34">
        <v>-3.4122E-2</v>
      </c>
      <c r="P28" s="25">
        <v>131.94200000000001</v>
      </c>
      <c r="Q28" s="25">
        <v>129.4</v>
      </c>
      <c r="R28" s="34">
        <v>1.9644513137557971E-2</v>
      </c>
    </row>
    <row r="29" spans="1:18" x14ac:dyDescent="0.25">
      <c r="A29" s="26">
        <v>22</v>
      </c>
      <c r="B29" s="25">
        <v>127079</v>
      </c>
      <c r="C29" s="25" t="s">
        <v>1067</v>
      </c>
      <c r="D29" s="25">
        <v>132.08199999999999</v>
      </c>
      <c r="E29" s="34">
        <v>-3.9000000000000003E-3</v>
      </c>
      <c r="F29" s="25">
        <v>43.3</v>
      </c>
      <c r="G29" s="25">
        <v>123.93</v>
      </c>
      <c r="H29" s="43">
        <v>6.5799999999999997E-2</v>
      </c>
      <c r="I29" s="57">
        <v>138.66200000000001</v>
      </c>
      <c r="J29" s="32">
        <v>47103</v>
      </c>
      <c r="K29" s="33">
        <v>3.6819999999999999</v>
      </c>
      <c r="L29" s="33">
        <v>3.3991160000000007</v>
      </c>
      <c r="M29" s="33">
        <v>10578.918506</v>
      </c>
      <c r="N29" s="34">
        <v>0.2356305784225938</v>
      </c>
      <c r="O29" s="34">
        <v>-2.5760999999999999E-2</v>
      </c>
      <c r="P29" s="25">
        <v>134</v>
      </c>
      <c r="Q29" s="25">
        <v>130.774</v>
      </c>
      <c r="R29" s="34">
        <v>2.4668512089559079E-2</v>
      </c>
    </row>
    <row r="30" spans="1:18" x14ac:dyDescent="0.25">
      <c r="A30" s="26">
        <v>23</v>
      </c>
      <c r="B30" s="25">
        <v>113651</v>
      </c>
      <c r="C30" s="25" t="s">
        <v>1078</v>
      </c>
      <c r="D30" s="25">
        <v>145.346</v>
      </c>
      <c r="E30" s="34">
        <v>1.7500000000000002E-2</v>
      </c>
      <c r="F30" s="25">
        <v>15.67</v>
      </c>
      <c r="G30" s="25">
        <v>136.31</v>
      </c>
      <c r="H30" s="43">
        <v>6.6299999999999998E-2</v>
      </c>
      <c r="I30" s="57">
        <v>151.976</v>
      </c>
      <c r="J30" s="32">
        <v>46954</v>
      </c>
      <c r="K30" s="33">
        <v>3.274</v>
      </c>
      <c r="L30" s="33">
        <v>2.3794499999999998</v>
      </c>
      <c r="M30" s="33">
        <v>24070.189699999999</v>
      </c>
      <c r="N30" s="34">
        <v>0.69598494512517262</v>
      </c>
      <c r="O30" s="34">
        <v>-6.7012000000000002E-2</v>
      </c>
      <c r="P30" s="25">
        <v>146.678</v>
      </c>
      <c r="Q30" s="25">
        <v>140.16</v>
      </c>
      <c r="R30" s="34">
        <v>4.6503995433789962E-2</v>
      </c>
    </row>
    <row r="31" spans="1:18" x14ac:dyDescent="0.25">
      <c r="A31" s="26">
        <v>24</v>
      </c>
      <c r="B31" s="25">
        <v>128109</v>
      </c>
      <c r="C31" s="25" t="s">
        <v>962</v>
      </c>
      <c r="D31" s="25">
        <v>155</v>
      </c>
      <c r="E31" s="34">
        <v>1.3100000000000001E-2</v>
      </c>
      <c r="F31" s="25">
        <v>6.1</v>
      </c>
      <c r="G31" s="25">
        <v>145.08000000000001</v>
      </c>
      <c r="H31" s="43">
        <v>6.8400000000000002E-2</v>
      </c>
      <c r="I31" s="57">
        <v>161.84</v>
      </c>
      <c r="J31" s="32">
        <v>46177</v>
      </c>
      <c r="K31" s="33">
        <v>1.145</v>
      </c>
      <c r="L31" s="33">
        <v>6.9828239999999999</v>
      </c>
      <c r="M31" s="33">
        <v>16548.103478600002</v>
      </c>
      <c r="N31" s="34">
        <v>0.15289223661723628</v>
      </c>
      <c r="O31" s="34">
        <v>-0.250332</v>
      </c>
      <c r="P31" s="25">
        <v>156.80000000000001</v>
      </c>
      <c r="Q31" s="25">
        <v>151.214</v>
      </c>
      <c r="R31" s="34">
        <v>3.6941023979261266E-2</v>
      </c>
    </row>
    <row r="32" spans="1:18" x14ac:dyDescent="0.25">
      <c r="A32" s="26">
        <v>25</v>
      </c>
      <c r="B32" s="25">
        <v>123243</v>
      </c>
      <c r="C32" s="25" t="s">
        <v>954</v>
      </c>
      <c r="D32" s="25">
        <v>127.13500000000001</v>
      </c>
      <c r="E32" s="34">
        <v>-2.2000000000000001E-3</v>
      </c>
      <c r="F32" s="25">
        <v>7.57</v>
      </c>
      <c r="G32" s="25">
        <v>118.89</v>
      </c>
      <c r="H32" s="43">
        <v>6.93E-2</v>
      </c>
      <c r="I32" s="57">
        <v>134.065</v>
      </c>
      <c r="J32" s="32">
        <v>47674</v>
      </c>
      <c r="K32" s="33">
        <v>5.2469999999999999</v>
      </c>
      <c r="L32" s="33">
        <v>4.4710150000000004</v>
      </c>
      <c r="M32" s="33">
        <v>4121.1603643999997</v>
      </c>
      <c r="N32" s="34">
        <v>7.2501711705995342E-2</v>
      </c>
      <c r="O32" s="34">
        <v>-1.2878000000000001E-2</v>
      </c>
      <c r="P32" s="25">
        <v>128.27000000000001</v>
      </c>
      <c r="Q32" s="25">
        <v>125.99</v>
      </c>
      <c r="R32" s="34">
        <v>1.8096674339233395E-2</v>
      </c>
    </row>
    <row r="33" spans="1:18" x14ac:dyDescent="0.25">
      <c r="A33" s="26">
        <v>26</v>
      </c>
      <c r="B33" s="25">
        <v>110074</v>
      </c>
      <c r="C33" s="25" t="s">
        <v>916</v>
      </c>
      <c r="D33" s="25">
        <v>194.64</v>
      </c>
      <c r="E33" s="34">
        <v>5.8999999999999999E-3</v>
      </c>
      <c r="F33" s="25">
        <v>3.4</v>
      </c>
      <c r="G33" s="25">
        <v>181.76</v>
      </c>
      <c r="H33" s="43">
        <v>7.0900000000000005E-2</v>
      </c>
      <c r="I33" s="57">
        <v>201.73</v>
      </c>
      <c r="J33" s="32">
        <v>46253</v>
      </c>
      <c r="K33" s="33">
        <v>1.353</v>
      </c>
      <c r="L33" s="33">
        <v>2.7018300000000002</v>
      </c>
      <c r="M33" s="33">
        <v>21889.999</v>
      </c>
      <c r="N33" s="34">
        <v>0.41625132236909118</v>
      </c>
      <c r="O33" s="34">
        <v>-0.32941699999999996</v>
      </c>
      <c r="P33" s="25">
        <v>198</v>
      </c>
      <c r="Q33" s="25">
        <v>191.58799999999999</v>
      </c>
      <c r="R33" s="34">
        <v>3.3467649330855831E-2</v>
      </c>
    </row>
    <row r="34" spans="1:18" x14ac:dyDescent="0.25">
      <c r="A34" s="26">
        <v>27</v>
      </c>
      <c r="B34" s="25">
        <v>128066</v>
      </c>
      <c r="C34" s="25" t="s">
        <v>1081</v>
      </c>
      <c r="D34" s="25">
        <v>111.96299999999999</v>
      </c>
      <c r="E34" s="34">
        <v>-1E-4</v>
      </c>
      <c r="F34" s="25">
        <v>8.39</v>
      </c>
      <c r="G34" s="25">
        <v>104.53</v>
      </c>
      <c r="H34" s="43">
        <v>7.1099999999999997E-2</v>
      </c>
      <c r="I34" s="57">
        <v>119.07299999999999</v>
      </c>
      <c r="J34" s="32">
        <v>45764</v>
      </c>
      <c r="K34" s="33">
        <v>1.4E-2</v>
      </c>
      <c r="L34" s="33">
        <v>1.627176</v>
      </c>
      <c r="M34" s="33">
        <v>5448.3983174000005</v>
      </c>
      <c r="N34" s="34">
        <v>0.29906100845407069</v>
      </c>
      <c r="O34" s="34">
        <v>2.0303000000000002E-2</v>
      </c>
      <c r="P34" s="25">
        <v>112.057</v>
      </c>
      <c r="Q34" s="25">
        <v>111.93</v>
      </c>
      <c r="R34" s="34">
        <v>1.134637720003532E-3</v>
      </c>
    </row>
    <row r="35" spans="1:18" x14ac:dyDescent="0.25">
      <c r="A35" s="26">
        <v>28</v>
      </c>
      <c r="B35" s="25">
        <v>128133</v>
      </c>
      <c r="C35" s="25" t="s">
        <v>918</v>
      </c>
      <c r="D35" s="25">
        <v>127.858</v>
      </c>
      <c r="E35" s="34">
        <v>-8.8999999999999999E-3</v>
      </c>
      <c r="F35" s="25">
        <v>19.39</v>
      </c>
      <c r="G35" s="25">
        <v>119.29</v>
      </c>
      <c r="H35" s="43">
        <v>7.1800000000000003E-2</v>
      </c>
      <c r="I35" s="57">
        <v>135.03800000000001</v>
      </c>
      <c r="J35" s="32">
        <v>46287</v>
      </c>
      <c r="K35" s="33">
        <v>1.4470000000000001</v>
      </c>
      <c r="L35" s="33">
        <v>7.8135500000000002</v>
      </c>
      <c r="M35" s="33">
        <v>13429.3823238</v>
      </c>
      <c r="N35" s="34">
        <v>0.13442490420172731</v>
      </c>
      <c r="O35" s="34">
        <v>-7.8009000000000009E-2</v>
      </c>
      <c r="P35" s="25">
        <v>129.19900000000001</v>
      </c>
      <c r="Q35" s="25">
        <v>127.369</v>
      </c>
      <c r="R35" s="34">
        <v>1.4367703287299206E-2</v>
      </c>
    </row>
    <row r="36" spans="1:18" x14ac:dyDescent="0.25">
      <c r="A36" s="26">
        <v>29</v>
      </c>
      <c r="B36" s="25">
        <v>123235</v>
      </c>
      <c r="C36" s="25" t="s">
        <v>949</v>
      </c>
      <c r="D36" s="25">
        <v>157</v>
      </c>
      <c r="E36" s="34">
        <v>0</v>
      </c>
      <c r="F36" s="25">
        <v>28.61</v>
      </c>
      <c r="G36" s="25">
        <v>145.61000000000001</v>
      </c>
      <c r="H36" s="43">
        <v>7.8200000000000006E-2</v>
      </c>
      <c r="I36" s="57">
        <v>164.82</v>
      </c>
      <c r="J36" s="32">
        <v>47473</v>
      </c>
      <c r="K36" s="33">
        <v>4.6959999999999997</v>
      </c>
      <c r="L36" s="33">
        <v>5.0010139999999996</v>
      </c>
      <c r="M36" s="33">
        <v>43617.780881400002</v>
      </c>
      <c r="N36" s="34">
        <v>0.55552785973221208</v>
      </c>
      <c r="O36" s="34">
        <v>-5.6502999999999998E-2</v>
      </c>
      <c r="P36" s="25">
        <v>163.84</v>
      </c>
      <c r="Q36" s="25">
        <v>157</v>
      </c>
      <c r="R36" s="34">
        <v>4.3566878980891739E-2</v>
      </c>
    </row>
    <row r="37" spans="1:18" x14ac:dyDescent="0.25">
      <c r="A37" s="26">
        <v>30</v>
      </c>
      <c r="B37" s="25">
        <v>123078</v>
      </c>
      <c r="C37" s="25" t="s">
        <v>938</v>
      </c>
      <c r="D37" s="25">
        <v>132.29900000000001</v>
      </c>
      <c r="E37" s="34">
        <v>2.0999999999999999E-3</v>
      </c>
      <c r="F37" s="25">
        <v>15.3</v>
      </c>
      <c r="G37" s="25">
        <v>122.48</v>
      </c>
      <c r="H37" s="43">
        <v>8.0199999999999994E-2</v>
      </c>
      <c r="I37" s="57">
        <v>140.31900000000002</v>
      </c>
      <c r="J37" s="32">
        <v>46353</v>
      </c>
      <c r="K37" s="33">
        <v>1.627</v>
      </c>
      <c r="L37" s="33">
        <v>5.961964</v>
      </c>
      <c r="M37" s="33">
        <v>32021.163876999999</v>
      </c>
      <c r="N37" s="34">
        <v>0.40596743937984031</v>
      </c>
      <c r="O37" s="34">
        <v>-9.9003999999999995E-2</v>
      </c>
      <c r="P37" s="25">
        <v>135.24199999999999</v>
      </c>
      <c r="Q37" s="25">
        <v>130.011</v>
      </c>
      <c r="R37" s="34">
        <v>4.0235057033635578E-2</v>
      </c>
    </row>
    <row r="38" spans="1:18" x14ac:dyDescent="0.25">
      <c r="A38" s="26">
        <v>31</v>
      </c>
      <c r="B38" s="25">
        <v>113663</v>
      </c>
      <c r="C38" s="25" t="s">
        <v>1070</v>
      </c>
      <c r="D38" s="25">
        <v>129.23400000000001</v>
      </c>
      <c r="E38" s="34">
        <v>-5.5000000000000005E-3</v>
      </c>
      <c r="F38" s="25">
        <v>20.25</v>
      </c>
      <c r="G38" s="25">
        <v>118.67</v>
      </c>
      <c r="H38" s="43">
        <v>8.900000000000001E-2</v>
      </c>
      <c r="I38" s="57">
        <v>138.13400000000001</v>
      </c>
      <c r="J38" s="32">
        <v>47085</v>
      </c>
      <c r="K38" s="33">
        <v>3.633</v>
      </c>
      <c r="L38" s="33">
        <v>5.04434</v>
      </c>
      <c r="M38" s="33">
        <v>5374.1246000000001</v>
      </c>
      <c r="N38" s="34">
        <v>8.2437837982731826E-2</v>
      </c>
      <c r="O38" s="34">
        <v>-2.1696E-2</v>
      </c>
      <c r="P38" s="25">
        <v>130.51300000000001</v>
      </c>
      <c r="Q38" s="25">
        <v>127.931</v>
      </c>
      <c r="R38" s="34">
        <v>2.0182754766241238E-2</v>
      </c>
    </row>
    <row r="39" spans="1:18" x14ac:dyDescent="0.25">
      <c r="A39" s="26">
        <v>32</v>
      </c>
      <c r="B39" s="25">
        <v>123222</v>
      </c>
      <c r="C39" s="25" t="s">
        <v>973</v>
      </c>
      <c r="D39" s="25">
        <v>164.5</v>
      </c>
      <c r="E39" s="34">
        <v>1.8700000000000001E-2</v>
      </c>
      <c r="F39" s="25">
        <v>16.7</v>
      </c>
      <c r="G39" s="25">
        <v>150.24</v>
      </c>
      <c r="H39" s="43">
        <v>9.4899999999999998E-2</v>
      </c>
      <c r="I39" s="57">
        <v>173.99</v>
      </c>
      <c r="J39" s="32">
        <v>47369</v>
      </c>
      <c r="K39" s="33">
        <v>4.4109999999999996</v>
      </c>
      <c r="L39" s="33">
        <v>2.4728949999999998</v>
      </c>
      <c r="M39" s="33">
        <v>12909.3228222</v>
      </c>
      <c r="N39" s="34">
        <v>0.31734516256744993</v>
      </c>
      <c r="O39" s="34">
        <v>-7.0610999999999993E-2</v>
      </c>
      <c r="P39" s="25">
        <v>165.95</v>
      </c>
      <c r="Q39" s="25">
        <v>159.86000000000001</v>
      </c>
      <c r="R39" s="34">
        <v>3.8095833854622632E-2</v>
      </c>
    </row>
    <row r="40" spans="1:18" x14ac:dyDescent="0.25">
      <c r="A40" s="26">
        <v>33</v>
      </c>
      <c r="B40" s="25">
        <v>111017</v>
      </c>
      <c r="C40" s="25" t="s">
        <v>974</v>
      </c>
      <c r="D40" s="25">
        <v>131.89500000000001</v>
      </c>
      <c r="E40" s="34">
        <v>-1.26E-2</v>
      </c>
      <c r="F40" s="25">
        <v>8.83</v>
      </c>
      <c r="G40" s="25">
        <v>120.16</v>
      </c>
      <c r="H40" s="43">
        <v>9.7699999999999995E-2</v>
      </c>
      <c r="I40" s="57">
        <v>141.66500000000002</v>
      </c>
      <c r="J40" s="32">
        <v>47345</v>
      </c>
      <c r="K40" s="33">
        <v>4.3449999999999998</v>
      </c>
      <c r="L40" s="33">
        <v>6.7154299999999996</v>
      </c>
      <c r="M40" s="33">
        <v>4176.5194000000001</v>
      </c>
      <c r="N40" s="34">
        <v>4.7153327397306245E-2</v>
      </c>
      <c r="O40" s="34">
        <v>-3.2017000000000004E-2</v>
      </c>
      <c r="P40" s="25">
        <v>133.57599999999999</v>
      </c>
      <c r="Q40" s="25">
        <v>131.5</v>
      </c>
      <c r="R40" s="34">
        <v>1.5787072243345957E-2</v>
      </c>
    </row>
    <row r="41" spans="1:18" x14ac:dyDescent="0.25">
      <c r="A41" s="26">
        <v>34</v>
      </c>
      <c r="B41" s="25">
        <v>113631</v>
      </c>
      <c r="C41" s="25" t="s">
        <v>901</v>
      </c>
      <c r="D41" s="25">
        <v>126.203</v>
      </c>
      <c r="E41" s="34">
        <v>-8.8000000000000005E-3</v>
      </c>
      <c r="F41" s="25">
        <v>7.21</v>
      </c>
      <c r="G41" s="25">
        <v>114.01</v>
      </c>
      <c r="H41" s="43">
        <v>0.1069</v>
      </c>
      <c r="I41" s="57">
        <v>136.893</v>
      </c>
      <c r="J41" s="32">
        <v>46699</v>
      </c>
      <c r="K41" s="33">
        <v>2.5750000000000002</v>
      </c>
      <c r="L41" s="33">
        <v>8.3993300000000009</v>
      </c>
      <c r="M41" s="33">
        <v>2213.4731000000002</v>
      </c>
      <c r="N41" s="34">
        <v>2.0881415022902906E-2</v>
      </c>
      <c r="O41" s="34">
        <v>-4.1619000000000003E-2</v>
      </c>
      <c r="P41" s="25">
        <v>127.46</v>
      </c>
      <c r="Q41" s="25">
        <v>125.545</v>
      </c>
      <c r="R41" s="34">
        <v>1.5253494762833979E-2</v>
      </c>
    </row>
    <row r="42" spans="1:18" x14ac:dyDescent="0.25">
      <c r="A42" s="26">
        <v>35</v>
      </c>
      <c r="B42" s="25">
        <v>118043</v>
      </c>
      <c r="C42" s="25" t="s">
        <v>1054</v>
      </c>
      <c r="D42" s="25">
        <v>146.678</v>
      </c>
      <c r="E42" s="34">
        <v>8.9999999999999998E-4</v>
      </c>
      <c r="F42" s="25">
        <v>15</v>
      </c>
      <c r="G42" s="25">
        <v>132.13</v>
      </c>
      <c r="H42" s="43">
        <v>0.1101</v>
      </c>
      <c r="I42" s="57">
        <v>157.68799999999999</v>
      </c>
      <c r="J42" s="32">
        <v>47344</v>
      </c>
      <c r="K42" s="33">
        <v>4.3419999999999996</v>
      </c>
      <c r="L42" s="33">
        <v>4.2813800000000004</v>
      </c>
      <c r="M42" s="33">
        <v>77672.080499999996</v>
      </c>
      <c r="N42" s="34">
        <v>1.2368475770278944</v>
      </c>
      <c r="O42" s="34">
        <v>-4.6288000000000003E-2</v>
      </c>
      <c r="P42" s="25">
        <v>150.58600000000001</v>
      </c>
      <c r="Q42" s="25">
        <v>142</v>
      </c>
      <c r="R42" s="34">
        <v>6.0464788732394456E-2</v>
      </c>
    </row>
    <row r="43" spans="1:18" x14ac:dyDescent="0.25">
      <c r="A43" s="26">
        <v>36</v>
      </c>
      <c r="B43" s="25">
        <v>127035</v>
      </c>
      <c r="C43" s="25" t="s">
        <v>1101</v>
      </c>
      <c r="D43" s="25">
        <v>128.60400000000001</v>
      </c>
      <c r="E43" s="34">
        <v>-2.63E-2</v>
      </c>
      <c r="F43" s="25">
        <v>4.25</v>
      </c>
      <c r="G43" s="25">
        <v>115.29</v>
      </c>
      <c r="H43" s="43">
        <v>0.11550000000000001</v>
      </c>
      <c r="I43" s="57">
        <v>140.15400000000002</v>
      </c>
      <c r="J43" s="32">
        <v>46168</v>
      </c>
      <c r="K43" s="33">
        <v>1.121</v>
      </c>
      <c r="L43" s="33">
        <v>6.2590599999999998</v>
      </c>
      <c r="M43" s="33">
        <v>8655.1191199000004</v>
      </c>
      <c r="N43" s="34">
        <v>0.1075250016515439</v>
      </c>
      <c r="O43" s="34">
        <v>-0.119726</v>
      </c>
      <c r="P43" s="25">
        <v>132.512</v>
      </c>
      <c r="Q43" s="25">
        <v>128.58000000000001</v>
      </c>
      <c r="R43" s="34">
        <v>3.0580183543319237E-2</v>
      </c>
    </row>
    <row r="44" spans="1:18" x14ac:dyDescent="0.25">
      <c r="A44" s="26">
        <v>37</v>
      </c>
      <c r="B44" s="25">
        <v>123186</v>
      </c>
      <c r="C44" s="25" t="s">
        <v>1037</v>
      </c>
      <c r="D44" s="25">
        <v>149.446</v>
      </c>
      <c r="E44" s="34">
        <v>1.4499999999999999E-2</v>
      </c>
      <c r="F44" s="25">
        <v>12.5</v>
      </c>
      <c r="G44" s="25">
        <v>133.04</v>
      </c>
      <c r="H44" s="43">
        <v>0.12330000000000001</v>
      </c>
      <c r="I44" s="57">
        <v>161.77600000000001</v>
      </c>
      <c r="J44" s="32">
        <v>47208</v>
      </c>
      <c r="K44" s="33">
        <v>3.97</v>
      </c>
      <c r="L44" s="33">
        <v>4.1727519999999991</v>
      </c>
      <c r="M44" s="33">
        <v>19660.900537999998</v>
      </c>
      <c r="N44" s="34">
        <v>0.31528008342642544</v>
      </c>
      <c r="O44" s="34">
        <v>-5.4467999999999996E-2</v>
      </c>
      <c r="P44" s="25">
        <v>150.90299999999999</v>
      </c>
      <c r="Q44" s="25">
        <v>143.85</v>
      </c>
      <c r="R44" s="34">
        <v>4.9030239833159524E-2</v>
      </c>
    </row>
    <row r="45" spans="1:18" x14ac:dyDescent="0.25">
      <c r="A45" s="26">
        <v>38</v>
      </c>
      <c r="B45" s="25">
        <v>123099</v>
      </c>
      <c r="C45" s="25" t="s">
        <v>1089</v>
      </c>
      <c r="D45" s="25">
        <v>93.549000000000007</v>
      </c>
      <c r="E45" s="34">
        <v>0</v>
      </c>
      <c r="F45" s="25">
        <v>3</v>
      </c>
      <c r="G45" s="25">
        <v>83</v>
      </c>
      <c r="H45" s="43">
        <v>0.12710000000000002</v>
      </c>
      <c r="I45" s="57">
        <v>106.25900000000001</v>
      </c>
      <c r="J45" s="32">
        <v>46427</v>
      </c>
      <c r="K45" s="33">
        <v>1.83</v>
      </c>
      <c r="L45" s="33">
        <v>2.0226690000000001</v>
      </c>
      <c r="M45" s="33">
        <v>0</v>
      </c>
      <c r="N45" s="34">
        <v>0</v>
      </c>
      <c r="O45" s="34">
        <v>0.14704700000000001</v>
      </c>
      <c r="R45" s="34" t="s">
        <v>1102</v>
      </c>
    </row>
    <row r="46" spans="1:18" x14ac:dyDescent="0.25">
      <c r="A46" s="26">
        <v>39</v>
      </c>
      <c r="B46" s="25">
        <v>118028</v>
      </c>
      <c r="C46" s="25" t="s">
        <v>1068</v>
      </c>
      <c r="D46" s="25">
        <v>134.07599999999999</v>
      </c>
      <c r="E46" s="34">
        <v>-1.3100000000000001E-2</v>
      </c>
      <c r="F46" s="25">
        <v>9.2100000000000009</v>
      </c>
      <c r="G46" s="25">
        <v>118.57</v>
      </c>
      <c r="H46" s="43">
        <v>0.1308</v>
      </c>
      <c r="I46" s="57">
        <v>147.15600000000001</v>
      </c>
      <c r="J46" s="32">
        <v>47093</v>
      </c>
      <c r="K46" s="33">
        <v>3.6549999999999998</v>
      </c>
      <c r="L46" s="33">
        <v>6.5991499999999998</v>
      </c>
      <c r="M46" s="33">
        <v>11345.303099999999</v>
      </c>
      <c r="N46" s="34">
        <v>0.12822628443344994</v>
      </c>
      <c r="O46" s="34">
        <v>-3.1526999999999999E-2</v>
      </c>
      <c r="P46" s="25">
        <v>137.62200000000001</v>
      </c>
      <c r="Q46" s="25">
        <v>133.69999999999999</v>
      </c>
      <c r="R46" s="34">
        <v>2.9334330590875285E-2</v>
      </c>
    </row>
    <row r="47" spans="1:18" x14ac:dyDescent="0.25">
      <c r="A47" s="26">
        <v>40</v>
      </c>
      <c r="B47" s="25">
        <v>110097</v>
      </c>
      <c r="C47" s="25" t="s">
        <v>983</v>
      </c>
      <c r="D47" s="25">
        <v>151.91800000000001</v>
      </c>
      <c r="E47" s="34">
        <v>-1.41E-2</v>
      </c>
      <c r="F47" s="25">
        <v>8.3000000000000007</v>
      </c>
      <c r="G47" s="25">
        <v>133.97999999999999</v>
      </c>
      <c r="H47" s="43">
        <v>0.13390000000000002</v>
      </c>
      <c r="I47" s="57">
        <v>165.30799999999999</v>
      </c>
      <c r="J47" s="32">
        <v>47780</v>
      </c>
      <c r="K47" s="33">
        <v>5.5369999999999999</v>
      </c>
      <c r="L47" s="33">
        <v>9.9</v>
      </c>
      <c r="M47" s="33">
        <v>19862.8243</v>
      </c>
      <c r="N47" s="34">
        <v>0.13206768710020464</v>
      </c>
      <c r="O47" s="34">
        <v>-4.9667000000000003E-2</v>
      </c>
      <c r="P47" s="25">
        <v>154.05000000000001</v>
      </c>
      <c r="Q47" s="25">
        <v>149</v>
      </c>
      <c r="R47" s="34">
        <v>3.3892617449664507E-2</v>
      </c>
    </row>
    <row r="48" spans="1:18" x14ac:dyDescent="0.25">
      <c r="A48" s="26">
        <v>41</v>
      </c>
      <c r="B48" s="25">
        <v>123166</v>
      </c>
      <c r="C48" s="25" t="s">
        <v>981</v>
      </c>
      <c r="D48" s="25">
        <v>126.999</v>
      </c>
      <c r="E48" s="34">
        <v>1E-3</v>
      </c>
      <c r="F48" s="25">
        <v>23.47</v>
      </c>
      <c r="G48" s="25">
        <v>111.63</v>
      </c>
      <c r="H48" s="43">
        <v>0.13769999999999999</v>
      </c>
      <c r="I48" s="57">
        <v>140.76900000000001</v>
      </c>
      <c r="J48" s="32">
        <v>47059</v>
      </c>
      <c r="K48" s="33">
        <v>3.5619999999999998</v>
      </c>
      <c r="L48" s="33">
        <v>2.9994079999999999</v>
      </c>
      <c r="M48" s="33">
        <v>5554.2361523</v>
      </c>
      <c r="N48" s="34">
        <v>0.14581039757691444</v>
      </c>
      <c r="O48" s="34">
        <v>-1.4959999999999999E-2</v>
      </c>
      <c r="P48" s="25">
        <v>127.744</v>
      </c>
      <c r="Q48" s="25">
        <v>124.733</v>
      </c>
      <c r="R48" s="34">
        <v>2.413956210465551E-2</v>
      </c>
    </row>
    <row r="49" spans="1:18" x14ac:dyDescent="0.25">
      <c r="A49" s="26">
        <v>42</v>
      </c>
      <c r="B49" s="25">
        <v>123204</v>
      </c>
      <c r="C49" s="25" t="s">
        <v>867</v>
      </c>
      <c r="D49" s="25">
        <v>126.279</v>
      </c>
      <c r="E49" s="34">
        <v>-2.1400000000000002E-2</v>
      </c>
      <c r="F49" s="25">
        <v>14.98</v>
      </c>
      <c r="G49" s="25">
        <v>110.95</v>
      </c>
      <c r="H49" s="43">
        <v>0.13819999999999999</v>
      </c>
      <c r="I49" s="57">
        <v>140.09899999999999</v>
      </c>
      <c r="J49" s="32">
        <v>47312</v>
      </c>
      <c r="K49" s="33">
        <v>4.2549999999999999</v>
      </c>
      <c r="L49" s="33">
        <v>5.2345560000000004</v>
      </c>
      <c r="M49" s="33">
        <v>8392.5778680000003</v>
      </c>
      <c r="N49" s="34">
        <v>0.12696511051595941</v>
      </c>
      <c r="O49" s="34">
        <v>-1.2707999999999999E-2</v>
      </c>
      <c r="P49" s="25">
        <v>129.50299999999999</v>
      </c>
      <c r="Q49" s="25">
        <v>125.687</v>
      </c>
      <c r="R49" s="34">
        <v>3.0361135200935564E-2</v>
      </c>
    </row>
    <row r="50" spans="1:18" x14ac:dyDescent="0.25">
      <c r="A50" s="26">
        <v>43</v>
      </c>
      <c r="B50" s="25">
        <v>113687</v>
      </c>
      <c r="C50" s="25" t="s">
        <v>1035</v>
      </c>
      <c r="D50" s="25">
        <v>161.01400000000001</v>
      </c>
      <c r="E50" s="34">
        <v>-9.7000000000000003E-3</v>
      </c>
      <c r="F50" s="25">
        <v>11.64</v>
      </c>
      <c r="G50" s="25">
        <v>141.07</v>
      </c>
      <c r="H50" s="43">
        <v>0.1414</v>
      </c>
      <c r="I50" s="57">
        <v>175.154</v>
      </c>
      <c r="J50" s="32">
        <v>47676</v>
      </c>
      <c r="K50" s="33">
        <v>5.2519999999999998</v>
      </c>
      <c r="L50" s="33">
        <v>4.0609200000000003</v>
      </c>
      <c r="M50" s="33">
        <v>8822.4441000000006</v>
      </c>
      <c r="N50" s="34">
        <v>0.13492761450641477</v>
      </c>
      <c r="O50" s="34">
        <v>-6.3425000000000009E-2</v>
      </c>
      <c r="P50" s="25">
        <v>164.11500000000001</v>
      </c>
      <c r="Q50" s="25">
        <v>160.142</v>
      </c>
      <c r="R50" s="34">
        <v>2.4809231806771574E-2</v>
      </c>
    </row>
    <row r="51" spans="1:18" x14ac:dyDescent="0.25">
      <c r="A51" s="26">
        <v>44</v>
      </c>
      <c r="B51" s="25">
        <v>113039</v>
      </c>
      <c r="C51" s="25" t="s">
        <v>1094</v>
      </c>
      <c r="D51" s="25">
        <v>126.48</v>
      </c>
      <c r="E51" s="34">
        <v>-2.1600000000000001E-2</v>
      </c>
      <c r="F51" s="25">
        <v>3.16</v>
      </c>
      <c r="G51" s="25">
        <v>110.76</v>
      </c>
      <c r="H51" s="43">
        <v>0.1419</v>
      </c>
      <c r="I51" s="57">
        <v>140.67000000000002</v>
      </c>
      <c r="J51" s="32">
        <v>46258</v>
      </c>
      <c r="K51" s="33">
        <v>1.367</v>
      </c>
      <c r="L51" s="33">
        <v>2.8765299999999998</v>
      </c>
      <c r="M51" s="33">
        <v>5623.1423000000004</v>
      </c>
      <c r="N51" s="34">
        <v>0.15455686830119852</v>
      </c>
      <c r="O51" s="34">
        <v>-9.9159000000000011E-2</v>
      </c>
      <c r="P51" s="25">
        <v>129.84100000000001</v>
      </c>
      <c r="Q51" s="25">
        <v>125.732</v>
      </c>
      <c r="R51" s="34">
        <v>3.2680622275952094E-2</v>
      </c>
    </row>
    <row r="52" spans="1:18" x14ac:dyDescent="0.25">
      <c r="A52" s="26">
        <v>45</v>
      </c>
      <c r="B52" s="25">
        <v>118045</v>
      </c>
      <c r="C52" s="25" t="s">
        <v>1051</v>
      </c>
      <c r="D52" s="25">
        <v>198.041</v>
      </c>
      <c r="E52" s="34">
        <v>1.4199999999999999E-2</v>
      </c>
      <c r="F52" s="25">
        <v>20.94</v>
      </c>
      <c r="G52" s="25">
        <v>173.3</v>
      </c>
      <c r="H52" s="43">
        <v>0.14279999999999998</v>
      </c>
      <c r="I52" s="57">
        <v>212.321</v>
      </c>
      <c r="J52" s="32">
        <v>47373</v>
      </c>
      <c r="K52" s="33">
        <v>4.4219999999999997</v>
      </c>
      <c r="L52" s="33">
        <v>1.2393099999999999</v>
      </c>
      <c r="M52" s="33">
        <v>90602.766600000003</v>
      </c>
      <c r="N52" s="34">
        <v>3.6915299359371403</v>
      </c>
      <c r="O52" s="34">
        <v>-0.11485300000000001</v>
      </c>
      <c r="P52" s="25">
        <v>204.928</v>
      </c>
      <c r="Q52" s="25">
        <v>194.5</v>
      </c>
      <c r="R52" s="34">
        <v>5.3614395886889446E-2</v>
      </c>
    </row>
    <row r="53" spans="1:18" x14ac:dyDescent="0.25">
      <c r="A53" s="26">
        <v>46</v>
      </c>
      <c r="B53" s="25">
        <v>123239</v>
      </c>
      <c r="C53" s="25" t="s">
        <v>1040</v>
      </c>
      <c r="D53" s="25">
        <v>148</v>
      </c>
      <c r="E53" s="34">
        <v>2.2799999999999997E-2</v>
      </c>
      <c r="F53" s="25">
        <v>24.39</v>
      </c>
      <c r="G53" s="25">
        <v>128.99</v>
      </c>
      <c r="H53" s="43">
        <v>0.1474</v>
      </c>
      <c r="I53" s="57">
        <v>162.74</v>
      </c>
      <c r="J53" s="32">
        <v>47502</v>
      </c>
      <c r="K53" s="33">
        <v>4.7750000000000004</v>
      </c>
      <c r="L53" s="33">
        <v>4.3813360000000001</v>
      </c>
      <c r="M53" s="33">
        <v>96775.834562000004</v>
      </c>
      <c r="N53" s="34">
        <v>1.4924460805278745</v>
      </c>
      <c r="O53" s="34">
        <v>-4.4089000000000003E-2</v>
      </c>
      <c r="P53" s="25">
        <v>157.107</v>
      </c>
      <c r="Q53" s="25">
        <v>143.49</v>
      </c>
      <c r="R53" s="34">
        <v>9.4898599205519477E-2</v>
      </c>
    </row>
    <row r="54" spans="1:18" x14ac:dyDescent="0.25">
      <c r="A54" s="26">
        <v>47</v>
      </c>
      <c r="B54" s="25">
        <v>123120</v>
      </c>
      <c r="C54" s="25" t="s">
        <v>936</v>
      </c>
      <c r="D54" s="25">
        <v>125.52</v>
      </c>
      <c r="E54" s="34">
        <v>1.9E-3</v>
      </c>
      <c r="F54" s="25">
        <v>6.15</v>
      </c>
      <c r="G54" s="25">
        <v>109.27</v>
      </c>
      <c r="H54" s="43">
        <v>0.1487</v>
      </c>
      <c r="I54" s="57">
        <v>140.38999999999999</v>
      </c>
      <c r="J54" s="32">
        <v>46598</v>
      </c>
      <c r="K54" s="33">
        <v>2.2989999999999999</v>
      </c>
      <c r="L54" s="33">
        <v>7.9727249999999996</v>
      </c>
      <c r="M54" s="33">
        <v>6883.3347094999999</v>
      </c>
      <c r="N54" s="34">
        <v>6.8782692631273235E-2</v>
      </c>
      <c r="O54" s="34">
        <v>-2.3376000000000001E-2</v>
      </c>
      <c r="P54" s="25">
        <v>126.48699999999999</v>
      </c>
      <c r="Q54" s="25">
        <v>124.137</v>
      </c>
      <c r="R54" s="34">
        <v>1.8930697535787029E-2</v>
      </c>
    </row>
    <row r="55" spans="1:18" x14ac:dyDescent="0.25">
      <c r="A55" s="26">
        <v>48</v>
      </c>
      <c r="B55" s="25">
        <v>128132</v>
      </c>
      <c r="C55" s="25" t="s">
        <v>934</v>
      </c>
      <c r="D55" s="25">
        <v>127.333</v>
      </c>
      <c r="E55" s="34">
        <v>-4.0000000000000002E-4</v>
      </c>
      <c r="F55" s="25">
        <v>10.15</v>
      </c>
      <c r="G55" s="25">
        <v>110.84</v>
      </c>
      <c r="H55" s="43">
        <v>0.14880000000000002</v>
      </c>
      <c r="I55" s="57">
        <v>142.21299999999999</v>
      </c>
      <c r="J55" s="32">
        <v>46280</v>
      </c>
      <c r="K55" s="33">
        <v>1.427</v>
      </c>
      <c r="L55" s="33">
        <v>8.4342310000000005</v>
      </c>
      <c r="M55" s="33">
        <v>3880.7214468000002</v>
      </c>
      <c r="N55" s="34">
        <v>3.6134829344415843E-2</v>
      </c>
      <c r="O55" s="34">
        <v>-7.6341999999999993E-2</v>
      </c>
      <c r="P55" s="25">
        <v>128.71</v>
      </c>
      <c r="Q55" s="25">
        <v>126.812</v>
      </c>
      <c r="R55" s="34">
        <v>1.4967037819764772E-2</v>
      </c>
    </row>
    <row r="56" spans="1:18" x14ac:dyDescent="0.25">
      <c r="A56" s="26">
        <v>49</v>
      </c>
      <c r="B56" s="25">
        <v>123184</v>
      </c>
      <c r="C56" s="25" t="s">
        <v>1062</v>
      </c>
      <c r="D56" s="25">
        <v>142.62100000000001</v>
      </c>
      <c r="E56" s="34">
        <v>-1.5E-3</v>
      </c>
      <c r="F56" s="25">
        <v>11.79</v>
      </c>
      <c r="G56" s="25">
        <v>123.92</v>
      </c>
      <c r="H56" s="43">
        <v>0.15090000000000001</v>
      </c>
      <c r="I56" s="57">
        <v>157.71100000000001</v>
      </c>
      <c r="J56" s="32">
        <v>47200</v>
      </c>
      <c r="K56" s="33">
        <v>3.948</v>
      </c>
      <c r="L56" s="33">
        <v>3.3203670000000001</v>
      </c>
      <c r="M56" s="33">
        <v>9946.8981734999998</v>
      </c>
      <c r="N56" s="34">
        <v>0.2100477849021902</v>
      </c>
      <c r="O56" s="34">
        <v>-4.4256000000000004E-2</v>
      </c>
      <c r="P56" s="25">
        <v>144.96700000000001</v>
      </c>
      <c r="Q56" s="25">
        <v>140.81899999999999</v>
      </c>
      <c r="R56" s="34">
        <v>2.9456252352310589E-2</v>
      </c>
    </row>
    <row r="57" spans="1:18" x14ac:dyDescent="0.25">
      <c r="A57" s="26">
        <v>50</v>
      </c>
      <c r="B57" s="25">
        <v>113609</v>
      </c>
      <c r="C57" s="25" t="s">
        <v>1093</v>
      </c>
      <c r="D57" s="25">
        <v>127.881</v>
      </c>
      <c r="E57" s="34">
        <v>-1.9E-3</v>
      </c>
      <c r="F57" s="25">
        <v>14.47</v>
      </c>
      <c r="G57" s="25">
        <v>111.06</v>
      </c>
      <c r="H57" s="43">
        <v>0.1515</v>
      </c>
      <c r="I57" s="57">
        <v>143.03100000000001</v>
      </c>
      <c r="J57" s="32">
        <v>46350</v>
      </c>
      <c r="K57" s="33">
        <v>1.619</v>
      </c>
      <c r="L57" s="33">
        <v>5.7311800000000002</v>
      </c>
      <c r="M57" s="33">
        <v>11594.332399999999</v>
      </c>
      <c r="N57" s="34">
        <v>0.15819606434163097</v>
      </c>
      <c r="O57" s="34">
        <v>-5.389E-2</v>
      </c>
      <c r="P57" s="25">
        <v>129.57300000000001</v>
      </c>
      <c r="Q57" s="25">
        <v>126.95</v>
      </c>
      <c r="R57" s="34">
        <v>2.0661677825915752E-2</v>
      </c>
    </row>
    <row r="58" spans="1:18" x14ac:dyDescent="0.25">
      <c r="A58" s="26">
        <v>51</v>
      </c>
      <c r="B58" s="25">
        <v>113534</v>
      </c>
      <c r="C58" s="25" t="s">
        <v>1088</v>
      </c>
      <c r="D58" s="25">
        <v>117.04</v>
      </c>
      <c r="E58" s="34" t="s">
        <v>1102</v>
      </c>
      <c r="F58" s="25">
        <v>7.61</v>
      </c>
      <c r="G58" s="25">
        <v>101.58</v>
      </c>
      <c r="H58" s="43">
        <v>0.1522</v>
      </c>
      <c r="I58" s="57">
        <v>132.26000000000002</v>
      </c>
      <c r="J58" s="32">
        <v>45756</v>
      </c>
      <c r="K58" s="33">
        <v>0</v>
      </c>
      <c r="L58" s="33">
        <v>7.4050000000000005E-2</v>
      </c>
      <c r="M58" s="33">
        <v>0</v>
      </c>
      <c r="N58" s="34">
        <v>0</v>
      </c>
      <c r="O58" s="34">
        <v>-1.8245449999999999</v>
      </c>
      <c r="R58" s="34" t="s">
        <v>1102</v>
      </c>
    </row>
    <row r="59" spans="1:18" x14ac:dyDescent="0.25">
      <c r="A59" s="26">
        <v>52</v>
      </c>
      <c r="B59" s="25">
        <v>118050</v>
      </c>
      <c r="C59" s="25" t="s">
        <v>1031</v>
      </c>
      <c r="D59" s="25">
        <v>142.77699999999999</v>
      </c>
      <c r="E59" s="34">
        <v>-5.4000000000000003E-3</v>
      </c>
      <c r="F59" s="25">
        <v>32.64</v>
      </c>
      <c r="G59" s="25">
        <v>123.71</v>
      </c>
      <c r="H59" s="43">
        <v>0.15410000000000001</v>
      </c>
      <c r="I59" s="57">
        <v>158.18699999999998</v>
      </c>
      <c r="J59" s="32">
        <v>47716</v>
      </c>
      <c r="K59" s="33">
        <v>5.3620000000000001</v>
      </c>
      <c r="L59" s="33">
        <v>6.66852</v>
      </c>
      <c r="M59" s="33">
        <v>9788.1175999999996</v>
      </c>
      <c r="N59" s="34">
        <v>0.10280434446264289</v>
      </c>
      <c r="O59" s="34">
        <v>-3.2506E-2</v>
      </c>
      <c r="P59" s="25">
        <v>144.75299999999999</v>
      </c>
      <c r="Q59" s="25">
        <v>141.75299999999999</v>
      </c>
      <c r="R59" s="34">
        <v>2.1163573257708835E-2</v>
      </c>
    </row>
    <row r="60" spans="1:18" x14ac:dyDescent="0.25">
      <c r="A60" s="26">
        <v>53</v>
      </c>
      <c r="B60" s="25">
        <v>123174</v>
      </c>
      <c r="C60" s="25" t="s">
        <v>1066</v>
      </c>
      <c r="D60" s="25">
        <v>140.459</v>
      </c>
      <c r="E60" s="34">
        <v>2.1099999999999997E-2</v>
      </c>
      <c r="F60" s="25">
        <v>9.5</v>
      </c>
      <c r="G60" s="25">
        <v>121.37</v>
      </c>
      <c r="H60" s="43">
        <v>0.1573</v>
      </c>
      <c r="I60" s="57">
        <v>156.18899999999999</v>
      </c>
      <c r="J60" s="32">
        <v>47164</v>
      </c>
      <c r="K60" s="33">
        <v>3.8490000000000002</v>
      </c>
      <c r="L60" s="33">
        <v>6.7836340000000002</v>
      </c>
      <c r="M60" s="33">
        <v>31386.496970300002</v>
      </c>
      <c r="N60" s="34">
        <v>0.32940551553947395</v>
      </c>
      <c r="O60" s="34">
        <v>-4.1764999999999997E-2</v>
      </c>
      <c r="P60" s="25">
        <v>143.386</v>
      </c>
      <c r="Q60" s="25">
        <v>136.5</v>
      </c>
      <c r="R60" s="34">
        <v>5.0446886446886413E-2</v>
      </c>
    </row>
    <row r="61" spans="1:18" x14ac:dyDescent="0.25">
      <c r="A61" s="26">
        <v>54</v>
      </c>
      <c r="B61" s="25">
        <v>118004</v>
      </c>
      <c r="C61" s="25" t="s">
        <v>1085</v>
      </c>
      <c r="D61" s="25">
        <v>130.04</v>
      </c>
      <c r="E61" s="34">
        <v>3.7000000000000002E-3</v>
      </c>
      <c r="F61" s="25">
        <v>34.840000000000003</v>
      </c>
      <c r="G61" s="25">
        <v>111.91</v>
      </c>
      <c r="H61" s="43">
        <v>0.16200000000000001</v>
      </c>
      <c r="I61" s="57">
        <v>146.23999999999998</v>
      </c>
      <c r="J61" s="32">
        <v>46756</v>
      </c>
      <c r="K61" s="33">
        <v>2.7320000000000002</v>
      </c>
      <c r="L61" s="33">
        <v>4.6483499999999998</v>
      </c>
      <c r="M61" s="33">
        <v>10075.8856</v>
      </c>
      <c r="N61" s="34">
        <v>0.16668919378578939</v>
      </c>
      <c r="O61" s="34">
        <v>-3.2452999999999996E-2</v>
      </c>
      <c r="P61" s="25">
        <v>130.267</v>
      </c>
      <c r="Q61" s="25">
        <v>126.839</v>
      </c>
      <c r="R61" s="34">
        <v>2.7026387782937405E-2</v>
      </c>
    </row>
    <row r="62" spans="1:18" x14ac:dyDescent="0.25">
      <c r="A62" s="26">
        <v>55</v>
      </c>
      <c r="B62" s="25">
        <v>118041</v>
      </c>
      <c r="C62" s="25" t="s">
        <v>978</v>
      </c>
      <c r="D62" s="25">
        <v>124.65300000000001</v>
      </c>
      <c r="E62" s="34">
        <v>-1.46E-2</v>
      </c>
      <c r="F62" s="25">
        <v>23.39</v>
      </c>
      <c r="G62" s="25">
        <v>106.88</v>
      </c>
      <c r="H62" s="43">
        <v>0.1663</v>
      </c>
      <c r="I62" s="57">
        <v>141.28300000000002</v>
      </c>
      <c r="J62" s="32">
        <v>47330</v>
      </c>
      <c r="K62" s="33">
        <v>4.3040000000000003</v>
      </c>
      <c r="L62" s="33">
        <v>6.1998499999999996</v>
      </c>
      <c r="M62" s="33">
        <v>5129.2520000000004</v>
      </c>
      <c r="N62" s="34">
        <v>6.6369740435692312E-2</v>
      </c>
      <c r="O62" s="34">
        <v>-9.5659999999999999E-3</v>
      </c>
      <c r="P62" s="25">
        <v>127.577</v>
      </c>
      <c r="Q62" s="25">
        <v>124.6</v>
      </c>
      <c r="R62" s="34">
        <v>2.3892455858748024E-2</v>
      </c>
    </row>
    <row r="63" spans="1:18" x14ac:dyDescent="0.25">
      <c r="A63" s="26">
        <v>56</v>
      </c>
      <c r="B63" s="25">
        <v>123209</v>
      </c>
      <c r="C63" s="25" t="s">
        <v>976</v>
      </c>
      <c r="D63" s="25">
        <v>132.88800000000001</v>
      </c>
      <c r="E63" s="34">
        <v>-1.5600000000000001E-2</v>
      </c>
      <c r="F63" s="25">
        <v>18.02</v>
      </c>
      <c r="G63" s="25">
        <v>113.71</v>
      </c>
      <c r="H63" s="43">
        <v>0.16870000000000002</v>
      </c>
      <c r="I63" s="57">
        <v>149.75800000000001</v>
      </c>
      <c r="J63" s="32">
        <v>47325</v>
      </c>
      <c r="K63" s="33">
        <v>4.29</v>
      </c>
      <c r="L63" s="33">
        <v>1.7962450000000001</v>
      </c>
      <c r="M63" s="33">
        <v>4593.8057797000001</v>
      </c>
      <c r="N63" s="34">
        <v>0.19245149643011117</v>
      </c>
      <c r="O63" s="34">
        <v>-2.6869999999999998E-2</v>
      </c>
      <c r="P63" s="25">
        <v>135.59299999999999</v>
      </c>
      <c r="Q63" s="25">
        <v>132.80000000000001</v>
      </c>
      <c r="R63" s="34">
        <v>2.1031626506023929E-2</v>
      </c>
    </row>
    <row r="64" spans="1:18" x14ac:dyDescent="0.25">
      <c r="A64" s="26">
        <v>57</v>
      </c>
      <c r="B64" s="25">
        <v>123244</v>
      </c>
      <c r="C64" s="25" t="s">
        <v>956</v>
      </c>
      <c r="D64" s="25">
        <v>129</v>
      </c>
      <c r="E64" s="34">
        <v>-4.0000000000000002E-4</v>
      </c>
      <c r="F64" s="25">
        <v>28.69</v>
      </c>
      <c r="G64" s="25">
        <v>110.32</v>
      </c>
      <c r="H64" s="43">
        <v>0.16930000000000001</v>
      </c>
      <c r="I64" s="57">
        <v>145.93</v>
      </c>
      <c r="J64" s="32">
        <v>47696</v>
      </c>
      <c r="K64" s="33">
        <v>5.3070000000000004</v>
      </c>
      <c r="L64" s="33">
        <v>4.0911679999999997</v>
      </c>
      <c r="M64" s="33">
        <v>6398.9590410000001</v>
      </c>
      <c r="N64" s="34">
        <v>0.12124736420299237</v>
      </c>
      <c r="O64" s="34">
        <v>-1.3895999999999999E-2</v>
      </c>
      <c r="P64" s="25">
        <v>129.94200000000001</v>
      </c>
      <c r="Q64" s="25">
        <v>127.651</v>
      </c>
      <c r="R64" s="34">
        <v>1.7947372131828274E-2</v>
      </c>
    </row>
    <row r="65" spans="1:18" x14ac:dyDescent="0.25">
      <c r="A65" s="26">
        <v>58</v>
      </c>
      <c r="B65" s="25">
        <v>123187</v>
      </c>
      <c r="C65" s="25" t="s">
        <v>967</v>
      </c>
      <c r="D65" s="25">
        <v>129.07900000000001</v>
      </c>
      <c r="E65" s="34">
        <v>-1.44E-2</v>
      </c>
      <c r="F65" s="25">
        <v>31.81</v>
      </c>
      <c r="G65" s="25">
        <v>110.31</v>
      </c>
      <c r="H65" s="43">
        <v>0.17010000000000003</v>
      </c>
      <c r="I65" s="57">
        <v>146.089</v>
      </c>
      <c r="J65" s="32">
        <v>47212</v>
      </c>
      <c r="K65" s="33">
        <v>3.9809999999999999</v>
      </c>
      <c r="L65" s="33">
        <v>2.8547929999999999</v>
      </c>
      <c r="M65" s="33">
        <v>5829.2218950000006</v>
      </c>
      <c r="N65" s="34">
        <v>0.15819049029559928</v>
      </c>
      <c r="O65" s="34">
        <v>-1.8263999999999999E-2</v>
      </c>
      <c r="P65" s="25">
        <v>131.47</v>
      </c>
      <c r="Q65" s="25">
        <v>128.214</v>
      </c>
      <c r="R65" s="34">
        <v>2.5395042663047721E-2</v>
      </c>
    </row>
    <row r="66" spans="1:18" x14ac:dyDescent="0.25">
      <c r="A66" s="26">
        <v>59</v>
      </c>
      <c r="B66" s="25">
        <v>123189</v>
      </c>
      <c r="C66" s="25" t="s">
        <v>1038</v>
      </c>
      <c r="D66" s="25">
        <v>130</v>
      </c>
      <c r="E66" s="34">
        <v>-2.29E-2</v>
      </c>
      <c r="F66" s="25">
        <v>19.54</v>
      </c>
      <c r="G66" s="25">
        <v>111.05</v>
      </c>
      <c r="H66" s="43">
        <v>0.17059999999999997</v>
      </c>
      <c r="I66" s="57">
        <v>147.06</v>
      </c>
      <c r="J66" s="32">
        <v>47214</v>
      </c>
      <c r="K66" s="33">
        <v>3.9860000000000002</v>
      </c>
      <c r="L66" s="33">
        <v>3.2875920000000001</v>
      </c>
      <c r="M66" s="33">
        <v>87087.697211699997</v>
      </c>
      <c r="N66" s="34">
        <v>2.037677921003954</v>
      </c>
      <c r="O66" s="34">
        <v>-2.3612000000000001E-2</v>
      </c>
      <c r="P66" s="25">
        <v>136.97499999999999</v>
      </c>
      <c r="Q66" s="25">
        <v>127.6</v>
      </c>
      <c r="R66" s="34">
        <v>7.3471786833855801E-2</v>
      </c>
    </row>
    <row r="67" spans="1:18" x14ac:dyDescent="0.25">
      <c r="A67" s="26">
        <v>60</v>
      </c>
      <c r="B67" s="25">
        <v>123248</v>
      </c>
      <c r="C67" s="25" t="s">
        <v>1030</v>
      </c>
      <c r="D67" s="25">
        <v>147.19999999999999</v>
      </c>
      <c r="E67" s="34">
        <v>1.9799999999999998E-2</v>
      </c>
      <c r="F67" s="25">
        <v>18.260000000000002</v>
      </c>
      <c r="G67" s="25">
        <v>125.68</v>
      </c>
      <c r="H67" s="43">
        <v>0.17120000000000002</v>
      </c>
      <c r="I67" s="57">
        <v>164.32</v>
      </c>
      <c r="J67" s="32">
        <v>47716</v>
      </c>
      <c r="K67" s="33">
        <v>5.3620000000000001</v>
      </c>
      <c r="L67" s="33">
        <v>2.581054</v>
      </c>
      <c r="M67" s="33">
        <v>35607.289963000003</v>
      </c>
      <c r="N67" s="34">
        <v>0.9372037558769386</v>
      </c>
      <c r="O67" s="34">
        <v>-4.3255000000000002E-2</v>
      </c>
      <c r="P67" s="25">
        <v>149.18100000000001</v>
      </c>
      <c r="Q67" s="25">
        <v>143</v>
      </c>
      <c r="R67" s="34">
        <v>4.3223776223776302E-2</v>
      </c>
    </row>
    <row r="68" spans="1:18" x14ac:dyDescent="0.25">
      <c r="A68" s="26">
        <v>61</v>
      </c>
      <c r="B68" s="25">
        <v>127104</v>
      </c>
      <c r="C68" s="25" t="s">
        <v>972</v>
      </c>
      <c r="D68" s="25">
        <v>149.21700000000001</v>
      </c>
      <c r="E68" s="34">
        <v>-1.83E-2</v>
      </c>
      <c r="F68" s="25">
        <v>20.6</v>
      </c>
      <c r="G68" s="25">
        <v>127.18</v>
      </c>
      <c r="H68" s="43">
        <v>0.17329999999999998</v>
      </c>
      <c r="I68" s="57">
        <v>166.54700000000003</v>
      </c>
      <c r="J68" s="32">
        <v>47508</v>
      </c>
      <c r="K68" s="33">
        <v>4.7919999999999998</v>
      </c>
      <c r="L68" s="33">
        <v>5.8275670000000002</v>
      </c>
      <c r="M68" s="33">
        <v>12286.529309399999</v>
      </c>
      <c r="N68" s="34">
        <v>0.14129397439703806</v>
      </c>
      <c r="O68" s="34">
        <v>-4.4044E-2</v>
      </c>
      <c r="P68" s="25">
        <v>153.06399999999999</v>
      </c>
      <c r="Q68" s="25">
        <v>149.21600000000001</v>
      </c>
      <c r="R68" s="34">
        <v>2.5788119236542895E-2</v>
      </c>
    </row>
    <row r="69" spans="1:18" x14ac:dyDescent="0.25">
      <c r="A69" s="26">
        <v>62</v>
      </c>
      <c r="B69" s="25">
        <v>128105</v>
      </c>
      <c r="C69" s="25" t="s">
        <v>1087</v>
      </c>
      <c r="D69" s="25">
        <v>116.998</v>
      </c>
      <c r="E69" s="34">
        <v>-1.9599999999999999E-2</v>
      </c>
      <c r="F69" s="25">
        <v>5.3</v>
      </c>
      <c r="G69" s="25">
        <v>99.62</v>
      </c>
      <c r="H69" s="43">
        <v>0.1744</v>
      </c>
      <c r="I69" s="57">
        <v>134.43800000000002</v>
      </c>
      <c r="J69" s="32">
        <v>46121</v>
      </c>
      <c r="K69" s="33">
        <v>0.99199999999999999</v>
      </c>
      <c r="L69" s="33">
        <v>6.0499049999999999</v>
      </c>
      <c r="M69" s="33">
        <v>5990.9279508</v>
      </c>
      <c r="N69" s="34">
        <v>8.4638333504034768E-2</v>
      </c>
      <c r="O69" s="34">
        <v>-6.0132000000000005E-2</v>
      </c>
      <c r="P69" s="25">
        <v>119.583</v>
      </c>
      <c r="Q69" s="25">
        <v>116.574</v>
      </c>
      <c r="R69" s="34">
        <v>2.5811930619177522E-2</v>
      </c>
    </row>
    <row r="70" spans="1:18" x14ac:dyDescent="0.25">
      <c r="A70" s="26">
        <v>63</v>
      </c>
      <c r="B70" s="25">
        <v>123198</v>
      </c>
      <c r="C70" s="25" t="s">
        <v>944</v>
      </c>
      <c r="D70" s="25">
        <v>117.32299999999999</v>
      </c>
      <c r="E70" s="34">
        <v>-1.54E-2</v>
      </c>
      <c r="F70" s="25">
        <v>7.6</v>
      </c>
      <c r="G70" s="25">
        <v>99.87</v>
      </c>
      <c r="H70" s="43">
        <v>0.17480000000000001</v>
      </c>
      <c r="I70" s="57">
        <v>134.803</v>
      </c>
      <c r="J70" s="32">
        <v>47277</v>
      </c>
      <c r="K70" s="33">
        <v>4.1589999999999998</v>
      </c>
      <c r="L70" s="33">
        <v>3.259293</v>
      </c>
      <c r="M70" s="33">
        <v>1883.3313254</v>
      </c>
      <c r="N70" s="34">
        <v>4.9251579922272241E-2</v>
      </c>
      <c r="O70" s="34">
        <v>7.0030000000000005E-3</v>
      </c>
      <c r="P70" s="25">
        <v>119.705</v>
      </c>
      <c r="Q70" s="25">
        <v>117.163</v>
      </c>
      <c r="R70" s="34">
        <v>2.1696269300035008E-2</v>
      </c>
    </row>
    <row r="71" spans="1:18" x14ac:dyDescent="0.25">
      <c r="A71" s="26">
        <v>64</v>
      </c>
      <c r="B71" s="25">
        <v>118021</v>
      </c>
      <c r="C71" s="25" t="s">
        <v>1072</v>
      </c>
      <c r="D71" s="25">
        <v>211.97800000000001</v>
      </c>
      <c r="E71" s="34">
        <v>1.2500000000000001E-2</v>
      </c>
      <c r="F71" s="25">
        <v>10.56</v>
      </c>
      <c r="G71" s="25">
        <v>179.73</v>
      </c>
      <c r="H71" s="43">
        <v>0.1794</v>
      </c>
      <c r="I71" s="57">
        <v>229.91800000000001</v>
      </c>
      <c r="J71" s="32">
        <v>47023</v>
      </c>
      <c r="K71" s="33">
        <v>3.4630000000000001</v>
      </c>
      <c r="L71" s="33">
        <v>1.99237</v>
      </c>
      <c r="M71" s="33">
        <v>42912.520799999998</v>
      </c>
      <c r="N71" s="34">
        <v>1.0160690971975965</v>
      </c>
      <c r="O71" s="34">
        <v>-0.16027999999999998</v>
      </c>
      <c r="P71" s="25">
        <v>215.64</v>
      </c>
      <c r="Q71" s="25">
        <v>207.03</v>
      </c>
      <c r="R71" s="34">
        <v>4.1588175626720694E-2</v>
      </c>
    </row>
    <row r="72" spans="1:18" x14ac:dyDescent="0.25">
      <c r="A72" s="26">
        <v>65</v>
      </c>
      <c r="B72" s="25">
        <v>123211</v>
      </c>
      <c r="C72" s="25" t="s">
        <v>1056</v>
      </c>
      <c r="D72" s="25">
        <v>132.30000000000001</v>
      </c>
      <c r="E72" s="34">
        <v>8.5000000000000006E-3</v>
      </c>
      <c r="F72" s="25">
        <v>9.4600000000000009</v>
      </c>
      <c r="G72" s="25">
        <v>112.05</v>
      </c>
      <c r="H72" s="43">
        <v>0.1807</v>
      </c>
      <c r="I72" s="57">
        <v>150.37</v>
      </c>
      <c r="J72" s="32">
        <v>47326</v>
      </c>
      <c r="K72" s="33">
        <v>4.2930000000000001</v>
      </c>
      <c r="L72" s="33">
        <v>3.081153</v>
      </c>
      <c r="M72" s="33">
        <v>7882.7149900000004</v>
      </c>
      <c r="N72" s="34">
        <v>0.19337606371741226</v>
      </c>
      <c r="O72" s="34">
        <v>-2.2886000000000004E-2</v>
      </c>
      <c r="P72" s="25">
        <v>134.191</v>
      </c>
      <c r="Q72" s="25">
        <v>130.02099999999999</v>
      </c>
      <c r="R72" s="34">
        <v>3.2071742257020149E-2</v>
      </c>
    </row>
    <row r="73" spans="1:18" x14ac:dyDescent="0.25">
      <c r="A73" s="26">
        <v>66</v>
      </c>
      <c r="B73" s="25">
        <v>123048</v>
      </c>
      <c r="C73" s="25" t="s">
        <v>982</v>
      </c>
      <c r="D73" s="25">
        <v>140.09</v>
      </c>
      <c r="E73" s="34">
        <v>-1.8799999999999997E-2</v>
      </c>
      <c r="F73" s="25">
        <v>7.06</v>
      </c>
      <c r="G73" s="25">
        <v>118.56</v>
      </c>
      <c r="H73" s="43">
        <v>0.18160000000000001</v>
      </c>
      <c r="I73" s="57">
        <v>158.25</v>
      </c>
      <c r="J73" s="32">
        <v>46122</v>
      </c>
      <c r="K73" s="33">
        <v>0.995</v>
      </c>
      <c r="L73" s="33">
        <v>2.124714</v>
      </c>
      <c r="M73" s="33">
        <v>49412.022204500005</v>
      </c>
      <c r="N73" s="34">
        <v>1.6600646937570491</v>
      </c>
      <c r="O73" s="34">
        <v>-0.22961799999999999</v>
      </c>
      <c r="P73" s="25">
        <v>144.30099999999999</v>
      </c>
      <c r="Q73" s="25">
        <v>140.00200000000001</v>
      </c>
      <c r="R73" s="34">
        <v>3.0706704189939985E-2</v>
      </c>
    </row>
    <row r="74" spans="1:18" x14ac:dyDescent="0.25">
      <c r="A74" s="26">
        <v>67</v>
      </c>
      <c r="B74" s="25">
        <v>118039</v>
      </c>
      <c r="C74" s="25" t="s">
        <v>970</v>
      </c>
      <c r="D74" s="25">
        <v>124.78400000000001</v>
      </c>
      <c r="E74" s="34">
        <v>4.0000000000000001E-3</v>
      </c>
      <c r="F74" s="25">
        <v>10.07</v>
      </c>
      <c r="G74" s="25">
        <v>105.26</v>
      </c>
      <c r="H74" s="43">
        <v>0.1855</v>
      </c>
      <c r="I74" s="57">
        <v>143.334</v>
      </c>
      <c r="J74" s="32">
        <v>47319</v>
      </c>
      <c r="K74" s="33">
        <v>4.274</v>
      </c>
      <c r="L74" s="33">
        <v>4.1041100000000004</v>
      </c>
      <c r="M74" s="33">
        <v>3551.3993999999998</v>
      </c>
      <c r="N74" s="34">
        <v>6.9346032946312752E-2</v>
      </c>
      <c r="O74" s="34">
        <v>-1.2275000000000001E-2</v>
      </c>
      <c r="P74" s="25">
        <v>126.254</v>
      </c>
      <c r="Q74" s="25">
        <v>124.26</v>
      </c>
      <c r="R74" s="34">
        <v>1.6046998229518748E-2</v>
      </c>
    </row>
    <row r="75" spans="1:18" x14ac:dyDescent="0.25">
      <c r="A75" s="26">
        <v>68</v>
      </c>
      <c r="B75" s="25">
        <v>127028</v>
      </c>
      <c r="C75" s="25" t="s">
        <v>1091</v>
      </c>
      <c r="D75" s="25">
        <v>123.54</v>
      </c>
      <c r="E75" s="34">
        <v>-1.06E-2</v>
      </c>
      <c r="F75" s="25">
        <v>9.68</v>
      </c>
      <c r="G75" s="25">
        <v>104.03</v>
      </c>
      <c r="H75" s="43">
        <v>0.1875</v>
      </c>
      <c r="I75" s="57">
        <v>142.29000000000002</v>
      </c>
      <c r="J75" s="32">
        <v>46392</v>
      </c>
      <c r="K75" s="33">
        <v>1.734</v>
      </c>
      <c r="L75" s="33">
        <v>4.0620849999999997</v>
      </c>
      <c r="M75" s="33">
        <v>1678.1304662</v>
      </c>
      <c r="N75" s="34">
        <v>3.3440219398418167E-2</v>
      </c>
      <c r="O75" s="34">
        <v>-6.6210000000000005E-2</v>
      </c>
      <c r="P75" s="25">
        <v>125</v>
      </c>
      <c r="Q75" s="25">
        <v>123.01</v>
      </c>
      <c r="R75" s="34">
        <v>1.6177546540931589E-2</v>
      </c>
    </row>
    <row r="76" spans="1:18" x14ac:dyDescent="0.25">
      <c r="A76" s="26">
        <v>69</v>
      </c>
      <c r="B76" s="25">
        <v>123237</v>
      </c>
      <c r="C76" s="25" t="s">
        <v>961</v>
      </c>
      <c r="D76" s="25">
        <v>129.70500000000001</v>
      </c>
      <c r="E76" s="34">
        <v>1.24E-2</v>
      </c>
      <c r="F76" s="25">
        <v>13.58</v>
      </c>
      <c r="G76" s="25">
        <v>109.2</v>
      </c>
      <c r="H76" s="43">
        <v>0.18780000000000002</v>
      </c>
      <c r="I76" s="57">
        <v>148.48500000000001</v>
      </c>
      <c r="J76" s="32">
        <v>47487</v>
      </c>
      <c r="K76" s="33">
        <v>4.734</v>
      </c>
      <c r="L76" s="33">
        <v>4.3175239999999997</v>
      </c>
      <c r="M76" s="33">
        <v>18578.471644999998</v>
      </c>
      <c r="N76" s="34">
        <v>0.33175578570967168</v>
      </c>
      <c r="O76" s="34">
        <v>-2.0615999999999999E-2</v>
      </c>
      <c r="P76" s="25">
        <v>131.499</v>
      </c>
      <c r="Q76" s="25">
        <v>127</v>
      </c>
      <c r="R76" s="34">
        <v>3.5425196850393664E-2</v>
      </c>
    </row>
    <row r="77" spans="1:18" x14ac:dyDescent="0.25">
      <c r="A77" s="26">
        <v>70</v>
      </c>
      <c r="B77" s="25">
        <v>128130</v>
      </c>
      <c r="C77" s="25" t="s">
        <v>1024</v>
      </c>
      <c r="D77" s="25">
        <v>121.35899999999999</v>
      </c>
      <c r="E77" s="34">
        <v>-1.7399999999999999E-2</v>
      </c>
      <c r="F77" s="25">
        <v>3.39</v>
      </c>
      <c r="G77" s="25">
        <v>102.06</v>
      </c>
      <c r="H77" s="43">
        <v>0.18909999999999999</v>
      </c>
      <c r="I77" s="57">
        <v>140.26900000000001</v>
      </c>
      <c r="J77" s="32">
        <v>46265</v>
      </c>
      <c r="K77" s="33">
        <v>1.3859999999999999</v>
      </c>
      <c r="L77" s="33">
        <v>7.4375900000000001</v>
      </c>
      <c r="M77" s="33">
        <v>9326.1553871999986</v>
      </c>
      <c r="N77" s="34">
        <v>0.1033233369817719</v>
      </c>
      <c r="O77" s="34">
        <v>-5.7987000000000004E-2</v>
      </c>
      <c r="P77" s="25">
        <v>123.95399999999999</v>
      </c>
      <c r="Q77" s="25">
        <v>120.5</v>
      </c>
      <c r="R77" s="34">
        <v>2.8663900414937705E-2</v>
      </c>
    </row>
    <row r="78" spans="1:18" x14ac:dyDescent="0.25">
      <c r="A78" s="26">
        <v>71</v>
      </c>
      <c r="B78" s="25">
        <v>123089</v>
      </c>
      <c r="C78" s="25" t="s">
        <v>935</v>
      </c>
      <c r="D78" s="25">
        <v>131.5</v>
      </c>
      <c r="E78" s="34">
        <v>-1.1399999999999999E-2</v>
      </c>
      <c r="F78" s="25">
        <v>5.5</v>
      </c>
      <c r="G78" s="25">
        <v>110.55</v>
      </c>
      <c r="H78" s="43">
        <v>0.1895</v>
      </c>
      <c r="I78" s="57">
        <v>150.44999999999999</v>
      </c>
      <c r="J78" s="32">
        <v>46377</v>
      </c>
      <c r="K78" s="33">
        <v>1.6930000000000001</v>
      </c>
      <c r="L78" s="33">
        <v>2.2252990000000001</v>
      </c>
      <c r="M78" s="33">
        <v>8352.094513</v>
      </c>
      <c r="N78" s="34">
        <v>0.28541794480125549</v>
      </c>
      <c r="O78" s="34">
        <v>-6.4985000000000001E-2</v>
      </c>
      <c r="P78" s="25">
        <v>133.74600000000001</v>
      </c>
      <c r="Q78" s="25">
        <v>131.18899999999999</v>
      </c>
      <c r="R78" s="34">
        <v>1.9490963419189235E-2</v>
      </c>
    </row>
    <row r="79" spans="1:18" x14ac:dyDescent="0.25">
      <c r="A79" s="26">
        <v>72</v>
      </c>
      <c r="B79" s="25">
        <v>127095</v>
      </c>
      <c r="C79" s="25" t="s">
        <v>914</v>
      </c>
      <c r="D79" s="25">
        <v>126.887</v>
      </c>
      <c r="E79" s="34">
        <v>-1.0200000000000001E-2</v>
      </c>
      <c r="F79" s="25">
        <v>9.25</v>
      </c>
      <c r="G79" s="25">
        <v>106.16</v>
      </c>
      <c r="H79" s="43">
        <v>0.19519999999999998</v>
      </c>
      <c r="I79" s="57">
        <v>146.40700000000001</v>
      </c>
      <c r="J79" s="32">
        <v>47409</v>
      </c>
      <c r="K79" s="33">
        <v>4.5209999999999999</v>
      </c>
      <c r="L79" s="33">
        <v>6.9278599999999999</v>
      </c>
      <c r="M79" s="33">
        <v>4002.0554609999999</v>
      </c>
      <c r="N79" s="34">
        <v>4.5526773276114874E-2</v>
      </c>
      <c r="O79" s="34">
        <v>-1.302E-2</v>
      </c>
      <c r="P79" s="25">
        <v>128.39099999999999</v>
      </c>
      <c r="Q79" s="25">
        <v>125.83799999999999</v>
      </c>
      <c r="R79" s="34">
        <v>2.0287989319601372E-2</v>
      </c>
    </row>
    <row r="80" spans="1:18" x14ac:dyDescent="0.25">
      <c r="A80" s="26">
        <v>73</v>
      </c>
      <c r="B80" s="25">
        <v>123231</v>
      </c>
      <c r="C80" s="25" t="s">
        <v>1044</v>
      </c>
      <c r="D80" s="25">
        <v>141.00700000000001</v>
      </c>
      <c r="E80" s="34">
        <v>-6.3E-3</v>
      </c>
      <c r="F80" s="25">
        <v>25.76</v>
      </c>
      <c r="G80" s="25">
        <v>117.97</v>
      </c>
      <c r="H80" s="43">
        <v>0.1953</v>
      </c>
      <c r="I80" s="57">
        <v>160.53700000000001</v>
      </c>
      <c r="J80" s="32">
        <v>47431</v>
      </c>
      <c r="K80" s="33">
        <v>4.5810000000000004</v>
      </c>
      <c r="L80" s="33">
        <v>2.6587009999999998</v>
      </c>
      <c r="M80" s="33">
        <v>13497.5542898</v>
      </c>
      <c r="N80" s="34">
        <v>0.36003515703221511</v>
      </c>
      <c r="O80" s="34">
        <v>-3.5185000000000001E-2</v>
      </c>
      <c r="P80" s="25">
        <v>144.30000000000001</v>
      </c>
      <c r="Q80" s="25">
        <v>140.11799999999999</v>
      </c>
      <c r="R80" s="34">
        <v>2.9846272427525491E-2</v>
      </c>
    </row>
    <row r="81" spans="1:18" x14ac:dyDescent="0.25">
      <c r="A81" s="26">
        <v>74</v>
      </c>
      <c r="B81" s="25">
        <v>111007</v>
      </c>
      <c r="C81" s="25" t="s">
        <v>1016</v>
      </c>
      <c r="D81" s="25">
        <v>125.81399999999999</v>
      </c>
      <c r="E81" s="34">
        <v>-4.8999999999999998E-3</v>
      </c>
      <c r="F81" s="25">
        <v>19.93</v>
      </c>
      <c r="G81" s="25">
        <v>104.92</v>
      </c>
      <c r="H81" s="43">
        <v>0.1991</v>
      </c>
      <c r="I81" s="57">
        <v>145.72399999999999</v>
      </c>
      <c r="J81" s="32">
        <v>47037</v>
      </c>
      <c r="K81" s="33">
        <v>3.5009999999999999</v>
      </c>
      <c r="L81" s="33">
        <v>7.8562900000000004</v>
      </c>
      <c r="M81" s="33">
        <v>4423.0406000000003</v>
      </c>
      <c r="N81" s="34">
        <v>4.4748084504970302E-2</v>
      </c>
      <c r="O81" s="34">
        <v>-1.4863999999999999E-2</v>
      </c>
      <c r="P81" s="25">
        <v>127.036</v>
      </c>
      <c r="Q81" s="25">
        <v>124.666</v>
      </c>
      <c r="R81" s="34">
        <v>1.9010796849181048E-2</v>
      </c>
    </row>
    <row r="82" spans="1:18" x14ac:dyDescent="0.25">
      <c r="A82" s="26">
        <v>75</v>
      </c>
      <c r="B82" s="25">
        <v>123147</v>
      </c>
      <c r="C82" s="25" t="s">
        <v>940</v>
      </c>
      <c r="D82" s="25">
        <v>122.398</v>
      </c>
      <c r="E82" s="34">
        <v>-1.0700000000000001E-2</v>
      </c>
      <c r="F82" s="25">
        <v>6.46</v>
      </c>
      <c r="G82" s="25">
        <v>101.86</v>
      </c>
      <c r="H82" s="43">
        <v>0.2016</v>
      </c>
      <c r="I82" s="57">
        <v>142.55799999999999</v>
      </c>
      <c r="J82" s="32">
        <v>46904</v>
      </c>
      <c r="K82" s="33">
        <v>3.137</v>
      </c>
      <c r="L82" s="33">
        <v>4.9842899999999997</v>
      </c>
      <c r="M82" s="33">
        <v>8274.264392000001</v>
      </c>
      <c r="N82" s="34">
        <v>0.1356287532978907</v>
      </c>
      <c r="O82" s="34">
        <v>-8.294000000000001E-3</v>
      </c>
      <c r="P82" s="25">
        <v>123.751</v>
      </c>
      <c r="Q82" s="25">
        <v>121.38</v>
      </c>
      <c r="R82" s="34">
        <v>1.9533695831273762E-2</v>
      </c>
    </row>
    <row r="83" spans="1:18" x14ac:dyDescent="0.25">
      <c r="A83" s="26">
        <v>76</v>
      </c>
      <c r="B83" s="25">
        <v>123223</v>
      </c>
      <c r="C83" s="25" t="s">
        <v>913</v>
      </c>
      <c r="D83" s="25">
        <v>131.96199999999999</v>
      </c>
      <c r="E83" s="34">
        <v>-6.7000000000000002E-3</v>
      </c>
      <c r="F83" s="25">
        <v>15.33</v>
      </c>
      <c r="G83" s="25">
        <v>109.72</v>
      </c>
      <c r="H83" s="43">
        <v>0.20269999999999999</v>
      </c>
      <c r="I83" s="57">
        <v>152.232</v>
      </c>
      <c r="J83" s="32">
        <v>47376</v>
      </c>
      <c r="K83" s="33">
        <v>4.43</v>
      </c>
      <c r="L83" s="33">
        <v>2.0532439999999998</v>
      </c>
      <c r="M83" s="33">
        <v>4832.38249</v>
      </c>
      <c r="N83" s="34">
        <v>0.17834948128384215</v>
      </c>
      <c r="O83" s="34">
        <v>-2.4451000000000001E-2</v>
      </c>
      <c r="P83" s="25">
        <v>134</v>
      </c>
      <c r="Q83" s="25">
        <v>131.63</v>
      </c>
      <c r="R83" s="34">
        <v>1.800501405454687E-2</v>
      </c>
    </row>
    <row r="84" spans="1:18" x14ac:dyDescent="0.25">
      <c r="A84" s="26">
        <v>77</v>
      </c>
      <c r="B84" s="25">
        <v>113676</v>
      </c>
      <c r="C84" s="25" t="s">
        <v>987</v>
      </c>
      <c r="D84" s="25">
        <v>121.46</v>
      </c>
      <c r="E84" s="34">
        <v>-1.03E-2</v>
      </c>
      <c r="F84" s="25">
        <v>11.59</v>
      </c>
      <c r="G84" s="25">
        <v>100.86</v>
      </c>
      <c r="H84" s="43">
        <v>0.20420000000000002</v>
      </c>
      <c r="I84" s="57">
        <v>141.88</v>
      </c>
      <c r="J84" s="32">
        <v>47348</v>
      </c>
      <c r="K84" s="33">
        <v>4.3529999999999998</v>
      </c>
      <c r="L84" s="33">
        <v>5.7595299999999998</v>
      </c>
      <c r="M84" s="33">
        <v>4605.7075000000004</v>
      </c>
      <c r="N84" s="34">
        <v>6.5837909365539918E-2</v>
      </c>
      <c r="O84" s="34">
        <v>-3.7910000000000001E-3</v>
      </c>
      <c r="P84" s="25">
        <v>123.124</v>
      </c>
      <c r="Q84" s="25">
        <v>120.268</v>
      </c>
      <c r="R84" s="34">
        <v>2.3746965111251492E-2</v>
      </c>
    </row>
    <row r="85" spans="1:18" x14ac:dyDescent="0.25">
      <c r="A85" s="26">
        <v>78</v>
      </c>
      <c r="B85" s="25">
        <v>113598</v>
      </c>
      <c r="C85" s="25" t="s">
        <v>37</v>
      </c>
      <c r="D85" s="25">
        <v>128.5</v>
      </c>
      <c r="E85" s="34">
        <v>-8.199999999999999E-3</v>
      </c>
      <c r="F85" s="25">
        <v>7.45</v>
      </c>
      <c r="G85" s="25">
        <v>106.58</v>
      </c>
      <c r="H85" s="43">
        <v>0.20569999999999999</v>
      </c>
      <c r="I85" s="57">
        <v>149.07</v>
      </c>
      <c r="J85" s="32">
        <v>46234</v>
      </c>
      <c r="K85" s="33">
        <v>1.3009999999999999</v>
      </c>
      <c r="L85" s="33">
        <v>2.7520799999999999</v>
      </c>
      <c r="M85" s="33">
        <v>5834.4992000000002</v>
      </c>
      <c r="N85" s="34">
        <v>0.16498307838078638</v>
      </c>
      <c r="O85" s="34">
        <v>-6.7346000000000003E-2</v>
      </c>
      <c r="P85" s="25">
        <v>130.52500000000001</v>
      </c>
      <c r="Q85" s="25">
        <v>127.818</v>
      </c>
      <c r="R85" s="34">
        <v>2.117855075185035E-2</v>
      </c>
    </row>
    <row r="86" spans="1:18" x14ac:dyDescent="0.25">
      <c r="A86" s="26">
        <v>79</v>
      </c>
      <c r="B86" s="25">
        <v>111019</v>
      </c>
      <c r="C86" s="25" t="s">
        <v>951</v>
      </c>
      <c r="D86" s="25">
        <v>118.557</v>
      </c>
      <c r="E86" s="34">
        <v>-1.37E-2</v>
      </c>
      <c r="F86" s="25">
        <v>5.45</v>
      </c>
      <c r="G86" s="25">
        <v>98.17</v>
      </c>
      <c r="H86" s="43">
        <v>0.2077</v>
      </c>
      <c r="I86" s="57">
        <v>139.327</v>
      </c>
      <c r="J86" s="32">
        <v>47590</v>
      </c>
      <c r="K86" s="33">
        <v>5.016</v>
      </c>
      <c r="L86" s="33">
        <v>8.1775599999999997</v>
      </c>
      <c r="M86" s="33">
        <v>9339.9866999999995</v>
      </c>
      <c r="N86" s="34">
        <v>9.6337487855290616E-2</v>
      </c>
      <c r="O86" s="34">
        <v>2.2850000000000001E-3</v>
      </c>
      <c r="P86" s="25">
        <v>121.107</v>
      </c>
      <c r="Q86" s="25">
        <v>117.639</v>
      </c>
      <c r="R86" s="34">
        <v>2.9480019381327653E-2</v>
      </c>
    </row>
    <row r="87" spans="1:18" x14ac:dyDescent="0.25">
      <c r="A87" s="26">
        <v>80</v>
      </c>
      <c r="B87" s="25">
        <v>127099</v>
      </c>
      <c r="C87" s="25" t="s">
        <v>975</v>
      </c>
      <c r="D87" s="25">
        <v>127.428</v>
      </c>
      <c r="E87" s="34">
        <v>-4.6999999999999993E-3</v>
      </c>
      <c r="F87" s="25">
        <v>15.6</v>
      </c>
      <c r="G87" s="25">
        <v>105.45</v>
      </c>
      <c r="H87" s="43">
        <v>0.2084</v>
      </c>
      <c r="I87" s="57">
        <v>148.268</v>
      </c>
      <c r="J87" s="32">
        <v>47458</v>
      </c>
      <c r="K87" s="33">
        <v>4.6550000000000002</v>
      </c>
      <c r="L87" s="33">
        <v>4.5407330000000004</v>
      </c>
      <c r="M87" s="33">
        <v>3484.7206263999997</v>
      </c>
      <c r="N87" s="34">
        <v>6.0225045042780458E-2</v>
      </c>
      <c r="O87" s="34">
        <v>-1.2685999999999999E-2</v>
      </c>
      <c r="P87" s="25">
        <v>129.25200000000001</v>
      </c>
      <c r="Q87" s="25">
        <v>126.107</v>
      </c>
      <c r="R87" s="34">
        <v>2.4939138985147616E-2</v>
      </c>
    </row>
    <row r="88" spans="1:18" x14ac:dyDescent="0.25">
      <c r="A88" s="26">
        <v>81</v>
      </c>
      <c r="B88" s="25">
        <v>113683</v>
      </c>
      <c r="C88" s="25" t="s">
        <v>950</v>
      </c>
      <c r="D88" s="25">
        <v>132.23599999999999</v>
      </c>
      <c r="E88" s="34">
        <v>-1.32E-2</v>
      </c>
      <c r="F88" s="25">
        <v>18.03</v>
      </c>
      <c r="G88" s="25">
        <v>108.26</v>
      </c>
      <c r="H88" s="43">
        <v>0.22149999999999997</v>
      </c>
      <c r="I88" s="57">
        <v>154.386</v>
      </c>
      <c r="J88" s="32">
        <v>47570</v>
      </c>
      <c r="K88" s="33">
        <v>4.9619999999999997</v>
      </c>
      <c r="L88" s="33">
        <v>2.8476699999999999</v>
      </c>
      <c r="M88" s="33">
        <v>3731.7865000000002</v>
      </c>
      <c r="N88" s="34">
        <v>9.9100860487689374E-2</v>
      </c>
      <c r="O88" s="34">
        <v>-2.9020999999999998E-2</v>
      </c>
      <c r="P88" s="25">
        <v>134.315</v>
      </c>
      <c r="Q88" s="25">
        <v>131.172</v>
      </c>
      <c r="R88" s="34">
        <v>2.396090629097674E-2</v>
      </c>
    </row>
    <row r="89" spans="1:18" x14ac:dyDescent="0.25">
      <c r="A89" s="26">
        <v>82</v>
      </c>
      <c r="B89" s="25">
        <v>123052</v>
      </c>
      <c r="C89" s="25" t="s">
        <v>1029</v>
      </c>
      <c r="D89" s="25">
        <v>130.096</v>
      </c>
      <c r="E89" s="34">
        <v>-1.29E-2</v>
      </c>
      <c r="F89" s="25">
        <v>6.01</v>
      </c>
      <c r="G89" s="25">
        <v>106.32</v>
      </c>
      <c r="H89" s="43">
        <v>0.22359999999999999</v>
      </c>
      <c r="I89" s="57">
        <v>152.45600000000002</v>
      </c>
      <c r="J89" s="32">
        <v>46178</v>
      </c>
      <c r="K89" s="33">
        <v>1.1479999999999999</v>
      </c>
      <c r="L89" s="33">
        <v>1.501679</v>
      </c>
      <c r="M89" s="33">
        <v>2736.2943930000001</v>
      </c>
      <c r="N89" s="34">
        <v>0.14006246627955046</v>
      </c>
      <c r="O89" s="34">
        <v>-5.1811999999999997E-2</v>
      </c>
      <c r="P89" s="25">
        <v>132.6</v>
      </c>
      <c r="Q89" s="25">
        <v>129.80500000000001</v>
      </c>
      <c r="R89" s="34">
        <v>2.1532298447671409E-2</v>
      </c>
    </row>
    <row r="90" spans="1:18" x14ac:dyDescent="0.25">
      <c r="A90" s="26">
        <v>83</v>
      </c>
      <c r="B90" s="25">
        <v>127105</v>
      </c>
      <c r="C90" s="25" t="s">
        <v>1004</v>
      </c>
      <c r="D90" s="25">
        <v>117.797</v>
      </c>
      <c r="E90" s="34">
        <v>-9.1000000000000004E-3</v>
      </c>
      <c r="F90" s="25">
        <v>5.92</v>
      </c>
      <c r="G90" s="25">
        <v>95.78</v>
      </c>
      <c r="H90" s="43">
        <v>0.22989999999999999</v>
      </c>
      <c r="I90" s="57">
        <v>140.78700000000001</v>
      </c>
      <c r="J90" s="32">
        <v>47515</v>
      </c>
      <c r="K90" s="33">
        <v>4.8109999999999999</v>
      </c>
      <c r="L90" s="33">
        <v>7.5466360000000003</v>
      </c>
      <c r="M90" s="33">
        <v>6080.5842520000006</v>
      </c>
      <c r="N90" s="34">
        <v>6.8400248137416325E-2</v>
      </c>
      <c r="O90" s="34">
        <v>3.388E-3</v>
      </c>
      <c r="P90" s="25">
        <v>119.48099999999999</v>
      </c>
      <c r="Q90" s="25">
        <v>117.15</v>
      </c>
      <c r="R90" s="34">
        <v>1.9897567221510787E-2</v>
      </c>
    </row>
    <row r="91" spans="1:18" x14ac:dyDescent="0.25">
      <c r="A91" s="26">
        <v>84</v>
      </c>
      <c r="B91" s="25">
        <v>128120</v>
      </c>
      <c r="C91" s="25" t="s">
        <v>1097</v>
      </c>
      <c r="D91" s="25">
        <v>129.559</v>
      </c>
      <c r="E91" s="34">
        <v>-6.3E-3</v>
      </c>
      <c r="F91" s="25">
        <v>11.59</v>
      </c>
      <c r="G91" s="25">
        <v>105.09</v>
      </c>
      <c r="H91" s="43">
        <v>0.23280000000000001</v>
      </c>
      <c r="I91" s="57">
        <v>152.839</v>
      </c>
      <c r="J91" s="32">
        <v>46220</v>
      </c>
      <c r="K91" s="33">
        <v>1.2629999999999999</v>
      </c>
      <c r="L91" s="33">
        <v>1.7048289999999999</v>
      </c>
      <c r="M91" s="33">
        <v>2812.0581360000001</v>
      </c>
      <c r="N91" s="34">
        <v>0.12731391797437958</v>
      </c>
      <c r="O91" s="34">
        <v>-9.6209000000000003E-2</v>
      </c>
      <c r="P91" s="25">
        <v>132.101</v>
      </c>
      <c r="Q91" s="25">
        <v>128.96</v>
      </c>
      <c r="R91" s="34">
        <v>2.43563895781637E-2</v>
      </c>
    </row>
    <row r="92" spans="1:18" x14ac:dyDescent="0.25">
      <c r="A92" s="26">
        <v>85</v>
      </c>
      <c r="B92" s="25">
        <v>127106</v>
      </c>
      <c r="C92" s="25" t="s">
        <v>1003</v>
      </c>
      <c r="D92" s="25">
        <v>126.267</v>
      </c>
      <c r="E92" s="34">
        <v>-1.2500000000000001E-2</v>
      </c>
      <c r="F92" s="25">
        <v>8.6</v>
      </c>
      <c r="G92" s="25">
        <v>102.33</v>
      </c>
      <c r="H92" s="43">
        <v>0.2339</v>
      </c>
      <c r="I92" s="57">
        <v>149.65699999999998</v>
      </c>
      <c r="J92" s="32">
        <v>47708</v>
      </c>
      <c r="K92" s="33">
        <v>5.34</v>
      </c>
      <c r="L92" s="33">
        <v>2.695614</v>
      </c>
      <c r="M92" s="33">
        <v>3436.9504350000002</v>
      </c>
      <c r="N92" s="34">
        <v>0.10097775332311758</v>
      </c>
      <c r="O92" s="34">
        <v>-7.3379999999999999E-3</v>
      </c>
      <c r="P92" s="25">
        <v>128.33600000000001</v>
      </c>
      <c r="Q92" s="25">
        <v>126.003</v>
      </c>
      <c r="R92" s="34">
        <v>1.8515432172249966E-2</v>
      </c>
    </row>
    <row r="93" spans="1:18" x14ac:dyDescent="0.25">
      <c r="A93" s="26">
        <v>86</v>
      </c>
      <c r="B93" s="25">
        <v>123201</v>
      </c>
      <c r="C93" s="25" t="s">
        <v>866</v>
      </c>
      <c r="D93" s="25">
        <v>124.4</v>
      </c>
      <c r="E93" s="34">
        <v>-7.1999999999999998E-3</v>
      </c>
      <c r="F93" s="25">
        <v>21.19</v>
      </c>
      <c r="G93" s="25">
        <v>100.47</v>
      </c>
      <c r="H93" s="43">
        <v>0.2382</v>
      </c>
      <c r="I93" s="57">
        <v>148.22</v>
      </c>
      <c r="J93" s="32">
        <v>47296</v>
      </c>
      <c r="K93" s="33">
        <v>4.2110000000000003</v>
      </c>
      <c r="L93" s="33">
        <v>3.1584449999999999</v>
      </c>
      <c r="M93" s="33">
        <v>4010.9742773999997</v>
      </c>
      <c r="N93" s="34">
        <v>0.10208364717447982</v>
      </c>
      <c r="O93" s="34">
        <v>-6.7100000000000007E-3</v>
      </c>
      <c r="P93" s="25">
        <v>126.5</v>
      </c>
      <c r="Q93" s="25">
        <v>123.801</v>
      </c>
      <c r="R93" s="34">
        <v>2.18011163076227E-2</v>
      </c>
    </row>
    <row r="94" spans="1:18" x14ac:dyDescent="0.25">
      <c r="A94" s="26">
        <v>87</v>
      </c>
      <c r="B94" s="25">
        <v>118048</v>
      </c>
      <c r="C94" s="25" t="s">
        <v>1036</v>
      </c>
      <c r="D94" s="25">
        <v>132.05600000000001</v>
      </c>
      <c r="E94" s="34">
        <v>2.6699999999999998E-2</v>
      </c>
      <c r="F94" s="25">
        <v>16.13</v>
      </c>
      <c r="G94" s="25">
        <v>106.45</v>
      </c>
      <c r="H94" s="43">
        <v>0.24050000000000002</v>
      </c>
      <c r="I94" s="57">
        <v>156.10600000000002</v>
      </c>
      <c r="J94" s="32">
        <v>47666</v>
      </c>
      <c r="K94" s="33">
        <v>5.2249999999999996</v>
      </c>
      <c r="L94" s="33">
        <v>5.0549499999999998</v>
      </c>
      <c r="M94" s="33">
        <v>61984.3151</v>
      </c>
      <c r="N94" s="34">
        <v>0.92855322843172405</v>
      </c>
      <c r="O94" s="34">
        <v>-1.8591E-2</v>
      </c>
      <c r="P94" s="25">
        <v>137.626</v>
      </c>
      <c r="Q94" s="25">
        <v>128.001</v>
      </c>
      <c r="R94" s="34">
        <v>7.5194725041210608E-2</v>
      </c>
    </row>
    <row r="95" spans="1:18" x14ac:dyDescent="0.25">
      <c r="A95" s="26">
        <v>88</v>
      </c>
      <c r="B95" s="25">
        <v>110096</v>
      </c>
      <c r="C95" s="25" t="s">
        <v>957</v>
      </c>
      <c r="D95" s="25">
        <v>128.25</v>
      </c>
      <c r="E95" s="34">
        <v>-6.9999999999999993E-3</v>
      </c>
      <c r="F95" s="25">
        <v>6.17</v>
      </c>
      <c r="G95" s="25">
        <v>102.92</v>
      </c>
      <c r="H95" s="43">
        <v>0.24609999999999999</v>
      </c>
      <c r="I95" s="57">
        <v>152.86000000000001</v>
      </c>
      <c r="J95" s="32">
        <v>47707</v>
      </c>
      <c r="K95" s="33">
        <v>5.3369999999999997</v>
      </c>
      <c r="L95" s="33">
        <v>7.0991299999999997</v>
      </c>
      <c r="M95" s="33">
        <v>6300.0798000000004</v>
      </c>
      <c r="N95" s="34">
        <v>6.9196407503125154E-2</v>
      </c>
      <c r="O95" s="34">
        <v>-1.9633999999999999E-2</v>
      </c>
      <c r="P95" s="25">
        <v>133.309</v>
      </c>
      <c r="Q95" s="25">
        <v>128.001</v>
      </c>
      <c r="R95" s="34">
        <v>4.1468426027921598E-2</v>
      </c>
    </row>
    <row r="96" spans="1:18" x14ac:dyDescent="0.25">
      <c r="A96" s="26">
        <v>89</v>
      </c>
      <c r="B96" s="25">
        <v>113588</v>
      </c>
      <c r="C96" s="25" t="s">
        <v>971</v>
      </c>
      <c r="D96" s="25">
        <v>169.483</v>
      </c>
      <c r="E96" s="34">
        <v>2.6099999999999998E-2</v>
      </c>
      <c r="F96" s="25">
        <v>13</v>
      </c>
      <c r="G96" s="25">
        <v>136</v>
      </c>
      <c r="H96" s="43">
        <v>0.2462</v>
      </c>
      <c r="I96" s="57">
        <v>194.10300000000001</v>
      </c>
      <c r="J96" s="32">
        <v>46190</v>
      </c>
      <c r="K96" s="33">
        <v>1.181</v>
      </c>
      <c r="L96" s="33">
        <v>2.3452500000000001</v>
      </c>
      <c r="M96" s="33">
        <v>62024.078600000001</v>
      </c>
      <c r="N96" s="34">
        <v>1.5604326683795715</v>
      </c>
      <c r="O96" s="34">
        <v>-0.304622</v>
      </c>
      <c r="P96" s="25">
        <v>185</v>
      </c>
      <c r="Q96" s="25">
        <v>165.41499999999999</v>
      </c>
      <c r="R96" s="34">
        <v>0.11839917782546933</v>
      </c>
    </row>
    <row r="97" spans="1:18" x14ac:dyDescent="0.25">
      <c r="A97" s="26">
        <v>90</v>
      </c>
      <c r="B97" s="25">
        <v>113678</v>
      </c>
      <c r="C97" s="25" t="s">
        <v>1048</v>
      </c>
      <c r="D97" s="25">
        <v>139.07400000000001</v>
      </c>
      <c r="E97" s="34">
        <v>1.0800000000000001E-2</v>
      </c>
      <c r="F97" s="25">
        <v>21.06</v>
      </c>
      <c r="G97" s="25">
        <v>111.59</v>
      </c>
      <c r="H97" s="43">
        <v>0.24629999999999999</v>
      </c>
      <c r="I97" s="57">
        <v>163.70400000000001</v>
      </c>
      <c r="J97" s="32">
        <v>47410</v>
      </c>
      <c r="K97" s="33">
        <v>4.5229999999999997</v>
      </c>
      <c r="L97" s="33">
        <v>5.1117699999999999</v>
      </c>
      <c r="M97" s="33">
        <v>10910.739299999999</v>
      </c>
      <c r="N97" s="34">
        <v>0.1534747477292196</v>
      </c>
      <c r="O97" s="34">
        <v>-3.1078000000000001E-2</v>
      </c>
      <c r="P97" s="25">
        <v>141.23099999999999</v>
      </c>
      <c r="Q97" s="25">
        <v>136.9</v>
      </c>
      <c r="R97" s="34">
        <v>3.1636230825419935E-2</v>
      </c>
    </row>
    <row r="98" spans="1:18" x14ac:dyDescent="0.25">
      <c r="A98" s="26">
        <v>91</v>
      </c>
      <c r="B98" s="25">
        <v>127072</v>
      </c>
      <c r="C98" s="25" t="s">
        <v>1074</v>
      </c>
      <c r="D98" s="25">
        <v>130.15700000000001</v>
      </c>
      <c r="E98" s="34">
        <v>-1.1899999999999999E-2</v>
      </c>
      <c r="F98" s="25">
        <v>15.31</v>
      </c>
      <c r="G98" s="25">
        <v>104.38</v>
      </c>
      <c r="H98" s="43">
        <v>0.247</v>
      </c>
      <c r="I98" s="57">
        <v>154.857</v>
      </c>
      <c r="J98" s="32">
        <v>47018</v>
      </c>
      <c r="K98" s="33">
        <v>3.4489999999999998</v>
      </c>
      <c r="L98" s="33">
        <v>4.498297</v>
      </c>
      <c r="M98" s="33">
        <v>4842.0093189999998</v>
      </c>
      <c r="N98" s="34">
        <v>8.2700848364544277E-2</v>
      </c>
      <c r="O98" s="34">
        <v>-3.2688000000000002E-2</v>
      </c>
      <c r="P98" s="25">
        <v>133.21600000000001</v>
      </c>
      <c r="Q98" s="25">
        <v>129.58600000000001</v>
      </c>
      <c r="R98" s="34">
        <v>2.8012285277730579E-2</v>
      </c>
    </row>
    <row r="99" spans="1:18" x14ac:dyDescent="0.25">
      <c r="A99" s="26">
        <v>92</v>
      </c>
      <c r="B99" s="25">
        <v>123141</v>
      </c>
      <c r="C99" s="25" t="s">
        <v>1083</v>
      </c>
      <c r="D99" s="25">
        <v>121.001</v>
      </c>
      <c r="E99" s="34">
        <v>-4.6999999999999993E-3</v>
      </c>
      <c r="F99" s="25">
        <v>5.35</v>
      </c>
      <c r="G99" s="25">
        <v>96.82</v>
      </c>
      <c r="H99" s="43">
        <v>0.24979999999999999</v>
      </c>
      <c r="I99" s="57">
        <v>145.98099999999999</v>
      </c>
      <c r="J99" s="32">
        <v>46827</v>
      </c>
      <c r="K99" s="33">
        <v>2.9260000000000002</v>
      </c>
      <c r="L99" s="33">
        <v>3.2018399999999998</v>
      </c>
      <c r="M99" s="33">
        <v>2560.1364749999998</v>
      </c>
      <c r="N99" s="34">
        <v>6.6080684314736321E-2</v>
      </c>
      <c r="O99" s="34">
        <v>-4.333E-3</v>
      </c>
      <c r="P99" s="25">
        <v>122.75</v>
      </c>
      <c r="Q99" s="25">
        <v>120.108</v>
      </c>
      <c r="R99" s="34">
        <v>2.1996869484130915E-2</v>
      </c>
    </row>
    <row r="100" spans="1:18" x14ac:dyDescent="0.25">
      <c r="A100" s="26">
        <v>93</v>
      </c>
      <c r="B100" s="25">
        <v>123218</v>
      </c>
      <c r="C100" s="25" t="s">
        <v>946</v>
      </c>
      <c r="D100" s="25">
        <v>124.2</v>
      </c>
      <c r="E100" s="34">
        <v>-3.9000000000000003E-3</v>
      </c>
      <c r="F100" s="25">
        <v>19.64</v>
      </c>
      <c r="G100" s="25">
        <v>99.29</v>
      </c>
      <c r="H100" s="43">
        <v>0.25090000000000001</v>
      </c>
      <c r="I100" s="57">
        <v>149.29</v>
      </c>
      <c r="J100" s="32">
        <v>47340</v>
      </c>
      <c r="K100" s="33">
        <v>4.3319999999999999</v>
      </c>
      <c r="L100" s="33">
        <v>3.6104349999999998</v>
      </c>
      <c r="M100" s="33">
        <v>7484.1026027999997</v>
      </c>
      <c r="N100" s="34">
        <v>0.16690087222952893</v>
      </c>
      <c r="O100" s="34">
        <v>-6.5200000000000006E-3</v>
      </c>
      <c r="P100" s="25">
        <v>125.279</v>
      </c>
      <c r="Q100" s="25">
        <v>121.66200000000001</v>
      </c>
      <c r="R100" s="34">
        <v>2.9729907448504792E-2</v>
      </c>
    </row>
    <row r="101" spans="1:18" x14ac:dyDescent="0.25">
      <c r="A101" s="26">
        <v>94</v>
      </c>
      <c r="B101" s="25">
        <v>127078</v>
      </c>
      <c r="C101" s="25" t="s">
        <v>996</v>
      </c>
      <c r="D101" s="25">
        <v>110.999</v>
      </c>
      <c r="E101" s="34">
        <v>0.2</v>
      </c>
      <c r="F101" s="25">
        <v>7</v>
      </c>
      <c r="G101" s="25">
        <v>88.71</v>
      </c>
      <c r="H101" s="43">
        <v>0.25129999999999997</v>
      </c>
      <c r="I101" s="57">
        <v>136.12899999999999</v>
      </c>
      <c r="J101" s="32">
        <v>47101</v>
      </c>
      <c r="K101" s="33">
        <v>3.677</v>
      </c>
      <c r="L101" s="33">
        <v>5.9993499999999997</v>
      </c>
      <c r="M101" s="33">
        <v>393.73565279999997</v>
      </c>
      <c r="N101" s="34">
        <v>5.9126405360580732E-3</v>
      </c>
      <c r="O101" s="34">
        <v>2.3096000000000002E-2</v>
      </c>
      <c r="P101" s="25">
        <v>110.999</v>
      </c>
      <c r="Q101" s="25">
        <v>110.999</v>
      </c>
      <c r="R101" s="34">
        <v>0</v>
      </c>
    </row>
    <row r="102" spans="1:18" x14ac:dyDescent="0.25">
      <c r="A102" s="26">
        <v>95</v>
      </c>
      <c r="B102" s="25">
        <v>123206</v>
      </c>
      <c r="C102" s="25" t="s">
        <v>868</v>
      </c>
      <c r="D102" s="25">
        <v>125.26600000000001</v>
      </c>
      <c r="E102" s="34">
        <v>-6.0999999999999995E-3</v>
      </c>
      <c r="F102" s="25">
        <v>5.4</v>
      </c>
      <c r="G102" s="25">
        <v>100</v>
      </c>
      <c r="H102" s="43">
        <v>0.25269999999999998</v>
      </c>
      <c r="I102" s="57">
        <v>150.536</v>
      </c>
      <c r="J102" s="32">
        <v>47319</v>
      </c>
      <c r="K102" s="33">
        <v>4.274</v>
      </c>
      <c r="L102" s="33">
        <v>2.4968210000000002</v>
      </c>
      <c r="M102" s="33">
        <v>2172.4411759</v>
      </c>
      <c r="N102" s="34">
        <v>6.9458821047579652E-2</v>
      </c>
      <c r="O102" s="34">
        <v>-8.6359999999999996E-3</v>
      </c>
      <c r="P102" s="25">
        <v>126.622</v>
      </c>
      <c r="Q102" s="25">
        <v>124.408</v>
      </c>
      <c r="R102" s="34">
        <v>1.7796283197222033E-2</v>
      </c>
    </row>
    <row r="103" spans="1:18" x14ac:dyDescent="0.25">
      <c r="A103" s="26">
        <v>96</v>
      </c>
      <c r="B103" s="25">
        <v>123146</v>
      </c>
      <c r="C103" s="25" t="s">
        <v>999</v>
      </c>
      <c r="D103" s="25">
        <v>115.51300000000001</v>
      </c>
      <c r="E103" s="34">
        <v>-1.2800000000000001E-2</v>
      </c>
      <c r="F103" s="25">
        <v>6.26</v>
      </c>
      <c r="G103" s="25">
        <v>92.17</v>
      </c>
      <c r="H103" s="43">
        <v>0.25329999999999997</v>
      </c>
      <c r="I103" s="57">
        <v>140.84300000000002</v>
      </c>
      <c r="J103" s="32">
        <v>46879</v>
      </c>
      <c r="K103" s="33">
        <v>3.0680000000000001</v>
      </c>
      <c r="L103" s="33">
        <v>8.5925469999999997</v>
      </c>
      <c r="M103" s="33">
        <v>4949.2439838</v>
      </c>
      <c r="N103" s="34">
        <v>4.9863881796839753E-2</v>
      </c>
      <c r="O103" s="34">
        <v>1.3075000000000002E-2</v>
      </c>
      <c r="P103" s="25">
        <v>118.075</v>
      </c>
      <c r="Q103" s="25">
        <v>114.727</v>
      </c>
      <c r="R103" s="34">
        <v>2.9182319767796585E-2</v>
      </c>
    </row>
    <row r="104" spans="1:18" x14ac:dyDescent="0.25">
      <c r="A104" s="26">
        <v>97</v>
      </c>
      <c r="B104" s="25">
        <v>123246</v>
      </c>
      <c r="C104" s="25" t="s">
        <v>1032</v>
      </c>
      <c r="D104" s="25">
        <v>127.6</v>
      </c>
      <c r="E104" s="34">
        <v>-3.2000000000000002E-3</v>
      </c>
      <c r="F104" s="25">
        <v>23.25</v>
      </c>
      <c r="G104" s="25">
        <v>101.63</v>
      </c>
      <c r="H104" s="43">
        <v>0.2555</v>
      </c>
      <c r="I104" s="57">
        <v>153.15</v>
      </c>
      <c r="J104" s="32">
        <v>47711</v>
      </c>
      <c r="K104" s="33">
        <v>5.3479999999999999</v>
      </c>
      <c r="L104" s="33">
        <v>2.7104180000000002</v>
      </c>
      <c r="M104" s="33">
        <v>13241.105797</v>
      </c>
      <c r="N104" s="34">
        <v>0.38285763157779751</v>
      </c>
      <c r="O104" s="34">
        <v>-4.8380000000000003E-3</v>
      </c>
      <c r="P104" s="25">
        <v>128.84299999999999</v>
      </c>
      <c r="Q104" s="25">
        <v>126.937</v>
      </c>
      <c r="R104" s="34">
        <v>1.5015322561585604E-2</v>
      </c>
    </row>
    <row r="105" spans="1:18" x14ac:dyDescent="0.25">
      <c r="A105" s="26">
        <v>98</v>
      </c>
      <c r="B105" s="25">
        <v>113668</v>
      </c>
      <c r="C105" s="25" t="s">
        <v>943</v>
      </c>
      <c r="D105" s="25">
        <v>124.914</v>
      </c>
      <c r="E105" s="34">
        <v>-5.4000000000000003E-3</v>
      </c>
      <c r="F105" s="25">
        <v>22.93</v>
      </c>
      <c r="G105" s="25">
        <v>99.43</v>
      </c>
      <c r="H105" s="43">
        <v>0.25629999999999997</v>
      </c>
      <c r="I105" s="57">
        <v>150.54400000000001</v>
      </c>
      <c r="J105" s="32">
        <v>47204</v>
      </c>
      <c r="K105" s="33">
        <v>3.9590000000000001</v>
      </c>
      <c r="L105" s="33">
        <v>2.54908</v>
      </c>
      <c r="M105" s="33">
        <v>2509.9751000000001</v>
      </c>
      <c r="N105" s="34">
        <v>7.8826969785755388E-2</v>
      </c>
      <c r="O105" s="34">
        <v>-9.2250000000000006E-3</v>
      </c>
      <c r="P105" s="25">
        <v>126.496</v>
      </c>
      <c r="Q105" s="25">
        <v>123.9</v>
      </c>
      <c r="R105" s="34">
        <v>2.0952380952380865E-2</v>
      </c>
    </row>
    <row r="106" spans="1:18" x14ac:dyDescent="0.25">
      <c r="A106" s="26">
        <v>99</v>
      </c>
      <c r="B106" s="25">
        <v>113672</v>
      </c>
      <c r="C106" s="25" t="s">
        <v>984</v>
      </c>
      <c r="D106" s="25">
        <v>126.8</v>
      </c>
      <c r="E106" s="34">
        <v>-6.0000000000000001E-3</v>
      </c>
      <c r="F106" s="25">
        <v>10.86</v>
      </c>
      <c r="G106" s="25">
        <v>100.92</v>
      </c>
      <c r="H106" s="43">
        <v>0.25640000000000002</v>
      </c>
      <c r="I106" s="57">
        <v>152.44</v>
      </c>
      <c r="J106" s="32">
        <v>47317</v>
      </c>
      <c r="K106" s="33">
        <v>4.2679999999999998</v>
      </c>
      <c r="L106" s="33">
        <v>3.9344100000000002</v>
      </c>
      <c r="M106" s="33">
        <v>5465.3082999999997</v>
      </c>
      <c r="N106" s="34">
        <v>0.10955086143331813</v>
      </c>
      <c r="O106" s="34">
        <v>-2.7553999999999999E-2</v>
      </c>
      <c r="P106" s="25">
        <v>128.42400000000001</v>
      </c>
      <c r="Q106" s="25">
        <v>125.717</v>
      </c>
      <c r="R106" s="34">
        <v>2.1532489639428304E-2</v>
      </c>
    </row>
    <row r="107" spans="1:18" x14ac:dyDescent="0.25">
      <c r="A107" s="26">
        <v>100</v>
      </c>
      <c r="B107" s="25">
        <v>113629</v>
      </c>
      <c r="C107" s="25" t="s">
        <v>937</v>
      </c>
      <c r="D107" s="25">
        <v>116.113</v>
      </c>
      <c r="E107" s="34">
        <v>-6.8999999999999999E-3</v>
      </c>
      <c r="F107" s="25">
        <v>7.89</v>
      </c>
      <c r="G107" s="25">
        <v>92.4</v>
      </c>
      <c r="H107" s="43">
        <v>0.25659999999999999</v>
      </c>
      <c r="I107" s="57">
        <v>141.773</v>
      </c>
      <c r="J107" s="32">
        <v>46644</v>
      </c>
      <c r="K107" s="33">
        <v>2.4249999999999998</v>
      </c>
      <c r="L107" s="33">
        <v>5.3234000000000004</v>
      </c>
      <c r="M107" s="33">
        <v>3365.1527000000001</v>
      </c>
      <c r="N107" s="34">
        <v>5.4442095072557428E-2</v>
      </c>
      <c r="O107" s="34">
        <v>1.0369E-2</v>
      </c>
      <c r="P107" s="25">
        <v>117.959</v>
      </c>
      <c r="Q107" s="25">
        <v>115.72</v>
      </c>
      <c r="R107" s="34">
        <v>1.9348427238161117E-2</v>
      </c>
    </row>
    <row r="108" spans="1:18" x14ac:dyDescent="0.25">
      <c r="A108" s="26">
        <v>101</v>
      </c>
      <c r="B108" s="25">
        <v>113664</v>
      </c>
      <c r="C108" s="25" t="s">
        <v>1069</v>
      </c>
      <c r="D108" s="25">
        <v>123.328</v>
      </c>
      <c r="E108" s="34">
        <v>-5.8999999999999999E-3</v>
      </c>
      <c r="F108" s="25">
        <v>20.79</v>
      </c>
      <c r="G108" s="25">
        <v>96.49</v>
      </c>
      <c r="H108" s="43">
        <v>0.27810000000000001</v>
      </c>
      <c r="I108" s="57">
        <v>151.13800000000001</v>
      </c>
      <c r="J108" s="32">
        <v>47092</v>
      </c>
      <c r="K108" s="33">
        <v>3.6520000000000001</v>
      </c>
      <c r="L108" s="33">
        <v>4.4988099999999998</v>
      </c>
      <c r="M108" s="33">
        <v>5513.3298999999997</v>
      </c>
      <c r="N108" s="34">
        <v>9.9369851220887984E-2</v>
      </c>
      <c r="O108" s="34">
        <v>-7.6029999999999995E-3</v>
      </c>
      <c r="P108" s="25">
        <v>125.01</v>
      </c>
      <c r="Q108" s="25">
        <v>121.89400000000001</v>
      </c>
      <c r="R108" s="34">
        <v>2.5563194250742445E-2</v>
      </c>
    </row>
    <row r="109" spans="1:18" x14ac:dyDescent="0.25">
      <c r="A109" s="26">
        <v>102</v>
      </c>
      <c r="B109" s="25">
        <v>123059</v>
      </c>
      <c r="C109" s="25" t="s">
        <v>1025</v>
      </c>
      <c r="D109" s="25">
        <v>138.303</v>
      </c>
      <c r="E109" s="34">
        <v>-4.6999999999999993E-3</v>
      </c>
      <c r="F109" s="25">
        <v>9.25</v>
      </c>
      <c r="G109" s="25">
        <v>107.89</v>
      </c>
      <c r="H109" s="43">
        <v>0.28190000000000004</v>
      </c>
      <c r="I109" s="57">
        <v>166.49299999999999</v>
      </c>
      <c r="J109" s="32">
        <v>46218</v>
      </c>
      <c r="K109" s="33">
        <v>1.258</v>
      </c>
      <c r="L109" s="33">
        <v>1.5714459999999999</v>
      </c>
      <c r="M109" s="33">
        <v>5351.4174465000006</v>
      </c>
      <c r="N109" s="34">
        <v>0.24622818715900457</v>
      </c>
      <c r="O109" s="34">
        <v>-0.105125</v>
      </c>
      <c r="P109" s="25">
        <v>139.84700000000001</v>
      </c>
      <c r="Q109" s="25">
        <v>136.5</v>
      </c>
      <c r="R109" s="34">
        <v>2.4520146520146582E-2</v>
      </c>
    </row>
    <row r="110" spans="1:18" x14ac:dyDescent="0.25">
      <c r="A110" s="26">
        <v>103</v>
      </c>
      <c r="B110" s="25">
        <v>111020</v>
      </c>
      <c r="C110" s="25" t="s">
        <v>955</v>
      </c>
      <c r="D110" s="25">
        <v>124.696</v>
      </c>
      <c r="E110" s="34">
        <v>-7.0999999999999995E-3</v>
      </c>
      <c r="F110" s="25">
        <v>10.72</v>
      </c>
      <c r="G110" s="25">
        <v>97.01</v>
      </c>
      <c r="H110" s="43">
        <v>0.28539999999999999</v>
      </c>
      <c r="I110" s="57">
        <v>153.23599999999999</v>
      </c>
      <c r="J110" s="32">
        <v>47686</v>
      </c>
      <c r="K110" s="33">
        <v>5.2789999999999999</v>
      </c>
      <c r="L110" s="33">
        <v>3.3798400000000002</v>
      </c>
      <c r="M110" s="33">
        <v>6128.0664999999999</v>
      </c>
      <c r="N110" s="34">
        <v>0.14540348161570826</v>
      </c>
      <c r="O110" s="34">
        <v>-7.5149999999999991E-3</v>
      </c>
      <c r="P110" s="25">
        <v>126.081</v>
      </c>
      <c r="Q110" s="25">
        <v>123.501</v>
      </c>
      <c r="R110" s="34">
        <v>2.0890519105108446E-2</v>
      </c>
    </row>
    <row r="111" spans="1:18" x14ac:dyDescent="0.25">
      <c r="A111" s="26">
        <v>104</v>
      </c>
      <c r="B111" s="25">
        <v>127041</v>
      </c>
      <c r="C111" s="25" t="s">
        <v>1098</v>
      </c>
      <c r="D111" s="25">
        <v>119.782</v>
      </c>
      <c r="E111" s="34">
        <v>-3.0999999999999999E-3</v>
      </c>
      <c r="F111" s="25">
        <v>17.7</v>
      </c>
      <c r="G111" s="25">
        <v>93.16</v>
      </c>
      <c r="H111" s="43">
        <v>0.2858</v>
      </c>
      <c r="I111" s="57">
        <v>148.36199999999999</v>
      </c>
      <c r="J111" s="32">
        <v>46215</v>
      </c>
      <c r="K111" s="33">
        <v>1.2490000000000001</v>
      </c>
      <c r="L111" s="33">
        <v>5.9991950000000003</v>
      </c>
      <c r="M111" s="33">
        <v>4252.2685000000001</v>
      </c>
      <c r="N111" s="34">
        <v>5.9174710296545301E-2</v>
      </c>
      <c r="O111" s="34">
        <v>-2.2168E-2</v>
      </c>
      <c r="P111" s="25">
        <v>120.6</v>
      </c>
      <c r="Q111" s="25">
        <v>118.876</v>
      </c>
      <c r="R111" s="34">
        <v>1.4502506813822718E-2</v>
      </c>
    </row>
    <row r="112" spans="1:18" x14ac:dyDescent="0.25">
      <c r="A112" s="26">
        <v>105</v>
      </c>
      <c r="B112" s="25">
        <v>123160</v>
      </c>
      <c r="C112" s="25" t="s">
        <v>1073</v>
      </c>
      <c r="D112" s="25">
        <v>122</v>
      </c>
      <c r="E112" s="34">
        <v>-1.0500000000000001E-2</v>
      </c>
      <c r="F112" s="25">
        <v>19.75</v>
      </c>
      <c r="G112" s="25">
        <v>94.68</v>
      </c>
      <c r="H112" s="43">
        <v>0.28859999999999997</v>
      </c>
      <c r="I112" s="57">
        <v>150.86000000000001</v>
      </c>
      <c r="J112" s="32">
        <v>47024</v>
      </c>
      <c r="K112" s="33">
        <v>3.4660000000000002</v>
      </c>
      <c r="L112" s="33">
        <v>2.3482970000000001</v>
      </c>
      <c r="M112" s="33">
        <v>2205.749609</v>
      </c>
      <c r="N112" s="34">
        <v>7.6991602117912894E-2</v>
      </c>
      <c r="O112" s="34">
        <v>-4.1270000000000005E-3</v>
      </c>
      <c r="P112" s="25">
        <v>123.827</v>
      </c>
      <c r="Q112" s="25">
        <v>120.63200000000001</v>
      </c>
      <c r="R112" s="34">
        <v>2.6485509649180922E-2</v>
      </c>
    </row>
    <row r="113" spans="1:18" x14ac:dyDescent="0.25">
      <c r="A113" s="26">
        <v>106</v>
      </c>
      <c r="B113" s="25">
        <v>113667</v>
      </c>
      <c r="C113" s="25" t="s">
        <v>1064</v>
      </c>
      <c r="D113" s="25">
        <v>125.752</v>
      </c>
      <c r="E113" s="34">
        <v>1.54E-2</v>
      </c>
      <c r="F113" s="25">
        <v>10.3</v>
      </c>
      <c r="G113" s="25">
        <v>97.57</v>
      </c>
      <c r="H113" s="43">
        <v>0.2888</v>
      </c>
      <c r="I113" s="57">
        <v>154.63200000000001</v>
      </c>
      <c r="J113" s="32">
        <v>47194</v>
      </c>
      <c r="K113" s="33">
        <v>3.9319999999999999</v>
      </c>
      <c r="L113" s="33">
        <v>5.6996900000000004</v>
      </c>
      <c r="M113" s="33">
        <v>7651.6165000000001</v>
      </c>
      <c r="N113" s="34">
        <v>0.1067547133034322</v>
      </c>
      <c r="O113" s="34">
        <v>-1.3097000000000001E-2</v>
      </c>
      <c r="P113" s="25">
        <v>125.99</v>
      </c>
      <c r="Q113" s="25">
        <v>122.15300000000001</v>
      </c>
      <c r="R113" s="34">
        <v>3.1411426653459099E-2</v>
      </c>
    </row>
    <row r="114" spans="1:18" x14ac:dyDescent="0.25">
      <c r="A114" s="26">
        <v>107</v>
      </c>
      <c r="B114" s="25">
        <v>127097</v>
      </c>
      <c r="C114" s="25" t="s">
        <v>1046</v>
      </c>
      <c r="D114" s="25">
        <v>132.1</v>
      </c>
      <c r="E114" s="34">
        <v>-3.0800000000000001E-2</v>
      </c>
      <c r="F114" s="25">
        <v>37.53</v>
      </c>
      <c r="G114" s="25">
        <v>102.32</v>
      </c>
      <c r="H114" s="43">
        <v>0.29100000000000004</v>
      </c>
      <c r="I114" s="57">
        <v>161.19999999999999</v>
      </c>
      <c r="J114" s="32">
        <v>47417</v>
      </c>
      <c r="K114" s="33">
        <v>4.5419999999999998</v>
      </c>
      <c r="L114" s="33">
        <v>2.0976129999999999</v>
      </c>
      <c r="M114" s="33">
        <v>76542.833043999999</v>
      </c>
      <c r="N114" s="34">
        <v>2.7623350181183723</v>
      </c>
      <c r="O114" s="34">
        <v>-2.4256000000000003E-2</v>
      </c>
      <c r="P114" s="25">
        <v>139.76499999999999</v>
      </c>
      <c r="Q114" s="25">
        <v>131.82</v>
      </c>
      <c r="R114" s="34">
        <v>6.0271582460931526E-2</v>
      </c>
    </row>
    <row r="115" spans="1:18" x14ac:dyDescent="0.25">
      <c r="A115" s="26">
        <v>108</v>
      </c>
      <c r="B115" s="25">
        <v>127075</v>
      </c>
      <c r="C115" s="25" t="s">
        <v>921</v>
      </c>
      <c r="D115" s="25">
        <v>110.721</v>
      </c>
      <c r="E115" s="34">
        <v>-8.5000000000000006E-3</v>
      </c>
      <c r="F115" s="25">
        <v>8.18</v>
      </c>
      <c r="G115" s="25">
        <v>85.57</v>
      </c>
      <c r="H115" s="43">
        <v>0.29389999999999999</v>
      </c>
      <c r="I115" s="57">
        <v>140.11099999999999</v>
      </c>
      <c r="J115" s="32">
        <v>47045</v>
      </c>
      <c r="K115" s="33">
        <v>3.5230000000000001</v>
      </c>
      <c r="L115" s="33">
        <v>9.6677649999999993</v>
      </c>
      <c r="M115" s="33">
        <v>3820.5153994000002</v>
      </c>
      <c r="N115" s="34">
        <v>3.5691587887929289E-2</v>
      </c>
      <c r="O115" s="34">
        <v>2.4354000000000001E-2</v>
      </c>
      <c r="P115" s="25">
        <v>111.82899999999999</v>
      </c>
      <c r="Q115" s="25">
        <v>109.92</v>
      </c>
      <c r="R115" s="34">
        <v>1.7367176128093083E-2</v>
      </c>
    </row>
    <row r="116" spans="1:18" x14ac:dyDescent="0.25">
      <c r="A116" s="26">
        <v>109</v>
      </c>
      <c r="B116" s="25">
        <v>123177</v>
      </c>
      <c r="C116" s="25" t="s">
        <v>969</v>
      </c>
      <c r="D116" s="25">
        <v>139.5</v>
      </c>
      <c r="E116" s="34">
        <v>2.8999999999999998E-3</v>
      </c>
      <c r="F116" s="25">
        <v>13.18</v>
      </c>
      <c r="G116" s="25">
        <v>107.81</v>
      </c>
      <c r="H116" s="43">
        <v>0.29389999999999999</v>
      </c>
      <c r="I116" s="57">
        <v>168.89</v>
      </c>
      <c r="J116" s="32">
        <v>47179</v>
      </c>
      <c r="K116" s="33">
        <v>3.89</v>
      </c>
      <c r="L116" s="33">
        <v>1.2990950000000001</v>
      </c>
      <c r="M116" s="33">
        <v>3154.9575620000001</v>
      </c>
      <c r="N116" s="34">
        <v>0.17409183500932085</v>
      </c>
      <c r="O116" s="34">
        <v>-3.9609999999999999E-2</v>
      </c>
      <c r="P116" s="25">
        <v>142.57599999999999</v>
      </c>
      <c r="Q116" s="25">
        <v>138.1</v>
      </c>
      <c r="R116" s="34">
        <v>3.24112961622013E-2</v>
      </c>
    </row>
    <row r="117" spans="1:18" x14ac:dyDescent="0.25">
      <c r="A117" s="26">
        <v>110</v>
      </c>
      <c r="B117" s="25">
        <v>123200</v>
      </c>
      <c r="C117" s="25" t="s">
        <v>1013</v>
      </c>
      <c r="D117" s="25">
        <v>120.911</v>
      </c>
      <c r="E117" s="34">
        <v>5.0000000000000001E-4</v>
      </c>
      <c r="F117" s="25">
        <v>26.36</v>
      </c>
      <c r="G117" s="25">
        <v>93.21</v>
      </c>
      <c r="H117" s="43">
        <v>0.29719999999999996</v>
      </c>
      <c r="I117" s="57">
        <v>150.631</v>
      </c>
      <c r="J117" s="32">
        <v>47296</v>
      </c>
      <c r="K117" s="33">
        <v>4.2110000000000003</v>
      </c>
      <c r="L117" s="33">
        <v>3.698305</v>
      </c>
      <c r="M117" s="33">
        <v>4016.7147580999999</v>
      </c>
      <c r="N117" s="34">
        <v>8.9826081391672544E-2</v>
      </c>
      <c r="O117" s="34">
        <v>6.1460000000000004E-3</v>
      </c>
      <c r="P117" s="25">
        <v>122.086</v>
      </c>
      <c r="Q117" s="25">
        <v>120.21</v>
      </c>
      <c r="R117" s="34">
        <v>1.5606022793444845E-2</v>
      </c>
    </row>
    <row r="118" spans="1:18" x14ac:dyDescent="0.25">
      <c r="A118" s="26">
        <v>111</v>
      </c>
      <c r="B118" s="25">
        <v>113628</v>
      </c>
      <c r="C118" s="25" t="s">
        <v>1021</v>
      </c>
      <c r="D118" s="25">
        <v>116.4</v>
      </c>
      <c r="E118" s="34">
        <v>-5.8999999999999999E-3</v>
      </c>
      <c r="F118" s="25">
        <v>12.78</v>
      </c>
      <c r="G118" s="25">
        <v>89.67</v>
      </c>
      <c r="H118" s="43">
        <v>0.29809999999999998</v>
      </c>
      <c r="I118" s="57">
        <v>146.21</v>
      </c>
      <c r="J118" s="32">
        <v>46622</v>
      </c>
      <c r="K118" s="33">
        <v>2.3639999999999999</v>
      </c>
      <c r="L118" s="33">
        <v>4.1489700000000003</v>
      </c>
      <c r="M118" s="33">
        <v>2492.7332000000001</v>
      </c>
      <c r="N118" s="34">
        <v>5.1615783379913426E-2</v>
      </c>
      <c r="O118" s="34">
        <v>1.1431999999999999E-2</v>
      </c>
      <c r="P118" s="25">
        <v>117.529</v>
      </c>
      <c r="Q118" s="25">
        <v>115.89</v>
      </c>
      <c r="R118" s="34">
        <v>1.4142721546293863E-2</v>
      </c>
    </row>
    <row r="119" spans="1:18" x14ac:dyDescent="0.25">
      <c r="A119" s="26">
        <v>112</v>
      </c>
      <c r="B119" s="25">
        <v>118037</v>
      </c>
      <c r="C119" s="25" t="s">
        <v>977</v>
      </c>
      <c r="D119" s="25">
        <v>122.006</v>
      </c>
      <c r="E119" s="34">
        <v>-7.1999999999999998E-3</v>
      </c>
      <c r="F119" s="25">
        <v>29.56</v>
      </c>
      <c r="G119" s="25">
        <v>93.91</v>
      </c>
      <c r="H119" s="43">
        <v>0.29920000000000002</v>
      </c>
      <c r="I119" s="57">
        <v>151.92599999999999</v>
      </c>
      <c r="J119" s="32">
        <v>47305</v>
      </c>
      <c r="K119" s="33">
        <v>4.2359999999999998</v>
      </c>
      <c r="L119" s="33">
        <v>4.6797500000000003</v>
      </c>
      <c r="M119" s="33">
        <v>4993.1212999999998</v>
      </c>
      <c r="N119" s="34">
        <v>8.7451703734588382E-2</v>
      </c>
      <c r="O119" s="34">
        <v>-1.188E-2</v>
      </c>
      <c r="P119" s="25">
        <v>124.2</v>
      </c>
      <c r="Q119" s="25">
        <v>120.86</v>
      </c>
      <c r="R119" s="34">
        <v>2.7635280489822965E-2</v>
      </c>
    </row>
    <row r="120" spans="1:18" x14ac:dyDescent="0.25">
      <c r="A120" s="26">
        <v>113</v>
      </c>
      <c r="B120" s="25">
        <v>113686</v>
      </c>
      <c r="C120" s="25" t="s">
        <v>953</v>
      </c>
      <c r="D120" s="25">
        <v>121.78100000000001</v>
      </c>
      <c r="E120" s="34">
        <v>-9.3999999999999986E-3</v>
      </c>
      <c r="F120" s="25">
        <v>8.3000000000000007</v>
      </c>
      <c r="G120" s="25">
        <v>93.73</v>
      </c>
      <c r="H120" s="43">
        <v>0.29930000000000001</v>
      </c>
      <c r="I120" s="57">
        <v>151.71100000000001</v>
      </c>
      <c r="J120" s="32">
        <v>47666</v>
      </c>
      <c r="K120" s="33">
        <v>5.2249999999999996</v>
      </c>
      <c r="L120" s="33">
        <v>3.3659599999999998</v>
      </c>
      <c r="M120" s="33">
        <v>5950.4606999999996</v>
      </c>
      <c r="N120" s="34">
        <v>0.14516506224284884</v>
      </c>
      <c r="O120" s="34">
        <v>-2.3809999999999999E-3</v>
      </c>
      <c r="P120" s="25">
        <v>123.56</v>
      </c>
      <c r="Q120" s="25">
        <v>121.16</v>
      </c>
      <c r="R120" s="34">
        <v>1.9808517662594963E-2</v>
      </c>
    </row>
    <row r="121" spans="1:18" x14ac:dyDescent="0.25">
      <c r="A121" s="26">
        <v>114</v>
      </c>
      <c r="B121" s="25">
        <v>123220</v>
      </c>
      <c r="C121" s="25" t="s">
        <v>947</v>
      </c>
      <c r="D121" s="25">
        <v>120.52</v>
      </c>
      <c r="E121" s="34">
        <v>-3.9000000000000003E-3</v>
      </c>
      <c r="F121" s="25">
        <v>8.89</v>
      </c>
      <c r="G121" s="25">
        <v>92.58</v>
      </c>
      <c r="H121" s="43">
        <v>0.30180000000000001</v>
      </c>
      <c r="I121" s="57">
        <v>150.69999999999999</v>
      </c>
      <c r="J121" s="32">
        <v>47348</v>
      </c>
      <c r="K121" s="33">
        <v>4.3529999999999998</v>
      </c>
      <c r="L121" s="33">
        <v>3.241034</v>
      </c>
      <c r="M121" s="33">
        <v>3514.9644479999997</v>
      </c>
      <c r="N121" s="34">
        <v>8.9986679503963551E-2</v>
      </c>
      <c r="O121" s="34">
        <v>-2.3699999999999997E-3</v>
      </c>
      <c r="P121" s="25">
        <v>121.565</v>
      </c>
      <c r="Q121" s="25">
        <v>118.61799999999999</v>
      </c>
      <c r="R121" s="34">
        <v>2.4844458682493405E-2</v>
      </c>
    </row>
    <row r="122" spans="1:18" x14ac:dyDescent="0.25">
      <c r="A122" s="26">
        <v>115</v>
      </c>
      <c r="B122" s="25">
        <v>123225</v>
      </c>
      <c r="C122" s="25" t="s">
        <v>900</v>
      </c>
      <c r="D122" s="25">
        <v>121.892</v>
      </c>
      <c r="E122" s="34">
        <v>-3.7000000000000002E-3</v>
      </c>
      <c r="F122" s="25">
        <v>27.44</v>
      </c>
      <c r="G122" s="25">
        <v>93.62</v>
      </c>
      <c r="H122" s="43">
        <v>0.30199999999999999</v>
      </c>
      <c r="I122" s="57">
        <v>152.09199999999998</v>
      </c>
      <c r="J122" s="32">
        <v>47401</v>
      </c>
      <c r="K122" s="33">
        <v>4.4989999999999997</v>
      </c>
      <c r="L122" s="33">
        <v>5.7348809999999997</v>
      </c>
      <c r="M122" s="33">
        <v>3249.9056863999999</v>
      </c>
      <c r="N122" s="34">
        <v>4.6491241544624202E-2</v>
      </c>
      <c r="O122" s="34">
        <v>2.049E-3</v>
      </c>
      <c r="P122" s="25">
        <v>122.76300000000001</v>
      </c>
      <c r="Q122" s="25">
        <v>120.682</v>
      </c>
      <c r="R122" s="34">
        <v>1.7243665169619355E-2</v>
      </c>
    </row>
    <row r="123" spans="1:18" x14ac:dyDescent="0.25">
      <c r="A123" s="26">
        <v>116</v>
      </c>
      <c r="B123" s="25">
        <v>127019</v>
      </c>
      <c r="C123" s="25" t="s">
        <v>1026</v>
      </c>
      <c r="D123" s="25">
        <v>113.038</v>
      </c>
      <c r="E123" s="34">
        <v>2.9999999999999997E-4</v>
      </c>
      <c r="F123" s="25">
        <v>12.58</v>
      </c>
      <c r="G123" s="25">
        <v>86.41</v>
      </c>
      <c r="H123" s="43">
        <v>0.30820000000000003</v>
      </c>
      <c r="I123" s="57">
        <v>143.858</v>
      </c>
      <c r="J123" s="32">
        <v>46218</v>
      </c>
      <c r="K123" s="33">
        <v>1.258</v>
      </c>
      <c r="L123" s="33">
        <v>7.5180910000000001</v>
      </c>
      <c r="M123" s="33">
        <v>3592.7738259999996</v>
      </c>
      <c r="N123" s="34">
        <v>4.2276384110856213E-2</v>
      </c>
      <c r="O123" s="34">
        <v>-8.8120000000000004E-3</v>
      </c>
      <c r="P123" s="25">
        <v>113.81100000000001</v>
      </c>
      <c r="Q123" s="25">
        <v>112.125</v>
      </c>
      <c r="R123" s="34">
        <v>1.5036789297658925E-2</v>
      </c>
    </row>
    <row r="124" spans="1:18" x14ac:dyDescent="0.25">
      <c r="A124" s="26">
        <v>117</v>
      </c>
      <c r="B124" s="25">
        <v>113649</v>
      </c>
      <c r="C124" s="25" t="s">
        <v>1079</v>
      </c>
      <c r="D124" s="25">
        <v>118.625</v>
      </c>
      <c r="E124" s="34">
        <v>-3.0999999999999999E-3</v>
      </c>
      <c r="F124" s="25">
        <v>13.73</v>
      </c>
      <c r="G124" s="25">
        <v>90.17</v>
      </c>
      <c r="H124" s="43">
        <v>0.31559999999999999</v>
      </c>
      <c r="I124" s="57">
        <v>150.185</v>
      </c>
      <c r="J124" s="32">
        <v>46931</v>
      </c>
      <c r="K124" s="33">
        <v>3.2109999999999999</v>
      </c>
      <c r="L124" s="33">
        <v>4.5905500000000004</v>
      </c>
      <c r="M124" s="33">
        <v>5124.3959000000004</v>
      </c>
      <c r="N124" s="34">
        <v>9.410262267496225E-2</v>
      </c>
      <c r="O124" s="34">
        <v>2.3380000000000002E-3</v>
      </c>
      <c r="P124" s="25">
        <v>119.9</v>
      </c>
      <c r="Q124" s="25">
        <v>117.224</v>
      </c>
      <c r="R124" s="34">
        <v>2.2828089810960229E-2</v>
      </c>
    </row>
    <row r="125" spans="1:18" x14ac:dyDescent="0.25">
      <c r="A125" s="26">
        <v>118</v>
      </c>
      <c r="B125" s="25">
        <v>123207</v>
      </c>
      <c r="C125" s="25" t="s">
        <v>1010</v>
      </c>
      <c r="D125" s="25">
        <v>111.428</v>
      </c>
      <c r="E125" s="34">
        <v>-9.7999999999999997E-3</v>
      </c>
      <c r="F125" s="25">
        <v>10.44</v>
      </c>
      <c r="G125" s="25">
        <v>84.58</v>
      </c>
      <c r="H125" s="43">
        <v>0.31739999999999996</v>
      </c>
      <c r="I125" s="57">
        <v>143.16800000000001</v>
      </c>
      <c r="J125" s="32">
        <v>47320</v>
      </c>
      <c r="K125" s="33">
        <v>4.2770000000000001</v>
      </c>
      <c r="L125" s="33">
        <v>3.9975239999999999</v>
      </c>
      <c r="M125" s="33">
        <v>3181.9479127</v>
      </c>
      <c r="N125" s="34">
        <v>7.143444103841623E-2</v>
      </c>
      <c r="O125" s="34">
        <v>1.9285E-2</v>
      </c>
      <c r="P125" s="25">
        <v>114.661</v>
      </c>
      <c r="Q125" s="25">
        <v>111.158</v>
      </c>
      <c r="R125" s="34">
        <v>3.1513701218085971E-2</v>
      </c>
    </row>
    <row r="126" spans="1:18" x14ac:dyDescent="0.25">
      <c r="A126" s="26">
        <v>119</v>
      </c>
      <c r="B126" s="25">
        <v>113654</v>
      </c>
      <c r="C126" s="25" t="s">
        <v>1077</v>
      </c>
      <c r="D126" s="25">
        <v>121.229</v>
      </c>
      <c r="E126" s="34">
        <v>-6.8000000000000005E-3</v>
      </c>
      <c r="F126" s="25">
        <v>9.6999999999999993</v>
      </c>
      <c r="G126" s="25">
        <v>91.75</v>
      </c>
      <c r="H126" s="43">
        <v>0.32130000000000003</v>
      </c>
      <c r="I126" s="57">
        <v>153.35900000000001</v>
      </c>
      <c r="J126" s="32">
        <v>46969</v>
      </c>
      <c r="K126" s="33">
        <v>3.3149999999999999</v>
      </c>
      <c r="L126" s="33">
        <v>6.1043599999999998</v>
      </c>
      <c r="M126" s="33">
        <v>5744.1403</v>
      </c>
      <c r="N126" s="34">
        <v>7.7620847154486444E-2</v>
      </c>
      <c r="O126" s="34">
        <v>-9.5659999999999999E-3</v>
      </c>
      <c r="P126" s="25">
        <v>123.32599999999999</v>
      </c>
      <c r="Q126" s="25">
        <v>120.4</v>
      </c>
      <c r="R126" s="34">
        <v>2.4302325581395244E-2</v>
      </c>
    </row>
    <row r="127" spans="1:18" x14ac:dyDescent="0.25">
      <c r="A127" s="26">
        <v>120</v>
      </c>
      <c r="B127" s="25">
        <v>123240</v>
      </c>
      <c r="C127" s="25" t="s">
        <v>1005</v>
      </c>
      <c r="D127" s="25">
        <v>114.443</v>
      </c>
      <c r="E127" s="34">
        <v>-1.6E-2</v>
      </c>
      <c r="F127" s="25">
        <v>8</v>
      </c>
      <c r="G127" s="25">
        <v>86.38</v>
      </c>
      <c r="H127" s="43">
        <v>0.32490000000000002</v>
      </c>
      <c r="I127" s="57">
        <v>146.93299999999999</v>
      </c>
      <c r="J127" s="32">
        <v>47514</v>
      </c>
      <c r="K127" s="33">
        <v>4.8079999999999998</v>
      </c>
      <c r="L127" s="33">
        <v>9.9998100000000001</v>
      </c>
      <c r="M127" s="33">
        <v>5818.5291876000001</v>
      </c>
      <c r="N127" s="34">
        <v>5.0843124889727573E-2</v>
      </c>
      <c r="O127" s="34">
        <v>6.5899999999999997E-4</v>
      </c>
      <c r="P127" s="25">
        <v>117.18600000000001</v>
      </c>
      <c r="Q127" s="25">
        <v>113.71</v>
      </c>
      <c r="R127" s="34">
        <v>3.056899129364184E-2</v>
      </c>
    </row>
    <row r="128" spans="1:18" x14ac:dyDescent="0.25">
      <c r="A128" s="26">
        <v>121</v>
      </c>
      <c r="B128" s="25">
        <v>123054</v>
      </c>
      <c r="C128" s="25" t="s">
        <v>1028</v>
      </c>
      <c r="D128" s="25">
        <v>139.702</v>
      </c>
      <c r="E128" s="34">
        <v>-5.6999999999999993E-3</v>
      </c>
      <c r="F128" s="25">
        <v>9.8800000000000008</v>
      </c>
      <c r="G128" s="25">
        <v>105.26</v>
      </c>
      <c r="H128" s="43">
        <v>0.32719999999999999</v>
      </c>
      <c r="I128" s="57">
        <v>172.422</v>
      </c>
      <c r="J128" s="32">
        <v>46183</v>
      </c>
      <c r="K128" s="33">
        <v>1.1619999999999999</v>
      </c>
      <c r="L128" s="33">
        <v>1.6679949999999999</v>
      </c>
      <c r="M128" s="33">
        <v>12584.655728</v>
      </c>
      <c r="N128" s="34">
        <v>0.54006243625310923</v>
      </c>
      <c r="O128" s="34">
        <v>-0.14033099999999998</v>
      </c>
      <c r="P128" s="25">
        <v>144.43</v>
      </c>
      <c r="Q128" s="25">
        <v>139.702</v>
      </c>
      <c r="R128" s="34">
        <v>3.3843466807919775E-2</v>
      </c>
    </row>
    <row r="129" spans="1:18" x14ac:dyDescent="0.25">
      <c r="A129" s="26">
        <v>122</v>
      </c>
      <c r="B129" s="25">
        <v>113601</v>
      </c>
      <c r="C129" s="25" t="s">
        <v>1095</v>
      </c>
      <c r="D129" s="25">
        <v>109.407</v>
      </c>
      <c r="E129" s="34">
        <v>1.9E-3</v>
      </c>
      <c r="F129" s="25">
        <v>12</v>
      </c>
      <c r="G129" s="25">
        <v>82.25</v>
      </c>
      <c r="H129" s="43">
        <v>0.33020000000000005</v>
      </c>
      <c r="I129" s="57">
        <v>142.42699999999999</v>
      </c>
      <c r="J129" s="32">
        <v>46255</v>
      </c>
      <c r="K129" s="33">
        <v>1.359</v>
      </c>
      <c r="L129" s="33">
        <v>4.1781800000000002</v>
      </c>
      <c r="M129" s="33">
        <v>11190.869199999999</v>
      </c>
      <c r="N129" s="34">
        <v>0.24481135869105008</v>
      </c>
      <c r="O129" s="34">
        <v>5.4708E-2</v>
      </c>
      <c r="P129" s="25">
        <v>112.75</v>
      </c>
      <c r="Q129" s="25">
        <v>108.999</v>
      </c>
      <c r="R129" s="34">
        <v>3.4413159753759255E-2</v>
      </c>
    </row>
    <row r="130" spans="1:18" x14ac:dyDescent="0.25">
      <c r="A130" s="26">
        <v>123</v>
      </c>
      <c r="B130" s="25">
        <v>123087</v>
      </c>
      <c r="C130" s="25" t="s">
        <v>1022</v>
      </c>
      <c r="D130" s="25">
        <v>129.501</v>
      </c>
      <c r="E130" s="34">
        <v>-5.1999999999999998E-3</v>
      </c>
      <c r="F130" s="25">
        <v>11.91</v>
      </c>
      <c r="G130" s="25">
        <v>97.23</v>
      </c>
      <c r="H130" s="43">
        <v>0.33189999999999997</v>
      </c>
      <c r="I130" s="57">
        <v>162.691</v>
      </c>
      <c r="J130" s="32">
        <v>46371</v>
      </c>
      <c r="K130" s="33">
        <v>1.677</v>
      </c>
      <c r="L130" s="33">
        <v>1.6539250000000001</v>
      </c>
      <c r="M130" s="33">
        <v>2503.9652000000001</v>
      </c>
      <c r="N130" s="34">
        <v>0.11690668743286978</v>
      </c>
      <c r="O130" s="34">
        <v>-5.6942000000000006E-2</v>
      </c>
      <c r="P130" s="25">
        <v>130.6</v>
      </c>
      <c r="Q130" s="25">
        <v>128.40899999999999</v>
      </c>
      <c r="R130" s="34">
        <v>1.7062666947020869E-2</v>
      </c>
    </row>
    <row r="131" spans="1:18" x14ac:dyDescent="0.25">
      <c r="A131" s="26">
        <v>124</v>
      </c>
      <c r="B131" s="25">
        <v>123203</v>
      </c>
      <c r="C131" s="25" t="s">
        <v>1012</v>
      </c>
      <c r="D131" s="25">
        <v>129.6</v>
      </c>
      <c r="E131" s="34">
        <v>-1.5E-3</v>
      </c>
      <c r="F131" s="25">
        <v>11.91</v>
      </c>
      <c r="G131" s="25">
        <v>97.23</v>
      </c>
      <c r="H131" s="43">
        <v>0.33289999999999997</v>
      </c>
      <c r="I131" s="57">
        <v>162.88999999999999</v>
      </c>
      <c r="J131" s="32">
        <v>47302</v>
      </c>
      <c r="K131" s="33">
        <v>4.2270000000000003</v>
      </c>
      <c r="L131" s="33">
        <v>1.471886</v>
      </c>
      <c r="M131" s="33">
        <v>1588.4149262999999</v>
      </c>
      <c r="N131" s="34">
        <v>8.3269275008893862E-2</v>
      </c>
      <c r="O131" s="34">
        <v>-1.2516000000000001E-2</v>
      </c>
      <c r="P131" s="25">
        <v>130.44</v>
      </c>
      <c r="Q131" s="25">
        <v>128.9</v>
      </c>
      <c r="R131" s="34">
        <v>1.194724592707519E-2</v>
      </c>
    </row>
    <row r="132" spans="1:18" x14ac:dyDescent="0.25">
      <c r="A132" s="26">
        <v>125</v>
      </c>
      <c r="B132" s="25">
        <v>123242</v>
      </c>
      <c r="C132" s="25" t="s">
        <v>986</v>
      </c>
      <c r="D132" s="25">
        <v>125.51</v>
      </c>
      <c r="E132" s="34">
        <v>-4.6999999999999993E-3</v>
      </c>
      <c r="F132" s="25">
        <v>36.81</v>
      </c>
      <c r="G132" s="25">
        <v>94.16</v>
      </c>
      <c r="H132" s="43">
        <v>0.33289999999999997</v>
      </c>
      <c r="I132" s="57">
        <v>158.80000000000001</v>
      </c>
      <c r="J132" s="32">
        <v>47672</v>
      </c>
      <c r="K132" s="33">
        <v>5.2409999999999997</v>
      </c>
      <c r="L132" s="33">
        <v>2.4959730000000002</v>
      </c>
      <c r="M132" s="33">
        <v>2035.3896949999998</v>
      </c>
      <c r="N132" s="34">
        <v>6.4972467227135594E-2</v>
      </c>
      <c r="O132" s="34">
        <v>-7.4080000000000005E-3</v>
      </c>
      <c r="P132" s="25">
        <v>126.744</v>
      </c>
      <c r="Q132" s="25">
        <v>125.172</v>
      </c>
      <c r="R132" s="34">
        <v>1.255871920237755E-2</v>
      </c>
    </row>
    <row r="133" spans="1:18" x14ac:dyDescent="0.25">
      <c r="A133" s="26">
        <v>126</v>
      </c>
      <c r="B133" s="25">
        <v>113688</v>
      </c>
      <c r="C133" s="25" t="s">
        <v>989</v>
      </c>
      <c r="D133" s="25">
        <v>128.67500000000001</v>
      </c>
      <c r="E133" s="34">
        <v>-4.8999999999999998E-3</v>
      </c>
      <c r="F133" s="25">
        <v>6.63</v>
      </c>
      <c r="G133" s="25">
        <v>96.53</v>
      </c>
      <c r="H133" s="43">
        <v>0.33299999999999996</v>
      </c>
      <c r="I133" s="57">
        <v>161.97500000000002</v>
      </c>
      <c r="J133" s="32">
        <v>47773</v>
      </c>
      <c r="K133" s="33">
        <v>5.5179999999999998</v>
      </c>
      <c r="L133" s="33">
        <v>8</v>
      </c>
      <c r="M133" s="33">
        <v>2392.1959000000002</v>
      </c>
      <c r="N133" s="34">
        <v>2.3238740042743344E-2</v>
      </c>
      <c r="O133" s="34">
        <v>-1.8095E-2</v>
      </c>
      <c r="P133" s="25">
        <v>129.69999999999999</v>
      </c>
      <c r="Q133" s="25">
        <v>127.55800000000001</v>
      </c>
      <c r="R133" s="34">
        <v>1.679236112199926E-2</v>
      </c>
    </row>
    <row r="134" spans="1:18" x14ac:dyDescent="0.25">
      <c r="A134" s="26">
        <v>127</v>
      </c>
      <c r="B134" s="25">
        <v>118036</v>
      </c>
      <c r="C134" s="25" t="s">
        <v>1059</v>
      </c>
      <c r="D134" s="25">
        <v>125.74299999999999</v>
      </c>
      <c r="E134" s="34">
        <v>1.7000000000000001E-2</v>
      </c>
      <c r="F134" s="25">
        <v>29</v>
      </c>
      <c r="G134" s="25">
        <v>93.79</v>
      </c>
      <c r="H134" s="43">
        <v>0.3407</v>
      </c>
      <c r="I134" s="57">
        <v>159.81299999999999</v>
      </c>
      <c r="J134" s="32">
        <v>47297</v>
      </c>
      <c r="K134" s="33">
        <v>4.2140000000000004</v>
      </c>
      <c r="L134" s="33">
        <v>3.7996699999999999</v>
      </c>
      <c r="M134" s="33">
        <v>5577.3341</v>
      </c>
      <c r="N134" s="34">
        <v>0.11673389142307397</v>
      </c>
      <c r="O134" s="34">
        <v>-1.1629E-2</v>
      </c>
      <c r="P134" s="25">
        <v>126.726</v>
      </c>
      <c r="Q134" s="25">
        <v>122.502</v>
      </c>
      <c r="R134" s="34">
        <v>3.4481069696821305E-2</v>
      </c>
    </row>
    <row r="135" spans="1:18" x14ac:dyDescent="0.25">
      <c r="A135" s="26">
        <v>128</v>
      </c>
      <c r="B135" s="25">
        <v>118003</v>
      </c>
      <c r="C135" s="25" t="s">
        <v>941</v>
      </c>
      <c r="D135" s="25">
        <v>125.018</v>
      </c>
      <c r="E135" s="34">
        <v>-6.0000000000000001E-3</v>
      </c>
      <c r="F135" s="25">
        <v>26.19</v>
      </c>
      <c r="G135" s="25">
        <v>93.17</v>
      </c>
      <c r="H135" s="43">
        <v>0.34179999999999999</v>
      </c>
      <c r="I135" s="57">
        <v>159.19800000000001</v>
      </c>
      <c r="J135" s="32">
        <v>46720</v>
      </c>
      <c r="K135" s="33">
        <v>2.633</v>
      </c>
      <c r="L135" s="33">
        <v>7.1089099999999998</v>
      </c>
      <c r="M135" s="33">
        <v>6066.5231999999996</v>
      </c>
      <c r="N135" s="34">
        <v>6.8259688154009679E-2</v>
      </c>
      <c r="O135" s="34">
        <v>-3.7222999999999999E-2</v>
      </c>
      <c r="P135" s="25">
        <v>127.298</v>
      </c>
      <c r="Q135" s="25">
        <v>123.489</v>
      </c>
      <c r="R135" s="34">
        <v>3.0844852577962389E-2</v>
      </c>
    </row>
    <row r="136" spans="1:18" x14ac:dyDescent="0.25">
      <c r="A136" s="26">
        <v>129</v>
      </c>
      <c r="B136" s="25">
        <v>123092</v>
      </c>
      <c r="C136" s="25" t="s">
        <v>1092</v>
      </c>
      <c r="D136" s="25">
        <v>121.152</v>
      </c>
      <c r="E136" s="34">
        <v>-1.7100000000000001E-2</v>
      </c>
      <c r="F136" s="25">
        <v>4.9800000000000004</v>
      </c>
      <c r="G136" s="25">
        <v>90.16</v>
      </c>
      <c r="H136" s="43">
        <v>0.34369999999999995</v>
      </c>
      <c r="I136" s="57">
        <v>155.52199999999999</v>
      </c>
      <c r="J136" s="32">
        <v>46380</v>
      </c>
      <c r="K136" s="33">
        <v>1.7010000000000001</v>
      </c>
      <c r="L136" s="33">
        <v>3.4228809999999998</v>
      </c>
      <c r="M136" s="33">
        <v>2141.2086549999999</v>
      </c>
      <c r="N136" s="34">
        <v>5.1634098812048917E-2</v>
      </c>
      <c r="O136" s="34">
        <v>-1.8509000000000001E-2</v>
      </c>
      <c r="P136" s="25">
        <v>123.55500000000001</v>
      </c>
      <c r="Q136" s="25">
        <v>120.608</v>
      </c>
      <c r="R136" s="34">
        <v>2.443453170602284E-2</v>
      </c>
    </row>
    <row r="137" spans="1:18" x14ac:dyDescent="0.25">
      <c r="A137" s="26">
        <v>130</v>
      </c>
      <c r="B137" s="25">
        <v>113621</v>
      </c>
      <c r="C137" s="25" t="s">
        <v>1090</v>
      </c>
      <c r="D137" s="25">
        <v>133.333</v>
      </c>
      <c r="E137" s="34">
        <v>7.8000000000000005E-3</v>
      </c>
      <c r="F137" s="25">
        <v>31.61</v>
      </c>
      <c r="G137" s="25">
        <v>99.08</v>
      </c>
      <c r="H137" s="43">
        <v>0.34570000000000001</v>
      </c>
      <c r="I137" s="57">
        <v>167.90299999999999</v>
      </c>
      <c r="J137" s="32">
        <v>46413</v>
      </c>
      <c r="K137" s="33">
        <v>1.792</v>
      </c>
      <c r="L137" s="33">
        <v>5.3633717865999992</v>
      </c>
      <c r="M137" s="33">
        <v>7639.0973999999997</v>
      </c>
      <c r="N137" s="34">
        <v>0.10682342379578781</v>
      </c>
      <c r="O137" s="34">
        <v>-9.4257000000000007E-2</v>
      </c>
      <c r="P137" s="25">
        <v>134.25</v>
      </c>
      <c r="Q137" s="25">
        <v>130.011</v>
      </c>
      <c r="R137" s="34">
        <v>3.260493342870991E-2</v>
      </c>
    </row>
    <row r="138" spans="1:18" x14ac:dyDescent="0.25">
      <c r="A138" s="26">
        <v>131</v>
      </c>
      <c r="B138" s="25">
        <v>123088</v>
      </c>
      <c r="C138" s="25" t="s">
        <v>998</v>
      </c>
      <c r="D138" s="25">
        <v>121.381</v>
      </c>
      <c r="E138" s="34">
        <v>-6.1999999999999998E-3</v>
      </c>
      <c r="F138" s="25">
        <v>15</v>
      </c>
      <c r="G138" s="25">
        <v>90.13</v>
      </c>
      <c r="H138" s="43">
        <v>0.34670000000000001</v>
      </c>
      <c r="I138" s="57">
        <v>156.05099999999999</v>
      </c>
      <c r="J138" s="32">
        <v>46371</v>
      </c>
      <c r="K138" s="33">
        <v>1.677</v>
      </c>
      <c r="L138" s="33">
        <v>3.0044949999999999</v>
      </c>
      <c r="M138" s="33">
        <v>3726.6096219999999</v>
      </c>
      <c r="N138" s="34">
        <v>0.10218607174421351</v>
      </c>
      <c r="O138" s="34">
        <v>-1.9897999999999999E-2</v>
      </c>
      <c r="P138" s="25">
        <v>123</v>
      </c>
      <c r="Q138" s="25">
        <v>120.5</v>
      </c>
      <c r="R138" s="34">
        <v>2.0746887966804978E-2</v>
      </c>
    </row>
    <row r="139" spans="1:18" x14ac:dyDescent="0.25">
      <c r="A139" s="26">
        <v>132</v>
      </c>
      <c r="B139" s="25">
        <v>123112</v>
      </c>
      <c r="C139" s="25" t="s">
        <v>992</v>
      </c>
      <c r="D139" s="25">
        <v>123.6</v>
      </c>
      <c r="E139" s="34">
        <v>-2.0000000000000001E-4</v>
      </c>
      <c r="F139" s="25">
        <v>8.2799999999999994</v>
      </c>
      <c r="G139" s="25">
        <v>91.43</v>
      </c>
      <c r="H139" s="43">
        <v>0.35189999999999999</v>
      </c>
      <c r="I139" s="57">
        <v>158.79</v>
      </c>
      <c r="J139" s="32">
        <v>46485</v>
      </c>
      <c r="K139" s="33">
        <v>1.9890000000000001</v>
      </c>
      <c r="L139" s="33">
        <v>2.2646899999999999</v>
      </c>
      <c r="M139" s="33">
        <v>2083.7592890000001</v>
      </c>
      <c r="N139" s="34">
        <v>7.4442391338100239E-2</v>
      </c>
      <c r="O139" s="34">
        <v>-1.2803999999999999E-2</v>
      </c>
      <c r="P139" s="25">
        <v>124.708</v>
      </c>
      <c r="Q139" s="25">
        <v>122.7</v>
      </c>
      <c r="R139" s="34">
        <v>1.6365118174409093E-2</v>
      </c>
    </row>
    <row r="140" spans="1:18" x14ac:dyDescent="0.25">
      <c r="A140" s="26">
        <v>133</v>
      </c>
      <c r="B140" s="25">
        <v>123234</v>
      </c>
      <c r="C140" s="25" t="s">
        <v>959</v>
      </c>
      <c r="D140" s="25">
        <v>118.69799999999999</v>
      </c>
      <c r="E140" s="34">
        <v>1E-3</v>
      </c>
      <c r="F140" s="25">
        <v>5.5</v>
      </c>
      <c r="G140" s="25">
        <v>87.64</v>
      </c>
      <c r="H140" s="43">
        <v>0.35439999999999999</v>
      </c>
      <c r="I140" s="57">
        <v>154.13799999999998</v>
      </c>
      <c r="J140" s="32">
        <v>47463</v>
      </c>
      <c r="K140" s="33">
        <v>4.6680000000000001</v>
      </c>
      <c r="L140" s="33">
        <v>3.9986269999999995</v>
      </c>
      <c r="M140" s="33">
        <v>1242.9441767999999</v>
      </c>
      <c r="N140" s="34">
        <v>2.6187698273841029E-2</v>
      </c>
      <c r="O140" s="34">
        <v>1.4660000000000001E-3</v>
      </c>
      <c r="P140" s="25">
        <v>118.997</v>
      </c>
      <c r="Q140" s="25">
        <v>117.73399999999999</v>
      </c>
      <c r="R140" s="34">
        <v>1.0727572324052571E-2</v>
      </c>
    </row>
    <row r="141" spans="1:18" x14ac:dyDescent="0.25">
      <c r="A141" s="26">
        <v>134</v>
      </c>
      <c r="B141" s="25">
        <v>127054</v>
      </c>
      <c r="C141" s="25" t="s">
        <v>1019</v>
      </c>
      <c r="D141" s="25">
        <v>116.70699999999999</v>
      </c>
      <c r="E141" s="34">
        <v>-1.1599999999999999E-2</v>
      </c>
      <c r="F141" s="25">
        <v>7.26</v>
      </c>
      <c r="G141" s="25">
        <v>85.95</v>
      </c>
      <c r="H141" s="43">
        <v>0.35780000000000001</v>
      </c>
      <c r="I141" s="57">
        <v>152.48699999999999</v>
      </c>
      <c r="J141" s="32">
        <v>46794</v>
      </c>
      <c r="K141" s="33">
        <v>2.8359999999999999</v>
      </c>
      <c r="L141" s="33">
        <v>5.1360140000000003</v>
      </c>
      <c r="M141" s="33">
        <v>846.85472919999995</v>
      </c>
      <c r="N141" s="34">
        <v>1.4128166772385401E-2</v>
      </c>
      <c r="O141" s="34">
        <v>-4.3270000000000001E-3</v>
      </c>
      <c r="P141" s="25">
        <v>118.19</v>
      </c>
      <c r="Q141" s="25">
        <v>116.43</v>
      </c>
      <c r="R141" s="34">
        <v>1.5116378940135625E-2</v>
      </c>
    </row>
    <row r="142" spans="1:18" x14ac:dyDescent="0.25">
      <c r="A142" s="26">
        <v>135</v>
      </c>
      <c r="B142" s="25">
        <v>123217</v>
      </c>
      <c r="C142" s="25" t="s">
        <v>994</v>
      </c>
      <c r="D142" s="25">
        <v>120</v>
      </c>
      <c r="E142" s="34">
        <v>1.7000000000000001E-3</v>
      </c>
      <c r="F142" s="25">
        <v>29.68</v>
      </c>
      <c r="G142" s="25">
        <v>88.31</v>
      </c>
      <c r="H142" s="43">
        <v>0.35880000000000001</v>
      </c>
      <c r="I142" s="57">
        <v>155.88</v>
      </c>
      <c r="J142" s="32">
        <v>47338</v>
      </c>
      <c r="K142" s="33">
        <v>4.3259999999999996</v>
      </c>
      <c r="L142" s="33">
        <v>5.6988599999999998</v>
      </c>
      <c r="M142" s="33">
        <v>6564.3597656000002</v>
      </c>
      <c r="N142" s="34">
        <v>9.598936988567304E-2</v>
      </c>
      <c r="O142" s="34">
        <v>-1.0971E-2</v>
      </c>
      <c r="P142" s="25">
        <v>121.233</v>
      </c>
      <c r="Q142" s="25">
        <v>118.77800000000001</v>
      </c>
      <c r="R142" s="34">
        <v>2.0668810722524359E-2</v>
      </c>
    </row>
    <row r="143" spans="1:18" x14ac:dyDescent="0.25">
      <c r="A143" s="26">
        <v>136</v>
      </c>
      <c r="B143" s="25">
        <v>123082</v>
      </c>
      <c r="C143" s="25" t="s">
        <v>1023</v>
      </c>
      <c r="D143" s="25">
        <v>117.99</v>
      </c>
      <c r="E143" s="34">
        <v>-1.8E-3</v>
      </c>
      <c r="F143" s="25">
        <v>7.07</v>
      </c>
      <c r="G143" s="25">
        <v>86.56</v>
      </c>
      <c r="H143" s="43">
        <v>0.36310000000000003</v>
      </c>
      <c r="I143" s="57">
        <v>154.30000000000001</v>
      </c>
      <c r="J143" s="32">
        <v>46363</v>
      </c>
      <c r="K143" s="33">
        <v>1.655</v>
      </c>
      <c r="L143" s="33">
        <v>4.9918160000000009</v>
      </c>
      <c r="M143" s="33">
        <v>2431.0359910000002</v>
      </c>
      <c r="N143" s="34">
        <v>4.1275051011292557E-2</v>
      </c>
      <c r="O143" s="34">
        <v>-2.5400000000000002E-3</v>
      </c>
      <c r="P143" s="25">
        <v>119.068</v>
      </c>
      <c r="Q143" s="25">
        <v>117.08</v>
      </c>
      <c r="R143" s="34">
        <v>1.6979842842500849E-2</v>
      </c>
    </row>
    <row r="144" spans="1:18" x14ac:dyDescent="0.25">
      <c r="A144" s="26">
        <v>137</v>
      </c>
      <c r="B144" s="25">
        <v>123192</v>
      </c>
      <c r="C144" s="25" t="s">
        <v>988</v>
      </c>
      <c r="D144" s="25">
        <v>118.873</v>
      </c>
      <c r="E144" s="34">
        <v>-7.7000000000000002E-3</v>
      </c>
      <c r="F144" s="25">
        <v>24.64</v>
      </c>
      <c r="G144" s="25">
        <v>87.09</v>
      </c>
      <c r="H144" s="43">
        <v>0.3649</v>
      </c>
      <c r="I144" s="57">
        <v>155.363</v>
      </c>
      <c r="J144" s="32">
        <v>47221</v>
      </c>
      <c r="K144" s="33">
        <v>4.0049999999999999</v>
      </c>
      <c r="L144" s="33">
        <v>7.186795</v>
      </c>
      <c r="M144" s="33">
        <v>5339.7207435999999</v>
      </c>
      <c r="N144" s="34">
        <v>6.2502885125823276E-2</v>
      </c>
      <c r="O144" s="34">
        <v>2.4069999999999999E-3</v>
      </c>
      <c r="P144" s="25">
        <v>120.423</v>
      </c>
      <c r="Q144" s="25">
        <v>118.437</v>
      </c>
      <c r="R144" s="34">
        <v>1.6768408520985878E-2</v>
      </c>
    </row>
    <row r="145" spans="1:18" x14ac:dyDescent="0.25">
      <c r="A145" s="26">
        <v>138</v>
      </c>
      <c r="B145" s="25">
        <v>111015</v>
      </c>
      <c r="C145" s="25" t="s">
        <v>1011</v>
      </c>
      <c r="D145" s="25">
        <v>109.727</v>
      </c>
      <c r="E145" s="34">
        <v>-1.1299999999999999E-2</v>
      </c>
      <c r="F145" s="25">
        <v>20.28</v>
      </c>
      <c r="G145" s="25">
        <v>80.33</v>
      </c>
      <c r="H145" s="43">
        <v>0.36599999999999999</v>
      </c>
      <c r="I145" s="57">
        <v>146.327</v>
      </c>
      <c r="J145" s="32">
        <v>47305</v>
      </c>
      <c r="K145" s="33">
        <v>4.2359999999999998</v>
      </c>
      <c r="L145" s="33">
        <v>6.6622599999999998</v>
      </c>
      <c r="M145" s="33">
        <v>5289.0468000000001</v>
      </c>
      <c r="N145" s="34">
        <v>7.2350631645250435E-2</v>
      </c>
      <c r="O145" s="34">
        <v>2.1125999999999999E-2</v>
      </c>
      <c r="P145" s="25">
        <v>111.53</v>
      </c>
      <c r="Q145" s="25">
        <v>108.74</v>
      </c>
      <c r="R145" s="34">
        <v>2.565753172705542E-2</v>
      </c>
    </row>
    <row r="146" spans="1:18" x14ac:dyDescent="0.25">
      <c r="A146" s="26">
        <v>139</v>
      </c>
      <c r="B146" s="25">
        <v>123230</v>
      </c>
      <c r="C146" s="25" t="s">
        <v>958</v>
      </c>
      <c r="D146" s="25">
        <v>115.72499999999999</v>
      </c>
      <c r="E146" s="34">
        <v>-3.7000000000000002E-3</v>
      </c>
      <c r="F146" s="25">
        <v>24.5</v>
      </c>
      <c r="G146" s="25">
        <v>84.41</v>
      </c>
      <c r="H146" s="43">
        <v>0.371</v>
      </c>
      <c r="I146" s="57">
        <v>152.82499999999999</v>
      </c>
      <c r="J146" s="32">
        <v>47431</v>
      </c>
      <c r="K146" s="33">
        <v>4.5810000000000004</v>
      </c>
      <c r="L146" s="33">
        <v>3.49838</v>
      </c>
      <c r="M146" s="33">
        <v>1305.3108692999999</v>
      </c>
      <c r="N146" s="34">
        <v>3.2241837398624539E-2</v>
      </c>
      <c r="O146" s="34">
        <v>9.7970000000000002E-3</v>
      </c>
      <c r="P146" s="25">
        <v>117.37</v>
      </c>
      <c r="Q146" s="25">
        <v>115.215</v>
      </c>
      <c r="R146" s="34">
        <v>1.8704161784489876E-2</v>
      </c>
    </row>
    <row r="147" spans="1:18" x14ac:dyDescent="0.25">
      <c r="A147" s="26">
        <v>140</v>
      </c>
      <c r="B147" s="25">
        <v>127096</v>
      </c>
      <c r="C147" s="25" t="s">
        <v>1045</v>
      </c>
      <c r="D147" s="25">
        <v>126.498</v>
      </c>
      <c r="E147" s="34">
        <v>2.6600000000000002E-2</v>
      </c>
      <c r="F147" s="25">
        <v>13.39</v>
      </c>
      <c r="G147" s="25">
        <v>92.16</v>
      </c>
      <c r="H147" s="43">
        <v>0.37259999999999999</v>
      </c>
      <c r="I147" s="57">
        <v>163.75800000000001</v>
      </c>
      <c r="J147" s="32">
        <v>47416</v>
      </c>
      <c r="K147" s="33">
        <v>4.54</v>
      </c>
      <c r="L147" s="33">
        <v>2.949503</v>
      </c>
      <c r="M147" s="33">
        <v>24218.525071</v>
      </c>
      <c r="N147" s="34">
        <v>0.64910535101314704</v>
      </c>
      <c r="O147" s="34">
        <v>-1.0126999999999999E-2</v>
      </c>
      <c r="P147" s="25">
        <v>127.69</v>
      </c>
      <c r="Q147" s="25">
        <v>123.111</v>
      </c>
      <c r="R147" s="34">
        <v>3.7194076889961035E-2</v>
      </c>
    </row>
    <row r="148" spans="1:18" x14ac:dyDescent="0.25">
      <c r="A148" s="26">
        <v>141</v>
      </c>
      <c r="B148" s="25">
        <v>111003</v>
      </c>
      <c r="C148" s="25" t="s">
        <v>991</v>
      </c>
      <c r="D148" s="25">
        <v>124.422</v>
      </c>
      <c r="E148" s="34">
        <v>-1.5900000000000001E-2</v>
      </c>
      <c r="F148" s="25">
        <v>11.5</v>
      </c>
      <c r="G148" s="25">
        <v>90.43</v>
      </c>
      <c r="H148" s="43">
        <v>0.37590000000000001</v>
      </c>
      <c r="I148" s="57">
        <v>162.012</v>
      </c>
      <c r="J148" s="32">
        <v>46819</v>
      </c>
      <c r="K148" s="33">
        <v>2.9039999999999999</v>
      </c>
      <c r="L148" s="33">
        <v>2.0360499999999999</v>
      </c>
      <c r="M148" s="33">
        <v>2243.7289000000001</v>
      </c>
      <c r="N148" s="34">
        <v>8.8569616632487289E-2</v>
      </c>
      <c r="O148" s="34">
        <v>-1.5451999999999999E-2</v>
      </c>
      <c r="P148" s="25">
        <v>126.4</v>
      </c>
      <c r="Q148" s="25">
        <v>123.334</v>
      </c>
      <c r="R148" s="34">
        <v>2.4859325084729291E-2</v>
      </c>
    </row>
    <row r="149" spans="1:18" x14ac:dyDescent="0.25">
      <c r="A149" s="26">
        <v>142</v>
      </c>
      <c r="B149" s="25">
        <v>113577</v>
      </c>
      <c r="C149" s="25" t="s">
        <v>1086</v>
      </c>
      <c r="D149" s="25">
        <v>129.87899999999999</v>
      </c>
      <c r="E149" s="34">
        <v>5.1999999999999998E-3</v>
      </c>
      <c r="F149" s="25">
        <v>10.65</v>
      </c>
      <c r="G149" s="25">
        <v>94.37</v>
      </c>
      <c r="H149" s="43">
        <v>0.37630000000000002</v>
      </c>
      <c r="I149" s="57">
        <v>167.50899999999999</v>
      </c>
      <c r="J149" s="32">
        <v>46126</v>
      </c>
      <c r="K149" s="33">
        <v>1.0049999999999999</v>
      </c>
      <c r="L149" s="33">
        <v>1.7749600000000001</v>
      </c>
      <c r="M149" s="33">
        <v>1739.4577999999999</v>
      </c>
      <c r="N149" s="34">
        <v>7.5454716299098876E-2</v>
      </c>
      <c r="O149" s="34">
        <v>-0.119793</v>
      </c>
      <c r="P149" s="25">
        <v>129.887</v>
      </c>
      <c r="Q149" s="25">
        <v>128</v>
      </c>
      <c r="R149" s="34">
        <v>1.4742187500000004E-2</v>
      </c>
    </row>
    <row r="150" spans="1:18" x14ac:dyDescent="0.25">
      <c r="A150" s="26">
        <v>143</v>
      </c>
      <c r="B150" s="25">
        <v>118051</v>
      </c>
      <c r="C150" s="25" t="s">
        <v>990</v>
      </c>
      <c r="D150" s="25">
        <v>124.108</v>
      </c>
      <c r="E150" s="34">
        <v>-7.3000000000000001E-3</v>
      </c>
      <c r="F150" s="25">
        <v>40.729999999999997</v>
      </c>
      <c r="G150" s="25">
        <v>89.86</v>
      </c>
      <c r="H150" s="43">
        <v>0.38109999999999999</v>
      </c>
      <c r="I150" s="57">
        <v>162.21800000000002</v>
      </c>
      <c r="J150" s="32">
        <v>47815</v>
      </c>
      <c r="K150" s="33">
        <v>5.633</v>
      </c>
      <c r="L150" s="33">
        <v>8.2234999999999996</v>
      </c>
      <c r="M150" s="33">
        <v>6129.5290999999997</v>
      </c>
      <c r="N150" s="34">
        <v>6.0057968446074327E-2</v>
      </c>
      <c r="O150" s="34">
        <v>-1.0248E-2</v>
      </c>
      <c r="P150" s="25">
        <v>125.86499999999999</v>
      </c>
      <c r="Q150" s="25">
        <v>122.53400000000001</v>
      </c>
      <c r="R150" s="34">
        <v>2.7184291706791493E-2</v>
      </c>
    </row>
    <row r="151" spans="1:18" x14ac:dyDescent="0.25">
      <c r="A151" s="26">
        <v>144</v>
      </c>
      <c r="B151" s="25">
        <v>123157</v>
      </c>
      <c r="C151" s="25" t="s">
        <v>1075</v>
      </c>
      <c r="D151" s="25">
        <v>128.25700000000001</v>
      </c>
      <c r="E151" s="34">
        <v>-1.34E-2</v>
      </c>
      <c r="F151" s="25">
        <v>16.010000000000002</v>
      </c>
      <c r="G151" s="25">
        <v>92.75</v>
      </c>
      <c r="H151" s="43">
        <v>0.38280000000000003</v>
      </c>
      <c r="I151" s="57">
        <v>166.53700000000001</v>
      </c>
      <c r="J151" s="32">
        <v>46995</v>
      </c>
      <c r="K151" s="33">
        <v>3.3860000000000001</v>
      </c>
      <c r="L151" s="33">
        <v>2.3420269999999999</v>
      </c>
      <c r="M151" s="33">
        <v>5979.6346062000002</v>
      </c>
      <c r="N151" s="34">
        <v>0.19906810020218119</v>
      </c>
      <c r="O151" s="34">
        <v>-2.0792999999999999E-2</v>
      </c>
      <c r="P151" s="25">
        <v>130.739</v>
      </c>
      <c r="Q151" s="25">
        <v>127.21</v>
      </c>
      <c r="R151" s="34">
        <v>2.7741529753950247E-2</v>
      </c>
    </row>
    <row r="152" spans="1:18" x14ac:dyDescent="0.25">
      <c r="A152" s="26">
        <v>145</v>
      </c>
      <c r="B152" s="25">
        <v>127093</v>
      </c>
      <c r="C152" s="25" t="s">
        <v>1049</v>
      </c>
      <c r="D152" s="25">
        <v>120.78400000000001</v>
      </c>
      <c r="E152" s="34">
        <v>-7.000000000000001E-4</v>
      </c>
      <c r="F152" s="25">
        <v>10.25</v>
      </c>
      <c r="G152" s="25">
        <v>87.32</v>
      </c>
      <c r="H152" s="43">
        <v>0.38319999999999999</v>
      </c>
      <c r="I152" s="57">
        <v>159.10400000000001</v>
      </c>
      <c r="J152" s="32">
        <v>47408</v>
      </c>
      <c r="K152" s="33">
        <v>4.5179999999999998</v>
      </c>
      <c r="L152" s="33">
        <v>2.4264220000000001</v>
      </c>
      <c r="M152" s="33">
        <v>1930.0901517000002</v>
      </c>
      <c r="N152" s="34">
        <v>6.585698611122362E-2</v>
      </c>
      <c r="O152" s="34">
        <v>4.4409999999999996E-3</v>
      </c>
      <c r="P152" s="25">
        <v>121.667</v>
      </c>
      <c r="Q152" s="25">
        <v>120.2</v>
      </c>
      <c r="R152" s="34">
        <v>1.2204658901830272E-2</v>
      </c>
    </row>
    <row r="153" spans="1:18" x14ac:dyDescent="0.25">
      <c r="A153" s="26">
        <v>146</v>
      </c>
      <c r="B153" s="25">
        <v>123173</v>
      </c>
      <c r="C153" s="25" t="s">
        <v>985</v>
      </c>
      <c r="D153" s="25">
        <v>123.401</v>
      </c>
      <c r="E153" s="34">
        <v>-7.8000000000000005E-3</v>
      </c>
      <c r="F153" s="25">
        <v>13.77</v>
      </c>
      <c r="G153" s="25">
        <v>89.18</v>
      </c>
      <c r="H153" s="43">
        <v>0.38369999999999999</v>
      </c>
      <c r="I153" s="57">
        <v>161.77099999999999</v>
      </c>
      <c r="J153" s="32">
        <v>47117</v>
      </c>
      <c r="K153" s="33">
        <v>3.7210000000000001</v>
      </c>
      <c r="L153" s="33">
        <v>2.4087800000000001</v>
      </c>
      <c r="M153" s="33">
        <v>3144.2812657999998</v>
      </c>
      <c r="N153" s="34">
        <v>0.1057804895095636</v>
      </c>
      <c r="O153" s="34">
        <v>-6.9520000000000007E-3</v>
      </c>
      <c r="P153" s="25">
        <v>124.75</v>
      </c>
      <c r="Q153" s="25">
        <v>122.55800000000001</v>
      </c>
      <c r="R153" s="34">
        <v>1.7885409357202245E-2</v>
      </c>
    </row>
    <row r="154" spans="1:18" x14ac:dyDescent="0.25">
      <c r="A154" s="26">
        <v>147</v>
      </c>
      <c r="B154" s="25">
        <v>123215</v>
      </c>
      <c r="C154" s="25" t="s">
        <v>1008</v>
      </c>
      <c r="D154" s="25">
        <v>117.956</v>
      </c>
      <c r="E154" s="34">
        <v>-1.0500000000000001E-2</v>
      </c>
      <c r="F154" s="25">
        <v>19.2</v>
      </c>
      <c r="G154" s="25">
        <v>85.1</v>
      </c>
      <c r="H154" s="43">
        <v>0.3861</v>
      </c>
      <c r="I154" s="57">
        <v>156.566</v>
      </c>
      <c r="J154" s="32">
        <v>47333</v>
      </c>
      <c r="K154" s="33">
        <v>4.3120000000000003</v>
      </c>
      <c r="L154" s="33">
        <v>8.555472</v>
      </c>
      <c r="M154" s="33">
        <v>3244.8908609999999</v>
      </c>
      <c r="N154" s="34">
        <v>3.2154079646966906E-2</v>
      </c>
      <c r="O154" s="34">
        <v>9.9419999999999994E-3</v>
      </c>
      <c r="P154" s="25">
        <v>119.88200000000001</v>
      </c>
      <c r="Q154" s="25">
        <v>117.2</v>
      </c>
      <c r="R154" s="34">
        <v>2.2883959044368619E-2</v>
      </c>
    </row>
    <row r="155" spans="1:18" x14ac:dyDescent="0.25">
      <c r="A155" s="26">
        <v>148</v>
      </c>
      <c r="B155" s="25">
        <v>113674</v>
      </c>
      <c r="C155" s="25" t="s">
        <v>945</v>
      </c>
      <c r="D155" s="25">
        <v>120.17</v>
      </c>
      <c r="E155" s="34">
        <v>-1.41E-2</v>
      </c>
      <c r="F155" s="25">
        <v>8.5500000000000007</v>
      </c>
      <c r="G155" s="25">
        <v>86.43</v>
      </c>
      <c r="H155" s="43">
        <v>0.39039999999999997</v>
      </c>
      <c r="I155" s="57">
        <v>159.21</v>
      </c>
      <c r="J155" s="32">
        <v>47320</v>
      </c>
      <c r="K155" s="33">
        <v>4.2770000000000001</v>
      </c>
      <c r="L155" s="33">
        <v>3.99891</v>
      </c>
      <c r="M155" s="33">
        <v>2102.0637999999999</v>
      </c>
      <c r="N155" s="34">
        <v>4.374296347922571E-2</v>
      </c>
      <c r="O155" s="34">
        <v>-6.7559999999999999E-3</v>
      </c>
      <c r="P155" s="25">
        <v>122</v>
      </c>
      <c r="Q155" s="25">
        <v>119.19</v>
      </c>
      <c r="R155" s="34">
        <v>2.3575803339206329E-2</v>
      </c>
    </row>
    <row r="156" spans="1:18" x14ac:dyDescent="0.25">
      <c r="A156" s="26">
        <v>149</v>
      </c>
      <c r="B156" s="25">
        <v>123251</v>
      </c>
      <c r="C156" s="25" t="s">
        <v>1001</v>
      </c>
      <c r="D156" s="25">
        <v>117.667</v>
      </c>
      <c r="E156" s="34">
        <v>-7.9000000000000008E-3</v>
      </c>
      <c r="F156" s="25">
        <v>22.48</v>
      </c>
      <c r="G156" s="25">
        <v>84.56</v>
      </c>
      <c r="H156" s="43">
        <v>0.39149999999999996</v>
      </c>
      <c r="I156" s="57">
        <v>156.81700000000001</v>
      </c>
      <c r="J156" s="32">
        <v>47840</v>
      </c>
      <c r="K156" s="33">
        <v>5.7009999999999996</v>
      </c>
      <c r="L156" s="33">
        <v>7.5</v>
      </c>
      <c r="M156" s="33">
        <v>1091.9982600000001</v>
      </c>
      <c r="N156" s="34">
        <v>1.2373882906847291E-2</v>
      </c>
      <c r="O156" s="34">
        <v>3.3510000000000002E-3</v>
      </c>
      <c r="P156" s="25">
        <v>118.974</v>
      </c>
      <c r="Q156" s="25">
        <v>116.65</v>
      </c>
      <c r="R156" s="34">
        <v>1.9922846120874391E-2</v>
      </c>
    </row>
    <row r="157" spans="1:18" x14ac:dyDescent="0.25">
      <c r="A157" s="26">
        <v>150</v>
      </c>
      <c r="B157" s="25">
        <v>123061</v>
      </c>
      <c r="C157" s="25" t="s">
        <v>979</v>
      </c>
      <c r="D157" s="25">
        <v>129.90199999999999</v>
      </c>
      <c r="E157" s="34">
        <v>-1.04E-2</v>
      </c>
      <c r="F157" s="25">
        <v>14.82</v>
      </c>
      <c r="G157" s="25">
        <v>92.78</v>
      </c>
      <c r="H157" s="43">
        <v>0.40009999999999996</v>
      </c>
      <c r="I157" s="57">
        <v>169.91199999999998</v>
      </c>
      <c r="J157" s="32">
        <v>46225</v>
      </c>
      <c r="K157" s="33">
        <v>1.2769999999999999</v>
      </c>
      <c r="L157" s="33">
        <v>1.6757280000000001</v>
      </c>
      <c r="M157" s="33">
        <v>3669.7644504</v>
      </c>
      <c r="N157" s="34">
        <v>0.16858495922866276</v>
      </c>
      <c r="O157" s="34">
        <v>-5.7915999999999995E-2</v>
      </c>
      <c r="P157" s="25">
        <v>132.09399999999999</v>
      </c>
      <c r="Q157" s="25">
        <v>129.46100000000001</v>
      </c>
      <c r="R157" s="34">
        <v>2.0338171341175961E-2</v>
      </c>
    </row>
    <row r="158" spans="1:18" x14ac:dyDescent="0.25">
      <c r="A158" s="26">
        <v>151</v>
      </c>
      <c r="B158" s="25">
        <v>123236</v>
      </c>
      <c r="C158" s="25" t="s">
        <v>993</v>
      </c>
      <c r="D158" s="25">
        <v>110.795</v>
      </c>
      <c r="E158" s="34">
        <v>-1.4499999999999999E-2</v>
      </c>
      <c r="F158" s="25">
        <v>18.489999999999998</v>
      </c>
      <c r="G158" s="25">
        <v>78.959999999999994</v>
      </c>
      <c r="H158" s="43">
        <v>0.4032</v>
      </c>
      <c r="I158" s="57">
        <v>151.11500000000001</v>
      </c>
      <c r="J158" s="32">
        <v>47474</v>
      </c>
      <c r="K158" s="33">
        <v>4.6989999999999998</v>
      </c>
      <c r="L158" s="33">
        <v>7.4982070000000016</v>
      </c>
      <c r="M158" s="33">
        <v>3516.3997696000001</v>
      </c>
      <c r="N158" s="34">
        <v>4.2327308688322095E-2</v>
      </c>
      <c r="O158" s="34">
        <v>1.668E-2</v>
      </c>
      <c r="P158" s="25">
        <v>112.887</v>
      </c>
      <c r="Q158" s="25">
        <v>110.5</v>
      </c>
      <c r="R158" s="34">
        <v>2.1601809954751135E-2</v>
      </c>
    </row>
    <row r="159" spans="1:18" x14ac:dyDescent="0.25">
      <c r="A159" s="26">
        <v>152</v>
      </c>
      <c r="B159" s="25">
        <v>123188</v>
      </c>
      <c r="C159" s="25" t="s">
        <v>1039</v>
      </c>
      <c r="D159" s="25">
        <v>118.60599999999999</v>
      </c>
      <c r="E159" s="34">
        <v>-1.1599999999999999E-2</v>
      </c>
      <c r="F159" s="25">
        <v>13.54</v>
      </c>
      <c r="G159" s="25">
        <v>84.42</v>
      </c>
      <c r="H159" s="43">
        <v>0.40500000000000003</v>
      </c>
      <c r="I159" s="57">
        <v>159.10599999999999</v>
      </c>
      <c r="J159" s="32">
        <v>47212</v>
      </c>
      <c r="K159" s="33">
        <v>3.9809999999999999</v>
      </c>
      <c r="L159" s="33">
        <v>6.9489000000000001</v>
      </c>
      <c r="M159" s="33">
        <v>5544.0191599999998</v>
      </c>
      <c r="N159" s="34">
        <v>6.7266990988489553E-2</v>
      </c>
      <c r="O159" s="34">
        <v>4.0679999999999996E-3</v>
      </c>
      <c r="P159" s="25">
        <v>120.1</v>
      </c>
      <c r="Q159" s="25">
        <v>116.99</v>
      </c>
      <c r="R159" s="34">
        <v>2.6583468672536109E-2</v>
      </c>
    </row>
    <row r="160" spans="1:18" x14ac:dyDescent="0.25">
      <c r="A160" s="26">
        <v>153</v>
      </c>
      <c r="B160" s="25">
        <v>123185</v>
      </c>
      <c r="C160" s="25" t="s">
        <v>995</v>
      </c>
      <c r="D160" s="25">
        <v>113.458</v>
      </c>
      <c r="E160" s="34">
        <v>-6.0000000000000001E-3</v>
      </c>
      <c r="F160" s="25">
        <v>22.45</v>
      </c>
      <c r="G160" s="25">
        <v>80.709999999999994</v>
      </c>
      <c r="H160" s="43">
        <v>0.40570000000000001</v>
      </c>
      <c r="I160" s="57">
        <v>154.02799999999999</v>
      </c>
      <c r="J160" s="32">
        <v>47208</v>
      </c>
      <c r="K160" s="33">
        <v>3.97</v>
      </c>
      <c r="L160" s="33">
        <v>3.4787650000000001</v>
      </c>
      <c r="M160" s="33">
        <v>1637.792001</v>
      </c>
      <c r="N160" s="34">
        <v>4.149526381149924E-2</v>
      </c>
      <c r="O160" s="34">
        <v>8.6460000000000009E-3</v>
      </c>
      <c r="P160" s="25">
        <v>114.49</v>
      </c>
      <c r="Q160" s="25">
        <v>112.4</v>
      </c>
      <c r="R160" s="34">
        <v>1.8594306049821967E-2</v>
      </c>
    </row>
    <row r="161" spans="1:18" x14ac:dyDescent="0.25">
      <c r="A161" s="26">
        <v>154</v>
      </c>
      <c r="B161" s="25">
        <v>113646</v>
      </c>
      <c r="C161" s="25" t="s">
        <v>1061</v>
      </c>
      <c r="D161" s="25">
        <v>130.9</v>
      </c>
      <c r="E161" s="34">
        <v>8.0000000000000004E-4</v>
      </c>
      <c r="F161" s="25">
        <v>8.18</v>
      </c>
      <c r="G161" s="25">
        <v>93.03</v>
      </c>
      <c r="H161" s="43">
        <v>0.40710000000000002</v>
      </c>
      <c r="I161" s="57">
        <v>171.61</v>
      </c>
      <c r="J161" s="32">
        <v>46857</v>
      </c>
      <c r="K161" s="33">
        <v>3.008</v>
      </c>
      <c r="L161" s="33">
        <v>1.37483</v>
      </c>
      <c r="M161" s="33">
        <v>781.70770000000005</v>
      </c>
      <c r="N161" s="34">
        <v>4.3436591954890046E-2</v>
      </c>
      <c r="O161" s="34">
        <v>-4.9847000000000002E-2</v>
      </c>
      <c r="P161" s="25">
        <v>131.316</v>
      </c>
      <c r="Q161" s="25">
        <v>130.471</v>
      </c>
      <c r="R161" s="34">
        <v>6.4765350154440361E-3</v>
      </c>
    </row>
    <row r="162" spans="1:18" x14ac:dyDescent="0.25">
      <c r="A162" s="26">
        <v>155</v>
      </c>
      <c r="B162" s="25">
        <v>123212</v>
      </c>
      <c r="C162" s="25" t="s">
        <v>1057</v>
      </c>
      <c r="D162" s="25">
        <v>116.889</v>
      </c>
      <c r="E162" s="34">
        <v>-6.8000000000000005E-3</v>
      </c>
      <c r="F162" s="25">
        <v>19.079999999999998</v>
      </c>
      <c r="G162" s="25">
        <v>82.97</v>
      </c>
      <c r="H162" s="43">
        <v>0.40880000000000005</v>
      </c>
      <c r="I162" s="57">
        <v>157.76900000000001</v>
      </c>
      <c r="J162" s="32">
        <v>47326</v>
      </c>
      <c r="K162" s="33">
        <v>4.2930000000000001</v>
      </c>
      <c r="L162" s="33">
        <v>8.9973810000000007</v>
      </c>
      <c r="M162" s="33">
        <v>3432.1036476999998</v>
      </c>
      <c r="N162" s="34">
        <v>3.2634024878113697E-2</v>
      </c>
      <c r="O162" s="34">
        <v>2.2489999999999997E-3</v>
      </c>
      <c r="P162" s="25">
        <v>118.376</v>
      </c>
      <c r="Q162" s="25">
        <v>115.705</v>
      </c>
      <c r="R162" s="34">
        <v>2.3084568514757414E-2</v>
      </c>
    </row>
    <row r="163" spans="1:18" x14ac:dyDescent="0.25">
      <c r="A163" s="26">
        <v>156</v>
      </c>
      <c r="B163" s="25">
        <v>118044</v>
      </c>
      <c r="C163" s="25" t="s">
        <v>1052</v>
      </c>
      <c r="D163" s="25">
        <v>116.527</v>
      </c>
      <c r="E163" s="34">
        <v>2.0000000000000001E-4</v>
      </c>
      <c r="F163" s="25">
        <v>19</v>
      </c>
      <c r="G163" s="25">
        <v>82.37</v>
      </c>
      <c r="H163" s="43">
        <v>0.41470000000000001</v>
      </c>
      <c r="I163" s="57">
        <v>157.99700000000001</v>
      </c>
      <c r="J163" s="32">
        <v>47372</v>
      </c>
      <c r="K163" s="33">
        <v>4.4189999999999996</v>
      </c>
      <c r="L163" s="33">
        <v>4.4197899999999999</v>
      </c>
      <c r="M163" s="33">
        <v>1332.7320999999999</v>
      </c>
      <c r="N163" s="34">
        <v>2.5877043602452868E-2</v>
      </c>
      <c r="O163" s="34">
        <v>2.3080000000000002E-3</v>
      </c>
      <c r="P163" s="25">
        <v>117.25700000000001</v>
      </c>
      <c r="Q163" s="25">
        <v>114.81100000000001</v>
      </c>
      <c r="R163" s="34">
        <v>2.1304578829554641E-2</v>
      </c>
    </row>
    <row r="164" spans="1:18" x14ac:dyDescent="0.25">
      <c r="A164" s="26">
        <v>157</v>
      </c>
      <c r="B164" s="25">
        <v>111021</v>
      </c>
      <c r="C164" s="25" t="s">
        <v>1034</v>
      </c>
      <c r="D164" s="25">
        <v>117.254</v>
      </c>
      <c r="E164" s="34">
        <v>-1.7000000000000001E-3</v>
      </c>
      <c r="F164" s="25">
        <v>25.23</v>
      </c>
      <c r="G164" s="25">
        <v>82.56</v>
      </c>
      <c r="H164" s="43">
        <v>0.42020000000000002</v>
      </c>
      <c r="I164" s="57">
        <v>159.274</v>
      </c>
      <c r="J164" s="32">
        <v>47690</v>
      </c>
      <c r="K164" s="33">
        <v>5.29</v>
      </c>
      <c r="L164" s="33">
        <v>8.1211400000000005</v>
      </c>
      <c r="M164" s="33">
        <v>3404.7826</v>
      </c>
      <c r="N164" s="34">
        <v>3.5755653695496104E-2</v>
      </c>
      <c r="O164" s="34">
        <v>4.457E-3</v>
      </c>
      <c r="P164" s="25">
        <v>118.209</v>
      </c>
      <c r="Q164" s="25">
        <v>113.295</v>
      </c>
      <c r="R164" s="34">
        <v>4.3373493975903628E-2</v>
      </c>
    </row>
    <row r="165" spans="1:18" x14ac:dyDescent="0.25">
      <c r="A165" s="26">
        <v>158</v>
      </c>
      <c r="B165" s="25">
        <v>123199</v>
      </c>
      <c r="C165" s="25" t="s">
        <v>920</v>
      </c>
      <c r="D165" s="25">
        <v>116.779</v>
      </c>
      <c r="E165" s="34">
        <v>-0.01</v>
      </c>
      <c r="F165" s="25">
        <v>13.6</v>
      </c>
      <c r="G165" s="25">
        <v>82.21</v>
      </c>
      <c r="H165" s="43">
        <v>0.42049999999999998</v>
      </c>
      <c r="I165" s="57">
        <v>158.82900000000001</v>
      </c>
      <c r="J165" s="32">
        <v>47281</v>
      </c>
      <c r="K165" s="33">
        <v>4.17</v>
      </c>
      <c r="L165" s="33">
        <v>3.1982330000000001</v>
      </c>
      <c r="M165" s="33">
        <v>999.6432233999999</v>
      </c>
      <c r="N165" s="34">
        <v>2.6765180353035226E-2</v>
      </c>
      <c r="O165" s="34">
        <v>-8.0210000000000004E-3</v>
      </c>
      <c r="P165" s="25">
        <v>118.349</v>
      </c>
      <c r="Q165" s="25">
        <v>116.02</v>
      </c>
      <c r="R165" s="34">
        <v>2.007412515083613E-2</v>
      </c>
    </row>
    <row r="166" spans="1:18" x14ac:dyDescent="0.25">
      <c r="A166" s="26">
        <v>159</v>
      </c>
      <c r="B166" s="25">
        <v>123129</v>
      </c>
      <c r="C166" s="25" t="s">
        <v>1020</v>
      </c>
      <c r="D166" s="25">
        <v>122.1</v>
      </c>
      <c r="E166" s="34">
        <v>-7.9000000000000008E-3</v>
      </c>
      <c r="F166" s="25">
        <v>7.93</v>
      </c>
      <c r="G166" s="25">
        <v>85.37</v>
      </c>
      <c r="H166" s="43">
        <v>0.43020000000000003</v>
      </c>
      <c r="I166" s="57">
        <v>165.12</v>
      </c>
      <c r="J166" s="32">
        <v>46695</v>
      </c>
      <c r="K166" s="33">
        <v>2.5640000000000001</v>
      </c>
      <c r="L166" s="33">
        <v>1.9392910000000001</v>
      </c>
      <c r="M166" s="33">
        <v>3417.057663</v>
      </c>
      <c r="N166" s="34">
        <v>0.14430908123484432</v>
      </c>
      <c r="O166" s="34">
        <v>-2.0785999999999999E-2</v>
      </c>
      <c r="P166" s="25">
        <v>123.637</v>
      </c>
      <c r="Q166" s="25">
        <v>121.438</v>
      </c>
      <c r="R166" s="34">
        <v>1.8108005731319668E-2</v>
      </c>
    </row>
    <row r="167" spans="1:18" x14ac:dyDescent="0.25">
      <c r="A167" s="26">
        <v>160</v>
      </c>
      <c r="B167" s="25">
        <v>113689</v>
      </c>
      <c r="C167" s="25" t="s">
        <v>1002</v>
      </c>
      <c r="D167" s="25">
        <v>127.05800000000001</v>
      </c>
      <c r="E167" s="34">
        <v>-2.1499999999999998E-2</v>
      </c>
      <c r="F167" s="25">
        <v>15.45</v>
      </c>
      <c r="G167" s="25">
        <v>88.28</v>
      </c>
      <c r="H167" s="43">
        <v>0.43930000000000002</v>
      </c>
      <c r="I167" s="57">
        <v>170.988</v>
      </c>
      <c r="J167" s="32">
        <v>47773</v>
      </c>
      <c r="K167" s="33">
        <v>5.5179999999999998</v>
      </c>
      <c r="L167" s="33">
        <v>4.0343099999999996</v>
      </c>
      <c r="M167" s="33">
        <v>10355.598599999999</v>
      </c>
      <c r="N167" s="34">
        <v>0.20202444692793983</v>
      </c>
      <c r="O167" s="34">
        <v>-1.0605999999999999E-2</v>
      </c>
      <c r="P167" s="25">
        <v>130.85</v>
      </c>
      <c r="Q167" s="25">
        <v>126.85</v>
      </c>
      <c r="R167" s="34">
        <v>3.1533307055577456E-2</v>
      </c>
    </row>
    <row r="168" spans="1:18" x14ac:dyDescent="0.25">
      <c r="A168" s="26">
        <v>161</v>
      </c>
      <c r="B168" s="25">
        <v>111016</v>
      </c>
      <c r="C168" s="25" t="s">
        <v>1009</v>
      </c>
      <c r="D168" s="25">
        <v>119.31</v>
      </c>
      <c r="E168" s="34">
        <v>2E-3</v>
      </c>
      <c r="F168" s="25">
        <v>11.52</v>
      </c>
      <c r="G168" s="25">
        <v>82.55</v>
      </c>
      <c r="H168" s="43">
        <v>0.44530000000000003</v>
      </c>
      <c r="I168" s="57">
        <v>163.84</v>
      </c>
      <c r="J168" s="32">
        <v>47324</v>
      </c>
      <c r="K168" s="33">
        <v>4.2880000000000003</v>
      </c>
      <c r="L168" s="33">
        <v>5.7667299999999999</v>
      </c>
      <c r="M168" s="33">
        <v>5955.4825000000001</v>
      </c>
      <c r="N168" s="34">
        <v>8.6558652914447365E-2</v>
      </c>
      <c r="O168" s="34">
        <v>7.7499999999999997E-4</v>
      </c>
      <c r="P168" s="25">
        <v>120.752</v>
      </c>
      <c r="Q168" s="25">
        <v>118.253</v>
      </c>
      <c r="R168" s="34">
        <v>2.1132656253963919E-2</v>
      </c>
    </row>
    <row r="169" spans="1:18" x14ac:dyDescent="0.25">
      <c r="A169" s="26">
        <v>162</v>
      </c>
      <c r="B169" s="25">
        <v>123162</v>
      </c>
      <c r="C169" s="25" t="s">
        <v>968</v>
      </c>
      <c r="D169" s="25">
        <v>111.51</v>
      </c>
      <c r="E169" s="34">
        <v>1.9E-3</v>
      </c>
      <c r="F169" s="25">
        <v>8.0500000000000007</v>
      </c>
      <c r="G169" s="25">
        <v>77.14</v>
      </c>
      <c r="H169" s="43">
        <v>0.4456</v>
      </c>
      <c r="I169" s="57">
        <v>156.07</v>
      </c>
      <c r="J169" s="32">
        <v>47040</v>
      </c>
      <c r="K169" s="33">
        <v>3.51</v>
      </c>
      <c r="L169" s="33">
        <v>5.6077529999999998</v>
      </c>
      <c r="M169" s="33">
        <v>8243.3590000000004</v>
      </c>
      <c r="N169" s="34">
        <v>0.13182613574715396</v>
      </c>
      <c r="O169" s="34">
        <v>2.2852000000000001E-2</v>
      </c>
      <c r="P169" s="25">
        <v>113.88</v>
      </c>
      <c r="Q169" s="25">
        <v>110.658</v>
      </c>
      <c r="R169" s="34">
        <v>2.9116738057799654E-2</v>
      </c>
    </row>
    <row r="170" spans="1:18" x14ac:dyDescent="0.25">
      <c r="A170" s="26">
        <v>163</v>
      </c>
      <c r="B170" s="25">
        <v>111005</v>
      </c>
      <c r="C170" s="25" t="s">
        <v>1080</v>
      </c>
      <c r="D170" s="25">
        <v>111.89700000000001</v>
      </c>
      <c r="E170" s="34">
        <v>-1.34E-2</v>
      </c>
      <c r="F170" s="25">
        <v>15.7</v>
      </c>
      <c r="G170" s="25">
        <v>77.13</v>
      </c>
      <c r="H170" s="43">
        <v>0.45079999999999998</v>
      </c>
      <c r="I170" s="57">
        <v>156.977</v>
      </c>
      <c r="J170" s="32">
        <v>46927</v>
      </c>
      <c r="K170" s="33">
        <v>3.2</v>
      </c>
      <c r="L170" s="33">
        <v>5.2981100000000003</v>
      </c>
      <c r="M170" s="33">
        <v>2084.9416999999999</v>
      </c>
      <c r="N170" s="34">
        <v>3.5168553143915975E-2</v>
      </c>
      <c r="O170" s="34">
        <v>2.0010000000000002E-3</v>
      </c>
      <c r="P170" s="25">
        <v>113.658</v>
      </c>
      <c r="Q170" s="25">
        <v>111.6</v>
      </c>
      <c r="R170" s="34">
        <v>1.8440860215053825E-2</v>
      </c>
    </row>
    <row r="171" spans="1:18" x14ac:dyDescent="0.25">
      <c r="A171" s="26">
        <v>164</v>
      </c>
      <c r="B171" s="25">
        <v>123252</v>
      </c>
      <c r="C171" s="25" t="s">
        <v>1000</v>
      </c>
      <c r="D171" s="25">
        <v>120.88</v>
      </c>
      <c r="E171" s="34">
        <v>4.6999999999999993E-3</v>
      </c>
      <c r="F171" s="25">
        <v>12.52</v>
      </c>
      <c r="G171" s="25">
        <v>83.23</v>
      </c>
      <c r="H171" s="43">
        <v>0.45240000000000002</v>
      </c>
      <c r="I171" s="57">
        <v>166.12</v>
      </c>
      <c r="J171" s="32">
        <v>47855</v>
      </c>
      <c r="K171" s="33">
        <v>5.742</v>
      </c>
      <c r="L171" s="33">
        <v>7.85</v>
      </c>
      <c r="M171" s="33">
        <v>6493.8450690999998</v>
      </c>
      <c r="N171" s="34">
        <v>6.8434928034119213E-2</v>
      </c>
      <c r="O171" s="34">
        <v>-4.548E-3</v>
      </c>
      <c r="P171" s="25">
        <v>121.18899999999999</v>
      </c>
      <c r="Q171" s="25">
        <v>119.288</v>
      </c>
      <c r="R171" s="34">
        <v>1.5936221581382842E-2</v>
      </c>
    </row>
    <row r="172" spans="1:18" x14ac:dyDescent="0.25">
      <c r="A172" s="26">
        <v>165</v>
      </c>
      <c r="B172" s="25">
        <v>123182</v>
      </c>
      <c r="C172" s="25" t="s">
        <v>942</v>
      </c>
      <c r="D172" s="25">
        <v>119.514</v>
      </c>
      <c r="E172" s="34">
        <v>-5.4000000000000003E-3</v>
      </c>
      <c r="F172" s="25">
        <v>22.86</v>
      </c>
      <c r="G172" s="25">
        <v>82.15</v>
      </c>
      <c r="H172" s="43">
        <v>0.45479999999999998</v>
      </c>
      <c r="I172" s="57">
        <v>164.994</v>
      </c>
      <c r="J172" s="32">
        <v>47199</v>
      </c>
      <c r="K172" s="33">
        <v>3.9449999999999998</v>
      </c>
      <c r="L172" s="33">
        <v>6.9959110000000004</v>
      </c>
      <c r="M172" s="33">
        <v>1529.3701732000002</v>
      </c>
      <c r="N172" s="34">
        <v>1.829150997281502E-2</v>
      </c>
      <c r="O172" s="34">
        <v>1.694E-3</v>
      </c>
      <c r="P172" s="25">
        <v>120.798</v>
      </c>
      <c r="Q172" s="25">
        <v>119.1</v>
      </c>
      <c r="R172" s="34">
        <v>1.4256926952141121E-2</v>
      </c>
    </row>
    <row r="173" spans="1:18" x14ac:dyDescent="0.25">
      <c r="A173" s="26">
        <v>166</v>
      </c>
      <c r="B173" s="25">
        <v>123183</v>
      </c>
      <c r="C173" s="25" t="s">
        <v>1063</v>
      </c>
      <c r="D173" s="25">
        <v>111.94799999999999</v>
      </c>
      <c r="E173" s="34">
        <v>-1.1200000000000002E-2</v>
      </c>
      <c r="F173" s="25">
        <v>17.739999999999998</v>
      </c>
      <c r="G173" s="25">
        <v>76.83</v>
      </c>
      <c r="H173" s="43">
        <v>0.45710000000000001</v>
      </c>
      <c r="I173" s="57">
        <v>157.65799999999999</v>
      </c>
      <c r="J173" s="32">
        <v>47200</v>
      </c>
      <c r="K173" s="33">
        <v>3.948</v>
      </c>
      <c r="L173" s="33">
        <v>6.328856</v>
      </c>
      <c r="M173" s="33">
        <v>3200.4286646</v>
      </c>
      <c r="N173" s="34">
        <v>4.5171716941607008E-2</v>
      </c>
      <c r="O173" s="34">
        <v>1.6957E-2</v>
      </c>
      <c r="P173" s="25">
        <v>113.24</v>
      </c>
      <c r="Q173" s="25">
        <v>111.258</v>
      </c>
      <c r="R173" s="34">
        <v>1.7814449298028001E-2</v>
      </c>
    </row>
    <row r="174" spans="1:18" x14ac:dyDescent="0.25">
      <c r="A174" s="26">
        <v>167</v>
      </c>
      <c r="B174" s="25">
        <v>111013</v>
      </c>
      <c r="C174" s="25" t="s">
        <v>1065</v>
      </c>
      <c r="D174" s="25">
        <v>117.20099999999999</v>
      </c>
      <c r="E174" s="34">
        <v>-5.8999999999999999E-3</v>
      </c>
      <c r="F174" s="25">
        <v>8.85</v>
      </c>
      <c r="G174" s="25">
        <v>80</v>
      </c>
      <c r="H174" s="43">
        <v>0.46500000000000002</v>
      </c>
      <c r="I174" s="57">
        <v>163.70099999999999</v>
      </c>
      <c r="J174" s="32">
        <v>47185</v>
      </c>
      <c r="K174" s="33">
        <v>3.907</v>
      </c>
      <c r="L174" s="33">
        <v>3.68404</v>
      </c>
      <c r="M174" s="33">
        <v>2024.2731000000001</v>
      </c>
      <c r="N174" s="34">
        <v>4.6882790110277364E-2</v>
      </c>
      <c r="O174" s="34">
        <v>5.5089999999999991E-3</v>
      </c>
      <c r="P174" s="25">
        <v>118.133</v>
      </c>
      <c r="Q174" s="25">
        <v>116.40300000000001</v>
      </c>
      <c r="R174" s="34">
        <v>1.4862159909967868E-2</v>
      </c>
    </row>
    <row r="175" spans="1:18" x14ac:dyDescent="0.25">
      <c r="A175" s="26">
        <v>168</v>
      </c>
      <c r="B175" s="25">
        <v>113657</v>
      </c>
      <c r="C175" s="25" t="s">
        <v>1017</v>
      </c>
      <c r="D175" s="25">
        <v>111.756</v>
      </c>
      <c r="E175" s="34">
        <v>-1.1599999999999999E-2</v>
      </c>
      <c r="F175" s="25">
        <v>4.25</v>
      </c>
      <c r="G175" s="25">
        <v>76</v>
      </c>
      <c r="H175" s="43">
        <v>0.47049999999999997</v>
      </c>
      <c r="I175" s="57">
        <v>158.80599999999998</v>
      </c>
      <c r="J175" s="32">
        <v>47025</v>
      </c>
      <c r="K175" s="33">
        <v>3.468</v>
      </c>
      <c r="L175" s="33">
        <v>5.09938</v>
      </c>
      <c r="M175" s="33">
        <v>1607.4925000000001</v>
      </c>
      <c r="N175" s="34">
        <v>2.8207248852661022E-2</v>
      </c>
      <c r="O175" s="34">
        <v>6.6369999999999997E-3</v>
      </c>
      <c r="P175" s="25">
        <v>113.687</v>
      </c>
      <c r="Q175" s="25">
        <v>111.402</v>
      </c>
      <c r="R175" s="34">
        <v>2.0511301412900994E-2</v>
      </c>
    </row>
    <row r="176" spans="1:18" x14ac:dyDescent="0.25">
      <c r="A176" s="26">
        <v>169</v>
      </c>
      <c r="B176" s="25">
        <v>123214</v>
      </c>
      <c r="C176" s="25" t="s">
        <v>919</v>
      </c>
      <c r="D176" s="25">
        <v>111.40300000000001</v>
      </c>
      <c r="E176" s="34">
        <v>-1.04E-2</v>
      </c>
      <c r="F176" s="25">
        <v>6.65</v>
      </c>
      <c r="G176" s="25">
        <v>75.34</v>
      </c>
      <c r="H176" s="43">
        <v>0.47869999999999996</v>
      </c>
      <c r="I176" s="57">
        <v>159.273</v>
      </c>
      <c r="J176" s="32">
        <v>47330</v>
      </c>
      <c r="K176" s="33">
        <v>4.3040000000000003</v>
      </c>
      <c r="L176" s="33">
        <v>4.5496699999999999</v>
      </c>
      <c r="M176" s="33">
        <v>3241.2457196999999</v>
      </c>
      <c r="N176" s="34">
        <v>6.3949208385609566E-2</v>
      </c>
      <c r="O176" s="34">
        <v>1.3724E-2</v>
      </c>
      <c r="P176" s="25">
        <v>112.575</v>
      </c>
      <c r="Q176" s="25">
        <v>110.011</v>
      </c>
      <c r="R176" s="34">
        <v>2.3306760233067669E-2</v>
      </c>
    </row>
    <row r="177" spans="1:18" x14ac:dyDescent="0.25">
      <c r="A177" s="26">
        <v>170</v>
      </c>
      <c r="B177" s="25">
        <v>123224</v>
      </c>
      <c r="C177" s="25" t="s">
        <v>1050</v>
      </c>
      <c r="D177" s="25">
        <v>121.417</v>
      </c>
      <c r="E177" s="34">
        <v>-6.8999999999999999E-3</v>
      </c>
      <c r="F177" s="25">
        <v>36.94</v>
      </c>
      <c r="G177" s="25">
        <v>81.430000000000007</v>
      </c>
      <c r="H177" s="43">
        <v>0.49109999999999998</v>
      </c>
      <c r="I177" s="57">
        <v>170.52699999999999</v>
      </c>
      <c r="J177" s="32">
        <v>47380</v>
      </c>
      <c r="K177" s="33">
        <v>4.4409999999999998</v>
      </c>
      <c r="L177" s="33">
        <v>2.8484690000000001</v>
      </c>
      <c r="M177" s="33">
        <v>1475.568702</v>
      </c>
      <c r="N177" s="34">
        <v>4.2664674783824477E-2</v>
      </c>
      <c r="O177" s="34">
        <v>-2.4940000000000001E-3</v>
      </c>
      <c r="P177" s="25">
        <v>123.2</v>
      </c>
      <c r="Q177" s="25">
        <v>120.8</v>
      </c>
      <c r="R177" s="34">
        <v>1.9867549668874218E-2</v>
      </c>
    </row>
    <row r="178" spans="1:18" x14ac:dyDescent="0.25">
      <c r="A178" s="26">
        <v>171</v>
      </c>
      <c r="B178" s="25">
        <v>113644</v>
      </c>
      <c r="C178" s="25" t="s">
        <v>1060</v>
      </c>
      <c r="D178" s="25">
        <v>117.149</v>
      </c>
      <c r="E178" s="34">
        <v>-4.6999999999999993E-3</v>
      </c>
      <c r="F178" s="25">
        <v>23.63</v>
      </c>
      <c r="G178" s="25">
        <v>78.42</v>
      </c>
      <c r="H178" s="43">
        <v>0.49390000000000001</v>
      </c>
      <c r="I178" s="57">
        <v>166.53899999999999</v>
      </c>
      <c r="J178" s="32">
        <v>46858</v>
      </c>
      <c r="K178" s="33">
        <v>3.0110000000000001</v>
      </c>
      <c r="L178" s="33">
        <v>9.9994899999999998</v>
      </c>
      <c r="M178" s="33">
        <v>3664.9366</v>
      </c>
      <c r="N178" s="34">
        <v>3.1285999208696499E-2</v>
      </c>
      <c r="O178" s="34">
        <v>6.7669999999999996E-3</v>
      </c>
      <c r="P178" s="25">
        <v>118.596</v>
      </c>
      <c r="Q178" s="25">
        <v>116.38200000000001</v>
      </c>
      <c r="R178" s="34">
        <v>1.9023560344383138E-2</v>
      </c>
    </row>
    <row r="179" spans="1:18" x14ac:dyDescent="0.25">
      <c r="A179" s="26">
        <v>172</v>
      </c>
      <c r="B179" s="25">
        <v>123133</v>
      </c>
      <c r="C179" s="25" t="s">
        <v>997</v>
      </c>
      <c r="D179" s="25">
        <v>117.273</v>
      </c>
      <c r="E179" s="34">
        <v>-9.300000000000001E-3</v>
      </c>
      <c r="F179" s="25">
        <v>17.920000000000002</v>
      </c>
      <c r="G179" s="25">
        <v>78.180000000000007</v>
      </c>
      <c r="H179" s="43">
        <v>0.5</v>
      </c>
      <c r="I179" s="57">
        <v>167.273</v>
      </c>
      <c r="J179" s="32">
        <v>46743</v>
      </c>
      <c r="K179" s="33">
        <v>2.6960000000000002</v>
      </c>
      <c r="L179" s="33">
        <v>7.1981359999999999</v>
      </c>
      <c r="M179" s="33">
        <v>2937.7102530000002</v>
      </c>
      <c r="N179" s="34">
        <v>3.480093209019601E-2</v>
      </c>
      <c r="O179" s="34">
        <v>3.9259999999999998E-3</v>
      </c>
      <c r="P179" s="25">
        <v>118.285</v>
      </c>
      <c r="Q179" s="25">
        <v>115.971</v>
      </c>
      <c r="R179" s="34">
        <v>1.9953264178113432E-2</v>
      </c>
    </row>
    <row r="180" spans="1:18" x14ac:dyDescent="0.25">
      <c r="A180" s="26">
        <v>173</v>
      </c>
      <c r="B180" s="25">
        <v>113681</v>
      </c>
      <c r="C180" s="25" t="s">
        <v>1041</v>
      </c>
      <c r="D180" s="25">
        <v>113.208</v>
      </c>
      <c r="E180" s="34">
        <v>-2.0999999999999999E-3</v>
      </c>
      <c r="F180" s="25">
        <v>11.46</v>
      </c>
      <c r="G180" s="25">
        <v>74.61</v>
      </c>
      <c r="H180" s="43">
        <v>0.51729999999999998</v>
      </c>
      <c r="I180" s="57">
        <v>164.93799999999999</v>
      </c>
      <c r="J180" s="32">
        <v>47481</v>
      </c>
      <c r="K180" s="33">
        <v>4.718</v>
      </c>
      <c r="L180" s="33">
        <v>6.5993500000000003</v>
      </c>
      <c r="M180" s="33">
        <v>1457.7523000000001</v>
      </c>
      <c r="N180" s="34">
        <v>1.9512164798489894E-2</v>
      </c>
      <c r="O180" s="34">
        <v>1.2078999999999999E-2</v>
      </c>
      <c r="P180" s="25">
        <v>113.86</v>
      </c>
      <c r="Q180" s="25">
        <v>112.4</v>
      </c>
      <c r="R180" s="34">
        <v>1.2989323843416313E-2</v>
      </c>
    </row>
    <row r="181" spans="1:18" x14ac:dyDescent="0.25">
      <c r="A181" s="26">
        <v>174</v>
      </c>
      <c r="B181" s="25">
        <v>127094</v>
      </c>
      <c r="C181" s="25" t="s">
        <v>1007</v>
      </c>
      <c r="D181" s="25">
        <v>109.032</v>
      </c>
      <c r="E181" s="34">
        <v>-1.4000000000000002E-3</v>
      </c>
      <c r="F181" s="25">
        <v>10.74</v>
      </c>
      <c r="G181" s="25">
        <v>71.790000000000006</v>
      </c>
      <c r="H181" s="43">
        <v>0.51880000000000004</v>
      </c>
      <c r="I181" s="57">
        <v>160.91200000000001</v>
      </c>
      <c r="J181" s="32">
        <v>47409</v>
      </c>
      <c r="K181" s="33">
        <v>4.5209999999999999</v>
      </c>
      <c r="L181" s="33">
        <v>3.159808</v>
      </c>
      <c r="M181" s="33">
        <v>461.76287419999994</v>
      </c>
      <c r="N181" s="34">
        <v>1.340307166770786E-2</v>
      </c>
      <c r="O181" s="34">
        <v>2.3016999999999999E-2</v>
      </c>
      <c r="P181" s="25">
        <v>109.39</v>
      </c>
      <c r="Q181" s="25">
        <v>108.24</v>
      </c>
      <c r="R181" s="34">
        <v>1.0624538063562507E-2</v>
      </c>
    </row>
    <row r="182" spans="1:18" x14ac:dyDescent="0.25">
      <c r="A182" s="26">
        <v>175</v>
      </c>
      <c r="B182" s="25">
        <v>123168</v>
      </c>
      <c r="C182" s="25" t="s">
        <v>1071</v>
      </c>
      <c r="D182" s="25">
        <v>110.60299999999999</v>
      </c>
      <c r="E182" s="34">
        <v>-1.32E-2</v>
      </c>
      <c r="F182" s="25">
        <v>10.75</v>
      </c>
      <c r="G182" s="25">
        <v>71.91</v>
      </c>
      <c r="H182" s="43">
        <v>0.53810000000000002</v>
      </c>
      <c r="I182" s="57">
        <v>164.41300000000001</v>
      </c>
      <c r="J182" s="32">
        <v>47080</v>
      </c>
      <c r="K182" s="33">
        <v>3.6190000000000002</v>
      </c>
      <c r="L182" s="33">
        <v>4.8991449999999999</v>
      </c>
      <c r="M182" s="33">
        <v>3024.3833440000003</v>
      </c>
      <c r="N182" s="34">
        <v>5.5814833972857927E-2</v>
      </c>
      <c r="O182" s="34">
        <v>2.2504E-2</v>
      </c>
      <c r="P182" s="25">
        <v>112.083</v>
      </c>
      <c r="Q182" s="25">
        <v>109.857</v>
      </c>
      <c r="R182" s="34">
        <v>2.026270515306261E-2</v>
      </c>
    </row>
    <row r="183" spans="1:18" x14ac:dyDescent="0.25">
      <c r="A183" s="26">
        <v>176</v>
      </c>
      <c r="B183" s="25">
        <v>123232</v>
      </c>
      <c r="C183" s="25" t="s">
        <v>1006</v>
      </c>
      <c r="D183" s="25">
        <v>122.002</v>
      </c>
      <c r="E183" s="34">
        <v>-8.6999999999999994E-3</v>
      </c>
      <c r="F183" s="25">
        <v>9.3699999999999992</v>
      </c>
      <c r="G183" s="25">
        <v>78.66</v>
      </c>
      <c r="H183" s="43">
        <v>0.55100000000000005</v>
      </c>
      <c r="I183" s="57">
        <v>177.102</v>
      </c>
      <c r="J183" s="32">
        <v>47449</v>
      </c>
      <c r="K183" s="33">
        <v>4.63</v>
      </c>
      <c r="L183" s="33">
        <v>2.0248360000000001</v>
      </c>
      <c r="M183" s="33">
        <v>744.61263700000006</v>
      </c>
      <c r="N183" s="34">
        <v>3.0142106406074235E-2</v>
      </c>
      <c r="O183" s="34">
        <v>-2.5409999999999999E-3</v>
      </c>
      <c r="P183" s="25">
        <v>123.152</v>
      </c>
      <c r="Q183" s="25">
        <v>121.776</v>
      </c>
      <c r="R183" s="34">
        <v>1.1299435028248627E-2</v>
      </c>
    </row>
    <row r="184" spans="1:18" x14ac:dyDescent="0.25">
      <c r="A184" s="26">
        <v>177</v>
      </c>
      <c r="B184" s="25">
        <v>113593</v>
      </c>
      <c r="C184" s="25" t="s">
        <v>1096</v>
      </c>
      <c r="D184" s="25">
        <v>120.214</v>
      </c>
      <c r="E184" s="34">
        <v>6.8000000000000005E-3</v>
      </c>
      <c r="F184" s="25">
        <v>21.1</v>
      </c>
      <c r="G184" s="25">
        <v>77.16</v>
      </c>
      <c r="H184" s="43">
        <v>0.55799999999999994</v>
      </c>
      <c r="I184" s="57">
        <v>176.01400000000001</v>
      </c>
      <c r="J184" s="32">
        <v>46223</v>
      </c>
      <c r="K184" s="33">
        <v>1.2709999999999999</v>
      </c>
      <c r="L184" s="33">
        <v>3.99641</v>
      </c>
      <c r="M184" s="33">
        <v>4380.1246000000001</v>
      </c>
      <c r="N184" s="34">
        <v>9.117197858019159E-2</v>
      </c>
      <c r="O184" s="34">
        <v>-1.8716E-2</v>
      </c>
      <c r="P184" s="25">
        <v>122.44</v>
      </c>
      <c r="Q184" s="25">
        <v>119.06100000000001</v>
      </c>
      <c r="R184" s="34">
        <v>2.8380410041911209E-2</v>
      </c>
    </row>
    <row r="185" spans="1:18" x14ac:dyDescent="0.25">
      <c r="A185" s="26">
        <v>178</v>
      </c>
      <c r="B185" s="25">
        <v>123229</v>
      </c>
      <c r="C185" s="25" t="s">
        <v>1047</v>
      </c>
      <c r="D185" s="25">
        <v>123.499</v>
      </c>
      <c r="E185" s="34">
        <v>-8.9999999999999998E-4</v>
      </c>
      <c r="F185" s="25">
        <v>10.1</v>
      </c>
      <c r="G185" s="25">
        <v>78.22</v>
      </c>
      <c r="H185" s="43">
        <v>0.57889999999999997</v>
      </c>
      <c r="I185" s="57">
        <v>181.38900000000001</v>
      </c>
      <c r="J185" s="32">
        <v>47414</v>
      </c>
      <c r="K185" s="33">
        <v>4.5339999999999998</v>
      </c>
      <c r="L185" s="33">
        <v>1.7794840000000001</v>
      </c>
      <c r="M185" s="33">
        <v>550.09799699999996</v>
      </c>
      <c r="N185" s="34">
        <v>2.5031249848230144E-2</v>
      </c>
      <c r="O185" s="34">
        <v>-4.9580000000000006E-3</v>
      </c>
      <c r="P185" s="25">
        <v>124.18899999999999</v>
      </c>
      <c r="Q185" s="25">
        <v>122.357</v>
      </c>
      <c r="R185" s="34">
        <v>1.4972580236520948E-2</v>
      </c>
    </row>
    <row r="186" spans="1:18" x14ac:dyDescent="0.25">
      <c r="A186" s="26">
        <v>179</v>
      </c>
      <c r="B186" s="25">
        <v>123250</v>
      </c>
      <c r="C186" s="25" t="s">
        <v>980</v>
      </c>
      <c r="D186" s="25">
        <v>116.831</v>
      </c>
      <c r="E186" s="34">
        <v>-3.8E-3</v>
      </c>
      <c r="F186" s="25">
        <v>116.05</v>
      </c>
      <c r="G186" s="25">
        <v>73.459999999999994</v>
      </c>
      <c r="H186" s="43">
        <v>0.59040000000000004</v>
      </c>
      <c r="I186" s="57">
        <v>175.87100000000001</v>
      </c>
      <c r="J186" s="32">
        <v>47794</v>
      </c>
      <c r="K186" s="33">
        <v>5.5750000000000002</v>
      </c>
      <c r="L186" s="33">
        <v>3.9793839999999996</v>
      </c>
      <c r="M186" s="33">
        <v>3314.9072645000001</v>
      </c>
      <c r="N186" s="34">
        <v>7.1301298649107087E-2</v>
      </c>
      <c r="O186" s="34">
        <v>3.2009999999999999E-3</v>
      </c>
      <c r="P186" s="25">
        <v>117.574</v>
      </c>
      <c r="Q186" s="25">
        <v>115.741</v>
      </c>
      <c r="R186" s="34">
        <v>1.5837084524930649E-2</v>
      </c>
    </row>
    <row r="187" spans="1:18" x14ac:dyDescent="0.25">
      <c r="A187" s="26">
        <v>180</v>
      </c>
      <c r="B187" s="25">
        <v>123233</v>
      </c>
      <c r="C187" s="25" t="s">
        <v>1043</v>
      </c>
      <c r="D187" s="25">
        <v>112.23</v>
      </c>
      <c r="E187" s="34">
        <v>-3.3E-3</v>
      </c>
      <c r="F187" s="25">
        <v>20.059999999999999</v>
      </c>
      <c r="G187" s="25">
        <v>67.45</v>
      </c>
      <c r="H187" s="43">
        <v>0.66390000000000005</v>
      </c>
      <c r="I187" s="57">
        <v>178.62</v>
      </c>
      <c r="J187" s="32">
        <v>47451</v>
      </c>
      <c r="K187" s="33">
        <v>4.6360000000000001</v>
      </c>
      <c r="L187" s="33">
        <v>6.4997699999999998</v>
      </c>
      <c r="M187" s="33">
        <v>2212.280573</v>
      </c>
      <c r="N187" s="34">
        <v>3.0327265525702425E-2</v>
      </c>
      <c r="O187" s="34">
        <v>1.4226000000000001E-2</v>
      </c>
      <c r="P187" s="25">
        <v>113.32</v>
      </c>
      <c r="Q187" s="25">
        <v>111.651</v>
      </c>
      <c r="R187" s="34">
        <v>1.4948365890139783E-2</v>
      </c>
    </row>
    <row r="188" spans="1:18" x14ac:dyDescent="0.25">
      <c r="A188" s="26">
        <v>181</v>
      </c>
      <c r="B188" s="25">
        <v>127080</v>
      </c>
      <c r="C188" s="25" t="s">
        <v>1014</v>
      </c>
      <c r="D188" s="25">
        <v>117.79900000000001</v>
      </c>
      <c r="E188" s="34">
        <v>-5.0000000000000001E-3</v>
      </c>
      <c r="F188" s="25">
        <v>28.94</v>
      </c>
      <c r="G188" s="25">
        <v>68.8</v>
      </c>
      <c r="H188" s="43">
        <v>0.71219999999999994</v>
      </c>
      <c r="I188" s="57">
        <v>189.01900000000001</v>
      </c>
      <c r="J188" s="32">
        <v>47117</v>
      </c>
      <c r="K188" s="33">
        <v>3.7210000000000001</v>
      </c>
      <c r="L188" s="33">
        <v>2.7942830000000001</v>
      </c>
      <c r="M188" s="33">
        <v>1043.6077952000001</v>
      </c>
      <c r="N188" s="34">
        <v>3.1704822205435107E-2</v>
      </c>
      <c r="O188" s="34">
        <v>5.3169999999999997E-3</v>
      </c>
      <c r="P188" s="25">
        <v>118.7</v>
      </c>
      <c r="Q188" s="25">
        <v>117.101</v>
      </c>
      <c r="R188" s="34">
        <v>1.3654879121442205E-2</v>
      </c>
    </row>
    <row r="189" spans="1:18" x14ac:dyDescent="0.25">
      <c r="A189" s="26">
        <v>182</v>
      </c>
      <c r="B189" s="25">
        <v>123142</v>
      </c>
      <c r="C189" s="25" t="s">
        <v>1082</v>
      </c>
      <c r="D189" s="25">
        <v>111.41</v>
      </c>
      <c r="E189" s="34">
        <v>-9.8999999999999991E-3</v>
      </c>
      <c r="F189" s="25">
        <v>33.71</v>
      </c>
      <c r="G189" s="25">
        <v>61.41</v>
      </c>
      <c r="H189" s="43">
        <v>0.81420000000000003</v>
      </c>
      <c r="I189" s="57">
        <v>192.82999999999998</v>
      </c>
      <c r="J189" s="32">
        <v>46830</v>
      </c>
      <c r="K189" s="33">
        <v>2.9340000000000002</v>
      </c>
      <c r="L189" s="33">
        <v>5.4947400000000002</v>
      </c>
      <c r="M189" s="33">
        <v>3002.7381420000002</v>
      </c>
      <c r="N189" s="34">
        <v>4.9050804980721598E-2</v>
      </c>
      <c r="O189" s="34">
        <v>8.6129999999999991E-3</v>
      </c>
      <c r="P189" s="25">
        <v>113.459</v>
      </c>
      <c r="Q189" s="25">
        <v>111.41</v>
      </c>
      <c r="R189" s="34">
        <v>1.8391526792927087E-2</v>
      </c>
    </row>
    <row r="190" spans="1:18" x14ac:dyDescent="0.25">
      <c r="A190" s="26">
        <v>183</v>
      </c>
      <c r="B190" s="25">
        <v>127090</v>
      </c>
      <c r="C190" s="25" t="s">
        <v>1058</v>
      </c>
      <c r="D190" s="25">
        <v>113.39</v>
      </c>
      <c r="E190" s="34">
        <v>-1.2699999999999999E-2</v>
      </c>
      <c r="F190" s="25">
        <v>25.9</v>
      </c>
      <c r="G190" s="25">
        <v>61.74</v>
      </c>
      <c r="H190" s="43">
        <v>0.83660000000000001</v>
      </c>
      <c r="I190" s="57">
        <v>197.05</v>
      </c>
      <c r="J190" s="32">
        <v>47323</v>
      </c>
      <c r="K190" s="33">
        <v>4.2850000000000001</v>
      </c>
      <c r="L190" s="33">
        <v>4.6163959999999999</v>
      </c>
      <c r="M190" s="33">
        <v>2612.6026323000001</v>
      </c>
      <c r="N190" s="34">
        <v>4.9910916956611172E-2</v>
      </c>
      <c r="O190" s="34">
        <v>1.0928E-2</v>
      </c>
      <c r="P190" s="25">
        <v>115.49</v>
      </c>
      <c r="Q190" s="25">
        <v>113.11</v>
      </c>
      <c r="R190" s="34">
        <v>2.1041464061532979E-2</v>
      </c>
    </row>
  </sheetData>
  <autoFilter ref="A7:T94">
    <sortState ref="A8:T190">
      <sortCondition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207034</xdr:colOff>
                    <xdr:row>8</xdr:row>
                    <xdr:rowOff>51758</xdr:rowOff>
                  </from>
                  <to>
                    <xdr:col>23</xdr:col>
                    <xdr:colOff>517585</xdr:colOff>
                    <xdr:row>10</xdr:row>
                    <xdr:rowOff>146649</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Normal="100" workbookViewId="0">
      <pane ySplit="2" topLeftCell="A3" activePane="bottomLeft" state="frozen"/>
      <selection pane="bottomLeft" activeCell="B17" sqref="B17"/>
    </sheetView>
  </sheetViews>
  <sheetFormatPr defaultColWidth="9" defaultRowHeight="16.3" x14ac:dyDescent="0.25"/>
  <cols>
    <col min="1" max="2" width="12.21875" style="7" bestFit="1" customWidth="1"/>
    <col min="3" max="3" width="8.44140625" style="7" bestFit="1" customWidth="1"/>
    <col min="4" max="4" width="16.44140625" style="13" customWidth="1"/>
    <col min="5" max="5" width="16" style="13" bestFit="1" customWidth="1"/>
    <col min="6" max="7" width="9" style="7"/>
    <col min="8" max="8" width="3.6640625" style="14" customWidth="1"/>
    <col min="9" max="10" width="12.21875" style="7" bestFit="1" customWidth="1"/>
    <col min="11" max="11" width="8.44140625" style="7" bestFit="1" customWidth="1"/>
    <col min="12" max="12" width="10.109375" style="40" bestFit="1" customWidth="1"/>
    <col min="13" max="13" width="10.109375" style="29" customWidth="1"/>
    <col min="14" max="14" width="12.21875" style="7" bestFit="1" customWidth="1"/>
    <col min="15" max="16" width="9" style="7"/>
    <col min="17" max="17" width="3.6640625" style="14" customWidth="1"/>
    <col min="18" max="19" width="12.21875" style="7" bestFit="1" customWidth="1"/>
    <col min="20" max="20" width="8.44140625" style="7" customWidth="1"/>
    <col min="21" max="21" width="10.109375" style="40" bestFit="1" customWidth="1"/>
    <col min="22" max="22" width="10.109375" style="29" customWidth="1"/>
    <col min="23" max="23" width="12.21875" style="7" bestFit="1" customWidth="1"/>
    <col min="24" max="16384" width="9" style="7"/>
  </cols>
  <sheetData>
    <row r="1" spans="1:23" x14ac:dyDescent="0.25">
      <c r="A1" s="8" t="s">
        <v>41</v>
      </c>
      <c r="B1" s="8"/>
      <c r="C1" s="35" t="s">
        <v>384</v>
      </c>
      <c r="D1" s="12"/>
      <c r="E1" s="12"/>
      <c r="I1" s="8" t="s">
        <v>351</v>
      </c>
      <c r="J1" s="8"/>
      <c r="K1" s="30" t="s">
        <v>352</v>
      </c>
      <c r="L1" s="37"/>
      <c r="M1" s="31"/>
      <c r="N1" s="30"/>
      <c r="O1" s="30"/>
      <c r="P1" s="30"/>
      <c r="R1" s="8" t="s">
        <v>601</v>
      </c>
      <c r="S1" s="8"/>
      <c r="U1" s="7"/>
      <c r="V1" s="7"/>
    </row>
    <row r="2" spans="1:23" s="6" customFormat="1" x14ac:dyDescent="0.25">
      <c r="A2" s="6" t="s">
        <v>36</v>
      </c>
      <c r="B2" s="6" t="s">
        <v>35</v>
      </c>
      <c r="C2" s="6" t="s">
        <v>346</v>
      </c>
      <c r="D2" s="4" t="s">
        <v>40</v>
      </c>
      <c r="E2" s="4" t="s">
        <v>170</v>
      </c>
      <c r="H2" s="15"/>
      <c r="I2" s="6" t="s">
        <v>347</v>
      </c>
      <c r="J2" s="6" t="s">
        <v>348</v>
      </c>
      <c r="K2" s="6" t="s">
        <v>346</v>
      </c>
      <c r="L2" s="38" t="s">
        <v>29</v>
      </c>
      <c r="M2" s="28" t="s">
        <v>350</v>
      </c>
      <c r="N2" s="4" t="s">
        <v>38</v>
      </c>
      <c r="Q2" s="15"/>
      <c r="R2" s="6" t="s">
        <v>347</v>
      </c>
      <c r="S2" s="6" t="s">
        <v>348</v>
      </c>
      <c r="T2" s="6" t="s">
        <v>346</v>
      </c>
      <c r="U2" s="38" t="s">
        <v>29</v>
      </c>
      <c r="V2" s="28" t="s">
        <v>350</v>
      </c>
      <c r="W2" s="4" t="s">
        <v>38</v>
      </c>
    </row>
    <row r="3" spans="1:23" x14ac:dyDescent="0.25">
      <c r="A3">
        <v>127092</v>
      </c>
      <c r="B3" t="s">
        <v>948</v>
      </c>
      <c r="C3" s="7">
        <f>VLOOKUP(A3,可转债实时数据!$B$7:$D$149,3,FALSE)</f>
        <v>164.4</v>
      </c>
      <c r="D3" s="5">
        <f t="shared" ref="D3:D56" si="0">MATCH(A3,$I$1:$I$130,0)-2</f>
        <v>12</v>
      </c>
      <c r="E3" s="5">
        <f t="shared" ref="E3:E56" si="1">MATCH(A3,$R$1:$R$43,0)-2</f>
        <v>12</v>
      </c>
      <c r="H3" s="14">
        <v>1</v>
      </c>
      <c r="I3">
        <v>113582</v>
      </c>
      <c r="J3" t="s">
        <v>1100</v>
      </c>
      <c r="K3">
        <v>168.38800000000001</v>
      </c>
      <c r="L3" s="39">
        <v>-2.4799999999999999E-2</v>
      </c>
      <c r="M3" s="17">
        <v>2.29298</v>
      </c>
      <c r="N3" s="5" t="str">
        <f>IF(ISNA(MATCH(I3,$A$3:$A$130,0)),"未买","Yes")</f>
        <v>未买</v>
      </c>
      <c r="Q3" s="14">
        <v>1</v>
      </c>
      <c r="R3" s="7">
        <v>113582</v>
      </c>
      <c r="S3" s="7" t="s">
        <v>1100</v>
      </c>
      <c r="T3" s="7">
        <v>168.38800000000001</v>
      </c>
      <c r="U3" s="39">
        <v>-2.4799999999999999E-2</v>
      </c>
      <c r="V3" s="17">
        <v>2.29298</v>
      </c>
      <c r="W3" s="5" t="str">
        <f t="shared" ref="W3:W52" si="2">IF(ISNA(MATCH(R3,$A$2:$A$43,0)),"未买","Yes")</f>
        <v>未买</v>
      </c>
    </row>
    <row r="4" spans="1:23" x14ac:dyDescent="0.25">
      <c r="A4">
        <v>123131</v>
      </c>
      <c r="B4" t="s">
        <v>964</v>
      </c>
      <c r="C4" s="7">
        <f>VLOOKUP(A4,可转债实时数据!$B$7:$D$149,3,FALSE)</f>
        <v>233.346</v>
      </c>
      <c r="D4" s="5" t="e">
        <f t="shared" si="0"/>
        <v>#N/A</v>
      </c>
      <c r="E4" s="5">
        <f t="shared" si="1"/>
        <v>15</v>
      </c>
      <c r="H4" s="14">
        <v>2</v>
      </c>
      <c r="I4">
        <v>127053</v>
      </c>
      <c r="J4" t="s">
        <v>1084</v>
      </c>
      <c r="K4">
        <v>143</v>
      </c>
      <c r="L4" s="39">
        <v>-1.8500000000000003E-2</v>
      </c>
      <c r="M4" s="17">
        <v>4.2192949999999998</v>
      </c>
      <c r="N4" s="5" t="str">
        <f>IF(ISNA(MATCH(I4,$A$3:$A$130,0)),"未买","Yes")</f>
        <v>未买</v>
      </c>
      <c r="Q4" s="14">
        <v>2</v>
      </c>
      <c r="R4" s="7">
        <v>127081</v>
      </c>
      <c r="S4" s="7" t="s">
        <v>905</v>
      </c>
      <c r="T4" s="7">
        <v>237.5</v>
      </c>
      <c r="U4" s="39">
        <v>-2.18E-2</v>
      </c>
      <c r="V4" s="17">
        <v>3.635999</v>
      </c>
      <c r="W4" s="5" t="str">
        <f t="shared" si="2"/>
        <v>未买</v>
      </c>
    </row>
    <row r="5" spans="1:23" x14ac:dyDescent="0.25">
      <c r="A5">
        <v>123204</v>
      </c>
      <c r="B5" t="s">
        <v>867</v>
      </c>
      <c r="C5" s="7">
        <f>VLOOKUP(A5,可转债实时数据!$B$7:$D$149,3,FALSE)</f>
        <v>126.279</v>
      </c>
      <c r="D5" s="5">
        <f t="shared" si="0"/>
        <v>39</v>
      </c>
      <c r="E5" s="5">
        <f t="shared" si="1"/>
        <v>36</v>
      </c>
      <c r="H5" s="14">
        <v>3</v>
      </c>
      <c r="I5">
        <v>118016</v>
      </c>
      <c r="J5" t="s">
        <v>1076</v>
      </c>
      <c r="K5">
        <v>178.53899999999999</v>
      </c>
      <c r="L5" s="39">
        <v>-7.4999999999999997E-3</v>
      </c>
      <c r="M5" s="17">
        <v>2.02054</v>
      </c>
      <c r="N5" s="5" t="str">
        <f>IF(ISNA(MATCH(I5,$A$3:$A$130,0)),"未买","Yes")</f>
        <v>未买</v>
      </c>
      <c r="Q5" s="14">
        <v>3</v>
      </c>
      <c r="R5" s="7">
        <v>127053</v>
      </c>
      <c r="S5" s="7" t="s">
        <v>1084</v>
      </c>
      <c r="T5" s="7">
        <v>143</v>
      </c>
      <c r="U5" s="39">
        <v>-1.8500000000000003E-2</v>
      </c>
      <c r="V5" s="17">
        <v>4.2192949999999998</v>
      </c>
      <c r="W5" s="5" t="str">
        <f t="shared" si="2"/>
        <v>未买</v>
      </c>
    </row>
    <row r="6" spans="1:23" x14ac:dyDescent="0.25">
      <c r="A6">
        <v>113631</v>
      </c>
      <c r="B6" t="s">
        <v>901</v>
      </c>
      <c r="C6" s="7">
        <f>VLOOKUP(A6,可转债实时数据!$B$7:$D$149,3,FALSE)</f>
        <v>126.203</v>
      </c>
      <c r="D6" s="5">
        <f t="shared" si="0"/>
        <v>31</v>
      </c>
      <c r="E6" s="5" t="e">
        <f t="shared" si="1"/>
        <v>#N/A</v>
      </c>
      <c r="H6" s="14">
        <v>4</v>
      </c>
      <c r="I6">
        <v>118046</v>
      </c>
      <c r="J6" t="s">
        <v>1042</v>
      </c>
      <c r="K6">
        <v>118.239</v>
      </c>
      <c r="L6" s="39">
        <v>-6.5000000000000006E-3</v>
      </c>
      <c r="M6" s="17">
        <v>2.10846</v>
      </c>
      <c r="N6" s="5" t="str">
        <f>IF(ISNA(MATCH(I6,$A$3:$A$130,0)),"未买","Yes")</f>
        <v>未买</v>
      </c>
      <c r="Q6" s="14">
        <v>4</v>
      </c>
      <c r="R6" s="7">
        <v>118016</v>
      </c>
      <c r="S6" s="7" t="s">
        <v>1076</v>
      </c>
      <c r="T6" s="7">
        <v>178.53899999999999</v>
      </c>
      <c r="U6" s="39">
        <v>-7.4999999999999997E-3</v>
      </c>
      <c r="V6" s="17">
        <v>2.02054</v>
      </c>
      <c r="W6" s="5" t="str">
        <f t="shared" si="2"/>
        <v>未买</v>
      </c>
    </row>
    <row r="7" spans="1:23" x14ac:dyDescent="0.25">
      <c r="A7">
        <v>123237</v>
      </c>
      <c r="B7" t="s">
        <v>961</v>
      </c>
      <c r="C7" s="7">
        <f>VLOOKUP(A7,可转债实时数据!$B$7:$D$149,3,FALSE)</f>
        <v>129.70500000000001</v>
      </c>
      <c r="D7" s="5" t="e">
        <f t="shared" si="0"/>
        <v>#N/A</v>
      </c>
      <c r="E7" s="5" t="e">
        <f t="shared" si="1"/>
        <v>#N/A</v>
      </c>
      <c r="H7" s="14">
        <v>5</v>
      </c>
      <c r="I7">
        <v>128144</v>
      </c>
      <c r="J7" t="s">
        <v>1018</v>
      </c>
      <c r="K7">
        <v>136.755</v>
      </c>
      <c r="L7" s="39">
        <v>-1.9E-3</v>
      </c>
      <c r="M7" s="17">
        <v>6.4652919999999998</v>
      </c>
      <c r="N7" s="5" t="str">
        <f t="shared" ref="N7:N52" si="3">IF(ISNA(MATCH(I7,$A$3:$A$130,0)),"未买","Yes")</f>
        <v>未买</v>
      </c>
      <c r="Q7" s="14">
        <v>5</v>
      </c>
      <c r="R7" s="7">
        <v>118046</v>
      </c>
      <c r="S7" s="7" t="s">
        <v>1042</v>
      </c>
      <c r="T7" s="7">
        <v>118.239</v>
      </c>
      <c r="U7" s="39">
        <v>-6.5000000000000006E-3</v>
      </c>
      <c r="V7" s="17">
        <v>2.10846</v>
      </c>
      <c r="W7" s="5" t="str">
        <f t="shared" si="2"/>
        <v>未买</v>
      </c>
    </row>
    <row r="8" spans="1:23" x14ac:dyDescent="0.25">
      <c r="A8">
        <v>123249</v>
      </c>
      <c r="B8" t="s">
        <v>966</v>
      </c>
      <c r="C8" s="7">
        <f>VLOOKUP(A8,可转债实时数据!$B$7:$D$149,3,FALSE)</f>
        <v>170.50299999999999</v>
      </c>
      <c r="D8" s="5">
        <f t="shared" si="0"/>
        <v>9</v>
      </c>
      <c r="E8" s="5" t="e">
        <f t="shared" si="1"/>
        <v>#N/A</v>
      </c>
      <c r="H8" s="14">
        <v>6</v>
      </c>
      <c r="I8">
        <v>127076</v>
      </c>
      <c r="J8" t="s">
        <v>1015</v>
      </c>
      <c r="K8">
        <v>155.09700000000001</v>
      </c>
      <c r="L8" s="39">
        <v>1.11E-2</v>
      </c>
      <c r="M8" s="17">
        <v>7.4801849999999996</v>
      </c>
      <c r="N8" s="5" t="str">
        <f t="shared" si="3"/>
        <v>未买</v>
      </c>
      <c r="Q8" s="14">
        <v>6</v>
      </c>
      <c r="R8" s="7">
        <v>128144</v>
      </c>
      <c r="S8" s="7" t="s">
        <v>1018</v>
      </c>
      <c r="T8" s="7">
        <v>136.755</v>
      </c>
      <c r="U8" s="39">
        <v>-1.9E-3</v>
      </c>
      <c r="V8" s="17">
        <v>6.4652919999999998</v>
      </c>
      <c r="W8" s="5" t="str">
        <f t="shared" si="2"/>
        <v>未买</v>
      </c>
    </row>
    <row r="9" spans="1:23" x14ac:dyDescent="0.25">
      <c r="A9">
        <v>118048</v>
      </c>
      <c r="B9" t="s">
        <v>952</v>
      </c>
      <c r="C9" s="7">
        <f>VLOOKUP(A9,可转债实时数据!$B$7:$D$149,3,FALSE)</f>
        <v>132.05600000000001</v>
      </c>
      <c r="D9" s="5" t="e">
        <f t="shared" si="0"/>
        <v>#N/A</v>
      </c>
      <c r="E9" s="5" t="e">
        <f t="shared" si="1"/>
        <v>#N/A</v>
      </c>
      <c r="H9" s="14">
        <v>7</v>
      </c>
      <c r="I9">
        <v>110077</v>
      </c>
      <c r="J9" t="s">
        <v>912</v>
      </c>
      <c r="K9">
        <v>187.91</v>
      </c>
      <c r="L9" s="39">
        <v>2.0799999999999999E-2</v>
      </c>
      <c r="M9" s="17">
        <v>6.6851799999999999</v>
      </c>
      <c r="N9" s="5" t="str">
        <f t="shared" si="3"/>
        <v>Yes</v>
      </c>
      <c r="Q9" s="14">
        <v>7</v>
      </c>
      <c r="R9" s="7">
        <v>110077</v>
      </c>
      <c r="S9" s="7" t="s">
        <v>912</v>
      </c>
      <c r="T9" s="7">
        <v>187.91</v>
      </c>
      <c r="U9" s="39">
        <v>2.0799999999999999E-2</v>
      </c>
      <c r="V9" s="17">
        <v>6.6851799999999999</v>
      </c>
      <c r="W9" s="5" t="str">
        <f t="shared" si="2"/>
        <v>Yes</v>
      </c>
    </row>
    <row r="10" spans="1:23" x14ac:dyDescent="0.25">
      <c r="A10">
        <v>111012</v>
      </c>
      <c r="B10" t="s">
        <v>963</v>
      </c>
      <c r="C10" s="7" t="e">
        <f>VLOOKUP(A10,可转债实时数据!$B$7:$D$149,3,FALSE)</f>
        <v>#N/A</v>
      </c>
      <c r="D10" s="5" t="e">
        <f t="shared" si="0"/>
        <v>#N/A</v>
      </c>
      <c r="E10" s="5" t="e">
        <f t="shared" si="1"/>
        <v>#N/A</v>
      </c>
      <c r="H10" s="14">
        <v>8</v>
      </c>
      <c r="I10">
        <v>123063</v>
      </c>
      <c r="J10" t="s">
        <v>933</v>
      </c>
      <c r="K10">
        <v>129.143</v>
      </c>
      <c r="L10" s="39">
        <v>2.1499999999999998E-2</v>
      </c>
      <c r="M10" s="17">
        <v>5.7124319999999997</v>
      </c>
      <c r="N10" s="5" t="str">
        <f t="shared" si="3"/>
        <v>未买</v>
      </c>
      <c r="Q10" s="14">
        <v>8</v>
      </c>
      <c r="R10" s="7">
        <v>123063</v>
      </c>
      <c r="S10" s="7" t="s">
        <v>933</v>
      </c>
      <c r="T10" s="7">
        <v>129.143</v>
      </c>
      <c r="U10" s="39">
        <v>2.1499999999999998E-2</v>
      </c>
      <c r="V10" s="17">
        <v>5.7124319999999997</v>
      </c>
      <c r="W10" s="5" t="str">
        <f t="shared" si="2"/>
        <v>未买</v>
      </c>
    </row>
    <row r="11" spans="1:23" x14ac:dyDescent="0.25">
      <c r="A11">
        <v>123127</v>
      </c>
      <c r="B11" t="s">
        <v>904</v>
      </c>
      <c r="C11" s="7" t="e">
        <f>VLOOKUP(A11,可转债实时数据!$B$7:$D$149,3,FALSE)</f>
        <v>#N/A</v>
      </c>
      <c r="D11" s="5" t="e">
        <f t="shared" si="0"/>
        <v>#N/A</v>
      </c>
      <c r="E11" s="5" t="e">
        <f t="shared" si="1"/>
        <v>#N/A</v>
      </c>
      <c r="H11" s="14">
        <v>9</v>
      </c>
      <c r="I11">
        <v>123249</v>
      </c>
      <c r="J11" t="s">
        <v>966</v>
      </c>
      <c r="K11">
        <v>170.50299999999999</v>
      </c>
      <c r="L11" s="39">
        <v>2.2700000000000001E-2</v>
      </c>
      <c r="M11" s="17">
        <v>8.1715970000000002</v>
      </c>
      <c r="N11" s="5" t="str">
        <f t="shared" si="3"/>
        <v>Yes</v>
      </c>
      <c r="Q11" s="14">
        <v>9</v>
      </c>
      <c r="R11" s="7">
        <v>123213</v>
      </c>
      <c r="S11" s="7" t="s">
        <v>1055</v>
      </c>
      <c r="T11" s="7">
        <v>211.99799999999999</v>
      </c>
      <c r="U11" s="39">
        <v>2.1899999999999999E-2</v>
      </c>
      <c r="V11" s="17">
        <v>5.2010100000000001</v>
      </c>
      <c r="W11" s="5" t="str">
        <f t="shared" si="2"/>
        <v>未买</v>
      </c>
    </row>
    <row r="12" spans="1:23" x14ac:dyDescent="0.25">
      <c r="A12">
        <v>110077</v>
      </c>
      <c r="B12" t="s">
        <v>912</v>
      </c>
      <c r="C12" s="7">
        <f>VLOOKUP(A12,可转债实时数据!$B$7:$D$149,3,FALSE)</f>
        <v>187.91</v>
      </c>
      <c r="D12" s="5">
        <f t="shared" si="0"/>
        <v>7</v>
      </c>
      <c r="E12" s="5">
        <f t="shared" si="1"/>
        <v>7</v>
      </c>
      <c r="H12" s="14">
        <v>10</v>
      </c>
      <c r="I12">
        <v>127055</v>
      </c>
      <c r="J12" t="s">
        <v>874</v>
      </c>
      <c r="K12">
        <v>146.94999999999999</v>
      </c>
      <c r="L12" s="39">
        <v>2.35E-2</v>
      </c>
      <c r="M12" s="17">
        <v>2.9828869999999998</v>
      </c>
      <c r="N12" s="5" t="str">
        <f t="shared" si="3"/>
        <v>未买</v>
      </c>
      <c r="Q12" s="14">
        <v>10</v>
      </c>
      <c r="R12" s="7">
        <v>127055</v>
      </c>
      <c r="S12" s="7" t="s">
        <v>874</v>
      </c>
      <c r="T12" s="7">
        <v>146.94999999999999</v>
      </c>
      <c r="U12" s="39">
        <v>2.35E-2</v>
      </c>
      <c r="V12" s="17">
        <v>2.9828869999999998</v>
      </c>
      <c r="W12" s="5" t="str">
        <f t="shared" si="2"/>
        <v>未买</v>
      </c>
    </row>
    <row r="13" spans="1:23" x14ac:dyDescent="0.25">
      <c r="A13" s="1"/>
      <c r="B13" s="1"/>
      <c r="C13" s="7" t="e">
        <f>VLOOKUP(A13,可转债实时数据!$B$7:$D$149,3,FALSE)</f>
        <v>#N/A</v>
      </c>
      <c r="D13" s="5" t="e">
        <f t="shared" si="0"/>
        <v>#N/A</v>
      </c>
      <c r="E13" s="5" t="e">
        <f t="shared" si="1"/>
        <v>#N/A</v>
      </c>
      <c r="H13" s="14">
        <v>11</v>
      </c>
      <c r="I13">
        <v>128117</v>
      </c>
      <c r="J13" t="s">
        <v>1027</v>
      </c>
      <c r="K13">
        <v>141.541</v>
      </c>
      <c r="L13" s="39">
        <v>3.2599999999999997E-2</v>
      </c>
      <c r="M13" s="17">
        <v>2.2748140000000001</v>
      </c>
      <c r="N13" s="5" t="str">
        <f t="shared" si="3"/>
        <v>未买</v>
      </c>
      <c r="Q13" s="14">
        <v>11</v>
      </c>
      <c r="R13" s="7">
        <v>128117</v>
      </c>
      <c r="S13" s="7" t="s">
        <v>1027</v>
      </c>
      <c r="T13" s="7">
        <v>141.541</v>
      </c>
      <c r="U13" s="39">
        <v>3.2599999999999997E-2</v>
      </c>
      <c r="V13" s="17">
        <v>2.2748140000000001</v>
      </c>
      <c r="W13" s="5" t="str">
        <f t="shared" si="2"/>
        <v>未买</v>
      </c>
    </row>
    <row r="14" spans="1:23" x14ac:dyDescent="0.25">
      <c r="A14" s="1"/>
      <c r="B14" s="1"/>
      <c r="C14" s="7" t="e">
        <f>VLOOKUP(A14,可转债实时数据!$B$7:$D$149,3,FALSE)</f>
        <v>#N/A</v>
      </c>
      <c r="D14" s="5" t="e">
        <f t="shared" si="0"/>
        <v>#N/A</v>
      </c>
      <c r="E14" s="5" t="e">
        <f t="shared" si="1"/>
        <v>#N/A</v>
      </c>
      <c r="H14" s="14">
        <v>12</v>
      </c>
      <c r="I14">
        <v>127092</v>
      </c>
      <c r="J14" t="s">
        <v>948</v>
      </c>
      <c r="K14">
        <v>164.4</v>
      </c>
      <c r="L14" s="39">
        <v>3.27E-2</v>
      </c>
      <c r="M14" s="17">
        <v>5.2513990000000002</v>
      </c>
      <c r="N14" s="5" t="str">
        <f t="shared" si="3"/>
        <v>Yes</v>
      </c>
      <c r="Q14" s="14">
        <v>12</v>
      </c>
      <c r="R14" s="7">
        <v>127092</v>
      </c>
      <c r="S14" s="7" t="s">
        <v>948</v>
      </c>
      <c r="T14" s="7">
        <v>164.4</v>
      </c>
      <c r="U14" s="39">
        <v>3.27E-2</v>
      </c>
      <c r="V14" s="17">
        <v>5.2513990000000002</v>
      </c>
      <c r="W14" s="5" t="str">
        <f t="shared" si="2"/>
        <v>Yes</v>
      </c>
    </row>
    <row r="15" spans="1:23" x14ac:dyDescent="0.25">
      <c r="A15" s="1"/>
      <c r="B15" s="1"/>
      <c r="C15" s="7" t="e">
        <f>VLOOKUP(A15,可转债实时数据!$B$7:$D$149,3,FALSE)</f>
        <v>#N/A</v>
      </c>
      <c r="D15" s="5" t="e">
        <f t="shared" si="0"/>
        <v>#N/A</v>
      </c>
      <c r="E15" s="5" t="e">
        <f t="shared" si="1"/>
        <v>#N/A</v>
      </c>
      <c r="H15" s="14">
        <v>13</v>
      </c>
      <c r="I15">
        <v>111011</v>
      </c>
      <c r="J15" t="s">
        <v>915</v>
      </c>
      <c r="K15">
        <v>189.11199999999999</v>
      </c>
      <c r="L15" s="39">
        <v>3.4000000000000002E-2</v>
      </c>
      <c r="M15" s="17">
        <v>3.2460300000000002</v>
      </c>
      <c r="N15" s="5" t="str">
        <f t="shared" si="3"/>
        <v>未买</v>
      </c>
      <c r="Q15" s="14">
        <v>13</v>
      </c>
      <c r="R15" s="7">
        <v>111011</v>
      </c>
      <c r="S15" s="7" t="s">
        <v>915</v>
      </c>
      <c r="T15" s="7">
        <v>189.11199999999999</v>
      </c>
      <c r="U15" s="39">
        <v>3.4000000000000002E-2</v>
      </c>
      <c r="V15" s="17">
        <v>3.2460300000000002</v>
      </c>
      <c r="W15" s="5" t="str">
        <f t="shared" si="2"/>
        <v>未买</v>
      </c>
    </row>
    <row r="16" spans="1:23" x14ac:dyDescent="0.25">
      <c r="A16" s="1"/>
      <c r="B16" s="1"/>
      <c r="C16" s="7" t="e">
        <f>VLOOKUP(A16,可转债实时数据!$B$7:$D$149,3,FALSE)</f>
        <v>#N/A</v>
      </c>
      <c r="D16" s="5" t="e">
        <f t="shared" si="0"/>
        <v>#N/A</v>
      </c>
      <c r="E16" s="5" t="e">
        <f t="shared" si="1"/>
        <v>#N/A</v>
      </c>
      <c r="H16" s="14">
        <v>14</v>
      </c>
      <c r="I16">
        <v>113637</v>
      </c>
      <c r="J16" t="s">
        <v>605</v>
      </c>
      <c r="K16">
        <v>134.57499999999999</v>
      </c>
      <c r="L16" s="39">
        <v>3.6900000000000002E-2</v>
      </c>
      <c r="M16" s="17">
        <v>7.9965999999999999</v>
      </c>
      <c r="N16" s="5" t="str">
        <f t="shared" si="3"/>
        <v>未买</v>
      </c>
      <c r="Q16" s="14">
        <v>14</v>
      </c>
      <c r="R16" s="7">
        <v>123245</v>
      </c>
      <c r="S16" s="7" t="s">
        <v>1033</v>
      </c>
      <c r="T16" s="7">
        <v>189.5</v>
      </c>
      <c r="U16" s="39">
        <v>4.2500000000000003E-2</v>
      </c>
      <c r="V16" s="17">
        <v>1.5882890000000001</v>
      </c>
      <c r="W16" s="5" t="str">
        <f t="shared" si="2"/>
        <v>未买</v>
      </c>
    </row>
    <row r="17" spans="1:23" x14ac:dyDescent="0.25">
      <c r="A17" s="1"/>
      <c r="B17" s="1"/>
      <c r="C17" s="7" t="e">
        <f>VLOOKUP(A17,可转债实时数据!$B$7:$D$149,3,FALSE)</f>
        <v>#N/A</v>
      </c>
      <c r="D17" s="5" t="e">
        <f t="shared" si="0"/>
        <v>#N/A</v>
      </c>
      <c r="E17" s="5" t="e">
        <f t="shared" si="1"/>
        <v>#N/A</v>
      </c>
      <c r="H17" s="14">
        <v>15</v>
      </c>
      <c r="I17">
        <v>123245</v>
      </c>
      <c r="J17" t="s">
        <v>1033</v>
      </c>
      <c r="K17">
        <v>189.5</v>
      </c>
      <c r="L17" s="39">
        <v>4.2500000000000003E-2</v>
      </c>
      <c r="M17" s="17">
        <v>1.5882890000000001</v>
      </c>
      <c r="N17" s="5" t="str">
        <f t="shared" si="3"/>
        <v>未买</v>
      </c>
      <c r="Q17" s="14">
        <v>15</v>
      </c>
      <c r="R17" s="7">
        <v>123131</v>
      </c>
      <c r="S17" s="7" t="s">
        <v>964</v>
      </c>
      <c r="T17" s="7">
        <v>233.346</v>
      </c>
      <c r="U17" s="39">
        <v>5.1299999999999998E-2</v>
      </c>
      <c r="V17" s="17">
        <v>3.165813</v>
      </c>
      <c r="W17" s="5" t="str">
        <f t="shared" si="2"/>
        <v>Yes</v>
      </c>
    </row>
    <row r="18" spans="1:23" x14ac:dyDescent="0.25">
      <c r="A18" s="1"/>
      <c r="B18" s="1"/>
      <c r="C18" s="7" t="e">
        <f>VLOOKUP(A18,可转债实时数据!$B$7:$D$149,3,FALSE)</f>
        <v>#N/A</v>
      </c>
      <c r="D18" s="5" t="e">
        <f t="shared" si="0"/>
        <v>#N/A</v>
      </c>
      <c r="E18" s="5" t="e">
        <f t="shared" si="1"/>
        <v>#N/A</v>
      </c>
      <c r="H18" s="14">
        <v>16</v>
      </c>
      <c r="I18">
        <v>123056</v>
      </c>
      <c r="J18" t="s">
        <v>1099</v>
      </c>
      <c r="K18">
        <v>129.80000000000001</v>
      </c>
      <c r="L18" s="39">
        <v>5.5899999999999998E-2</v>
      </c>
      <c r="M18" s="17">
        <v>3.1176010000000001</v>
      </c>
      <c r="N18" s="5" t="str">
        <f t="shared" si="3"/>
        <v>未买</v>
      </c>
      <c r="Q18" s="14">
        <v>16</v>
      </c>
      <c r="R18" s="7">
        <v>123056</v>
      </c>
      <c r="S18" s="7" t="s">
        <v>1099</v>
      </c>
      <c r="T18" s="7">
        <v>129.80000000000001</v>
      </c>
      <c r="U18" s="39">
        <v>5.5899999999999998E-2</v>
      </c>
      <c r="V18" s="17">
        <v>3.1176010000000001</v>
      </c>
      <c r="W18" s="5" t="str">
        <f t="shared" si="2"/>
        <v>未买</v>
      </c>
    </row>
    <row r="19" spans="1:23" x14ac:dyDescent="0.25">
      <c r="A19" s="1"/>
      <c r="B19" s="1"/>
      <c r="C19" s="7" t="e">
        <f>VLOOKUP(A19,可转债实时数据!$B$7:$D$149,3,FALSE)</f>
        <v>#N/A</v>
      </c>
      <c r="D19" s="5" t="e">
        <f t="shared" si="0"/>
        <v>#N/A</v>
      </c>
      <c r="E19" s="5" t="e">
        <f t="shared" si="1"/>
        <v>#N/A</v>
      </c>
      <c r="H19" s="14">
        <v>17</v>
      </c>
      <c r="I19">
        <v>113690</v>
      </c>
      <c r="J19" t="s">
        <v>965</v>
      </c>
      <c r="K19">
        <v>189.96299999999999</v>
      </c>
      <c r="L19" s="39">
        <v>6.2E-2</v>
      </c>
      <c r="M19" s="17">
        <v>5.5</v>
      </c>
      <c r="N19" s="5" t="str">
        <f t="shared" si="3"/>
        <v>未买</v>
      </c>
      <c r="Q19" s="14">
        <v>17</v>
      </c>
      <c r="R19" s="7">
        <v>113690</v>
      </c>
      <c r="S19" s="7" t="s">
        <v>965</v>
      </c>
      <c r="T19" s="7">
        <v>189.96299999999999</v>
      </c>
      <c r="U19" s="39">
        <v>6.2E-2</v>
      </c>
      <c r="V19" s="17">
        <v>5.5</v>
      </c>
      <c r="W19" s="5" t="str">
        <f t="shared" si="2"/>
        <v>未买</v>
      </c>
    </row>
    <row r="20" spans="1:23" x14ac:dyDescent="0.25">
      <c r="A20" s="1"/>
      <c r="B20" s="1"/>
      <c r="C20" s="7" t="e">
        <f>VLOOKUP(A20,可转债实时数据!$B$7:$D$149,3,FALSE)</f>
        <v>#N/A</v>
      </c>
      <c r="D20" s="5" t="e">
        <f t="shared" si="0"/>
        <v>#N/A</v>
      </c>
      <c r="E20" s="5" t="e">
        <f t="shared" si="1"/>
        <v>#N/A</v>
      </c>
      <c r="H20" s="14">
        <v>18</v>
      </c>
      <c r="I20">
        <v>123221</v>
      </c>
      <c r="J20" t="s">
        <v>1053</v>
      </c>
      <c r="K20">
        <v>130.9</v>
      </c>
      <c r="L20" s="39">
        <v>6.2300000000000001E-2</v>
      </c>
      <c r="M20" s="17">
        <v>4.9941519999999997</v>
      </c>
      <c r="N20" s="5" t="str">
        <f t="shared" si="3"/>
        <v>未买</v>
      </c>
      <c r="Q20" s="14">
        <v>18</v>
      </c>
      <c r="R20" s="7">
        <v>123221</v>
      </c>
      <c r="S20" s="7" t="s">
        <v>1053</v>
      </c>
      <c r="T20" s="7">
        <v>130.9</v>
      </c>
      <c r="U20" s="39">
        <v>6.2300000000000001E-2</v>
      </c>
      <c r="V20" s="17">
        <v>4.9941519999999997</v>
      </c>
      <c r="W20" s="5" t="str">
        <f t="shared" si="2"/>
        <v>未买</v>
      </c>
    </row>
    <row r="21" spans="1:23" x14ac:dyDescent="0.25">
      <c r="A21" s="1"/>
      <c r="B21" s="1"/>
      <c r="C21" s="7" t="e">
        <f>VLOOKUP(A21,可转债实时数据!$B$7:$D$149,3,FALSE)</f>
        <v>#N/A</v>
      </c>
      <c r="D21" s="5" t="e">
        <f t="shared" si="0"/>
        <v>#N/A</v>
      </c>
      <c r="E21" s="5" t="e">
        <f t="shared" si="1"/>
        <v>#N/A</v>
      </c>
      <c r="H21" s="14">
        <v>19</v>
      </c>
      <c r="I21">
        <v>127079</v>
      </c>
      <c r="J21" t="s">
        <v>1067</v>
      </c>
      <c r="K21">
        <v>132.08199999999999</v>
      </c>
      <c r="L21" s="39">
        <v>6.5799999999999997E-2</v>
      </c>
      <c r="M21" s="17">
        <v>3.3991160000000007</v>
      </c>
      <c r="N21" s="5" t="str">
        <f t="shared" si="3"/>
        <v>未买</v>
      </c>
      <c r="Q21" s="14">
        <v>19</v>
      </c>
      <c r="R21" s="7">
        <v>127079</v>
      </c>
      <c r="S21" s="7" t="s">
        <v>1067</v>
      </c>
      <c r="T21" s="7">
        <v>132.08199999999999</v>
      </c>
      <c r="U21" s="39">
        <v>6.5799999999999997E-2</v>
      </c>
      <c r="V21" s="17">
        <v>3.3991160000000007</v>
      </c>
      <c r="W21" s="5" t="str">
        <f t="shared" si="2"/>
        <v>未买</v>
      </c>
    </row>
    <row r="22" spans="1:23" x14ac:dyDescent="0.25">
      <c r="A22" s="1"/>
      <c r="B22" s="1"/>
      <c r="C22" s="7" t="e">
        <f>VLOOKUP(A22,可转债实时数据!$B$7:$D$149,3,FALSE)</f>
        <v>#N/A</v>
      </c>
      <c r="D22" s="5" t="e">
        <f t="shared" si="0"/>
        <v>#N/A</v>
      </c>
      <c r="E22" s="5" t="e">
        <f t="shared" si="1"/>
        <v>#N/A</v>
      </c>
      <c r="H22" s="14">
        <v>20</v>
      </c>
      <c r="I22">
        <v>113651</v>
      </c>
      <c r="J22" t="s">
        <v>1078</v>
      </c>
      <c r="K22">
        <v>145.346</v>
      </c>
      <c r="L22" s="39">
        <v>6.6299999999999998E-2</v>
      </c>
      <c r="M22" s="17">
        <v>2.3794499999999998</v>
      </c>
      <c r="N22" s="5" t="str">
        <f t="shared" si="3"/>
        <v>未买</v>
      </c>
      <c r="Q22" s="14">
        <v>20</v>
      </c>
      <c r="R22" s="7">
        <v>113651</v>
      </c>
      <c r="S22" s="7" t="s">
        <v>1078</v>
      </c>
      <c r="T22" s="7">
        <v>145.346</v>
      </c>
      <c r="U22" s="39">
        <v>6.6299999999999998E-2</v>
      </c>
      <c r="V22" s="17">
        <v>2.3794499999999998</v>
      </c>
      <c r="W22" s="5" t="str">
        <f t="shared" si="2"/>
        <v>未买</v>
      </c>
    </row>
    <row r="23" spans="1:23" x14ac:dyDescent="0.25">
      <c r="A23" s="1"/>
      <c r="B23" s="1"/>
      <c r="C23" s="7" t="e">
        <f>VLOOKUP(A23,可转债实时数据!$B$7:$D$149,3,FALSE)</f>
        <v>#N/A</v>
      </c>
      <c r="D23" s="5" t="e">
        <f t="shared" si="0"/>
        <v>#N/A</v>
      </c>
      <c r="E23" s="5" t="e">
        <f t="shared" si="1"/>
        <v>#N/A</v>
      </c>
      <c r="H23" s="14">
        <v>21</v>
      </c>
      <c r="I23">
        <v>128109</v>
      </c>
      <c r="J23" t="s">
        <v>962</v>
      </c>
      <c r="K23">
        <v>155</v>
      </c>
      <c r="L23" s="39">
        <v>6.8400000000000002E-2</v>
      </c>
      <c r="M23" s="17">
        <v>6.9828239999999999</v>
      </c>
      <c r="N23" s="5" t="str">
        <f t="shared" si="3"/>
        <v>未买</v>
      </c>
      <c r="Q23" s="14">
        <v>21</v>
      </c>
      <c r="R23" s="7">
        <v>128109</v>
      </c>
      <c r="S23" s="7" t="s">
        <v>962</v>
      </c>
      <c r="T23" s="7">
        <v>155</v>
      </c>
      <c r="U23" s="39">
        <v>6.8400000000000002E-2</v>
      </c>
      <c r="V23" s="17">
        <v>6.9828239999999999</v>
      </c>
      <c r="W23" s="5" t="str">
        <f t="shared" si="2"/>
        <v>未买</v>
      </c>
    </row>
    <row r="24" spans="1:23" x14ac:dyDescent="0.25">
      <c r="A24" s="1"/>
      <c r="B24" s="1"/>
      <c r="C24" s="7" t="e">
        <f>VLOOKUP(A24,可转债实时数据!$B$7:$D$149,3,FALSE)</f>
        <v>#N/A</v>
      </c>
      <c r="D24" s="5" t="e">
        <f t="shared" si="0"/>
        <v>#N/A</v>
      </c>
      <c r="E24" s="5" t="e">
        <f t="shared" si="1"/>
        <v>#N/A</v>
      </c>
      <c r="H24" s="14">
        <v>22</v>
      </c>
      <c r="I24">
        <v>123243</v>
      </c>
      <c r="J24" t="s">
        <v>954</v>
      </c>
      <c r="K24">
        <v>127.13500000000001</v>
      </c>
      <c r="L24" s="39">
        <v>6.93E-2</v>
      </c>
      <c r="M24" s="17">
        <v>4.4710150000000004</v>
      </c>
      <c r="N24" s="5" t="str">
        <f t="shared" si="3"/>
        <v>未买</v>
      </c>
      <c r="Q24" s="14">
        <v>22</v>
      </c>
      <c r="R24" s="7">
        <v>123243</v>
      </c>
      <c r="S24" s="7" t="s">
        <v>954</v>
      </c>
      <c r="T24" s="7">
        <v>127.13500000000001</v>
      </c>
      <c r="U24" s="39">
        <v>6.93E-2</v>
      </c>
      <c r="V24" s="17">
        <v>4.4710150000000004</v>
      </c>
      <c r="W24" s="5" t="str">
        <f t="shared" si="2"/>
        <v>未买</v>
      </c>
    </row>
    <row r="25" spans="1:23" x14ac:dyDescent="0.25">
      <c r="A25" s="1"/>
      <c r="B25" s="1"/>
      <c r="C25" s="7" t="e">
        <f>VLOOKUP(A25,可转债实时数据!$B$7:$D$149,3,FALSE)</f>
        <v>#N/A</v>
      </c>
      <c r="D25" s="5" t="e">
        <f t="shared" si="0"/>
        <v>#N/A</v>
      </c>
      <c r="E25" s="5" t="e">
        <f t="shared" si="1"/>
        <v>#N/A</v>
      </c>
      <c r="H25" s="14">
        <v>23</v>
      </c>
      <c r="I25">
        <v>110074</v>
      </c>
      <c r="J25" t="s">
        <v>916</v>
      </c>
      <c r="K25">
        <v>194.64</v>
      </c>
      <c r="L25" s="39">
        <v>7.0900000000000005E-2</v>
      </c>
      <c r="M25" s="17">
        <v>2.7018300000000002</v>
      </c>
      <c r="N25" s="5" t="str">
        <f t="shared" si="3"/>
        <v>未买</v>
      </c>
      <c r="Q25" s="14">
        <v>23</v>
      </c>
      <c r="R25" s="7">
        <v>110074</v>
      </c>
      <c r="S25" s="7" t="s">
        <v>916</v>
      </c>
      <c r="T25" s="7">
        <v>194.64</v>
      </c>
      <c r="U25" s="39">
        <v>7.0900000000000005E-2</v>
      </c>
      <c r="V25" s="17">
        <v>2.7018300000000002</v>
      </c>
      <c r="W25" s="5" t="str">
        <f t="shared" si="2"/>
        <v>未买</v>
      </c>
    </row>
    <row r="26" spans="1:23" x14ac:dyDescent="0.25">
      <c r="A26" s="1"/>
      <c r="B26" s="1"/>
      <c r="C26" s="7" t="e">
        <f>VLOOKUP(A26,可转债实时数据!$B$7:$D$149,3,FALSE)</f>
        <v>#N/A</v>
      </c>
      <c r="D26" s="5" t="e">
        <f t="shared" si="0"/>
        <v>#N/A</v>
      </c>
      <c r="E26" s="5" t="e">
        <f t="shared" si="1"/>
        <v>#N/A</v>
      </c>
      <c r="H26" s="14">
        <v>24</v>
      </c>
      <c r="I26">
        <v>128066</v>
      </c>
      <c r="J26" t="s">
        <v>1081</v>
      </c>
      <c r="K26">
        <v>111.96299999999999</v>
      </c>
      <c r="L26" s="39">
        <v>7.1099999999999997E-2</v>
      </c>
      <c r="M26" s="17">
        <v>1.627176</v>
      </c>
      <c r="N26" s="5" t="str">
        <f t="shared" si="3"/>
        <v>未买</v>
      </c>
      <c r="Q26" s="14">
        <v>24</v>
      </c>
      <c r="R26" s="7">
        <v>128066</v>
      </c>
      <c r="S26" s="7" t="s">
        <v>1081</v>
      </c>
      <c r="T26" s="7">
        <v>111.96299999999999</v>
      </c>
      <c r="U26" s="39">
        <v>7.1099999999999997E-2</v>
      </c>
      <c r="V26" s="17">
        <v>1.627176</v>
      </c>
      <c r="W26" s="5" t="str">
        <f t="shared" si="2"/>
        <v>未买</v>
      </c>
    </row>
    <row r="27" spans="1:23" x14ac:dyDescent="0.25">
      <c r="A27" s="1"/>
      <c r="B27" s="1"/>
      <c r="C27" s="7" t="e">
        <f>VLOOKUP(A27,可转债实时数据!$B$7:$D$149,3,FALSE)</f>
        <v>#N/A</v>
      </c>
      <c r="D27" s="5" t="e">
        <f t="shared" si="0"/>
        <v>#N/A</v>
      </c>
      <c r="E27" s="5" t="e">
        <f t="shared" si="1"/>
        <v>#N/A</v>
      </c>
      <c r="H27" s="14">
        <v>25</v>
      </c>
      <c r="I27">
        <v>128133</v>
      </c>
      <c r="J27" t="s">
        <v>918</v>
      </c>
      <c r="K27">
        <v>127.858</v>
      </c>
      <c r="L27" s="39">
        <v>7.1800000000000003E-2</v>
      </c>
      <c r="M27" s="17">
        <v>7.8135500000000002</v>
      </c>
      <c r="N27" s="5" t="str">
        <f t="shared" si="3"/>
        <v>未买</v>
      </c>
      <c r="Q27" s="14">
        <v>25</v>
      </c>
      <c r="R27" s="7">
        <v>123235</v>
      </c>
      <c r="S27" s="7" t="s">
        <v>949</v>
      </c>
      <c r="T27" s="7">
        <v>157</v>
      </c>
      <c r="U27" s="39">
        <v>7.8200000000000006E-2</v>
      </c>
      <c r="V27" s="17">
        <v>5.0010139999999996</v>
      </c>
      <c r="W27" s="5" t="str">
        <f t="shared" si="2"/>
        <v>未买</v>
      </c>
    </row>
    <row r="28" spans="1:23" x14ac:dyDescent="0.25">
      <c r="A28" s="1"/>
      <c r="B28" s="1"/>
      <c r="C28" s="7" t="e">
        <f>VLOOKUP(A28,可转债实时数据!$B$7:$D$149,3,FALSE)</f>
        <v>#N/A</v>
      </c>
      <c r="D28" s="5" t="e">
        <f t="shared" si="0"/>
        <v>#N/A</v>
      </c>
      <c r="E28" s="5" t="e">
        <f t="shared" si="1"/>
        <v>#N/A</v>
      </c>
      <c r="H28" s="14">
        <v>26</v>
      </c>
      <c r="I28">
        <v>123235</v>
      </c>
      <c r="J28" t="s">
        <v>949</v>
      </c>
      <c r="K28">
        <v>157</v>
      </c>
      <c r="L28" s="39">
        <v>7.8200000000000006E-2</v>
      </c>
      <c r="M28" s="17">
        <v>5.0010139999999996</v>
      </c>
      <c r="N28" s="5" t="str">
        <f t="shared" si="3"/>
        <v>未买</v>
      </c>
      <c r="Q28" s="14">
        <v>26</v>
      </c>
      <c r="R28" s="7">
        <v>123078</v>
      </c>
      <c r="S28" s="7" t="s">
        <v>938</v>
      </c>
      <c r="T28" s="7">
        <v>132.29900000000001</v>
      </c>
      <c r="U28" s="39">
        <v>8.0199999999999994E-2</v>
      </c>
      <c r="V28" s="17">
        <v>5.961964</v>
      </c>
      <c r="W28" s="5" t="str">
        <f t="shared" si="2"/>
        <v>未买</v>
      </c>
    </row>
    <row r="29" spans="1:23" x14ac:dyDescent="0.25">
      <c r="A29" s="1"/>
      <c r="B29" s="1"/>
      <c r="C29" s="7" t="e">
        <f>VLOOKUP(A29,可转债实时数据!$B$7:$D$149,3,FALSE)</f>
        <v>#N/A</v>
      </c>
      <c r="D29" s="5" t="e">
        <f t="shared" si="0"/>
        <v>#N/A</v>
      </c>
      <c r="E29" s="5" t="e">
        <f t="shared" si="1"/>
        <v>#N/A</v>
      </c>
      <c r="H29" s="14">
        <v>27</v>
      </c>
      <c r="I29">
        <v>123078</v>
      </c>
      <c r="J29" t="s">
        <v>938</v>
      </c>
      <c r="K29">
        <v>132.29900000000001</v>
      </c>
      <c r="L29" s="39">
        <v>8.0199999999999994E-2</v>
      </c>
      <c r="M29" s="17">
        <v>5.961964</v>
      </c>
      <c r="N29" s="5" t="str">
        <f t="shared" si="3"/>
        <v>未买</v>
      </c>
      <c r="Q29" s="14">
        <v>27</v>
      </c>
      <c r="R29" s="7">
        <v>113663</v>
      </c>
      <c r="S29" s="7" t="s">
        <v>1070</v>
      </c>
      <c r="T29" s="7">
        <v>129.23400000000001</v>
      </c>
      <c r="U29" s="39">
        <v>8.900000000000001E-2</v>
      </c>
      <c r="V29" s="17">
        <v>5.04434</v>
      </c>
      <c r="W29" s="5" t="str">
        <f t="shared" si="2"/>
        <v>未买</v>
      </c>
    </row>
    <row r="30" spans="1:23" x14ac:dyDescent="0.25">
      <c r="A30" s="1"/>
      <c r="B30" s="1"/>
      <c r="C30" s="7" t="e">
        <f>VLOOKUP(A30,可转债实时数据!$B$7:$D$149,3,FALSE)</f>
        <v>#N/A</v>
      </c>
      <c r="D30" s="5" t="e">
        <f t="shared" si="0"/>
        <v>#N/A</v>
      </c>
      <c r="E30" s="5" t="e">
        <f t="shared" si="1"/>
        <v>#N/A</v>
      </c>
      <c r="H30" s="14">
        <v>28</v>
      </c>
      <c r="I30">
        <v>113663</v>
      </c>
      <c r="J30" t="s">
        <v>1070</v>
      </c>
      <c r="K30">
        <v>129.23400000000001</v>
      </c>
      <c r="L30" s="39">
        <v>8.900000000000001E-2</v>
      </c>
      <c r="M30" s="17">
        <v>5.04434</v>
      </c>
      <c r="N30" s="5" t="str">
        <f t="shared" si="3"/>
        <v>未买</v>
      </c>
      <c r="Q30" s="14">
        <v>28</v>
      </c>
      <c r="R30" s="7">
        <v>123222</v>
      </c>
      <c r="S30" s="7" t="s">
        <v>973</v>
      </c>
      <c r="T30" s="7">
        <v>164.5</v>
      </c>
      <c r="U30" s="39">
        <v>9.4899999999999998E-2</v>
      </c>
      <c r="V30" s="17">
        <v>2.4728949999999998</v>
      </c>
      <c r="W30" s="5" t="str">
        <f t="shared" si="2"/>
        <v>未买</v>
      </c>
    </row>
    <row r="31" spans="1:23" x14ac:dyDescent="0.25">
      <c r="A31" s="1"/>
      <c r="B31" s="1"/>
      <c r="C31" s="7" t="e">
        <f>VLOOKUP(A31,可转债实时数据!$B$7:$D$149,3,FALSE)</f>
        <v>#N/A</v>
      </c>
      <c r="D31" s="5" t="e">
        <f t="shared" si="0"/>
        <v>#N/A</v>
      </c>
      <c r="E31" s="5" t="e">
        <f t="shared" si="1"/>
        <v>#N/A</v>
      </c>
      <c r="H31" s="14">
        <v>29</v>
      </c>
      <c r="I31">
        <v>123222</v>
      </c>
      <c r="J31" t="s">
        <v>973</v>
      </c>
      <c r="K31">
        <v>164.5</v>
      </c>
      <c r="L31" s="39">
        <v>9.4899999999999998E-2</v>
      </c>
      <c r="M31" s="17">
        <v>2.4728949999999998</v>
      </c>
      <c r="N31" s="5" t="str">
        <f t="shared" si="3"/>
        <v>未买</v>
      </c>
      <c r="Q31" s="14">
        <v>29</v>
      </c>
      <c r="R31" s="7">
        <v>111017</v>
      </c>
      <c r="S31" s="7" t="s">
        <v>974</v>
      </c>
      <c r="T31" s="7">
        <v>131.89500000000001</v>
      </c>
      <c r="U31" s="39">
        <v>9.7699999999999995E-2</v>
      </c>
      <c r="V31" s="17">
        <v>6.7154299999999996</v>
      </c>
      <c r="W31" s="5" t="str">
        <f t="shared" si="2"/>
        <v>未买</v>
      </c>
    </row>
    <row r="32" spans="1:23" x14ac:dyDescent="0.25">
      <c r="A32" s="1"/>
      <c r="B32" s="1"/>
      <c r="C32" s="7" t="e">
        <f>VLOOKUP(A32,可转债实时数据!$B$7:$D$149,3,FALSE)</f>
        <v>#N/A</v>
      </c>
      <c r="D32" s="5" t="e">
        <f t="shared" si="0"/>
        <v>#N/A</v>
      </c>
      <c r="E32" s="5" t="e">
        <f t="shared" si="1"/>
        <v>#N/A</v>
      </c>
      <c r="H32" s="14">
        <v>30</v>
      </c>
      <c r="I32">
        <v>111017</v>
      </c>
      <c r="J32" t="s">
        <v>974</v>
      </c>
      <c r="K32">
        <v>131.89500000000001</v>
      </c>
      <c r="L32" s="39">
        <v>9.7699999999999995E-2</v>
      </c>
      <c r="M32" s="17">
        <v>6.7154299999999996</v>
      </c>
      <c r="N32" s="5" t="str">
        <f t="shared" si="3"/>
        <v>未买</v>
      </c>
      <c r="Q32" s="14">
        <v>30</v>
      </c>
      <c r="R32" s="7">
        <v>118043</v>
      </c>
      <c r="S32" s="7" t="s">
        <v>1054</v>
      </c>
      <c r="T32" s="7">
        <v>146.678</v>
      </c>
      <c r="U32" s="39">
        <v>0.1101</v>
      </c>
      <c r="V32" s="17">
        <v>4.2813800000000004</v>
      </c>
      <c r="W32" s="5" t="str">
        <f t="shared" si="2"/>
        <v>未买</v>
      </c>
    </row>
    <row r="33" spans="1:23" x14ac:dyDescent="0.25">
      <c r="A33" s="1"/>
      <c r="B33" s="1"/>
      <c r="C33" s="7" t="e">
        <f>VLOOKUP(A33,可转债实时数据!$B$7:$D$149,3,FALSE)</f>
        <v>#N/A</v>
      </c>
      <c r="D33" s="5" t="e">
        <f t="shared" si="0"/>
        <v>#N/A</v>
      </c>
      <c r="E33" s="5" t="e">
        <f t="shared" si="1"/>
        <v>#N/A</v>
      </c>
      <c r="H33" s="14">
        <v>31</v>
      </c>
      <c r="I33">
        <v>113631</v>
      </c>
      <c r="J33" t="s">
        <v>901</v>
      </c>
      <c r="K33">
        <v>126.203</v>
      </c>
      <c r="L33" s="39">
        <v>0.1069</v>
      </c>
      <c r="M33" s="17">
        <v>8.3993300000000009</v>
      </c>
      <c r="N33" s="5" t="str">
        <f t="shared" si="3"/>
        <v>Yes</v>
      </c>
      <c r="Q33" s="14">
        <v>31</v>
      </c>
      <c r="R33" s="7">
        <v>127035</v>
      </c>
      <c r="S33" s="7" t="s">
        <v>1101</v>
      </c>
      <c r="T33" s="7">
        <v>128.60400000000001</v>
      </c>
      <c r="U33" s="39">
        <v>0.11550000000000001</v>
      </c>
      <c r="V33" s="17">
        <v>6.2590599999999998</v>
      </c>
      <c r="W33" s="5" t="str">
        <f t="shared" si="2"/>
        <v>未买</v>
      </c>
    </row>
    <row r="34" spans="1:23" x14ac:dyDescent="0.25">
      <c r="A34" s="1"/>
      <c r="B34" s="1"/>
      <c r="C34" s="7" t="e">
        <f>VLOOKUP(A34,可转债实时数据!$B$7:$D$149,3,FALSE)</f>
        <v>#N/A</v>
      </c>
      <c r="D34" s="5" t="e">
        <f t="shared" si="0"/>
        <v>#N/A</v>
      </c>
      <c r="E34" s="5" t="e">
        <f t="shared" si="1"/>
        <v>#N/A</v>
      </c>
      <c r="H34" s="14">
        <v>32</v>
      </c>
      <c r="I34">
        <v>118043</v>
      </c>
      <c r="J34" t="s">
        <v>1054</v>
      </c>
      <c r="K34">
        <v>146.678</v>
      </c>
      <c r="L34" s="39">
        <v>0.1101</v>
      </c>
      <c r="M34" s="17">
        <v>4.2813800000000004</v>
      </c>
      <c r="N34" s="5" t="str">
        <f t="shared" si="3"/>
        <v>未买</v>
      </c>
      <c r="Q34" s="14">
        <v>32</v>
      </c>
      <c r="R34" s="7">
        <v>123186</v>
      </c>
      <c r="S34" s="7" t="s">
        <v>1037</v>
      </c>
      <c r="T34" s="7">
        <v>149.446</v>
      </c>
      <c r="U34" s="39">
        <v>0.12330000000000001</v>
      </c>
      <c r="V34" s="17">
        <v>4.1727519999999991</v>
      </c>
      <c r="W34" s="5" t="str">
        <f t="shared" si="2"/>
        <v>未买</v>
      </c>
    </row>
    <row r="35" spans="1:23" x14ac:dyDescent="0.25">
      <c r="A35" s="1"/>
      <c r="B35" s="1"/>
      <c r="C35" s="7" t="e">
        <f>VLOOKUP(A35,可转债实时数据!$B$7:$D$149,3,FALSE)</f>
        <v>#N/A</v>
      </c>
      <c r="D35" s="5" t="e">
        <f t="shared" si="0"/>
        <v>#N/A</v>
      </c>
      <c r="E35" s="5" t="e">
        <f t="shared" si="1"/>
        <v>#N/A</v>
      </c>
      <c r="H35" s="14">
        <v>33</v>
      </c>
      <c r="I35">
        <v>127035</v>
      </c>
      <c r="J35" t="s">
        <v>1101</v>
      </c>
      <c r="K35">
        <v>128.60400000000001</v>
      </c>
      <c r="L35" s="39">
        <v>0.11550000000000001</v>
      </c>
      <c r="M35" s="17">
        <v>6.2590599999999998</v>
      </c>
      <c r="N35" s="5" t="str">
        <f t="shared" si="3"/>
        <v>未买</v>
      </c>
      <c r="Q35" s="14">
        <v>33</v>
      </c>
      <c r="R35" s="7">
        <v>123099</v>
      </c>
      <c r="S35" s="7" t="s">
        <v>1089</v>
      </c>
      <c r="T35" s="7">
        <v>93.549000000000007</v>
      </c>
      <c r="U35" s="39">
        <v>0.12710000000000002</v>
      </c>
      <c r="V35" s="17">
        <v>2.0226690000000001</v>
      </c>
      <c r="W35" s="5" t="str">
        <f t="shared" si="2"/>
        <v>未买</v>
      </c>
    </row>
    <row r="36" spans="1:23" x14ac:dyDescent="0.25">
      <c r="A36" s="1"/>
      <c r="B36" s="1"/>
      <c r="C36" s="7" t="e">
        <f>VLOOKUP(A36,可转债实时数据!$B$7:$D$149,3,FALSE)</f>
        <v>#N/A</v>
      </c>
      <c r="D36" s="5" t="e">
        <f t="shared" si="0"/>
        <v>#N/A</v>
      </c>
      <c r="E36" s="5" t="e">
        <f t="shared" si="1"/>
        <v>#N/A</v>
      </c>
      <c r="H36" s="14">
        <v>34</v>
      </c>
      <c r="I36">
        <v>123186</v>
      </c>
      <c r="J36" t="s">
        <v>1037</v>
      </c>
      <c r="K36">
        <v>149.446</v>
      </c>
      <c r="L36" s="39">
        <v>0.12330000000000001</v>
      </c>
      <c r="M36" s="17">
        <v>4.1727519999999991</v>
      </c>
      <c r="N36" s="5" t="str">
        <f t="shared" si="3"/>
        <v>未买</v>
      </c>
      <c r="Q36" s="14">
        <v>34</v>
      </c>
      <c r="R36" s="7">
        <v>118028</v>
      </c>
      <c r="S36" s="7" t="s">
        <v>1068</v>
      </c>
      <c r="T36" s="7">
        <v>134.07599999999999</v>
      </c>
      <c r="U36" s="39">
        <v>0.1308</v>
      </c>
      <c r="V36" s="17">
        <v>6.5991499999999998</v>
      </c>
      <c r="W36" s="5" t="str">
        <f t="shared" si="2"/>
        <v>未买</v>
      </c>
    </row>
    <row r="37" spans="1:23" x14ac:dyDescent="0.25">
      <c r="A37" s="1"/>
      <c r="B37" s="1"/>
      <c r="C37" s="7" t="e">
        <f>VLOOKUP(A37,可转债实时数据!$B$7:$D$149,3,FALSE)</f>
        <v>#N/A</v>
      </c>
      <c r="D37" s="5" t="e">
        <f t="shared" si="0"/>
        <v>#N/A</v>
      </c>
      <c r="E37" s="5" t="e">
        <f t="shared" si="1"/>
        <v>#N/A</v>
      </c>
      <c r="H37" s="14">
        <v>35</v>
      </c>
      <c r="I37">
        <v>123099</v>
      </c>
      <c r="J37" t="s">
        <v>1089</v>
      </c>
      <c r="K37">
        <v>93.549000000000007</v>
      </c>
      <c r="L37" s="39">
        <v>0.12710000000000002</v>
      </c>
      <c r="M37" s="17">
        <v>2.0226690000000001</v>
      </c>
      <c r="N37" s="5" t="str">
        <f t="shared" si="3"/>
        <v>未买</v>
      </c>
      <c r="Q37" s="14">
        <v>35</v>
      </c>
      <c r="R37" s="7">
        <v>123166</v>
      </c>
      <c r="S37" s="7" t="s">
        <v>981</v>
      </c>
      <c r="T37" s="7">
        <v>126.999</v>
      </c>
      <c r="U37" s="39">
        <v>0.13769999999999999</v>
      </c>
      <c r="V37" s="17">
        <v>2.9994079999999999</v>
      </c>
      <c r="W37" s="5" t="str">
        <f t="shared" si="2"/>
        <v>未买</v>
      </c>
    </row>
    <row r="38" spans="1:23" x14ac:dyDescent="0.25">
      <c r="A38" s="1"/>
      <c r="B38" s="1"/>
      <c r="C38" s="7" t="e">
        <f>VLOOKUP(A38,可转债实时数据!$B$7:$D$149,3,FALSE)</f>
        <v>#N/A</v>
      </c>
      <c r="D38" s="5" t="e">
        <f t="shared" si="0"/>
        <v>#N/A</v>
      </c>
      <c r="E38" s="5" t="e">
        <f t="shared" si="1"/>
        <v>#N/A</v>
      </c>
      <c r="H38" s="14">
        <v>36</v>
      </c>
      <c r="I38">
        <v>118028</v>
      </c>
      <c r="J38" t="s">
        <v>1068</v>
      </c>
      <c r="K38">
        <v>134.07599999999999</v>
      </c>
      <c r="L38" s="39">
        <v>0.1308</v>
      </c>
      <c r="M38" s="17">
        <v>6.5991499999999998</v>
      </c>
      <c r="N38" s="5" t="str">
        <f t="shared" si="3"/>
        <v>未买</v>
      </c>
      <c r="Q38" s="14">
        <v>36</v>
      </c>
      <c r="R38" s="7">
        <v>123204</v>
      </c>
      <c r="S38" s="7" t="s">
        <v>867</v>
      </c>
      <c r="T38" s="7">
        <v>126.279</v>
      </c>
      <c r="U38" s="39">
        <v>0.13819999999999999</v>
      </c>
      <c r="V38" s="17">
        <v>5.2345560000000004</v>
      </c>
      <c r="W38" s="5" t="str">
        <f t="shared" si="2"/>
        <v>Yes</v>
      </c>
    </row>
    <row r="39" spans="1:23" x14ac:dyDescent="0.25">
      <c r="A39" s="1"/>
      <c r="B39" s="1"/>
      <c r="C39" s="7" t="e">
        <f>VLOOKUP(A39,可转债实时数据!$B$7:$D$149,3,FALSE)</f>
        <v>#N/A</v>
      </c>
      <c r="D39" s="5" t="e">
        <f t="shared" si="0"/>
        <v>#N/A</v>
      </c>
      <c r="E39" s="5" t="e">
        <f t="shared" si="1"/>
        <v>#N/A</v>
      </c>
      <c r="H39" s="14">
        <v>37</v>
      </c>
      <c r="I39">
        <v>110097</v>
      </c>
      <c r="J39" t="s">
        <v>983</v>
      </c>
      <c r="K39">
        <v>151.91800000000001</v>
      </c>
      <c r="L39" s="39">
        <v>0.13390000000000002</v>
      </c>
      <c r="M39" s="17">
        <v>9.9</v>
      </c>
      <c r="N39" s="5" t="str">
        <f t="shared" si="3"/>
        <v>未买</v>
      </c>
      <c r="Q39" s="14">
        <v>37</v>
      </c>
      <c r="R39" s="7">
        <v>113687</v>
      </c>
      <c r="S39" s="7" t="s">
        <v>1035</v>
      </c>
      <c r="T39" s="7">
        <v>161.01400000000001</v>
      </c>
      <c r="U39" s="39">
        <v>0.1414</v>
      </c>
      <c r="V39" s="17">
        <v>4.0609200000000003</v>
      </c>
      <c r="W39" s="5" t="str">
        <f t="shared" si="2"/>
        <v>未买</v>
      </c>
    </row>
    <row r="40" spans="1:23" x14ac:dyDescent="0.25">
      <c r="A40" s="1"/>
      <c r="B40" s="1"/>
      <c r="C40" s="7" t="e">
        <f>VLOOKUP(A40,可转债实时数据!$B$7:$D$149,3,FALSE)</f>
        <v>#N/A</v>
      </c>
      <c r="D40" s="5" t="e">
        <f t="shared" si="0"/>
        <v>#N/A</v>
      </c>
      <c r="E40" s="5" t="e">
        <f t="shared" si="1"/>
        <v>#N/A</v>
      </c>
      <c r="H40" s="14">
        <v>38</v>
      </c>
      <c r="I40">
        <v>123166</v>
      </c>
      <c r="J40" t="s">
        <v>981</v>
      </c>
      <c r="K40">
        <v>126.999</v>
      </c>
      <c r="L40" s="39">
        <v>0.13769999999999999</v>
      </c>
      <c r="M40" s="17">
        <v>2.9994079999999999</v>
      </c>
      <c r="N40" s="5" t="str">
        <f t="shared" si="3"/>
        <v>未买</v>
      </c>
      <c r="Q40" s="14">
        <v>38</v>
      </c>
      <c r="R40" s="7">
        <v>113039</v>
      </c>
      <c r="S40" s="7" t="s">
        <v>1094</v>
      </c>
      <c r="T40" s="7">
        <v>126.48</v>
      </c>
      <c r="U40" s="39">
        <v>0.1419</v>
      </c>
      <c r="V40" s="17">
        <v>2.8765299999999998</v>
      </c>
      <c r="W40" s="5" t="str">
        <f t="shared" si="2"/>
        <v>未买</v>
      </c>
    </row>
    <row r="41" spans="1:23" x14ac:dyDescent="0.25">
      <c r="C41" s="7" t="e">
        <f>VLOOKUP(A41,可转债实时数据!$B$7:$D$149,3,FALSE)</f>
        <v>#N/A</v>
      </c>
      <c r="D41" s="5" t="e">
        <f t="shared" si="0"/>
        <v>#N/A</v>
      </c>
      <c r="E41" s="5" t="e">
        <f t="shared" si="1"/>
        <v>#N/A</v>
      </c>
      <c r="H41" s="14">
        <v>39</v>
      </c>
      <c r="I41">
        <v>123204</v>
      </c>
      <c r="J41" t="s">
        <v>867</v>
      </c>
      <c r="K41">
        <v>126.279</v>
      </c>
      <c r="L41" s="39">
        <v>0.13819999999999999</v>
      </c>
      <c r="M41" s="17">
        <v>5.2345560000000004</v>
      </c>
      <c r="N41" s="5" t="str">
        <f t="shared" si="3"/>
        <v>Yes</v>
      </c>
      <c r="Q41" s="14">
        <v>39</v>
      </c>
      <c r="R41" s="7">
        <v>118045</v>
      </c>
      <c r="S41" s="7" t="s">
        <v>1051</v>
      </c>
      <c r="T41" s="7">
        <v>198.041</v>
      </c>
      <c r="U41" s="39">
        <v>0.14279999999999998</v>
      </c>
      <c r="V41" s="17">
        <v>1.2393099999999999</v>
      </c>
      <c r="W41" s="5" t="str">
        <f t="shared" si="2"/>
        <v>未买</v>
      </c>
    </row>
    <row r="42" spans="1:23" x14ac:dyDescent="0.25">
      <c r="C42" s="7" t="e">
        <f>VLOOKUP(A42,可转债实时数据!$B$7:$D$149,3,FALSE)</f>
        <v>#N/A</v>
      </c>
      <c r="D42" s="5" t="e">
        <f t="shared" si="0"/>
        <v>#N/A</v>
      </c>
      <c r="E42" s="5" t="e">
        <f t="shared" si="1"/>
        <v>#N/A</v>
      </c>
      <c r="H42" s="14">
        <v>40</v>
      </c>
      <c r="I42">
        <v>113687</v>
      </c>
      <c r="J42" t="s">
        <v>1035</v>
      </c>
      <c r="K42">
        <v>161.01400000000001</v>
      </c>
      <c r="L42" s="39">
        <v>0.1414</v>
      </c>
      <c r="M42" s="17">
        <v>4.0609200000000003</v>
      </c>
      <c r="N42" s="5" t="str">
        <f t="shared" si="3"/>
        <v>未买</v>
      </c>
      <c r="Q42" s="14">
        <v>40</v>
      </c>
      <c r="R42" s="7">
        <v>123239</v>
      </c>
      <c r="S42" s="7" t="s">
        <v>1040</v>
      </c>
      <c r="T42" s="7">
        <v>148</v>
      </c>
      <c r="U42" s="39">
        <v>0.1474</v>
      </c>
      <c r="V42" s="17">
        <v>4.3813360000000001</v>
      </c>
      <c r="W42" s="5" t="str">
        <f t="shared" si="2"/>
        <v>未买</v>
      </c>
    </row>
    <row r="43" spans="1:23" x14ac:dyDescent="0.25">
      <c r="C43" s="7" t="e">
        <f>VLOOKUP(A43,可转债实时数据!$B$7:$D$149,3,FALSE)</f>
        <v>#N/A</v>
      </c>
      <c r="D43" s="5" t="e">
        <f t="shared" si="0"/>
        <v>#N/A</v>
      </c>
      <c r="E43" s="5" t="e">
        <f t="shared" si="1"/>
        <v>#N/A</v>
      </c>
      <c r="H43" s="14">
        <v>41</v>
      </c>
      <c r="I43">
        <v>113039</v>
      </c>
      <c r="J43" t="s">
        <v>1094</v>
      </c>
      <c r="K43">
        <v>126.48</v>
      </c>
      <c r="L43" s="39">
        <v>0.1419</v>
      </c>
      <c r="M43" s="17">
        <v>2.8765299999999998</v>
      </c>
      <c r="N43" s="5" t="str">
        <f t="shared" si="3"/>
        <v>未买</v>
      </c>
      <c r="Q43" s="14">
        <v>41</v>
      </c>
      <c r="R43" s="7">
        <v>123184</v>
      </c>
      <c r="S43" s="7" t="s">
        <v>1062</v>
      </c>
      <c r="T43" s="7">
        <v>142.62100000000001</v>
      </c>
      <c r="U43" s="39">
        <v>0.15090000000000001</v>
      </c>
      <c r="V43" s="17">
        <v>3.3203670000000001</v>
      </c>
      <c r="W43" s="5" t="str">
        <f t="shared" si="2"/>
        <v>未买</v>
      </c>
    </row>
    <row r="44" spans="1:23" x14ac:dyDescent="0.25">
      <c r="C44" s="7" t="e">
        <f>VLOOKUP(A44,可转债实时数据!$B$7:$D$149,3,FALSE)</f>
        <v>#N/A</v>
      </c>
      <c r="D44" s="5" t="e">
        <f t="shared" si="0"/>
        <v>#N/A</v>
      </c>
      <c r="E44" s="5" t="e">
        <f t="shared" si="1"/>
        <v>#N/A</v>
      </c>
      <c r="H44" s="14">
        <v>42</v>
      </c>
      <c r="I44" s="7">
        <v>118045</v>
      </c>
      <c r="J44" s="7" t="s">
        <v>1051</v>
      </c>
      <c r="K44" s="7">
        <v>198.041</v>
      </c>
      <c r="L44" s="40">
        <v>0.14279999999999998</v>
      </c>
      <c r="M44" s="29">
        <v>1.2393099999999999</v>
      </c>
      <c r="N44" s="5" t="str">
        <f>IF(ISNA(MATCH(I44,$A$3:$A$130,0)),"未买","Yes")</f>
        <v>未买</v>
      </c>
      <c r="Q44" s="14">
        <v>42</v>
      </c>
      <c r="R44" s="7">
        <v>113609</v>
      </c>
      <c r="S44" s="7" t="s">
        <v>1093</v>
      </c>
      <c r="T44" s="7">
        <v>127.881</v>
      </c>
      <c r="U44" s="40">
        <v>0.1515</v>
      </c>
      <c r="V44" s="29">
        <v>5.7311800000000002</v>
      </c>
      <c r="W44" s="5" t="str">
        <f t="shared" si="2"/>
        <v>未买</v>
      </c>
    </row>
    <row r="45" spans="1:23" x14ac:dyDescent="0.25">
      <c r="C45" s="7" t="e">
        <f>VLOOKUP(A45,可转债实时数据!$B$7:$D$149,3,FALSE)</f>
        <v>#N/A</v>
      </c>
      <c r="D45" s="5" t="e">
        <f t="shared" si="0"/>
        <v>#N/A</v>
      </c>
      <c r="E45" s="5" t="e">
        <f t="shared" si="1"/>
        <v>#N/A</v>
      </c>
      <c r="H45" s="14">
        <v>43</v>
      </c>
      <c r="I45" s="7">
        <v>123239</v>
      </c>
      <c r="J45" s="7" t="s">
        <v>1040</v>
      </c>
      <c r="K45" s="7">
        <v>148</v>
      </c>
      <c r="L45" s="40">
        <v>0.1474</v>
      </c>
      <c r="M45" s="29">
        <v>4.3813360000000001</v>
      </c>
      <c r="N45" s="5" t="str">
        <f t="shared" si="3"/>
        <v>未买</v>
      </c>
      <c r="Q45" s="14">
        <v>43</v>
      </c>
      <c r="R45" s="7">
        <v>113534</v>
      </c>
      <c r="S45" s="7" t="s">
        <v>1088</v>
      </c>
      <c r="T45" s="7">
        <v>117.04</v>
      </c>
      <c r="U45" s="40">
        <v>0.1522</v>
      </c>
      <c r="V45" s="29">
        <v>7.4050000000000005E-2</v>
      </c>
      <c r="W45" s="5" t="str">
        <f t="shared" si="2"/>
        <v>未买</v>
      </c>
    </row>
    <row r="46" spans="1:23" x14ac:dyDescent="0.25">
      <c r="C46" s="7" t="e">
        <f>VLOOKUP(A46,可转债实时数据!$B$7:$D$149,3,FALSE)</f>
        <v>#N/A</v>
      </c>
      <c r="D46" s="5" t="e">
        <f t="shared" si="0"/>
        <v>#N/A</v>
      </c>
      <c r="E46" s="5" t="e">
        <f t="shared" si="1"/>
        <v>#N/A</v>
      </c>
      <c r="H46" s="14">
        <v>44</v>
      </c>
      <c r="I46" s="7">
        <v>123120</v>
      </c>
      <c r="J46" s="7" t="s">
        <v>936</v>
      </c>
      <c r="K46" s="7">
        <v>125.52</v>
      </c>
      <c r="L46" s="40">
        <v>0.1487</v>
      </c>
      <c r="M46" s="29">
        <v>7.9727249999999996</v>
      </c>
      <c r="N46" s="5" t="str">
        <f t="shared" si="3"/>
        <v>未买</v>
      </c>
      <c r="Q46" s="14">
        <v>44</v>
      </c>
      <c r="R46" s="7">
        <v>118050</v>
      </c>
      <c r="S46" s="7" t="s">
        <v>1031</v>
      </c>
      <c r="T46" s="7">
        <v>142.77699999999999</v>
      </c>
      <c r="U46" s="40">
        <v>0.15410000000000001</v>
      </c>
      <c r="V46" s="29">
        <v>6.66852</v>
      </c>
      <c r="W46" s="5" t="str">
        <f t="shared" si="2"/>
        <v>未买</v>
      </c>
    </row>
    <row r="47" spans="1:23" x14ac:dyDescent="0.25">
      <c r="C47" s="7" t="e">
        <f>VLOOKUP(A47,可转债实时数据!$B$7:$D$149,3,FALSE)</f>
        <v>#N/A</v>
      </c>
      <c r="D47" s="5" t="e">
        <f t="shared" si="0"/>
        <v>#N/A</v>
      </c>
      <c r="E47" s="5" t="e">
        <f t="shared" si="1"/>
        <v>#N/A</v>
      </c>
      <c r="H47" s="14">
        <v>45</v>
      </c>
      <c r="I47" s="7">
        <v>128132</v>
      </c>
      <c r="J47" s="7" t="s">
        <v>934</v>
      </c>
      <c r="K47" s="7">
        <v>127.333</v>
      </c>
      <c r="L47" s="40">
        <v>0.14880000000000002</v>
      </c>
      <c r="M47" s="29">
        <v>8.4342310000000005</v>
      </c>
      <c r="N47" s="5" t="str">
        <f t="shared" si="3"/>
        <v>未买</v>
      </c>
      <c r="Q47" s="14">
        <v>45</v>
      </c>
      <c r="R47" s="7">
        <v>123174</v>
      </c>
      <c r="S47" s="7" t="s">
        <v>1066</v>
      </c>
      <c r="T47" s="7">
        <v>140.459</v>
      </c>
      <c r="U47" s="40">
        <v>0.1573</v>
      </c>
      <c r="V47" s="29">
        <v>6.7836340000000002</v>
      </c>
      <c r="W47" s="5" t="str">
        <f t="shared" si="2"/>
        <v>未买</v>
      </c>
    </row>
    <row r="48" spans="1:23" x14ac:dyDescent="0.25">
      <c r="C48" s="7" t="e">
        <f>VLOOKUP(A48,可转债实时数据!$B$7:$D$149,3,FALSE)</f>
        <v>#N/A</v>
      </c>
      <c r="D48" s="5" t="e">
        <f t="shared" si="0"/>
        <v>#N/A</v>
      </c>
      <c r="E48" s="5" t="e">
        <f t="shared" si="1"/>
        <v>#N/A</v>
      </c>
      <c r="H48" s="14">
        <v>46</v>
      </c>
      <c r="I48" s="7">
        <v>123184</v>
      </c>
      <c r="J48" s="7" t="s">
        <v>1062</v>
      </c>
      <c r="K48" s="7">
        <v>142.62100000000001</v>
      </c>
      <c r="L48" s="40">
        <v>0.15090000000000001</v>
      </c>
      <c r="M48" s="29">
        <v>3.3203670000000001</v>
      </c>
      <c r="N48" s="5" t="str">
        <f t="shared" si="3"/>
        <v>未买</v>
      </c>
      <c r="Q48" s="14">
        <v>46</v>
      </c>
      <c r="R48" s="7">
        <v>118004</v>
      </c>
      <c r="S48" s="7" t="s">
        <v>1085</v>
      </c>
      <c r="T48" s="7">
        <v>130.04</v>
      </c>
      <c r="U48" s="40">
        <v>0.16200000000000001</v>
      </c>
      <c r="V48" s="29">
        <v>4.6483499999999998</v>
      </c>
      <c r="W48" s="5" t="str">
        <f t="shared" si="2"/>
        <v>未买</v>
      </c>
    </row>
    <row r="49" spans="3:23" x14ac:dyDescent="0.25">
      <c r="C49" s="7" t="e">
        <f>VLOOKUP(A49,可转债实时数据!$B$7:$D$149,3,FALSE)</f>
        <v>#N/A</v>
      </c>
      <c r="D49" s="5" t="e">
        <f t="shared" si="0"/>
        <v>#N/A</v>
      </c>
      <c r="E49" s="5" t="e">
        <f t="shared" si="1"/>
        <v>#N/A</v>
      </c>
      <c r="H49" s="14">
        <v>47</v>
      </c>
      <c r="I49" s="7">
        <v>113609</v>
      </c>
      <c r="J49" s="7" t="s">
        <v>1093</v>
      </c>
      <c r="K49" s="7">
        <v>127.881</v>
      </c>
      <c r="L49" s="40">
        <v>0.1515</v>
      </c>
      <c r="M49" s="29">
        <v>5.7311800000000002</v>
      </c>
      <c r="N49" s="5" t="str">
        <f t="shared" si="3"/>
        <v>未买</v>
      </c>
      <c r="Q49" s="14">
        <v>47</v>
      </c>
      <c r="R49" s="7">
        <v>118041</v>
      </c>
      <c r="S49" s="7" t="s">
        <v>978</v>
      </c>
      <c r="T49" s="7">
        <v>124.65300000000001</v>
      </c>
      <c r="U49" s="40">
        <v>0.1663</v>
      </c>
      <c r="V49" s="29">
        <v>6.1998499999999996</v>
      </c>
      <c r="W49" s="5" t="str">
        <f t="shared" si="2"/>
        <v>未买</v>
      </c>
    </row>
    <row r="50" spans="3:23" x14ac:dyDescent="0.25">
      <c r="C50" s="7" t="e">
        <f>VLOOKUP(A50,可转债实时数据!$B$7:$D$149,3,FALSE)</f>
        <v>#N/A</v>
      </c>
      <c r="D50" s="5" t="e">
        <f t="shared" si="0"/>
        <v>#N/A</v>
      </c>
      <c r="E50" s="5" t="e">
        <f t="shared" si="1"/>
        <v>#N/A</v>
      </c>
      <c r="H50" s="14">
        <v>48</v>
      </c>
      <c r="I50" s="7">
        <v>113534</v>
      </c>
      <c r="J50" s="7" t="s">
        <v>1088</v>
      </c>
      <c r="K50" s="7">
        <v>117.04</v>
      </c>
      <c r="L50" s="40">
        <v>0.1522</v>
      </c>
      <c r="M50" s="29">
        <v>7.4050000000000005E-2</v>
      </c>
      <c r="N50" s="5" t="str">
        <f t="shared" si="3"/>
        <v>未买</v>
      </c>
      <c r="Q50" s="14">
        <v>48</v>
      </c>
      <c r="R50" s="7">
        <v>123209</v>
      </c>
      <c r="S50" s="7" t="s">
        <v>976</v>
      </c>
      <c r="T50" s="7">
        <v>132.88800000000001</v>
      </c>
      <c r="U50" s="40">
        <v>0.16870000000000002</v>
      </c>
      <c r="V50" s="29">
        <v>1.7962450000000001</v>
      </c>
      <c r="W50" s="5" t="str">
        <f t="shared" si="2"/>
        <v>未买</v>
      </c>
    </row>
    <row r="51" spans="3:23" x14ac:dyDescent="0.25">
      <c r="C51" s="7" t="e">
        <f>VLOOKUP(A51,可转债实时数据!$B$7:$D$149,3,FALSE)</f>
        <v>#N/A</v>
      </c>
      <c r="D51" s="5" t="e">
        <f t="shared" si="0"/>
        <v>#N/A</v>
      </c>
      <c r="E51" s="5" t="e">
        <f t="shared" si="1"/>
        <v>#N/A</v>
      </c>
      <c r="H51" s="14">
        <v>49</v>
      </c>
      <c r="I51" s="7">
        <v>118050</v>
      </c>
      <c r="J51" s="7" t="s">
        <v>1031</v>
      </c>
      <c r="K51" s="7">
        <v>142.77699999999999</v>
      </c>
      <c r="L51" s="40">
        <v>0.15410000000000001</v>
      </c>
      <c r="M51" s="29">
        <v>6.66852</v>
      </c>
      <c r="N51" s="5" t="str">
        <f t="shared" si="3"/>
        <v>未买</v>
      </c>
      <c r="Q51" s="14">
        <v>49</v>
      </c>
      <c r="R51" s="7">
        <v>123244</v>
      </c>
      <c r="S51" s="7" t="s">
        <v>956</v>
      </c>
      <c r="T51" s="7">
        <v>129</v>
      </c>
      <c r="U51" s="40">
        <v>0.16930000000000001</v>
      </c>
      <c r="V51" s="29">
        <v>4.0911679999999997</v>
      </c>
      <c r="W51" s="5" t="str">
        <f t="shared" si="2"/>
        <v>未买</v>
      </c>
    </row>
    <row r="52" spans="3:23" x14ac:dyDescent="0.25">
      <c r="C52" s="7" t="e">
        <f>VLOOKUP(A52,可转债实时数据!$B$7:$D$149,3,FALSE)</f>
        <v>#N/A</v>
      </c>
      <c r="D52" s="5" t="e">
        <f t="shared" si="0"/>
        <v>#N/A</v>
      </c>
      <c r="E52" s="5" t="e">
        <f t="shared" si="1"/>
        <v>#N/A</v>
      </c>
      <c r="H52" s="14">
        <v>50</v>
      </c>
      <c r="I52" s="7">
        <v>123174</v>
      </c>
      <c r="J52" s="7" t="s">
        <v>1066</v>
      </c>
      <c r="K52" s="7">
        <v>140.459</v>
      </c>
      <c r="L52" s="40">
        <v>0.1573</v>
      </c>
      <c r="M52" s="29">
        <v>6.7836340000000002</v>
      </c>
      <c r="N52" s="5" t="str">
        <f t="shared" si="3"/>
        <v>未买</v>
      </c>
      <c r="Q52" s="14">
        <v>50</v>
      </c>
      <c r="R52" s="7">
        <v>123187</v>
      </c>
      <c r="S52" s="7" t="s">
        <v>967</v>
      </c>
      <c r="T52" s="7">
        <v>129.07900000000001</v>
      </c>
      <c r="U52" s="40">
        <v>0.17010000000000003</v>
      </c>
      <c r="V52" s="29">
        <v>2.8547929999999999</v>
      </c>
      <c r="W52" s="5" t="str">
        <f t="shared" si="2"/>
        <v>未买</v>
      </c>
    </row>
    <row r="53" spans="3:23" x14ac:dyDescent="0.25">
      <c r="C53" s="7" t="e">
        <f>VLOOKUP(A53,可转债实时数据!$B$7:$D$149,3,FALSE)</f>
        <v>#N/A</v>
      </c>
      <c r="D53" s="5" t="e">
        <f t="shared" si="0"/>
        <v>#N/A</v>
      </c>
      <c r="E53" s="5" t="e">
        <f t="shared" si="1"/>
        <v>#N/A</v>
      </c>
    </row>
    <row r="54" spans="3:23" x14ac:dyDescent="0.25">
      <c r="C54" s="7" t="e">
        <f>VLOOKUP(A54,可转债实时数据!$B$7:$D$149,3,FALSE)</f>
        <v>#N/A</v>
      </c>
      <c r="D54" s="5" t="e">
        <f t="shared" si="0"/>
        <v>#N/A</v>
      </c>
      <c r="E54" s="5" t="e">
        <f t="shared" si="1"/>
        <v>#N/A</v>
      </c>
    </row>
    <row r="55" spans="3:23" x14ac:dyDescent="0.25">
      <c r="C55" s="7" t="e">
        <f>VLOOKUP(A55,可转债实时数据!$B$7:$D$149,3,FALSE)</f>
        <v>#N/A</v>
      </c>
      <c r="D55" s="5" t="e">
        <f t="shared" si="0"/>
        <v>#N/A</v>
      </c>
      <c r="E55" s="5" t="e">
        <f t="shared" si="1"/>
        <v>#N/A</v>
      </c>
    </row>
    <row r="56" spans="3:23" x14ac:dyDescent="0.2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483079</xdr:colOff>
                    <xdr:row>2</xdr:row>
                    <xdr:rowOff>129396</xdr:rowOff>
                  </from>
                  <to>
                    <xdr:col>14</xdr:col>
                    <xdr:colOff>483079</xdr:colOff>
                    <xdr:row>5</xdr:row>
                    <xdr:rowOff>43132</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586596</xdr:colOff>
                    <xdr:row>2</xdr:row>
                    <xdr:rowOff>138023</xdr:rowOff>
                  </from>
                  <to>
                    <xdr:col>23</xdr:col>
                    <xdr:colOff>586596</xdr:colOff>
                    <xdr:row>5</xdr:row>
                    <xdr:rowOff>51758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3" activePane="bottomLeft" state="frozen"/>
      <selection pane="bottomLeft" activeCell="B14" sqref="B14"/>
    </sheetView>
  </sheetViews>
  <sheetFormatPr defaultColWidth="9" defaultRowHeight="16.3" x14ac:dyDescent="0.25"/>
  <cols>
    <col min="1" max="2" width="12.21875" style="7" bestFit="1" customWidth="1"/>
    <col min="3" max="3" width="8.44140625" style="7" bestFit="1" customWidth="1"/>
    <col min="4" max="4" width="15.88671875" style="13" customWidth="1"/>
    <col min="5" max="5" width="14.21875" style="13" customWidth="1"/>
    <col min="6" max="7" width="9" style="7"/>
    <col min="8" max="8" width="4.109375" style="14" customWidth="1"/>
    <col min="9" max="10" width="12.21875" style="7" bestFit="1" customWidth="1"/>
    <col min="11" max="11" width="8.44140625" style="7" bestFit="1" customWidth="1"/>
    <col min="12" max="12" width="10.109375" style="40" bestFit="1" customWidth="1"/>
    <col min="13" max="13" width="10.109375" style="7" customWidth="1"/>
    <col min="14" max="14" width="10.109375" style="29" customWidth="1"/>
    <col min="15" max="15" width="12.21875" style="7" bestFit="1" customWidth="1"/>
    <col min="16" max="17" width="9" style="7"/>
    <col min="18" max="18" width="3.6640625" style="14" customWidth="1"/>
    <col min="19" max="20" width="12.21875" style="7" bestFit="1" customWidth="1"/>
    <col min="21" max="21" width="8.44140625" style="7" bestFit="1" customWidth="1"/>
    <col min="22" max="22" width="10.109375" style="40" bestFit="1" customWidth="1"/>
    <col min="23" max="23" width="10.109375" style="29" customWidth="1"/>
    <col min="24" max="24" width="12.21875" style="7" bestFit="1" customWidth="1"/>
    <col min="25" max="16384" width="9" style="7"/>
  </cols>
  <sheetData>
    <row r="1" spans="1:24" x14ac:dyDescent="0.25">
      <c r="A1" s="8" t="s">
        <v>42</v>
      </c>
      <c r="B1" s="8"/>
      <c r="C1" s="35" t="s">
        <v>368</v>
      </c>
      <c r="D1" s="12"/>
      <c r="E1" s="12"/>
      <c r="I1" s="8" t="s">
        <v>353</v>
      </c>
      <c r="J1" s="8"/>
      <c r="K1" s="30" t="s">
        <v>354</v>
      </c>
      <c r="L1" s="37"/>
      <c r="M1" s="30"/>
      <c r="N1" s="30"/>
      <c r="O1" s="30"/>
      <c r="P1" s="30"/>
      <c r="S1" s="8" t="s">
        <v>602</v>
      </c>
      <c r="V1" s="7"/>
      <c r="W1" s="7"/>
    </row>
    <row r="2" spans="1:24" s="6" customFormat="1" x14ac:dyDescent="0.25">
      <c r="A2" s="6" t="s">
        <v>36</v>
      </c>
      <c r="B2" s="6" t="s">
        <v>35</v>
      </c>
      <c r="C2" s="6" t="s">
        <v>346</v>
      </c>
      <c r="D2" s="4" t="s">
        <v>594</v>
      </c>
      <c r="E2" s="4" t="s">
        <v>595</v>
      </c>
      <c r="H2" s="15"/>
      <c r="I2" s="6" t="s">
        <v>347</v>
      </c>
      <c r="J2" s="6" t="s">
        <v>348</v>
      </c>
      <c r="K2" s="6" t="s">
        <v>346</v>
      </c>
      <c r="L2" s="38" t="s">
        <v>29</v>
      </c>
      <c r="M2" s="6" t="s">
        <v>349</v>
      </c>
      <c r="N2" s="28" t="s">
        <v>350</v>
      </c>
      <c r="O2" s="4" t="s">
        <v>38</v>
      </c>
      <c r="R2" s="15"/>
      <c r="S2" s="6" t="s">
        <v>347</v>
      </c>
      <c r="T2" s="6" t="s">
        <v>348</v>
      </c>
      <c r="U2" s="6" t="s">
        <v>346</v>
      </c>
      <c r="V2" s="38" t="s">
        <v>29</v>
      </c>
      <c r="W2" s="28" t="s">
        <v>350</v>
      </c>
      <c r="X2" s="4" t="s">
        <v>38</v>
      </c>
    </row>
    <row r="3" spans="1:24" s="3" customFormat="1" x14ac:dyDescent="0.25">
      <c r="A3">
        <v>123234</v>
      </c>
      <c r="B3" t="s">
        <v>959</v>
      </c>
      <c r="C3" s="3">
        <f>VLOOKUP(A3,可转债实时数据!$B$7:$D$149,3,FALSE)</f>
        <v>118.69799999999999</v>
      </c>
      <c r="D3" s="5">
        <f t="shared" ref="D3:D16" si="0">MATCH(A3,$I$1:$I$290,0)-2</f>
        <v>38</v>
      </c>
      <c r="E3" s="5" t="e">
        <f t="shared" ref="E3:E16" si="1">MATCH(A3,$S$1:$S$44,0)-2</f>
        <v>#N/A</v>
      </c>
      <c r="H3" s="16">
        <v>1</v>
      </c>
      <c r="I3">
        <v>123099</v>
      </c>
      <c r="J3" t="s">
        <v>1089</v>
      </c>
      <c r="K3">
        <v>93.549000000000007</v>
      </c>
      <c r="L3" s="39">
        <v>0.12710000000000002</v>
      </c>
      <c r="M3">
        <v>106.25900000000001</v>
      </c>
      <c r="N3" s="17">
        <v>2.0226690000000001</v>
      </c>
      <c r="O3" s="5" t="str">
        <f t="shared" ref="O3:O30" si="2">IF(ISNA(MATCH(I3,$A$3:$A$290,0)),"未买","Yes")</f>
        <v>未买</v>
      </c>
      <c r="R3" s="16">
        <v>1</v>
      </c>
      <c r="S3" s="7">
        <v>127053</v>
      </c>
      <c r="T3" s="7" t="s">
        <v>1084</v>
      </c>
      <c r="U3" s="7">
        <v>143</v>
      </c>
      <c r="V3" s="39">
        <v>-1.8500000000000003E-2</v>
      </c>
      <c r="W3" s="17">
        <v>4.2192949999999998</v>
      </c>
      <c r="X3" s="5" t="str">
        <f t="shared" ref="X3:X28" si="3">IF(ISNA(MATCH(S3,$A$3:$A$290,0)),"未买","Yes")</f>
        <v>未买</v>
      </c>
    </row>
    <row r="4" spans="1:24" s="3" customFormat="1" x14ac:dyDescent="0.25">
      <c r="A4">
        <v>123141</v>
      </c>
      <c r="B4" t="s">
        <v>939</v>
      </c>
      <c r="C4" s="3">
        <f>VLOOKUP(A4,可转债实时数据!$B$7:$D$149,3,FALSE)</f>
        <v>121.001</v>
      </c>
      <c r="D4" s="5">
        <f t="shared" si="0"/>
        <v>12</v>
      </c>
      <c r="E4" s="5" t="e">
        <f t="shared" si="1"/>
        <v>#N/A</v>
      </c>
      <c r="H4" s="16">
        <v>2</v>
      </c>
      <c r="I4">
        <v>118046</v>
      </c>
      <c r="J4" t="s">
        <v>1042</v>
      </c>
      <c r="K4">
        <v>118.239</v>
      </c>
      <c r="L4" s="39">
        <v>-6.5000000000000006E-3</v>
      </c>
      <c r="M4">
        <v>117.589</v>
      </c>
      <c r="N4" s="17">
        <v>2.10846</v>
      </c>
      <c r="O4" s="5" t="str">
        <f t="shared" si="2"/>
        <v>未买</v>
      </c>
      <c r="R4" s="16">
        <v>2</v>
      </c>
      <c r="S4" s="7">
        <v>118046</v>
      </c>
      <c r="T4" s="7" t="s">
        <v>1042</v>
      </c>
      <c r="U4" s="7">
        <v>118.239</v>
      </c>
      <c r="V4" s="39">
        <v>-6.5000000000000006E-3</v>
      </c>
      <c r="W4" s="17">
        <v>2.10846</v>
      </c>
      <c r="X4" s="5" t="str">
        <f t="shared" si="3"/>
        <v>未买</v>
      </c>
    </row>
    <row r="5" spans="1:24" x14ac:dyDescent="0.25">
      <c r="A5">
        <v>123166</v>
      </c>
      <c r="B5" t="s">
        <v>981</v>
      </c>
      <c r="C5" s="3">
        <f>VLOOKUP(A5,可转债实时数据!$B$7:$D$149,3,FALSE)</f>
        <v>126.999</v>
      </c>
      <c r="D5" s="5">
        <f t="shared" si="0"/>
        <v>9</v>
      </c>
      <c r="E5" s="5">
        <f t="shared" si="1"/>
        <v>21</v>
      </c>
      <c r="H5" s="16">
        <v>3</v>
      </c>
      <c r="I5">
        <v>128066</v>
      </c>
      <c r="J5" t="s">
        <v>1081</v>
      </c>
      <c r="K5">
        <v>111.96299999999999</v>
      </c>
      <c r="L5" s="39">
        <v>7.1099999999999997E-2</v>
      </c>
      <c r="M5">
        <v>119.07299999999999</v>
      </c>
      <c r="N5" s="17">
        <v>1.627176</v>
      </c>
      <c r="O5" s="5" t="str">
        <f t="shared" si="2"/>
        <v>未买</v>
      </c>
      <c r="R5" s="16">
        <v>3</v>
      </c>
      <c r="S5" s="7">
        <v>128144</v>
      </c>
      <c r="T5" s="7" t="s">
        <v>1018</v>
      </c>
      <c r="U5" s="7">
        <v>136.755</v>
      </c>
      <c r="V5" s="39">
        <v>-1.9E-3</v>
      </c>
      <c r="W5" s="17">
        <v>6.4652919999999998</v>
      </c>
      <c r="X5" s="5" t="str">
        <f t="shared" si="3"/>
        <v>未买</v>
      </c>
    </row>
    <row r="6" spans="1:24" x14ac:dyDescent="0.25">
      <c r="A6">
        <v>123160</v>
      </c>
      <c r="B6" t="s">
        <v>917</v>
      </c>
      <c r="C6" s="3">
        <f>VLOOKUP(A6,可转债实时数据!$B$7:$D$149,3,FALSE)</f>
        <v>122</v>
      </c>
      <c r="D6" s="5">
        <f t="shared" si="0"/>
        <v>27</v>
      </c>
      <c r="E6" s="5" t="e">
        <f t="shared" si="1"/>
        <v>#N/A</v>
      </c>
      <c r="H6" s="16">
        <v>4</v>
      </c>
      <c r="I6">
        <v>113534</v>
      </c>
      <c r="J6" t="s">
        <v>1088</v>
      </c>
      <c r="K6">
        <v>117.04</v>
      </c>
      <c r="L6" s="39">
        <v>0.1522</v>
      </c>
      <c r="M6">
        <v>132.26000000000002</v>
      </c>
      <c r="N6" s="17">
        <v>7.4050000000000005E-2</v>
      </c>
      <c r="O6" s="5" t="str">
        <f t="shared" si="2"/>
        <v>未买</v>
      </c>
      <c r="R6" s="16">
        <v>4</v>
      </c>
      <c r="S6" s="7">
        <v>123063</v>
      </c>
      <c r="T6" s="7" t="s">
        <v>933</v>
      </c>
      <c r="U6" s="7">
        <v>129.143</v>
      </c>
      <c r="V6" s="39">
        <v>2.1499999999999998E-2</v>
      </c>
      <c r="W6" s="17">
        <v>5.7124319999999997</v>
      </c>
      <c r="X6" s="5" t="str">
        <f t="shared" si="3"/>
        <v>未买</v>
      </c>
    </row>
    <row r="7" spans="1:24" x14ac:dyDescent="0.25">
      <c r="A7">
        <v>123201</v>
      </c>
      <c r="B7" t="s">
        <v>866</v>
      </c>
      <c r="C7" s="3">
        <f>VLOOKUP(A7,可转债实时数据!$B$7:$D$149,3,FALSE)</f>
        <v>124.4</v>
      </c>
      <c r="D7" s="5">
        <f t="shared" si="0"/>
        <v>15</v>
      </c>
      <c r="E7" s="5" t="e">
        <f t="shared" si="1"/>
        <v>#N/A</v>
      </c>
      <c r="H7" s="16">
        <v>5</v>
      </c>
      <c r="I7">
        <v>123198</v>
      </c>
      <c r="J7" t="s">
        <v>944</v>
      </c>
      <c r="K7">
        <v>117.32299999999999</v>
      </c>
      <c r="L7" s="39">
        <v>0.17480000000000001</v>
      </c>
      <c r="M7">
        <v>134.803</v>
      </c>
      <c r="N7" s="17">
        <v>3.259293</v>
      </c>
      <c r="O7" s="5" t="str">
        <f t="shared" si="2"/>
        <v>未买</v>
      </c>
      <c r="R7" s="16">
        <v>5</v>
      </c>
      <c r="S7" s="7">
        <v>127055</v>
      </c>
      <c r="T7" s="7" t="s">
        <v>874</v>
      </c>
      <c r="U7" s="7">
        <v>146.94999999999999</v>
      </c>
      <c r="V7" s="39">
        <v>2.35E-2</v>
      </c>
      <c r="W7" s="17">
        <v>2.9828869999999998</v>
      </c>
      <c r="X7" s="5" t="str">
        <f t="shared" si="3"/>
        <v>未买</v>
      </c>
    </row>
    <row r="8" spans="1:24" x14ac:dyDescent="0.25">
      <c r="A8" s="7">
        <v>118048</v>
      </c>
      <c r="B8" s="7" t="s">
        <v>952</v>
      </c>
      <c r="C8" s="3">
        <f>VLOOKUP(A8,可转债实时数据!$B$7:$D$149,3,FALSE)</f>
        <v>132.05600000000001</v>
      </c>
      <c r="D8" s="5" t="e">
        <f t="shared" si="0"/>
        <v>#N/A</v>
      </c>
      <c r="E8" s="5" t="e">
        <f t="shared" si="1"/>
        <v>#N/A</v>
      </c>
      <c r="H8" s="16">
        <v>6</v>
      </c>
      <c r="I8">
        <v>123056</v>
      </c>
      <c r="J8" t="s">
        <v>1099</v>
      </c>
      <c r="K8">
        <v>129.80000000000001</v>
      </c>
      <c r="L8" s="39">
        <v>5.5899999999999998E-2</v>
      </c>
      <c r="M8">
        <v>135.39000000000001</v>
      </c>
      <c r="N8" s="17">
        <v>3.1176010000000001</v>
      </c>
      <c r="O8" s="5" t="str">
        <f t="shared" si="2"/>
        <v>未买</v>
      </c>
      <c r="R8" s="16">
        <v>6</v>
      </c>
      <c r="S8" s="7">
        <v>128117</v>
      </c>
      <c r="T8" s="7" t="s">
        <v>1027</v>
      </c>
      <c r="U8" s="7">
        <v>141.541</v>
      </c>
      <c r="V8" s="39">
        <v>3.2599999999999997E-2</v>
      </c>
      <c r="W8" s="17">
        <v>2.2748140000000001</v>
      </c>
      <c r="X8" s="5" t="str">
        <f t="shared" si="3"/>
        <v>未买</v>
      </c>
    </row>
    <row r="9" spans="1:24" s="3" customFormat="1" x14ac:dyDescent="0.25">
      <c r="A9" s="7">
        <v>123089</v>
      </c>
      <c r="B9" s="7" t="s">
        <v>935</v>
      </c>
      <c r="C9" s="3">
        <f>VLOOKUP(A9,可转债实时数据!$B$7:$D$149,3,FALSE)</f>
        <v>131.5</v>
      </c>
      <c r="D9" s="5">
        <f t="shared" si="0"/>
        <v>22</v>
      </c>
      <c r="E9" s="5" t="e">
        <f t="shared" si="1"/>
        <v>#N/A</v>
      </c>
      <c r="H9" s="16">
        <v>7</v>
      </c>
      <c r="I9">
        <v>127079</v>
      </c>
      <c r="J9" t="s">
        <v>1067</v>
      </c>
      <c r="K9">
        <v>132.08199999999999</v>
      </c>
      <c r="L9" s="39">
        <v>6.5799999999999997E-2</v>
      </c>
      <c r="M9">
        <v>138.66200000000001</v>
      </c>
      <c r="N9" s="17">
        <v>3.3991160000000007</v>
      </c>
      <c r="O9" s="5" t="str">
        <f t="shared" si="2"/>
        <v>未买</v>
      </c>
      <c r="R9" s="16">
        <v>7</v>
      </c>
      <c r="S9" s="7">
        <v>123056</v>
      </c>
      <c r="T9" s="7" t="s">
        <v>1099</v>
      </c>
      <c r="U9" s="7">
        <v>129.80000000000001</v>
      </c>
      <c r="V9" s="39">
        <v>5.5899999999999998E-2</v>
      </c>
      <c r="W9" s="17">
        <v>3.1176010000000001</v>
      </c>
      <c r="X9" s="5" t="str">
        <f t="shared" si="3"/>
        <v>未买</v>
      </c>
    </row>
    <row r="10" spans="1:24" x14ac:dyDescent="0.25">
      <c r="A10" s="7">
        <v>127099</v>
      </c>
      <c r="B10" s="7" t="s">
        <v>975</v>
      </c>
      <c r="C10" s="3">
        <f>VLOOKUP(A10,可转债实时数据!$B$7:$D$149,3,FALSE)</f>
        <v>127.428</v>
      </c>
      <c r="D10" s="5" t="e">
        <f t="shared" si="0"/>
        <v>#N/A</v>
      </c>
      <c r="E10" s="5" t="e">
        <f t="shared" si="1"/>
        <v>#N/A</v>
      </c>
      <c r="H10" s="16">
        <v>8</v>
      </c>
      <c r="I10">
        <v>113039</v>
      </c>
      <c r="J10" t="s">
        <v>1094</v>
      </c>
      <c r="K10">
        <v>126.48</v>
      </c>
      <c r="L10" s="39">
        <v>0.1419</v>
      </c>
      <c r="M10">
        <v>140.67000000000002</v>
      </c>
      <c r="N10" s="17">
        <v>2.8765299999999998</v>
      </c>
      <c r="O10" s="5" t="str">
        <f t="shared" si="2"/>
        <v>未买</v>
      </c>
      <c r="R10" s="16">
        <v>8</v>
      </c>
      <c r="S10" s="7">
        <v>123221</v>
      </c>
      <c r="T10" s="7" t="s">
        <v>1053</v>
      </c>
      <c r="U10" s="7">
        <v>130.9</v>
      </c>
      <c r="V10" s="39">
        <v>6.2300000000000001E-2</v>
      </c>
      <c r="W10" s="17">
        <v>4.9941519999999997</v>
      </c>
      <c r="X10" s="5" t="str">
        <f t="shared" si="3"/>
        <v>未买</v>
      </c>
    </row>
    <row r="11" spans="1:24" x14ac:dyDescent="0.25">
      <c r="C11" s="3" t="e">
        <f>VLOOKUP(A11,可转债实时数据!$B$7:$D$149,3,FALSE)</f>
        <v>#N/A</v>
      </c>
      <c r="D11" s="5" t="e">
        <f t="shared" si="0"/>
        <v>#N/A</v>
      </c>
      <c r="E11" s="5" t="e">
        <f t="shared" si="1"/>
        <v>#N/A</v>
      </c>
      <c r="H11" s="16">
        <v>9</v>
      </c>
      <c r="I11">
        <v>123166</v>
      </c>
      <c r="J11" t="s">
        <v>981</v>
      </c>
      <c r="K11">
        <v>126.999</v>
      </c>
      <c r="L11" s="39">
        <v>0.13769999999999999</v>
      </c>
      <c r="M11">
        <v>140.76900000000001</v>
      </c>
      <c r="N11" s="17">
        <v>2.9994079999999999</v>
      </c>
      <c r="O11" s="5" t="str">
        <f t="shared" si="2"/>
        <v>Yes</v>
      </c>
      <c r="R11" s="16">
        <v>9</v>
      </c>
      <c r="S11" s="7">
        <v>127079</v>
      </c>
      <c r="T11" s="7" t="s">
        <v>1067</v>
      </c>
      <c r="U11" s="7">
        <v>132.08199999999999</v>
      </c>
      <c r="V11" s="39">
        <v>6.5799999999999997E-2</v>
      </c>
      <c r="W11" s="17">
        <v>3.3991160000000007</v>
      </c>
      <c r="X11" s="5" t="str">
        <f t="shared" si="3"/>
        <v>未买</v>
      </c>
    </row>
    <row r="12" spans="1:24" x14ac:dyDescent="0.25">
      <c r="C12" s="3" t="e">
        <f>VLOOKUP(A12,可转债实时数据!$B$7:$D$149,3,FALSE)</f>
        <v>#N/A</v>
      </c>
      <c r="D12" s="5" t="e">
        <f t="shared" si="0"/>
        <v>#N/A</v>
      </c>
      <c r="E12" s="5" t="e">
        <f t="shared" si="1"/>
        <v>#N/A</v>
      </c>
      <c r="H12" s="16">
        <v>10</v>
      </c>
      <c r="I12">
        <v>123207</v>
      </c>
      <c r="J12" t="s">
        <v>1010</v>
      </c>
      <c r="K12">
        <v>111.428</v>
      </c>
      <c r="L12" s="39">
        <v>0.31739999999999996</v>
      </c>
      <c r="M12">
        <v>143.16800000000001</v>
      </c>
      <c r="N12" s="17">
        <v>3.9975239999999999</v>
      </c>
      <c r="O12" s="5" t="str">
        <f t="shared" si="2"/>
        <v>未买</v>
      </c>
      <c r="R12" s="16">
        <v>10</v>
      </c>
      <c r="S12" s="7">
        <v>113651</v>
      </c>
      <c r="T12" s="7" t="s">
        <v>1078</v>
      </c>
      <c r="U12" s="7">
        <v>145.346</v>
      </c>
      <c r="V12" s="39">
        <v>6.6299999999999998E-2</v>
      </c>
      <c r="W12" s="17">
        <v>2.3794499999999998</v>
      </c>
      <c r="X12" s="5" t="str">
        <f t="shared" si="3"/>
        <v>未买</v>
      </c>
    </row>
    <row r="13" spans="1:24" x14ac:dyDescent="0.25">
      <c r="C13" s="3" t="e">
        <f>VLOOKUP(A13,可转债实时数据!$B$7:$D$149,3,FALSE)</f>
        <v>#N/A</v>
      </c>
      <c r="D13" s="5" t="e">
        <f t="shared" si="0"/>
        <v>#N/A</v>
      </c>
      <c r="E13" s="5" t="e">
        <f t="shared" si="1"/>
        <v>#N/A</v>
      </c>
      <c r="H13" s="16">
        <v>11</v>
      </c>
      <c r="I13">
        <v>128117</v>
      </c>
      <c r="J13" t="s">
        <v>1027</v>
      </c>
      <c r="K13">
        <v>141.541</v>
      </c>
      <c r="L13" s="39">
        <v>3.2599999999999997E-2</v>
      </c>
      <c r="M13">
        <v>144.80099999999999</v>
      </c>
      <c r="N13" s="17">
        <v>2.2748140000000001</v>
      </c>
      <c r="O13" s="5" t="str">
        <f t="shared" si="2"/>
        <v>未买</v>
      </c>
      <c r="R13" s="16">
        <v>11</v>
      </c>
      <c r="S13" s="7">
        <v>123243</v>
      </c>
      <c r="T13" s="7" t="s">
        <v>954</v>
      </c>
      <c r="U13" s="7">
        <v>127.13500000000001</v>
      </c>
      <c r="V13" s="39">
        <v>6.93E-2</v>
      </c>
      <c r="W13" s="17">
        <v>4.4710150000000004</v>
      </c>
      <c r="X13" s="5" t="str">
        <f t="shared" si="3"/>
        <v>未买</v>
      </c>
    </row>
    <row r="14" spans="1:24" x14ac:dyDescent="0.25">
      <c r="C14" s="3" t="e">
        <f>VLOOKUP(A14,可转债实时数据!$B$7:$D$149,3,FALSE)</f>
        <v>#N/A</v>
      </c>
      <c r="D14" s="5" t="e">
        <f t="shared" si="0"/>
        <v>#N/A</v>
      </c>
      <c r="E14" s="5" t="e">
        <f t="shared" si="1"/>
        <v>#N/A</v>
      </c>
      <c r="H14" s="16">
        <v>12</v>
      </c>
      <c r="I14">
        <v>123141</v>
      </c>
      <c r="J14" t="s">
        <v>1083</v>
      </c>
      <c r="K14">
        <v>121.001</v>
      </c>
      <c r="L14" s="39">
        <v>0.24979999999999999</v>
      </c>
      <c r="M14">
        <v>145.98099999999999</v>
      </c>
      <c r="N14" s="17">
        <v>3.2018399999999998</v>
      </c>
      <c r="O14" s="5" t="str">
        <f t="shared" si="2"/>
        <v>Yes</v>
      </c>
      <c r="R14" s="16">
        <v>12</v>
      </c>
      <c r="S14" s="7">
        <v>128066</v>
      </c>
      <c r="T14" s="7" t="s">
        <v>1081</v>
      </c>
      <c r="U14" s="7">
        <v>111.96299999999999</v>
      </c>
      <c r="V14" s="39">
        <v>7.1099999999999997E-2</v>
      </c>
      <c r="W14" s="17">
        <v>1.627176</v>
      </c>
      <c r="X14" s="5" t="str">
        <f t="shared" si="3"/>
        <v>未买</v>
      </c>
    </row>
    <row r="15" spans="1:24" x14ac:dyDescent="0.25">
      <c r="C15" s="3" t="e">
        <f>VLOOKUP(A15,可转债实时数据!$B$7:$D$149,3,FALSE)</f>
        <v>#N/A</v>
      </c>
      <c r="D15" s="5" t="e">
        <f t="shared" si="0"/>
        <v>#N/A</v>
      </c>
      <c r="E15" s="5" t="e">
        <f t="shared" si="1"/>
        <v>#N/A</v>
      </c>
      <c r="H15" s="16">
        <v>13</v>
      </c>
      <c r="I15">
        <v>123187</v>
      </c>
      <c r="J15" t="s">
        <v>967</v>
      </c>
      <c r="K15">
        <v>129.07900000000001</v>
      </c>
      <c r="L15" s="39">
        <v>0.17010000000000003</v>
      </c>
      <c r="M15">
        <v>146.089</v>
      </c>
      <c r="N15" s="17">
        <v>2.8547929999999999</v>
      </c>
      <c r="O15" s="5" t="str">
        <f t="shared" si="2"/>
        <v>未买</v>
      </c>
      <c r="R15" s="16">
        <v>13</v>
      </c>
      <c r="S15" s="7">
        <v>123078</v>
      </c>
      <c r="T15" s="7" t="s">
        <v>938</v>
      </c>
      <c r="U15" s="7">
        <v>132.29900000000001</v>
      </c>
      <c r="V15" s="39">
        <v>8.0199999999999994E-2</v>
      </c>
      <c r="W15" s="17">
        <v>5.961964</v>
      </c>
      <c r="X15" s="5" t="str">
        <f t="shared" si="3"/>
        <v>未买</v>
      </c>
    </row>
    <row r="16" spans="1:24" x14ac:dyDescent="0.25">
      <c r="C16" s="3" t="e">
        <f>VLOOKUP(A16,可转债实时数据!$B$7:$D$149,3,FALSE)</f>
        <v>#N/A</v>
      </c>
      <c r="D16" s="5" t="e">
        <f t="shared" si="0"/>
        <v>#N/A</v>
      </c>
      <c r="E16" s="5" t="e">
        <f t="shared" si="1"/>
        <v>#N/A</v>
      </c>
      <c r="H16" s="16">
        <v>14</v>
      </c>
      <c r="I16">
        <v>123189</v>
      </c>
      <c r="J16" t="s">
        <v>1038</v>
      </c>
      <c r="K16">
        <v>130</v>
      </c>
      <c r="L16" s="39">
        <v>0.17059999999999997</v>
      </c>
      <c r="M16">
        <v>147.06</v>
      </c>
      <c r="N16" s="17">
        <v>3.2875920000000001</v>
      </c>
      <c r="O16" s="5" t="str">
        <f t="shared" si="2"/>
        <v>未买</v>
      </c>
      <c r="R16" s="16">
        <v>14</v>
      </c>
      <c r="S16" s="7">
        <v>113663</v>
      </c>
      <c r="T16" s="7" t="s">
        <v>1070</v>
      </c>
      <c r="U16" s="7">
        <v>129.23400000000001</v>
      </c>
      <c r="V16" s="39">
        <v>8.900000000000001E-2</v>
      </c>
      <c r="W16" s="17">
        <v>5.04434</v>
      </c>
      <c r="X16" s="5" t="str">
        <f t="shared" si="3"/>
        <v>未买</v>
      </c>
    </row>
    <row r="17" spans="3:24" x14ac:dyDescent="0.25">
      <c r="C17" s="3" t="e">
        <f>VLOOKUP(A17,可转债实时数据!$B$7:$D$149,3,FALSE)</f>
        <v>#N/A</v>
      </c>
      <c r="D17" s="5" t="e">
        <f t="shared" ref="D17:D44" si="4">MATCH(A17,$I$1:$I$290,0)-2</f>
        <v>#N/A</v>
      </c>
      <c r="E17" s="5" t="e">
        <f t="shared" ref="E17:E44" si="5">MATCH(A17,$S$1:$S$44,0)-2</f>
        <v>#N/A</v>
      </c>
      <c r="H17" s="16">
        <v>15</v>
      </c>
      <c r="I17">
        <v>123201</v>
      </c>
      <c r="J17" t="s">
        <v>866</v>
      </c>
      <c r="K17">
        <v>124.4</v>
      </c>
      <c r="L17" s="39">
        <v>0.2382</v>
      </c>
      <c r="M17">
        <v>148.22</v>
      </c>
      <c r="N17" s="17">
        <v>3.1584449999999999</v>
      </c>
      <c r="O17" s="5" t="str">
        <f t="shared" si="2"/>
        <v>Yes</v>
      </c>
      <c r="R17" s="16">
        <v>15</v>
      </c>
      <c r="S17" s="7">
        <v>111017</v>
      </c>
      <c r="T17" s="7" t="s">
        <v>974</v>
      </c>
      <c r="U17" s="7">
        <v>131.89500000000001</v>
      </c>
      <c r="V17" s="39">
        <v>9.7699999999999995E-2</v>
      </c>
      <c r="W17" s="17">
        <v>6.7154299999999996</v>
      </c>
      <c r="X17" s="5" t="str">
        <f t="shared" si="3"/>
        <v>未买</v>
      </c>
    </row>
    <row r="18" spans="3:24" x14ac:dyDescent="0.25">
      <c r="C18" s="3" t="e">
        <f>VLOOKUP(A18,可转债实时数据!$B$7:$D$149,3,FALSE)</f>
        <v>#N/A</v>
      </c>
      <c r="D18" s="5" t="e">
        <f t="shared" si="4"/>
        <v>#N/A</v>
      </c>
      <c r="E18" s="5" t="e">
        <f t="shared" si="5"/>
        <v>#N/A</v>
      </c>
      <c r="H18" s="16">
        <v>16</v>
      </c>
      <c r="I18">
        <v>113598</v>
      </c>
      <c r="J18" t="s">
        <v>37</v>
      </c>
      <c r="K18">
        <v>128.5</v>
      </c>
      <c r="L18" s="39">
        <v>0.20569999999999999</v>
      </c>
      <c r="M18">
        <v>149.07</v>
      </c>
      <c r="N18" s="17">
        <v>2.7520799999999999</v>
      </c>
      <c r="O18" s="5" t="str">
        <f t="shared" si="2"/>
        <v>未买</v>
      </c>
      <c r="R18" s="16">
        <v>16</v>
      </c>
      <c r="S18" s="7">
        <v>118043</v>
      </c>
      <c r="T18" s="7" t="s">
        <v>1054</v>
      </c>
      <c r="U18" s="7">
        <v>146.678</v>
      </c>
      <c r="V18" s="39">
        <v>0.1101</v>
      </c>
      <c r="W18" s="17">
        <v>4.2813800000000004</v>
      </c>
      <c r="X18" s="5" t="str">
        <f t="shared" si="3"/>
        <v>未买</v>
      </c>
    </row>
    <row r="19" spans="3:24" x14ac:dyDescent="0.25">
      <c r="C19" s="3" t="e">
        <f>VLOOKUP(A19,可转债实时数据!$B$7:$D$149,3,FALSE)</f>
        <v>#N/A</v>
      </c>
      <c r="D19" s="5" t="e">
        <f t="shared" si="4"/>
        <v>#N/A</v>
      </c>
      <c r="E19" s="5" t="e">
        <f t="shared" si="5"/>
        <v>#N/A</v>
      </c>
      <c r="H19" s="16">
        <v>17</v>
      </c>
      <c r="I19">
        <v>123218</v>
      </c>
      <c r="J19" t="s">
        <v>946</v>
      </c>
      <c r="K19">
        <v>124.2</v>
      </c>
      <c r="L19" s="39">
        <v>0.25090000000000001</v>
      </c>
      <c r="M19">
        <v>149.29</v>
      </c>
      <c r="N19" s="17">
        <v>3.6104349999999998</v>
      </c>
      <c r="O19" s="5" t="str">
        <f t="shared" si="2"/>
        <v>未买</v>
      </c>
      <c r="R19" s="16">
        <v>17</v>
      </c>
      <c r="S19" s="7">
        <v>127035</v>
      </c>
      <c r="T19" s="7" t="s">
        <v>1101</v>
      </c>
      <c r="U19" s="7">
        <v>128.60400000000001</v>
      </c>
      <c r="V19" s="39">
        <v>0.11550000000000001</v>
      </c>
      <c r="W19" s="17">
        <v>6.2590599999999998</v>
      </c>
      <c r="X19" s="5" t="str">
        <f t="shared" si="3"/>
        <v>未买</v>
      </c>
    </row>
    <row r="20" spans="3:24" x14ac:dyDescent="0.25">
      <c r="C20" s="3" t="e">
        <f>VLOOKUP(A20,可转债实时数据!$B$7:$D$149,3,FALSE)</f>
        <v>#N/A</v>
      </c>
      <c r="D20" s="5" t="e">
        <f t="shared" si="4"/>
        <v>#N/A</v>
      </c>
      <c r="E20" s="5" t="e">
        <f t="shared" si="5"/>
        <v>#N/A</v>
      </c>
      <c r="H20" s="16">
        <v>18</v>
      </c>
      <c r="I20">
        <v>127055</v>
      </c>
      <c r="J20" t="s">
        <v>874</v>
      </c>
      <c r="K20">
        <v>146.94999999999999</v>
      </c>
      <c r="L20" s="39">
        <v>2.35E-2</v>
      </c>
      <c r="M20">
        <v>149.29999999999998</v>
      </c>
      <c r="N20" s="17">
        <v>2.9828869999999998</v>
      </c>
      <c r="O20" s="5" t="str">
        <f t="shared" si="2"/>
        <v>未买</v>
      </c>
      <c r="R20" s="16">
        <v>18</v>
      </c>
      <c r="S20" s="7">
        <v>123186</v>
      </c>
      <c r="T20" s="7" t="s">
        <v>1037</v>
      </c>
      <c r="U20" s="7">
        <v>149.446</v>
      </c>
      <c r="V20" s="39">
        <v>0.12330000000000001</v>
      </c>
      <c r="W20" s="17">
        <v>4.1727519999999991</v>
      </c>
      <c r="X20" s="5" t="str">
        <f t="shared" si="3"/>
        <v>未买</v>
      </c>
    </row>
    <row r="21" spans="3:24" x14ac:dyDescent="0.25">
      <c r="C21" s="3" t="e">
        <f>VLOOKUP(A21,可转债实时数据!$B$7:$D$149,3,FALSE)</f>
        <v>#N/A</v>
      </c>
      <c r="D21" s="5" t="e">
        <f t="shared" si="4"/>
        <v>#N/A</v>
      </c>
      <c r="E21" s="5" t="e">
        <f t="shared" si="5"/>
        <v>#N/A</v>
      </c>
      <c r="H21" s="16">
        <v>19</v>
      </c>
      <c r="I21">
        <v>127106</v>
      </c>
      <c r="J21" t="s">
        <v>1003</v>
      </c>
      <c r="K21">
        <v>126.267</v>
      </c>
      <c r="L21" s="39">
        <v>0.2339</v>
      </c>
      <c r="M21">
        <v>149.65699999999998</v>
      </c>
      <c r="N21" s="17">
        <v>2.695614</v>
      </c>
      <c r="O21" s="5" t="str">
        <f t="shared" si="2"/>
        <v>未买</v>
      </c>
      <c r="R21" s="16">
        <v>19</v>
      </c>
      <c r="S21" s="7">
        <v>123099</v>
      </c>
      <c r="T21" s="7" t="s">
        <v>1089</v>
      </c>
      <c r="U21" s="7">
        <v>93.549000000000007</v>
      </c>
      <c r="V21" s="39">
        <v>0.12710000000000002</v>
      </c>
      <c r="W21" s="17">
        <v>2.0226690000000001</v>
      </c>
      <c r="X21" s="5" t="str">
        <f t="shared" si="3"/>
        <v>未买</v>
      </c>
    </row>
    <row r="22" spans="3:24" x14ac:dyDescent="0.25">
      <c r="C22" s="3" t="e">
        <f>VLOOKUP(A22,可转债实时数据!$B$7:$D$149,3,FALSE)</f>
        <v>#N/A</v>
      </c>
      <c r="D22" s="5" t="e">
        <f t="shared" si="4"/>
        <v>#N/A</v>
      </c>
      <c r="E22" s="5" t="e">
        <f t="shared" si="5"/>
        <v>#N/A</v>
      </c>
      <c r="H22" s="16">
        <v>20</v>
      </c>
      <c r="I22">
        <v>123209</v>
      </c>
      <c r="J22" t="s">
        <v>976</v>
      </c>
      <c r="K22">
        <v>132.88800000000001</v>
      </c>
      <c r="L22" s="39">
        <v>0.16870000000000002</v>
      </c>
      <c r="M22">
        <v>149.75800000000001</v>
      </c>
      <c r="N22" s="17">
        <v>1.7962450000000001</v>
      </c>
      <c r="O22" s="5" t="str">
        <f t="shared" si="2"/>
        <v>未买</v>
      </c>
      <c r="R22" s="16">
        <v>20</v>
      </c>
      <c r="S22" s="7">
        <v>118028</v>
      </c>
      <c r="T22" s="7" t="s">
        <v>1068</v>
      </c>
      <c r="U22" s="7">
        <v>134.07599999999999</v>
      </c>
      <c r="V22" s="39">
        <v>0.1308</v>
      </c>
      <c r="W22" s="17">
        <v>6.5991499999999998</v>
      </c>
      <c r="X22" s="5" t="str">
        <f t="shared" si="3"/>
        <v>未买</v>
      </c>
    </row>
    <row r="23" spans="3:24" x14ac:dyDescent="0.25">
      <c r="C23" s="3" t="e">
        <f>VLOOKUP(A23,可转债实时数据!$B$7:$D$149,3,FALSE)</f>
        <v>#N/A</v>
      </c>
      <c r="D23" s="5" t="e">
        <f t="shared" si="4"/>
        <v>#N/A</v>
      </c>
      <c r="E23" s="5" t="e">
        <f t="shared" si="5"/>
        <v>#N/A</v>
      </c>
      <c r="H23" s="16">
        <v>21</v>
      </c>
      <c r="I23">
        <v>123211</v>
      </c>
      <c r="J23" t="s">
        <v>1056</v>
      </c>
      <c r="K23">
        <v>132.30000000000001</v>
      </c>
      <c r="L23" s="39">
        <v>0.1807</v>
      </c>
      <c r="M23">
        <v>150.37</v>
      </c>
      <c r="N23" s="17">
        <v>3.081153</v>
      </c>
      <c r="O23" s="5" t="str">
        <f t="shared" si="2"/>
        <v>未买</v>
      </c>
      <c r="R23" s="16">
        <v>21</v>
      </c>
      <c r="S23" s="7">
        <v>123166</v>
      </c>
      <c r="T23" s="7" t="s">
        <v>981</v>
      </c>
      <c r="U23" s="7">
        <v>126.999</v>
      </c>
      <c r="V23" s="39">
        <v>0.13769999999999999</v>
      </c>
      <c r="W23" s="17">
        <v>2.9994079999999999</v>
      </c>
      <c r="X23" s="5" t="str">
        <f t="shared" si="3"/>
        <v>Yes</v>
      </c>
    </row>
    <row r="24" spans="3:24" x14ac:dyDescent="0.25">
      <c r="C24" s="85" t="e">
        <f>VLOOKUP(A24,可转债实时数据!$B$7:$D$149,3,FALSE)</f>
        <v>#N/A</v>
      </c>
      <c r="D24" s="5" t="e">
        <f t="shared" si="4"/>
        <v>#N/A</v>
      </c>
      <c r="E24" s="5" t="e">
        <f t="shared" si="5"/>
        <v>#N/A</v>
      </c>
      <c r="H24" s="16">
        <v>22</v>
      </c>
      <c r="I24">
        <v>123089</v>
      </c>
      <c r="J24" t="s">
        <v>935</v>
      </c>
      <c r="K24">
        <v>131.5</v>
      </c>
      <c r="L24" s="39">
        <v>0.1895</v>
      </c>
      <c r="M24">
        <v>150.44999999999999</v>
      </c>
      <c r="N24" s="17">
        <v>2.2252990000000001</v>
      </c>
      <c r="O24" s="5" t="str">
        <f t="shared" si="2"/>
        <v>Yes</v>
      </c>
      <c r="R24" s="16">
        <v>22</v>
      </c>
      <c r="S24" s="7">
        <v>123204</v>
      </c>
      <c r="T24" s="7" t="s">
        <v>867</v>
      </c>
      <c r="U24" s="7">
        <v>126.279</v>
      </c>
      <c r="V24" s="39">
        <v>0.13819999999999999</v>
      </c>
      <c r="W24" s="17">
        <v>5.2345560000000004</v>
      </c>
      <c r="X24" s="5" t="str">
        <f t="shared" si="3"/>
        <v>未买</v>
      </c>
    </row>
    <row r="25" spans="3:24" x14ac:dyDescent="0.25">
      <c r="C25" s="85" t="e">
        <f>VLOOKUP(A25,可转债实时数据!$B$7:$D$149,3,FALSE)</f>
        <v>#N/A</v>
      </c>
      <c r="D25" s="5" t="e">
        <f t="shared" si="4"/>
        <v>#N/A</v>
      </c>
      <c r="E25" s="5" t="e">
        <f t="shared" si="5"/>
        <v>#N/A</v>
      </c>
      <c r="H25" s="16">
        <v>23</v>
      </c>
      <c r="I25">
        <v>123206</v>
      </c>
      <c r="J25" t="s">
        <v>868</v>
      </c>
      <c r="K25">
        <v>125.26600000000001</v>
      </c>
      <c r="L25" s="39">
        <v>0.25269999999999998</v>
      </c>
      <c r="M25">
        <v>150.536</v>
      </c>
      <c r="N25" s="17">
        <v>2.4968210000000002</v>
      </c>
      <c r="O25" s="5" t="str">
        <f t="shared" si="2"/>
        <v>未买</v>
      </c>
      <c r="R25" s="16">
        <v>23</v>
      </c>
      <c r="S25" s="7">
        <v>113039</v>
      </c>
      <c r="T25" s="7" t="s">
        <v>1094</v>
      </c>
      <c r="U25" s="7">
        <v>126.48</v>
      </c>
      <c r="V25" s="39">
        <v>0.1419</v>
      </c>
      <c r="W25" s="17">
        <v>2.8765299999999998</v>
      </c>
      <c r="X25" s="5" t="str">
        <f t="shared" si="3"/>
        <v>未买</v>
      </c>
    </row>
    <row r="26" spans="3:24" x14ac:dyDescent="0.25">
      <c r="C26" s="85" t="e">
        <f>VLOOKUP(A26,可转债实时数据!$B$7:$D$149,3,FALSE)</f>
        <v>#N/A</v>
      </c>
      <c r="D26" s="5" t="e">
        <f t="shared" si="4"/>
        <v>#N/A</v>
      </c>
      <c r="E26" s="5" t="e">
        <f t="shared" si="5"/>
        <v>#N/A</v>
      </c>
      <c r="H26" s="16">
        <v>24</v>
      </c>
      <c r="I26">
        <v>113668</v>
      </c>
      <c r="J26" t="s">
        <v>943</v>
      </c>
      <c r="K26">
        <v>124.914</v>
      </c>
      <c r="L26" s="39">
        <v>0.25629999999999997</v>
      </c>
      <c r="M26">
        <v>150.54400000000001</v>
      </c>
      <c r="N26" s="17">
        <v>2.54908</v>
      </c>
      <c r="O26" s="5" t="str">
        <f t="shared" si="2"/>
        <v>未买</v>
      </c>
      <c r="R26" s="16">
        <v>24</v>
      </c>
      <c r="S26" s="7">
        <v>123239</v>
      </c>
      <c r="T26" s="7" t="s">
        <v>1040</v>
      </c>
      <c r="U26" s="7">
        <v>148</v>
      </c>
      <c r="V26" s="39">
        <v>0.1474</v>
      </c>
      <c r="W26" s="17">
        <v>4.3813360000000001</v>
      </c>
      <c r="X26" s="5" t="str">
        <f t="shared" si="3"/>
        <v>未买</v>
      </c>
    </row>
    <row r="27" spans="3:24" x14ac:dyDescent="0.25">
      <c r="C27" s="85" t="e">
        <f>VLOOKUP(A27,可转债实时数据!$B$7:$D$149,3,FALSE)</f>
        <v>#N/A</v>
      </c>
      <c r="D27" s="5" t="e">
        <f t="shared" si="4"/>
        <v>#N/A</v>
      </c>
      <c r="E27" s="5" t="e">
        <f t="shared" si="5"/>
        <v>#N/A</v>
      </c>
      <c r="H27" s="16">
        <v>25</v>
      </c>
      <c r="I27">
        <v>123200</v>
      </c>
      <c r="J27" t="s">
        <v>1013</v>
      </c>
      <c r="K27">
        <v>120.911</v>
      </c>
      <c r="L27" s="39">
        <v>0.29719999999999996</v>
      </c>
      <c r="M27">
        <v>150.631</v>
      </c>
      <c r="N27" s="17">
        <v>3.698305</v>
      </c>
      <c r="O27" s="5" t="str">
        <f t="shared" si="2"/>
        <v>未买</v>
      </c>
      <c r="R27" s="16">
        <v>25</v>
      </c>
      <c r="S27" s="7">
        <v>123184</v>
      </c>
      <c r="T27" s="7" t="s">
        <v>1062</v>
      </c>
      <c r="U27" s="7">
        <v>142.62100000000001</v>
      </c>
      <c r="V27" s="39">
        <v>0.15090000000000001</v>
      </c>
      <c r="W27" s="17">
        <v>3.3203670000000001</v>
      </c>
      <c r="X27" s="5" t="str">
        <f t="shared" si="3"/>
        <v>未买</v>
      </c>
    </row>
    <row r="28" spans="3:24" x14ac:dyDescent="0.25">
      <c r="C28" s="85" t="e">
        <f>VLOOKUP(A28,可转债实时数据!$B$7:$D$149,3,FALSE)</f>
        <v>#N/A</v>
      </c>
      <c r="D28" s="5" t="e">
        <f t="shared" si="4"/>
        <v>#N/A</v>
      </c>
      <c r="E28" s="5" t="e">
        <f t="shared" si="5"/>
        <v>#N/A</v>
      </c>
      <c r="H28" s="16">
        <v>26</v>
      </c>
      <c r="I28">
        <v>123220</v>
      </c>
      <c r="J28" t="s">
        <v>947</v>
      </c>
      <c r="K28">
        <v>120.52</v>
      </c>
      <c r="L28" s="39">
        <v>0.30180000000000001</v>
      </c>
      <c r="M28">
        <v>150.69999999999999</v>
      </c>
      <c r="N28" s="17">
        <v>3.241034</v>
      </c>
      <c r="O28" s="5" t="str">
        <f t="shared" si="2"/>
        <v>未买</v>
      </c>
      <c r="R28" s="16">
        <v>26</v>
      </c>
      <c r="S28" s="7">
        <v>113609</v>
      </c>
      <c r="T28" s="7" t="s">
        <v>1093</v>
      </c>
      <c r="U28" s="7">
        <v>127.881</v>
      </c>
      <c r="V28" s="39">
        <v>0.1515</v>
      </c>
      <c r="W28" s="17">
        <v>5.7311800000000002</v>
      </c>
      <c r="X28" s="5" t="str">
        <f t="shared" si="3"/>
        <v>未买</v>
      </c>
    </row>
    <row r="29" spans="3:24" x14ac:dyDescent="0.25">
      <c r="C29" s="85" t="e">
        <f>VLOOKUP(A29,可转债实时数据!$B$7:$D$149,3,FALSE)</f>
        <v>#N/A</v>
      </c>
      <c r="D29" s="5" t="e">
        <f t="shared" si="4"/>
        <v>#N/A</v>
      </c>
      <c r="E29" s="5" t="e">
        <f t="shared" si="5"/>
        <v>#N/A</v>
      </c>
      <c r="H29" s="16">
        <v>27</v>
      </c>
      <c r="I29">
        <v>123160</v>
      </c>
      <c r="J29" t="s">
        <v>1073</v>
      </c>
      <c r="K29">
        <v>122</v>
      </c>
      <c r="L29" s="39">
        <v>0.28859999999999997</v>
      </c>
      <c r="M29">
        <v>150.86000000000001</v>
      </c>
      <c r="N29" s="17">
        <v>2.3482970000000001</v>
      </c>
      <c r="O29" s="5" t="str">
        <f t="shared" si="2"/>
        <v>Yes</v>
      </c>
      <c r="R29" s="16">
        <v>27</v>
      </c>
      <c r="S29" s="7">
        <v>113534</v>
      </c>
      <c r="T29" s="7" t="s">
        <v>1088</v>
      </c>
      <c r="U29" s="7">
        <v>117.04</v>
      </c>
      <c r="V29" s="39">
        <v>0.1522</v>
      </c>
      <c r="W29" s="17">
        <v>7.4050000000000005E-2</v>
      </c>
      <c r="X29" s="5" t="str">
        <f t="shared" ref="X29:X52" si="6">IF(ISNA(MATCH(S29,$A$3:$A$290,0)),"未买","Yes")</f>
        <v>未买</v>
      </c>
    </row>
    <row r="30" spans="3:24" x14ac:dyDescent="0.25">
      <c r="C30" s="85" t="e">
        <f>VLOOKUP(A30,可转债实时数据!$B$7:$D$149,3,FALSE)</f>
        <v>#N/A</v>
      </c>
      <c r="D30" s="5" t="e">
        <f t="shared" si="4"/>
        <v>#N/A</v>
      </c>
      <c r="E30" s="5" t="e">
        <f t="shared" si="5"/>
        <v>#N/A</v>
      </c>
      <c r="H30" s="16">
        <v>28</v>
      </c>
      <c r="I30">
        <v>113686</v>
      </c>
      <c r="J30" t="s">
        <v>953</v>
      </c>
      <c r="K30">
        <v>121.78100000000001</v>
      </c>
      <c r="L30" s="39">
        <v>0.29930000000000001</v>
      </c>
      <c r="M30">
        <v>151.71100000000001</v>
      </c>
      <c r="N30" s="17">
        <v>3.3659599999999998</v>
      </c>
      <c r="O30" s="5" t="str">
        <f t="shared" si="2"/>
        <v>未买</v>
      </c>
      <c r="R30" s="16">
        <v>28</v>
      </c>
      <c r="S30" s="7">
        <v>118050</v>
      </c>
      <c r="T30" s="7" t="s">
        <v>1031</v>
      </c>
      <c r="U30" s="7">
        <v>142.77699999999999</v>
      </c>
      <c r="V30" s="39">
        <v>0.15410000000000001</v>
      </c>
      <c r="W30" s="17">
        <v>6.66852</v>
      </c>
      <c r="X30" s="5" t="str">
        <f t="shared" si="6"/>
        <v>未买</v>
      </c>
    </row>
    <row r="31" spans="3:24" x14ac:dyDescent="0.25">
      <c r="C31" s="85" t="e">
        <f>VLOOKUP(A31,可转债实时数据!$B$7:$D$149,3,FALSE)</f>
        <v>#N/A</v>
      </c>
      <c r="D31" s="5" t="e">
        <f t="shared" si="4"/>
        <v>#N/A</v>
      </c>
      <c r="E31" s="5" t="e">
        <f t="shared" si="5"/>
        <v>#N/A</v>
      </c>
      <c r="H31" s="16">
        <v>29</v>
      </c>
      <c r="I31">
        <v>113651</v>
      </c>
      <c r="J31" t="s">
        <v>1078</v>
      </c>
      <c r="K31">
        <v>145.346</v>
      </c>
      <c r="L31" s="39">
        <v>6.6299999999999998E-2</v>
      </c>
      <c r="M31">
        <v>151.976</v>
      </c>
      <c r="N31" s="17">
        <v>2.3794499999999998</v>
      </c>
      <c r="O31" s="5" t="str">
        <f t="shared" ref="O31:O52" si="7">IF(ISNA(MATCH(I31,$A$3:$A$290,0)),"未买","Yes")</f>
        <v>未买</v>
      </c>
      <c r="R31" s="16">
        <v>29</v>
      </c>
      <c r="S31" s="7">
        <v>123174</v>
      </c>
      <c r="T31" s="7" t="s">
        <v>1066</v>
      </c>
      <c r="U31" s="7">
        <v>140.459</v>
      </c>
      <c r="V31" s="39">
        <v>0.1573</v>
      </c>
      <c r="W31" s="17">
        <v>6.7836340000000002</v>
      </c>
      <c r="X31" s="5" t="str">
        <f t="shared" si="6"/>
        <v>未买</v>
      </c>
    </row>
    <row r="32" spans="3:24" x14ac:dyDescent="0.25">
      <c r="C32" s="85" t="e">
        <f>VLOOKUP(A32,可转债实时数据!$B$7:$D$149,3,FALSE)</f>
        <v>#N/A</v>
      </c>
      <c r="D32" s="5" t="e">
        <f t="shared" si="4"/>
        <v>#N/A</v>
      </c>
      <c r="E32" s="5" t="e">
        <f t="shared" si="5"/>
        <v>#N/A</v>
      </c>
      <c r="H32" s="16">
        <v>30</v>
      </c>
      <c r="I32">
        <v>123223</v>
      </c>
      <c r="J32" t="s">
        <v>913</v>
      </c>
      <c r="K32">
        <v>131.96199999999999</v>
      </c>
      <c r="L32" s="39">
        <v>0.20269999999999999</v>
      </c>
      <c r="M32">
        <v>152.232</v>
      </c>
      <c r="N32" s="17">
        <v>2.0532439999999998</v>
      </c>
      <c r="O32" s="5" t="str">
        <f t="shared" si="7"/>
        <v>未买</v>
      </c>
      <c r="R32" s="16">
        <v>30</v>
      </c>
      <c r="S32" s="7">
        <v>118004</v>
      </c>
      <c r="T32" s="7" t="s">
        <v>1085</v>
      </c>
      <c r="U32" s="7">
        <v>130.04</v>
      </c>
      <c r="V32" s="39">
        <v>0.16200000000000001</v>
      </c>
      <c r="W32" s="17">
        <v>4.6483499999999998</v>
      </c>
      <c r="X32" s="5" t="str">
        <f t="shared" si="6"/>
        <v>未买</v>
      </c>
    </row>
    <row r="33" spans="3:24" x14ac:dyDescent="0.25">
      <c r="C33" s="85" t="e">
        <f>VLOOKUP(A33,可转债实时数据!$B$7:$D$149,3,FALSE)</f>
        <v>#N/A</v>
      </c>
      <c r="D33" s="5" t="e">
        <f t="shared" si="4"/>
        <v>#N/A</v>
      </c>
      <c r="E33" s="5" t="e">
        <f t="shared" si="5"/>
        <v>#N/A</v>
      </c>
      <c r="H33" s="16">
        <v>31</v>
      </c>
      <c r="I33">
        <v>113672</v>
      </c>
      <c r="J33" t="s">
        <v>984</v>
      </c>
      <c r="K33">
        <v>126.8</v>
      </c>
      <c r="L33" s="39">
        <v>0.25640000000000002</v>
      </c>
      <c r="M33">
        <v>152.44</v>
      </c>
      <c r="N33" s="17">
        <v>3.9344100000000002</v>
      </c>
      <c r="O33" s="5" t="str">
        <f t="shared" si="7"/>
        <v>未买</v>
      </c>
      <c r="R33" s="16">
        <v>31</v>
      </c>
      <c r="S33" s="7">
        <v>118041</v>
      </c>
      <c r="T33" s="7" t="s">
        <v>978</v>
      </c>
      <c r="U33" s="7">
        <v>124.65300000000001</v>
      </c>
      <c r="V33" s="39">
        <v>0.1663</v>
      </c>
      <c r="W33" s="17">
        <v>6.1998499999999996</v>
      </c>
      <c r="X33" s="5" t="str">
        <f t="shared" si="6"/>
        <v>未买</v>
      </c>
    </row>
    <row r="34" spans="3:24" x14ac:dyDescent="0.25">
      <c r="C34" s="85" t="e">
        <f>VLOOKUP(A34,可转债实时数据!$B$7:$D$149,3,FALSE)</f>
        <v>#N/A</v>
      </c>
      <c r="D34" s="5" t="e">
        <f t="shared" si="4"/>
        <v>#N/A</v>
      </c>
      <c r="E34" s="5" t="e">
        <f t="shared" si="5"/>
        <v>#N/A</v>
      </c>
      <c r="H34" s="16">
        <v>32</v>
      </c>
      <c r="I34">
        <v>123052</v>
      </c>
      <c r="J34" t="s">
        <v>1029</v>
      </c>
      <c r="K34">
        <v>130.096</v>
      </c>
      <c r="L34" s="39">
        <v>0.22359999999999999</v>
      </c>
      <c r="M34">
        <v>152.45600000000002</v>
      </c>
      <c r="N34" s="17">
        <v>1.501679</v>
      </c>
      <c r="O34" s="5" t="str">
        <f t="shared" si="7"/>
        <v>未买</v>
      </c>
      <c r="R34" s="16">
        <v>32</v>
      </c>
      <c r="S34" s="7">
        <v>123209</v>
      </c>
      <c r="T34" s="7" t="s">
        <v>976</v>
      </c>
      <c r="U34" s="7">
        <v>132.88800000000001</v>
      </c>
      <c r="V34" s="39">
        <v>0.16870000000000002</v>
      </c>
      <c r="W34" s="17">
        <v>1.7962450000000001</v>
      </c>
      <c r="X34" s="5" t="str">
        <f t="shared" si="6"/>
        <v>未买</v>
      </c>
    </row>
    <row r="35" spans="3:24" x14ac:dyDescent="0.25">
      <c r="C35" s="85" t="e">
        <f>VLOOKUP(A35,可转债实时数据!$B$7:$D$149,3,FALSE)</f>
        <v>#N/A</v>
      </c>
      <c r="D35" s="5" t="e">
        <f t="shared" si="4"/>
        <v>#N/A</v>
      </c>
      <c r="E35" s="5" t="e">
        <f t="shared" si="5"/>
        <v>#N/A</v>
      </c>
      <c r="H35" s="16">
        <v>33</v>
      </c>
      <c r="I35">
        <v>123230</v>
      </c>
      <c r="J35" t="s">
        <v>958</v>
      </c>
      <c r="K35">
        <v>115.72499999999999</v>
      </c>
      <c r="L35" s="39">
        <v>0.371</v>
      </c>
      <c r="M35">
        <v>152.82499999999999</v>
      </c>
      <c r="N35" s="17">
        <v>3.49838</v>
      </c>
      <c r="O35" s="5" t="str">
        <f t="shared" si="7"/>
        <v>未买</v>
      </c>
      <c r="R35" s="16">
        <v>33</v>
      </c>
      <c r="S35" s="7">
        <v>123244</v>
      </c>
      <c r="T35" s="7" t="s">
        <v>956</v>
      </c>
      <c r="U35" s="7">
        <v>129</v>
      </c>
      <c r="V35" s="39">
        <v>0.16930000000000001</v>
      </c>
      <c r="W35" s="17">
        <v>4.0911679999999997</v>
      </c>
      <c r="X35" s="5" t="str">
        <f t="shared" si="6"/>
        <v>未买</v>
      </c>
    </row>
    <row r="36" spans="3:24" x14ac:dyDescent="0.25">
      <c r="C36" s="85" t="e">
        <f>VLOOKUP(A36,可转债实时数据!$B$7:$D$149,3,FALSE)</f>
        <v>#N/A</v>
      </c>
      <c r="D36" s="5" t="e">
        <f t="shared" si="4"/>
        <v>#N/A</v>
      </c>
      <c r="E36" s="5" t="e">
        <f t="shared" si="5"/>
        <v>#N/A</v>
      </c>
      <c r="H36" s="16">
        <v>34</v>
      </c>
      <c r="I36">
        <v>128120</v>
      </c>
      <c r="J36" t="s">
        <v>1097</v>
      </c>
      <c r="K36">
        <v>129.559</v>
      </c>
      <c r="L36" s="39">
        <v>0.23280000000000001</v>
      </c>
      <c r="M36">
        <v>152.839</v>
      </c>
      <c r="N36" s="17">
        <v>1.7048289999999999</v>
      </c>
      <c r="O36" s="5" t="str">
        <f t="shared" si="7"/>
        <v>未买</v>
      </c>
      <c r="R36" s="16">
        <v>34</v>
      </c>
      <c r="S36" s="7">
        <v>123187</v>
      </c>
      <c r="T36" s="7" t="s">
        <v>967</v>
      </c>
      <c r="U36" s="7">
        <v>129.07900000000001</v>
      </c>
      <c r="V36" s="39">
        <v>0.17010000000000003</v>
      </c>
      <c r="W36" s="17">
        <v>2.8547929999999999</v>
      </c>
      <c r="X36" s="5" t="str">
        <f t="shared" si="6"/>
        <v>未买</v>
      </c>
    </row>
    <row r="37" spans="3:24" x14ac:dyDescent="0.25">
      <c r="C37" s="85" t="e">
        <f>VLOOKUP(A37,可转债实时数据!$B$7:$D$149,3,FALSE)</f>
        <v>#N/A</v>
      </c>
      <c r="D37" s="5" t="e">
        <f t="shared" si="4"/>
        <v>#N/A</v>
      </c>
      <c r="E37" s="5" t="e">
        <f t="shared" si="5"/>
        <v>#N/A</v>
      </c>
      <c r="H37" s="16">
        <v>35</v>
      </c>
      <c r="I37">
        <v>123246</v>
      </c>
      <c r="J37" t="s">
        <v>1032</v>
      </c>
      <c r="K37">
        <v>127.6</v>
      </c>
      <c r="L37" s="39">
        <v>0.2555</v>
      </c>
      <c r="M37">
        <v>153.15</v>
      </c>
      <c r="N37" s="17">
        <v>2.7104180000000002</v>
      </c>
      <c r="O37" s="5" t="str">
        <f t="shared" si="7"/>
        <v>未买</v>
      </c>
      <c r="R37" s="16">
        <v>35</v>
      </c>
      <c r="S37" s="7">
        <v>123189</v>
      </c>
      <c r="T37" s="7" t="s">
        <v>1038</v>
      </c>
      <c r="U37" s="7">
        <v>130</v>
      </c>
      <c r="V37" s="39">
        <v>0.17059999999999997</v>
      </c>
      <c r="W37" s="17">
        <v>3.2875920000000001</v>
      </c>
      <c r="X37" s="5" t="str">
        <f t="shared" si="6"/>
        <v>未买</v>
      </c>
    </row>
    <row r="38" spans="3:24" x14ac:dyDescent="0.25">
      <c r="C38" s="85" t="e">
        <f>VLOOKUP(A38,可转债实时数据!$B$7:$D$149,3,FALSE)</f>
        <v>#N/A</v>
      </c>
      <c r="D38" s="5" t="e">
        <f t="shared" si="4"/>
        <v>#N/A</v>
      </c>
      <c r="E38" s="5" t="e">
        <f t="shared" si="5"/>
        <v>#N/A</v>
      </c>
      <c r="H38" s="16">
        <v>36</v>
      </c>
      <c r="I38">
        <v>111020</v>
      </c>
      <c r="J38" t="s">
        <v>955</v>
      </c>
      <c r="K38">
        <v>124.696</v>
      </c>
      <c r="L38" s="39">
        <v>0.28539999999999999</v>
      </c>
      <c r="M38">
        <v>153.23599999999999</v>
      </c>
      <c r="N38" s="17">
        <v>3.3798400000000002</v>
      </c>
      <c r="O38" s="5" t="str">
        <f t="shared" si="7"/>
        <v>未买</v>
      </c>
      <c r="R38" s="16">
        <v>36</v>
      </c>
      <c r="S38" s="7">
        <v>123248</v>
      </c>
      <c r="T38" s="7" t="s">
        <v>1030</v>
      </c>
      <c r="U38" s="7">
        <v>147.19999999999999</v>
      </c>
      <c r="V38" s="39">
        <v>0.17120000000000002</v>
      </c>
      <c r="W38" s="17">
        <v>2.581054</v>
      </c>
      <c r="X38" s="5" t="str">
        <f t="shared" si="6"/>
        <v>未买</v>
      </c>
    </row>
    <row r="39" spans="3:24" x14ac:dyDescent="0.25">
      <c r="C39" s="85" t="e">
        <f>VLOOKUP(A39,可转债实时数据!$B$7:$D$149,3,FALSE)</f>
        <v>#N/A</v>
      </c>
      <c r="D39" s="5" t="e">
        <f t="shared" si="4"/>
        <v>#N/A</v>
      </c>
      <c r="E39" s="5" t="e">
        <f t="shared" si="5"/>
        <v>#N/A</v>
      </c>
      <c r="H39" s="16">
        <v>37</v>
      </c>
      <c r="I39">
        <v>123185</v>
      </c>
      <c r="J39" t="s">
        <v>995</v>
      </c>
      <c r="K39">
        <v>113.458</v>
      </c>
      <c r="L39" s="39">
        <v>0.40570000000000001</v>
      </c>
      <c r="M39">
        <v>154.02799999999999</v>
      </c>
      <c r="N39" s="17">
        <v>3.4787650000000001</v>
      </c>
      <c r="O39" s="5" t="str">
        <f t="shared" si="7"/>
        <v>未买</v>
      </c>
      <c r="R39" s="16">
        <v>37</v>
      </c>
      <c r="S39" s="7">
        <v>127104</v>
      </c>
      <c r="T39" s="7" t="s">
        <v>972</v>
      </c>
      <c r="U39" s="7">
        <v>149.21700000000001</v>
      </c>
      <c r="V39" s="39">
        <v>0.17329999999999998</v>
      </c>
      <c r="W39" s="17">
        <v>5.8275670000000002</v>
      </c>
      <c r="X39" s="5" t="str">
        <f t="shared" si="6"/>
        <v>未买</v>
      </c>
    </row>
    <row r="40" spans="3:24" x14ac:dyDescent="0.25">
      <c r="C40" s="85" t="e">
        <f>VLOOKUP(A40,可转债实时数据!$B$7:$D$149,3,FALSE)</f>
        <v>#N/A</v>
      </c>
      <c r="D40" s="5" t="e">
        <f t="shared" si="4"/>
        <v>#N/A</v>
      </c>
      <c r="E40" s="5" t="e">
        <f t="shared" si="5"/>
        <v>#N/A</v>
      </c>
      <c r="H40" s="16">
        <v>38</v>
      </c>
      <c r="I40">
        <v>123234</v>
      </c>
      <c r="J40" t="s">
        <v>959</v>
      </c>
      <c r="K40">
        <v>118.69799999999999</v>
      </c>
      <c r="L40" s="39">
        <v>0.35439999999999999</v>
      </c>
      <c r="M40">
        <v>154.13799999999998</v>
      </c>
      <c r="N40" s="17">
        <v>3.9986269999999995</v>
      </c>
      <c r="O40" s="5" t="str">
        <f t="shared" si="7"/>
        <v>Yes</v>
      </c>
      <c r="R40" s="16">
        <v>38</v>
      </c>
      <c r="S40" s="7">
        <v>128105</v>
      </c>
      <c r="T40" s="7" t="s">
        <v>1087</v>
      </c>
      <c r="U40" s="7">
        <v>116.998</v>
      </c>
      <c r="V40" s="39">
        <v>0.1744</v>
      </c>
      <c r="W40" s="17">
        <v>6.0499049999999999</v>
      </c>
      <c r="X40" s="5" t="str">
        <f t="shared" si="6"/>
        <v>未买</v>
      </c>
    </row>
    <row r="41" spans="3:24" x14ac:dyDescent="0.25">
      <c r="C41" s="85" t="e">
        <f>VLOOKUP(A41,可转债实时数据!$B$7:$D$149,3,FALSE)</f>
        <v>#N/A</v>
      </c>
      <c r="D41" s="5" t="e">
        <f t="shared" si="4"/>
        <v>#N/A</v>
      </c>
      <c r="E41" s="5" t="e">
        <f t="shared" si="5"/>
        <v>#N/A</v>
      </c>
      <c r="H41" s="16">
        <v>39</v>
      </c>
      <c r="I41">
        <v>113683</v>
      </c>
      <c r="J41" t="s">
        <v>950</v>
      </c>
      <c r="K41">
        <v>132.23599999999999</v>
      </c>
      <c r="L41" s="39">
        <v>0.22149999999999997</v>
      </c>
      <c r="M41">
        <v>154.386</v>
      </c>
      <c r="N41" s="17">
        <v>2.8476699999999999</v>
      </c>
      <c r="O41" s="5" t="str">
        <f t="shared" si="7"/>
        <v>未买</v>
      </c>
      <c r="R41" s="16">
        <v>39</v>
      </c>
      <c r="S41" s="7">
        <v>123198</v>
      </c>
      <c r="T41" s="7" t="s">
        <v>944</v>
      </c>
      <c r="U41" s="7">
        <v>117.32299999999999</v>
      </c>
      <c r="V41" s="39">
        <v>0.17480000000000001</v>
      </c>
      <c r="W41" s="17">
        <v>3.259293</v>
      </c>
      <c r="X41" s="5" t="str">
        <f t="shared" si="6"/>
        <v>未买</v>
      </c>
    </row>
    <row r="42" spans="3:24" x14ac:dyDescent="0.25">
      <c r="C42" s="85" t="e">
        <f>VLOOKUP(A42,可转债实时数据!$B$7:$D$149,3,FALSE)</f>
        <v>#N/A</v>
      </c>
      <c r="D42" s="5" t="e">
        <f t="shared" si="4"/>
        <v>#N/A</v>
      </c>
      <c r="E42" s="5" t="e">
        <f t="shared" si="5"/>
        <v>#N/A</v>
      </c>
      <c r="H42" s="16">
        <v>40</v>
      </c>
      <c r="I42">
        <v>123092</v>
      </c>
      <c r="J42" t="s">
        <v>1092</v>
      </c>
      <c r="K42">
        <v>121.152</v>
      </c>
      <c r="L42" s="39">
        <v>0.34369999999999995</v>
      </c>
      <c r="M42">
        <v>155.52199999999999</v>
      </c>
      <c r="N42" s="17">
        <v>3.4228809999999998</v>
      </c>
      <c r="O42" s="5" t="str">
        <f t="shared" si="7"/>
        <v>未买</v>
      </c>
      <c r="R42" s="16">
        <v>40</v>
      </c>
      <c r="S42" s="7">
        <v>123211</v>
      </c>
      <c r="T42" s="7" t="s">
        <v>1056</v>
      </c>
      <c r="U42" s="7">
        <v>132.30000000000001</v>
      </c>
      <c r="V42" s="39">
        <v>0.1807</v>
      </c>
      <c r="W42" s="17">
        <v>3.081153</v>
      </c>
      <c r="X42" s="5" t="str">
        <f t="shared" si="6"/>
        <v>未买</v>
      </c>
    </row>
    <row r="43" spans="3:24" x14ac:dyDescent="0.25">
      <c r="C43" s="85" t="e">
        <f>VLOOKUP(A43,可转债实时数据!$B$7:$D$149,3,FALSE)</f>
        <v>#N/A</v>
      </c>
      <c r="D43" s="5" t="e">
        <f t="shared" si="4"/>
        <v>#N/A</v>
      </c>
      <c r="E43" s="5" t="e">
        <f t="shared" si="5"/>
        <v>#N/A</v>
      </c>
      <c r="H43" s="16">
        <v>41</v>
      </c>
      <c r="I43">
        <v>123088</v>
      </c>
      <c r="J43" t="s">
        <v>998</v>
      </c>
      <c r="K43">
        <v>121.381</v>
      </c>
      <c r="L43" s="39">
        <v>0.34670000000000001</v>
      </c>
      <c r="M43">
        <v>156.05099999999999</v>
      </c>
      <c r="N43" s="17">
        <v>3.0044949999999999</v>
      </c>
      <c r="O43" s="5" t="str">
        <f t="shared" si="7"/>
        <v>未买</v>
      </c>
      <c r="R43" s="16">
        <v>41</v>
      </c>
      <c r="S43" s="7">
        <v>123048</v>
      </c>
      <c r="T43" s="7" t="s">
        <v>982</v>
      </c>
      <c r="U43" s="7">
        <v>140.09</v>
      </c>
      <c r="V43" s="39">
        <v>0.18160000000000001</v>
      </c>
      <c r="W43" s="17">
        <v>2.124714</v>
      </c>
      <c r="X43" s="5" t="str">
        <f t="shared" si="6"/>
        <v>未买</v>
      </c>
    </row>
    <row r="44" spans="3:24" x14ac:dyDescent="0.25">
      <c r="C44" s="85" t="e">
        <f>VLOOKUP(A44,可转债实时数据!$B$7:$D$149,3,FALSE)</f>
        <v>#N/A</v>
      </c>
      <c r="D44" s="5" t="e">
        <f t="shared" si="4"/>
        <v>#N/A</v>
      </c>
      <c r="E44" s="5" t="e">
        <f t="shared" si="5"/>
        <v>#N/A</v>
      </c>
      <c r="H44" s="16">
        <v>42</v>
      </c>
      <c r="I44">
        <v>123184</v>
      </c>
      <c r="J44" t="s">
        <v>1062</v>
      </c>
      <c r="K44">
        <v>142.62100000000001</v>
      </c>
      <c r="L44" s="39">
        <v>0.15090000000000001</v>
      </c>
      <c r="M44">
        <v>157.71100000000001</v>
      </c>
      <c r="N44" s="17">
        <v>3.3203670000000001</v>
      </c>
      <c r="O44" s="5" t="str">
        <f t="shared" si="7"/>
        <v>未买</v>
      </c>
      <c r="R44" s="16">
        <v>42</v>
      </c>
      <c r="S44" s="7">
        <v>118039</v>
      </c>
      <c r="T44" s="7" t="s">
        <v>970</v>
      </c>
      <c r="U44" s="7">
        <v>124.78400000000001</v>
      </c>
      <c r="V44" s="39">
        <v>0.1855</v>
      </c>
      <c r="W44" s="17">
        <v>4.1041100000000004</v>
      </c>
      <c r="X44" s="5" t="str">
        <f t="shared" si="6"/>
        <v>未买</v>
      </c>
    </row>
    <row r="45" spans="3:24" x14ac:dyDescent="0.25">
      <c r="H45" s="14">
        <v>43</v>
      </c>
      <c r="I45" s="7">
        <v>123048</v>
      </c>
      <c r="J45" s="7" t="s">
        <v>982</v>
      </c>
      <c r="K45" s="7">
        <v>140.09</v>
      </c>
      <c r="L45" s="40">
        <v>0.18160000000000001</v>
      </c>
      <c r="M45" s="7">
        <v>158.25</v>
      </c>
      <c r="N45" s="29">
        <v>2.124714</v>
      </c>
      <c r="O45" s="5" t="str">
        <f t="shared" si="7"/>
        <v>未买</v>
      </c>
      <c r="R45" s="14">
        <v>43</v>
      </c>
      <c r="S45" s="7">
        <v>127028</v>
      </c>
      <c r="T45" s="7" t="s">
        <v>1091</v>
      </c>
      <c r="U45" s="7">
        <v>123.54</v>
      </c>
      <c r="V45" s="40">
        <v>0.1875</v>
      </c>
      <c r="W45" s="29">
        <v>4.0620849999999997</v>
      </c>
      <c r="X45" s="5" t="str">
        <f t="shared" si="6"/>
        <v>未买</v>
      </c>
    </row>
    <row r="46" spans="3:24" x14ac:dyDescent="0.25">
      <c r="H46" s="14">
        <v>44</v>
      </c>
      <c r="I46" s="7">
        <v>123112</v>
      </c>
      <c r="J46" s="7" t="s">
        <v>992</v>
      </c>
      <c r="K46" s="7">
        <v>123.6</v>
      </c>
      <c r="L46" s="40">
        <v>0.35189999999999999</v>
      </c>
      <c r="M46" s="7">
        <v>158.79</v>
      </c>
      <c r="N46" s="29">
        <v>2.2646899999999999</v>
      </c>
      <c r="O46" s="5" t="str">
        <f t="shared" si="7"/>
        <v>未买</v>
      </c>
      <c r="R46" s="14">
        <v>44</v>
      </c>
      <c r="S46" s="7">
        <v>123237</v>
      </c>
      <c r="T46" s="7" t="s">
        <v>961</v>
      </c>
      <c r="U46" s="7">
        <v>129.70500000000001</v>
      </c>
      <c r="V46" s="40">
        <v>0.18780000000000002</v>
      </c>
      <c r="W46" s="29">
        <v>4.3175239999999997</v>
      </c>
      <c r="X46" s="5" t="str">
        <f t="shared" si="6"/>
        <v>未买</v>
      </c>
    </row>
    <row r="47" spans="3:24" x14ac:dyDescent="0.25">
      <c r="H47" s="14">
        <v>45</v>
      </c>
      <c r="I47" s="7">
        <v>123242</v>
      </c>
      <c r="J47" s="7" t="s">
        <v>986</v>
      </c>
      <c r="K47" s="7">
        <v>125.51</v>
      </c>
      <c r="L47" s="40">
        <v>0.33289999999999997</v>
      </c>
      <c r="M47" s="7">
        <v>158.80000000000001</v>
      </c>
      <c r="N47" s="29">
        <v>2.4959730000000002</v>
      </c>
      <c r="O47" s="5" t="str">
        <f t="shared" si="7"/>
        <v>未买</v>
      </c>
      <c r="R47" s="14">
        <v>45</v>
      </c>
      <c r="S47" s="7">
        <v>123089</v>
      </c>
      <c r="T47" s="7" t="s">
        <v>935</v>
      </c>
      <c r="U47" s="7">
        <v>131.5</v>
      </c>
      <c r="V47" s="40">
        <v>0.1895</v>
      </c>
      <c r="W47" s="29">
        <v>2.2252990000000001</v>
      </c>
      <c r="X47" s="5" t="str">
        <f t="shared" si="6"/>
        <v>Yes</v>
      </c>
    </row>
    <row r="48" spans="3:24" x14ac:dyDescent="0.25">
      <c r="H48" s="14">
        <v>46</v>
      </c>
      <c r="I48" s="7">
        <v>123199</v>
      </c>
      <c r="J48" s="7" t="s">
        <v>920</v>
      </c>
      <c r="K48" s="7">
        <v>116.779</v>
      </c>
      <c r="L48" s="40">
        <v>0.42049999999999998</v>
      </c>
      <c r="M48" s="7">
        <v>158.82900000000001</v>
      </c>
      <c r="N48" s="29">
        <v>3.1982330000000001</v>
      </c>
      <c r="O48" s="5" t="str">
        <f t="shared" si="7"/>
        <v>未买</v>
      </c>
      <c r="R48" s="14">
        <v>46</v>
      </c>
      <c r="S48" s="7">
        <v>127095</v>
      </c>
      <c r="T48" s="7" t="s">
        <v>914</v>
      </c>
      <c r="U48" s="7">
        <v>126.887</v>
      </c>
      <c r="V48" s="40">
        <v>0.19519999999999998</v>
      </c>
      <c r="W48" s="29">
        <v>6.9278599999999999</v>
      </c>
      <c r="X48" s="5" t="str">
        <f t="shared" si="6"/>
        <v>未买</v>
      </c>
    </row>
    <row r="49" spans="8:24" x14ac:dyDescent="0.25">
      <c r="H49" s="14">
        <v>47</v>
      </c>
      <c r="I49" s="7">
        <v>127093</v>
      </c>
      <c r="J49" s="7" t="s">
        <v>1049</v>
      </c>
      <c r="K49" s="7">
        <v>120.78400000000001</v>
      </c>
      <c r="L49" s="40">
        <v>0.38319999999999999</v>
      </c>
      <c r="M49" s="7">
        <v>159.10400000000001</v>
      </c>
      <c r="N49" s="29">
        <v>2.4264220000000001</v>
      </c>
      <c r="O49" s="5" t="str">
        <f t="shared" si="7"/>
        <v>未买</v>
      </c>
      <c r="R49" s="14">
        <v>47</v>
      </c>
      <c r="S49" s="7">
        <v>123231</v>
      </c>
      <c r="T49" s="7" t="s">
        <v>1044</v>
      </c>
      <c r="U49" s="7">
        <v>141.00700000000001</v>
      </c>
      <c r="V49" s="40">
        <v>0.1953</v>
      </c>
      <c r="W49" s="29">
        <v>2.6587009999999998</v>
      </c>
      <c r="X49" s="5" t="str">
        <f t="shared" si="6"/>
        <v>未买</v>
      </c>
    </row>
    <row r="50" spans="8:24" x14ac:dyDescent="0.25">
      <c r="H50" s="14">
        <v>48</v>
      </c>
      <c r="I50" s="7">
        <v>113674</v>
      </c>
      <c r="J50" s="7" t="s">
        <v>945</v>
      </c>
      <c r="K50" s="7">
        <v>120.17</v>
      </c>
      <c r="L50" s="40">
        <v>0.39039999999999997</v>
      </c>
      <c r="M50" s="7">
        <v>159.21</v>
      </c>
      <c r="N50" s="29">
        <v>3.99891</v>
      </c>
      <c r="O50" s="5" t="str">
        <f t="shared" si="7"/>
        <v>未买</v>
      </c>
      <c r="R50" s="14">
        <v>48</v>
      </c>
      <c r="S50" s="7">
        <v>123147</v>
      </c>
      <c r="T50" s="7" t="s">
        <v>940</v>
      </c>
      <c r="U50" s="7">
        <v>122.398</v>
      </c>
      <c r="V50" s="40">
        <v>0.2016</v>
      </c>
      <c r="W50" s="29">
        <v>4.9842899999999997</v>
      </c>
      <c r="X50" s="5" t="str">
        <f t="shared" si="6"/>
        <v>未买</v>
      </c>
    </row>
    <row r="51" spans="8:24" x14ac:dyDescent="0.25">
      <c r="H51" s="14">
        <v>49</v>
      </c>
      <c r="I51" s="7">
        <v>118036</v>
      </c>
      <c r="J51" s="7" t="s">
        <v>1059</v>
      </c>
      <c r="K51" s="7">
        <v>125.74299999999999</v>
      </c>
      <c r="L51" s="40">
        <v>0.3407</v>
      </c>
      <c r="M51" s="7">
        <v>159.81299999999999</v>
      </c>
      <c r="N51" s="29">
        <v>3.7996699999999999</v>
      </c>
      <c r="O51" s="5" t="str">
        <f t="shared" si="7"/>
        <v>未买</v>
      </c>
      <c r="R51" s="14">
        <v>49</v>
      </c>
      <c r="S51" s="7">
        <v>123223</v>
      </c>
      <c r="T51" s="7" t="s">
        <v>913</v>
      </c>
      <c r="U51" s="7">
        <v>131.96199999999999</v>
      </c>
      <c r="V51" s="40">
        <v>0.20269999999999999</v>
      </c>
      <c r="W51" s="29">
        <v>2.0532439999999998</v>
      </c>
      <c r="X51" s="5" t="str">
        <f t="shared" si="6"/>
        <v>未买</v>
      </c>
    </row>
    <row r="52" spans="8:24" x14ac:dyDescent="0.25">
      <c r="H52" s="14">
        <v>50</v>
      </c>
      <c r="I52" s="7">
        <v>123231</v>
      </c>
      <c r="J52" s="7" t="s">
        <v>1044</v>
      </c>
      <c r="K52" s="7">
        <v>141.00700000000001</v>
      </c>
      <c r="L52" s="40">
        <v>0.1953</v>
      </c>
      <c r="M52" s="7">
        <v>160.53700000000001</v>
      </c>
      <c r="N52" s="29">
        <v>2.6587009999999998</v>
      </c>
      <c r="O52" s="5" t="str">
        <f t="shared" si="7"/>
        <v>未买</v>
      </c>
      <c r="R52" s="14">
        <v>50</v>
      </c>
      <c r="S52" s="7">
        <v>113676</v>
      </c>
      <c r="T52" s="7" t="s">
        <v>987</v>
      </c>
      <c r="U52" s="7">
        <v>121.46</v>
      </c>
      <c r="V52" s="40">
        <v>0.20420000000000002</v>
      </c>
      <c r="W52" s="29">
        <v>5.7595299999999998</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586596</xdr:colOff>
                    <xdr:row>2</xdr:row>
                    <xdr:rowOff>77638</xdr:rowOff>
                  </from>
                  <to>
                    <xdr:col>15</xdr:col>
                    <xdr:colOff>638355</xdr:colOff>
                    <xdr:row>4</xdr:row>
                    <xdr:rowOff>172528</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612475</xdr:colOff>
                    <xdr:row>2</xdr:row>
                    <xdr:rowOff>86264</xdr:rowOff>
                  </from>
                  <to>
                    <xdr:col>24</xdr:col>
                    <xdr:colOff>664234</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5"/>
  <sheetViews>
    <sheetView tabSelected="1" topLeftCell="H1" workbookViewId="0">
      <pane ySplit="1" topLeftCell="A2" activePane="bottomLeft" state="frozen"/>
      <selection pane="bottomLeft" activeCell="S13" sqref="S13"/>
    </sheetView>
  </sheetViews>
  <sheetFormatPr defaultRowHeight="16.3" x14ac:dyDescent="0.25"/>
  <cols>
    <col min="2" max="2" width="10.44140625" customWidth="1"/>
    <col min="3" max="3" width="17.21875" bestFit="1" customWidth="1"/>
    <col min="4" max="4" width="13.6640625" bestFit="1" customWidth="1"/>
    <col min="5" max="5" width="11.44140625" customWidth="1"/>
    <col min="6" max="6" width="9.44140625" customWidth="1"/>
    <col min="7" max="7" width="4.44140625" style="11" bestFit="1" customWidth="1"/>
    <col min="8" max="8" width="13.6640625" bestFit="1" customWidth="1"/>
    <col min="9" max="9" width="22.44140625" customWidth="1"/>
    <col min="10" max="10" width="10.5546875" customWidth="1"/>
    <col min="11" max="11" width="8" style="43" customWidth="1"/>
    <col min="12" max="12" width="7.6640625" style="39" customWidth="1"/>
    <col min="13" max="13" width="8.6640625" style="39" customWidth="1"/>
    <col min="14" max="14" width="8.109375" style="43" customWidth="1"/>
    <col min="15" max="17" width="8.44140625" style="39" customWidth="1"/>
    <col min="18" max="19" width="8.5546875" style="39" customWidth="1"/>
    <col min="20" max="20" width="8.88671875" customWidth="1"/>
    <col min="21" max="21" width="9" customWidth="1"/>
    <col min="22" max="22" width="8" customWidth="1"/>
    <col min="23" max="23" width="11.5546875" style="17" customWidth="1"/>
    <col min="24" max="24" width="8.6640625" style="83" customWidth="1"/>
    <col min="25" max="25" width="9.44140625" style="81" customWidth="1"/>
  </cols>
  <sheetData>
    <row r="1" spans="1:28" s="18" customFormat="1" ht="53.35" customHeight="1" x14ac:dyDescent="0.25">
      <c r="A1" s="24" t="s">
        <v>43</v>
      </c>
      <c r="B1" s="19" t="s">
        <v>33</v>
      </c>
      <c r="C1" s="19" t="s">
        <v>32</v>
      </c>
      <c r="D1" s="19" t="s">
        <v>314</v>
      </c>
      <c r="E1" s="22"/>
      <c r="F1" s="24" t="s">
        <v>169</v>
      </c>
      <c r="G1" s="20"/>
      <c r="H1" s="19" t="s">
        <v>33</v>
      </c>
      <c r="I1" s="19" t="s">
        <v>32</v>
      </c>
      <c r="J1" s="19" t="s">
        <v>31</v>
      </c>
      <c r="K1" s="42" t="s">
        <v>29</v>
      </c>
      <c r="L1" s="41" t="s">
        <v>372</v>
      </c>
      <c r="M1" s="41" t="s">
        <v>373</v>
      </c>
      <c r="N1" s="42" t="s">
        <v>30</v>
      </c>
      <c r="O1" s="41" t="s">
        <v>389</v>
      </c>
      <c r="P1" s="41" t="s">
        <v>390</v>
      </c>
      <c r="Q1" s="41" t="s">
        <v>391</v>
      </c>
      <c r="R1" s="41" t="s">
        <v>392</v>
      </c>
      <c r="S1" s="41" t="s">
        <v>407</v>
      </c>
      <c r="T1" s="19" t="s">
        <v>28</v>
      </c>
      <c r="U1" s="19" t="s">
        <v>308</v>
      </c>
      <c r="V1" s="19" t="s">
        <v>309</v>
      </c>
      <c r="W1" s="21" t="s">
        <v>310</v>
      </c>
      <c r="X1" s="82" t="s">
        <v>620</v>
      </c>
      <c r="Y1" s="80" t="s">
        <v>635</v>
      </c>
      <c r="AA1" s="36" t="s">
        <v>366</v>
      </c>
    </row>
    <row r="2" spans="1:28" x14ac:dyDescent="0.25">
      <c r="A2">
        <v>1</v>
      </c>
      <c r="B2">
        <v>159981</v>
      </c>
      <c r="C2" t="s">
        <v>27</v>
      </c>
      <c r="D2">
        <f t="shared" ref="D2:D10" si="0">MATCH(IF(B2&lt;499999,"SZ"&amp;B2,"SH"&amp;B2),$H$2:$H$1668,0)</f>
        <v>129</v>
      </c>
      <c r="G2" s="11">
        <v>1</v>
      </c>
      <c r="H2" t="s">
        <v>108</v>
      </c>
      <c r="I2" t="s">
        <v>268</v>
      </c>
      <c r="J2" t="s">
        <v>266</v>
      </c>
      <c r="K2" s="43">
        <v>-7.7999999999999996E-3</v>
      </c>
      <c r="L2" s="39">
        <v>-8.5599999999999996E-2</v>
      </c>
      <c r="M2" s="39">
        <v>-6.4399999999999999E-2</v>
      </c>
      <c r="N2" s="43">
        <v>-5.7999999999999996E-3</v>
      </c>
      <c r="O2" s="39">
        <v>0.2341</v>
      </c>
      <c r="P2" s="39">
        <v>9.5699999999999993E-2</v>
      </c>
      <c r="Q2" s="39">
        <v>0.24129999999999999</v>
      </c>
      <c r="R2" s="39">
        <v>-0.20519999999999999</v>
      </c>
      <c r="S2" s="39">
        <v>-9.6699999999999994E-2</v>
      </c>
      <c r="T2">
        <v>100</v>
      </c>
      <c r="U2">
        <v>78.569999999999993</v>
      </c>
      <c r="V2">
        <v>100</v>
      </c>
      <c r="W2" s="17">
        <v>255241.42559999999</v>
      </c>
      <c r="AA2" s="9"/>
      <c r="AB2" s="9"/>
    </row>
    <row r="3" spans="1:28" x14ac:dyDescent="0.25">
      <c r="A3">
        <v>2</v>
      </c>
      <c r="B3">
        <v>160416</v>
      </c>
      <c r="C3" t="s">
        <v>26</v>
      </c>
      <c r="D3" t="e">
        <f t="shared" si="0"/>
        <v>#N/A</v>
      </c>
      <c r="G3" s="11">
        <v>2</v>
      </c>
      <c r="H3" t="s">
        <v>335</v>
      </c>
      <c r="I3" t="s">
        <v>629</v>
      </c>
      <c r="J3" t="s">
        <v>634</v>
      </c>
      <c r="K3" s="43">
        <v>-1.4E-3</v>
      </c>
      <c r="L3" s="39">
        <v>1.2999999999999999E-3</v>
      </c>
      <c r="M3" s="39">
        <v>4.1000000000000003E-3</v>
      </c>
      <c r="N3" s="43">
        <v>7.1000000000000004E-3</v>
      </c>
      <c r="O3" s="39">
        <v>-8.9999999999999998E-4</v>
      </c>
      <c r="P3" s="39">
        <v>1.9E-2</v>
      </c>
      <c r="Q3" s="39">
        <v>3.5999999999999997E-2</v>
      </c>
      <c r="R3" s="39">
        <v>8.6400000000000005E-2</v>
      </c>
      <c r="S3" s="39">
        <v>0.11849999999999999</v>
      </c>
      <c r="T3">
        <v>99.35</v>
      </c>
      <c r="U3">
        <v>87.66</v>
      </c>
      <c r="V3">
        <v>88.96</v>
      </c>
      <c r="W3" s="17">
        <v>4402.6246836999999</v>
      </c>
      <c r="Y3" s="81" t="s">
        <v>636</v>
      </c>
      <c r="AA3" s="9"/>
      <c r="AB3" s="9"/>
    </row>
    <row r="4" spans="1:28" x14ac:dyDescent="0.25">
      <c r="A4">
        <v>3</v>
      </c>
      <c r="B4">
        <v>164906</v>
      </c>
      <c r="C4" t="s">
        <v>25</v>
      </c>
      <c r="D4">
        <f t="shared" si="0"/>
        <v>148</v>
      </c>
      <c r="G4" s="11">
        <v>3</v>
      </c>
      <c r="H4" s="10" t="s">
        <v>908</v>
      </c>
      <c r="I4" t="s">
        <v>909</v>
      </c>
      <c r="J4" t="s">
        <v>634</v>
      </c>
      <c r="K4" s="43">
        <v>-2.9999999999999997E-4</v>
      </c>
      <c r="L4" s="39">
        <v>6.1999999999999998E-3</v>
      </c>
      <c r="M4" s="39">
        <v>2.9399999999999999E-2</v>
      </c>
      <c r="N4" s="43">
        <v>3.7400000000000003E-2</v>
      </c>
      <c r="O4" s="39">
        <v>-2.0000000000000001E-4</v>
      </c>
      <c r="P4" s="39">
        <v>8.1799999999999998E-2</v>
      </c>
      <c r="Q4" s="39">
        <v>0.13919999999999999</v>
      </c>
      <c r="R4" s="39">
        <v>0.29709999999999998</v>
      </c>
      <c r="S4" s="39">
        <v>0.29709999999999998</v>
      </c>
      <c r="T4">
        <v>98.7</v>
      </c>
      <c r="U4">
        <v>97.4</v>
      </c>
      <c r="V4">
        <v>68.83</v>
      </c>
      <c r="W4" s="17">
        <v>1048760.078</v>
      </c>
      <c r="X4" s="83" t="s">
        <v>621</v>
      </c>
      <c r="AA4" s="9"/>
      <c r="AB4" s="9"/>
    </row>
    <row r="5" spans="1:28" x14ac:dyDescent="0.25">
      <c r="A5">
        <v>4</v>
      </c>
      <c r="B5">
        <v>159985</v>
      </c>
      <c r="C5" t="s">
        <v>24</v>
      </c>
      <c r="D5">
        <f t="shared" si="0"/>
        <v>47</v>
      </c>
      <c r="G5" s="11">
        <v>4</v>
      </c>
      <c r="H5" s="10" t="s">
        <v>47</v>
      </c>
      <c r="I5" t="s">
        <v>273</v>
      </c>
      <c r="J5" t="s">
        <v>311</v>
      </c>
      <c r="K5" s="43">
        <v>-5.9999999999999995E-4</v>
      </c>
      <c r="L5" s="39">
        <v>2.5000000000000001E-3</v>
      </c>
      <c r="M5" s="39">
        <v>6.6E-3</v>
      </c>
      <c r="N5" s="43">
        <v>5.8999999999999999E-3</v>
      </c>
      <c r="O5" s="39">
        <v>-2.8E-3</v>
      </c>
      <c r="P5" s="39">
        <v>1.9300000000000001E-2</v>
      </c>
      <c r="Q5" s="39">
        <v>4.5600000000000002E-2</v>
      </c>
      <c r="R5" s="39">
        <v>9.5299999999999996E-2</v>
      </c>
      <c r="S5" s="39">
        <v>0.12570000000000001</v>
      </c>
      <c r="T5">
        <v>98.05</v>
      </c>
      <c r="U5">
        <v>85.71</v>
      </c>
      <c r="V5">
        <v>75.97</v>
      </c>
      <c r="W5" s="17">
        <v>134687.35630000001</v>
      </c>
      <c r="AA5" s="9"/>
      <c r="AB5" s="9"/>
    </row>
    <row r="6" spans="1:28" x14ac:dyDescent="0.25">
      <c r="A6">
        <v>5</v>
      </c>
      <c r="B6">
        <v>501046</v>
      </c>
      <c r="C6" t="s">
        <v>34</v>
      </c>
      <c r="D6" t="e">
        <f t="shared" si="0"/>
        <v>#N/A</v>
      </c>
      <c r="G6" s="11">
        <v>5</v>
      </c>
      <c r="H6" t="s">
        <v>50</v>
      </c>
      <c r="I6" t="s">
        <v>871</v>
      </c>
      <c r="J6" t="s">
        <v>634</v>
      </c>
      <c r="K6" s="43">
        <v>-5.0000000000000001E-4</v>
      </c>
      <c r="L6" s="39">
        <v>1.6000000000000001E-3</v>
      </c>
      <c r="M6" s="39">
        <v>8.8999999999999999E-3</v>
      </c>
      <c r="N6" s="43">
        <v>9.4999999999999998E-3</v>
      </c>
      <c r="O6" s="39">
        <v>-6.1000000000000004E-3</v>
      </c>
      <c r="P6" s="39">
        <v>2.9499999999999998E-2</v>
      </c>
      <c r="Q6" s="39">
        <v>6.0100000000000001E-2</v>
      </c>
      <c r="R6" s="39">
        <v>0.1172</v>
      </c>
      <c r="S6" s="39">
        <v>0.15790000000000001</v>
      </c>
      <c r="T6">
        <v>97.4</v>
      </c>
      <c r="U6">
        <v>88.31</v>
      </c>
      <c r="V6">
        <v>72.73</v>
      </c>
      <c r="W6" s="17">
        <v>70013.883499999996</v>
      </c>
      <c r="AA6" t="s">
        <v>1103</v>
      </c>
    </row>
    <row r="7" spans="1:28" x14ac:dyDescent="0.25">
      <c r="A7">
        <v>6</v>
      </c>
      <c r="B7">
        <v>160216</v>
      </c>
      <c r="C7" t="s">
        <v>22</v>
      </c>
      <c r="D7" t="e">
        <f t="shared" si="0"/>
        <v>#N/A</v>
      </c>
      <c r="G7" s="11">
        <v>6</v>
      </c>
      <c r="H7" s="10" t="s">
        <v>394</v>
      </c>
      <c r="I7" t="s">
        <v>395</v>
      </c>
      <c r="J7" t="s">
        <v>393</v>
      </c>
      <c r="K7" s="43">
        <v>-1.6999999999999999E-3</v>
      </c>
      <c r="L7" s="39">
        <v>-1.3899999999999999E-2</v>
      </c>
      <c r="M7" s="39">
        <v>-2.2700000000000001E-2</v>
      </c>
      <c r="N7" s="43">
        <v>-2.86E-2</v>
      </c>
      <c r="O7" s="39">
        <v>-1.32E-2</v>
      </c>
      <c r="P7" s="39">
        <v>-3.2199999999999999E-2</v>
      </c>
      <c r="Q7" s="39">
        <v>0.05</v>
      </c>
      <c r="R7" s="39">
        <v>5.3E-3</v>
      </c>
      <c r="S7" s="39">
        <v>6.6400000000000001E-2</v>
      </c>
      <c r="T7">
        <v>96.75</v>
      </c>
      <c r="U7">
        <v>67.53</v>
      </c>
      <c r="V7">
        <v>92.86</v>
      </c>
      <c r="W7" s="17">
        <v>1110.8902800000001</v>
      </c>
    </row>
    <row r="8" spans="1:28" x14ac:dyDescent="0.25">
      <c r="A8">
        <v>7</v>
      </c>
      <c r="B8">
        <v>513680</v>
      </c>
      <c r="C8" t="s">
        <v>39</v>
      </c>
      <c r="D8" t="e">
        <f t="shared" si="0"/>
        <v>#N/A</v>
      </c>
      <c r="G8" s="11">
        <v>7</v>
      </c>
      <c r="H8" s="10" t="s">
        <v>301</v>
      </c>
      <c r="I8" t="s">
        <v>626</v>
      </c>
      <c r="J8" t="s">
        <v>311</v>
      </c>
      <c r="K8" s="43">
        <v>-2.2000000000000001E-3</v>
      </c>
      <c r="L8" s="39">
        <v>-3.5499999999999997E-2</v>
      </c>
      <c r="M8" s="39">
        <v>-5.2600000000000001E-2</v>
      </c>
      <c r="N8" s="43">
        <v>-3.6900000000000002E-2</v>
      </c>
      <c r="O8" s="39">
        <v>-6.9999999999999999E-4</v>
      </c>
      <c r="P8" s="39">
        <v>-1.7399999999999999E-2</v>
      </c>
      <c r="Q8" s="39">
        <v>7.6100000000000001E-2</v>
      </c>
      <c r="R8" s="39">
        <v>-5.0000000000000001E-4</v>
      </c>
      <c r="S8" s="39">
        <v>-4.2700000000000002E-2</v>
      </c>
      <c r="T8">
        <v>96.1</v>
      </c>
      <c r="U8">
        <v>62.99</v>
      </c>
      <c r="V8">
        <v>96.1</v>
      </c>
      <c r="W8" s="17">
        <v>6993.0367999999999</v>
      </c>
      <c r="X8" s="83" t="s">
        <v>621</v>
      </c>
      <c r="Y8" s="81" t="s">
        <v>636</v>
      </c>
    </row>
    <row r="9" spans="1:28" x14ac:dyDescent="0.25">
      <c r="A9">
        <v>8</v>
      </c>
      <c r="B9">
        <v>160717</v>
      </c>
      <c r="C9" t="s">
        <v>19</v>
      </c>
      <c r="D9" t="e">
        <f t="shared" si="0"/>
        <v>#N/A</v>
      </c>
      <c r="G9" s="11">
        <v>8</v>
      </c>
      <c r="H9" s="10" t="s">
        <v>107</v>
      </c>
      <c r="I9" t="s">
        <v>244</v>
      </c>
      <c r="J9" t="s">
        <v>175</v>
      </c>
      <c r="K9" s="43">
        <v>-3.3999999999999998E-3</v>
      </c>
      <c r="L9" s="39">
        <v>-2.5600000000000001E-2</v>
      </c>
      <c r="M9" s="39">
        <v>-3.8899999999999997E-2</v>
      </c>
      <c r="N9" s="43">
        <v>-4.07E-2</v>
      </c>
      <c r="O9" s="39">
        <v>-1.9E-2</v>
      </c>
      <c r="P9" s="39">
        <v>-6.8900000000000003E-2</v>
      </c>
      <c r="Q9" s="39">
        <v>4.5999999999999999E-3</v>
      </c>
      <c r="R9" s="39">
        <v>-0.17760000000000001</v>
      </c>
      <c r="S9" s="39">
        <v>-0.1206</v>
      </c>
      <c r="T9">
        <v>95.45</v>
      </c>
      <c r="U9">
        <v>57.79</v>
      </c>
      <c r="V9">
        <v>99.35</v>
      </c>
      <c r="W9" s="17">
        <v>2856.8546999999999</v>
      </c>
      <c r="X9" s="83" t="s">
        <v>621</v>
      </c>
    </row>
    <row r="10" spans="1:28" x14ac:dyDescent="0.25">
      <c r="A10">
        <v>9</v>
      </c>
      <c r="B10">
        <v>162411</v>
      </c>
      <c r="C10" t="s">
        <v>21</v>
      </c>
      <c r="D10">
        <f t="shared" si="0"/>
        <v>154</v>
      </c>
      <c r="G10" s="11">
        <v>9</v>
      </c>
      <c r="H10" s="10" t="s">
        <v>53</v>
      </c>
      <c r="I10" t="s">
        <v>872</v>
      </c>
      <c r="J10" t="s">
        <v>634</v>
      </c>
      <c r="K10" s="43">
        <v>-5.0000000000000001E-4</v>
      </c>
      <c r="L10" s="39">
        <v>3.0000000000000001E-3</v>
      </c>
      <c r="M10" s="39">
        <v>6.7999999999999996E-3</v>
      </c>
      <c r="N10" s="43">
        <v>5.7999999999999996E-3</v>
      </c>
      <c r="O10" s="39">
        <v>-2.8E-3</v>
      </c>
      <c r="P10" s="39">
        <v>1.7399999999999999E-2</v>
      </c>
      <c r="Q10" s="39">
        <v>4.2500000000000003E-2</v>
      </c>
      <c r="R10" s="39">
        <v>8.5500000000000007E-2</v>
      </c>
      <c r="S10" s="39">
        <v>0.11360000000000001</v>
      </c>
      <c r="T10">
        <v>94.81</v>
      </c>
      <c r="U10">
        <v>85.06</v>
      </c>
      <c r="V10">
        <v>71.430000000000007</v>
      </c>
      <c r="W10" s="17">
        <v>21076.4856</v>
      </c>
    </row>
    <row r="11" spans="1:28" x14ac:dyDescent="0.25">
      <c r="G11" s="11">
        <v>10</v>
      </c>
      <c r="H11" t="s">
        <v>106</v>
      </c>
      <c r="I11" t="s">
        <v>243</v>
      </c>
      <c r="J11" t="s">
        <v>175</v>
      </c>
      <c r="K11" s="43">
        <v>-5.9999999999999995E-4</v>
      </c>
      <c r="L11" s="39">
        <v>-5.5999999999999999E-3</v>
      </c>
      <c r="M11" s="39">
        <v>-1.03E-2</v>
      </c>
      <c r="N11" s="43">
        <v>-4.1000000000000003E-3</v>
      </c>
      <c r="O11" s="39">
        <v>4.65E-2</v>
      </c>
      <c r="P11" s="39">
        <v>3.2000000000000002E-3</v>
      </c>
      <c r="Q11" s="39">
        <v>-6.9400000000000003E-2</v>
      </c>
      <c r="R11" s="39">
        <v>-0.21540000000000001</v>
      </c>
      <c r="S11" s="39">
        <v>-0.1734</v>
      </c>
      <c r="T11">
        <v>94.16</v>
      </c>
      <c r="U11">
        <v>79.87</v>
      </c>
      <c r="V11">
        <v>76.62</v>
      </c>
      <c r="W11" s="17">
        <v>66498.183799999999</v>
      </c>
      <c r="X11" s="83" t="s">
        <v>621</v>
      </c>
    </row>
    <row r="12" spans="1:28" x14ac:dyDescent="0.25">
      <c r="G12" s="11">
        <v>11</v>
      </c>
      <c r="H12" t="s">
        <v>54</v>
      </c>
      <c r="I12" t="s">
        <v>232</v>
      </c>
      <c r="J12" t="s">
        <v>175</v>
      </c>
      <c r="K12" s="43">
        <v>-2.0000000000000001E-4</v>
      </c>
      <c r="L12" s="39">
        <v>3.7000000000000002E-3</v>
      </c>
      <c r="M12" s="39">
        <v>1.11E-2</v>
      </c>
      <c r="N12" s="43">
        <v>1.49E-2</v>
      </c>
      <c r="O12" s="39">
        <v>-2.8999999999999998E-3</v>
      </c>
      <c r="P12" s="39">
        <v>3.9699999999999999E-2</v>
      </c>
      <c r="Q12" s="39">
        <v>7.17E-2</v>
      </c>
      <c r="R12" s="39">
        <v>0.13420000000000001</v>
      </c>
      <c r="S12" s="39">
        <v>0.16320000000000001</v>
      </c>
      <c r="T12">
        <v>93.51</v>
      </c>
      <c r="U12">
        <v>91.56</v>
      </c>
      <c r="V12">
        <v>64.290000000000006</v>
      </c>
      <c r="W12" s="17">
        <v>37663.703300000001</v>
      </c>
    </row>
    <row r="13" spans="1:28" x14ac:dyDescent="0.25">
      <c r="G13" s="11">
        <v>12</v>
      </c>
      <c r="H13" s="10" t="s">
        <v>293</v>
      </c>
      <c r="I13" t="s">
        <v>294</v>
      </c>
      <c r="J13" t="s">
        <v>311</v>
      </c>
      <c r="K13" s="43">
        <v>-2.3999999999999998E-3</v>
      </c>
      <c r="L13" s="39">
        <v>-3.0800000000000001E-2</v>
      </c>
      <c r="M13" s="39">
        <v>-5.21E-2</v>
      </c>
      <c r="N13" s="43">
        <v>-3.9600000000000003E-2</v>
      </c>
      <c r="O13" s="39">
        <v>3.7000000000000002E-3</v>
      </c>
      <c r="P13" s="39">
        <v>-1.2500000000000001E-2</v>
      </c>
      <c r="Q13" s="39">
        <v>8.2500000000000004E-2</v>
      </c>
      <c r="R13" s="39">
        <v>-7.0999999999999994E-2</v>
      </c>
      <c r="S13" s="39">
        <v>-0.1017</v>
      </c>
      <c r="T13">
        <v>92.86</v>
      </c>
      <c r="U13">
        <v>59.09</v>
      </c>
      <c r="V13">
        <v>96.75</v>
      </c>
      <c r="W13" s="17">
        <v>842.63130000000001</v>
      </c>
    </row>
    <row r="14" spans="1:28" x14ac:dyDescent="0.25">
      <c r="G14" s="11">
        <v>13</v>
      </c>
      <c r="H14" s="10" t="s">
        <v>630</v>
      </c>
      <c r="I14" t="s">
        <v>633</v>
      </c>
      <c r="J14" t="s">
        <v>634</v>
      </c>
      <c r="K14" s="43">
        <v>0</v>
      </c>
      <c r="L14" s="39">
        <v>1.5E-3</v>
      </c>
      <c r="M14" s="39">
        <v>1.1900000000000001E-2</v>
      </c>
      <c r="N14" s="43">
        <v>1.66E-2</v>
      </c>
      <c r="O14" s="39">
        <v>-4.3E-3</v>
      </c>
      <c r="P14" s="39">
        <v>3.8399999999999997E-2</v>
      </c>
      <c r="Q14" s="39">
        <v>7.3300000000000004E-2</v>
      </c>
      <c r="R14" s="39">
        <v>0.1482</v>
      </c>
      <c r="S14" s="39">
        <v>0.1515</v>
      </c>
      <c r="T14">
        <v>92.21</v>
      </c>
      <c r="U14">
        <v>93.51</v>
      </c>
      <c r="V14">
        <v>61.69</v>
      </c>
      <c r="W14" s="17">
        <v>537098.33420000004</v>
      </c>
      <c r="X14" s="83" t="s">
        <v>621</v>
      </c>
      <c r="Y14" s="81" t="s">
        <v>636</v>
      </c>
    </row>
    <row r="15" spans="1:28" x14ac:dyDescent="0.25">
      <c r="G15" s="11">
        <v>14</v>
      </c>
      <c r="H15" s="10" t="s">
        <v>116</v>
      </c>
      <c r="I15" t="s">
        <v>188</v>
      </c>
      <c r="J15" t="s">
        <v>175</v>
      </c>
      <c r="K15" s="43">
        <v>-1.4E-3</v>
      </c>
      <c r="L15" s="39">
        <v>-2.1600000000000001E-2</v>
      </c>
      <c r="M15" s="39">
        <v>-3.95E-2</v>
      </c>
      <c r="N15" s="43">
        <v>-3.39E-2</v>
      </c>
      <c r="O15" s="39">
        <v>2.3999999999999998E-3</v>
      </c>
      <c r="P15" s="39">
        <v>-1.0500000000000001E-2</v>
      </c>
      <c r="Q15" s="39">
        <v>9.6500000000000002E-2</v>
      </c>
      <c r="R15" s="39">
        <v>-1.78E-2</v>
      </c>
      <c r="S15" s="39">
        <v>-8.14E-2</v>
      </c>
      <c r="T15">
        <v>91.56</v>
      </c>
      <c r="U15">
        <v>64.94</v>
      </c>
      <c r="V15">
        <v>90.26</v>
      </c>
      <c r="W15" s="17">
        <v>988.31370000000004</v>
      </c>
    </row>
    <row r="16" spans="1:28" x14ac:dyDescent="0.25">
      <c r="G16" s="11">
        <v>15</v>
      </c>
      <c r="H16" s="10" t="s">
        <v>130</v>
      </c>
      <c r="I16" t="s">
        <v>250</v>
      </c>
      <c r="J16" t="s">
        <v>175</v>
      </c>
      <c r="K16" s="43">
        <v>-1.6000000000000001E-3</v>
      </c>
      <c r="L16" s="39">
        <v>-2.5000000000000001E-2</v>
      </c>
      <c r="M16" s="39">
        <v>-4.6699999999999998E-2</v>
      </c>
      <c r="N16" s="43">
        <v>-3.6999999999999998E-2</v>
      </c>
      <c r="O16" s="39">
        <v>-1.0200000000000001E-2</v>
      </c>
      <c r="P16" s="39">
        <v>-4.6100000000000002E-2</v>
      </c>
      <c r="Q16" s="39">
        <v>9.3200000000000005E-2</v>
      </c>
      <c r="R16" s="39">
        <v>-6.4000000000000003E-3</v>
      </c>
      <c r="S16" s="39">
        <v>-8.5599999999999996E-2</v>
      </c>
      <c r="T16">
        <v>90.91</v>
      </c>
      <c r="U16">
        <v>62.34</v>
      </c>
      <c r="V16">
        <v>92.21</v>
      </c>
      <c r="W16" s="17">
        <v>2806.0378000000001</v>
      </c>
    </row>
    <row r="17" spans="7:25" x14ac:dyDescent="0.25">
      <c r="G17" s="11">
        <v>16</v>
      </c>
      <c r="H17" s="10" t="s">
        <v>120</v>
      </c>
      <c r="I17" t="s">
        <v>205</v>
      </c>
      <c r="J17" t="s">
        <v>175</v>
      </c>
      <c r="K17" s="43">
        <v>-1.2999999999999999E-3</v>
      </c>
      <c r="L17" s="39">
        <v>-3.0099999999999998E-2</v>
      </c>
      <c r="M17" s="39">
        <v>-3.8600000000000002E-2</v>
      </c>
      <c r="N17" s="43">
        <v>-2.9000000000000001E-2</v>
      </c>
      <c r="O17" s="39">
        <v>-1.8E-3</v>
      </c>
      <c r="P17" s="39">
        <v>1.1999999999999999E-3</v>
      </c>
      <c r="Q17" s="39">
        <v>4.58E-2</v>
      </c>
      <c r="R17" s="39">
        <v>6.7000000000000002E-3</v>
      </c>
      <c r="S17" s="39">
        <v>2.8199999999999999E-2</v>
      </c>
      <c r="T17">
        <v>90.26</v>
      </c>
      <c r="U17">
        <v>66.23</v>
      </c>
      <c r="V17">
        <v>87.66</v>
      </c>
      <c r="W17" s="17">
        <v>40693.183499999999</v>
      </c>
      <c r="X17" s="83" t="s">
        <v>621</v>
      </c>
    </row>
    <row r="18" spans="7:25" x14ac:dyDescent="0.25">
      <c r="G18" s="11">
        <v>17</v>
      </c>
      <c r="H18" t="s">
        <v>111</v>
      </c>
      <c r="I18" t="s">
        <v>217</v>
      </c>
      <c r="J18" t="s">
        <v>175</v>
      </c>
      <c r="K18" s="43">
        <v>-1E-3</v>
      </c>
      <c r="L18" s="39">
        <v>-1.5299999999999999E-2</v>
      </c>
      <c r="M18" s="39">
        <v>-2.6599999999999999E-2</v>
      </c>
      <c r="N18" s="43">
        <v>-2.3699999999999999E-2</v>
      </c>
      <c r="O18" s="39">
        <v>2.9999999999999997E-4</v>
      </c>
      <c r="P18" s="39">
        <v>-7.0000000000000001E-3</v>
      </c>
      <c r="Q18" s="39">
        <v>9.4100000000000003E-2</v>
      </c>
      <c r="R18" s="39">
        <v>3.8100000000000002E-2</v>
      </c>
      <c r="S18" s="39">
        <v>-1.18E-2</v>
      </c>
      <c r="T18">
        <v>89.61</v>
      </c>
      <c r="U18">
        <v>72.08</v>
      </c>
      <c r="V18">
        <v>81.17</v>
      </c>
      <c r="W18" s="17">
        <v>3320.4670000000001</v>
      </c>
    </row>
    <row r="19" spans="7:25" x14ac:dyDescent="0.25">
      <c r="G19" s="11">
        <v>18</v>
      </c>
      <c r="H19" t="s">
        <v>100</v>
      </c>
      <c r="I19" t="s">
        <v>16</v>
      </c>
      <c r="J19" t="s">
        <v>311</v>
      </c>
      <c r="K19" s="43">
        <v>-1.1000000000000001E-3</v>
      </c>
      <c r="L19" s="39">
        <v>-1.6799999999999999E-2</v>
      </c>
      <c r="M19" s="39">
        <v>-2.3599999999999999E-2</v>
      </c>
      <c r="N19" s="43">
        <v>-2.7900000000000001E-2</v>
      </c>
      <c r="O19" s="39">
        <v>2.18E-2</v>
      </c>
      <c r="P19" s="39">
        <v>8.3799999999999999E-2</v>
      </c>
      <c r="Q19" s="39">
        <v>8.2400000000000001E-2</v>
      </c>
      <c r="R19" s="39">
        <v>4.5100000000000001E-2</v>
      </c>
      <c r="S19" s="39">
        <v>4.5999999999999999E-2</v>
      </c>
      <c r="T19">
        <v>88.96</v>
      </c>
      <c r="U19">
        <v>68.180000000000007</v>
      </c>
      <c r="V19">
        <v>85.06</v>
      </c>
      <c r="W19" s="17">
        <v>712978.41680000001</v>
      </c>
    </row>
    <row r="20" spans="7:25" x14ac:dyDescent="0.25">
      <c r="G20" s="11">
        <v>19</v>
      </c>
      <c r="H20" s="10" t="s">
        <v>48</v>
      </c>
      <c r="I20" t="s">
        <v>272</v>
      </c>
      <c r="J20" t="s">
        <v>311</v>
      </c>
      <c r="K20" s="43">
        <v>-5.0000000000000001E-4</v>
      </c>
      <c r="L20" s="39">
        <v>1.1999999999999999E-3</v>
      </c>
      <c r="M20" s="39">
        <v>3.0999999999999999E-3</v>
      </c>
      <c r="N20" s="43">
        <v>3.3E-3</v>
      </c>
      <c r="O20" s="39">
        <v>-1.9E-3</v>
      </c>
      <c r="P20" s="39">
        <v>1.1900000000000001E-2</v>
      </c>
      <c r="Q20" s="39">
        <v>3.1E-2</v>
      </c>
      <c r="R20" s="39">
        <v>6.9699999999999998E-2</v>
      </c>
      <c r="S20" s="39">
        <v>9.3299999999999994E-2</v>
      </c>
      <c r="T20">
        <v>88.31</v>
      </c>
      <c r="U20">
        <v>81.819999999999993</v>
      </c>
      <c r="V20">
        <v>70.78</v>
      </c>
      <c r="W20" s="17">
        <v>134182.09430999999</v>
      </c>
    </row>
    <row r="21" spans="7:25" x14ac:dyDescent="0.25">
      <c r="G21" s="11">
        <v>20</v>
      </c>
      <c r="H21" s="10" t="s">
        <v>63</v>
      </c>
      <c r="I21" t="s">
        <v>255</v>
      </c>
      <c r="J21" t="s">
        <v>255</v>
      </c>
      <c r="K21" s="43">
        <v>2.9999999999999997E-4</v>
      </c>
      <c r="L21" s="39">
        <v>2.4500000000000001E-2</v>
      </c>
      <c r="M21" s="39">
        <v>6.7100000000000007E-2</v>
      </c>
      <c r="N21" s="43">
        <v>0.1065</v>
      </c>
      <c r="O21" s="39">
        <v>0.20230000000000001</v>
      </c>
      <c r="P21" s="39">
        <v>0.25019999999999998</v>
      </c>
      <c r="Q21" s="39">
        <v>0.4249</v>
      </c>
      <c r="R21" s="39">
        <v>0.6946</v>
      </c>
      <c r="S21" s="39">
        <v>0.84370000000000001</v>
      </c>
      <c r="T21">
        <v>87.66</v>
      </c>
      <c r="U21">
        <v>100</v>
      </c>
      <c r="V21">
        <v>52.6</v>
      </c>
      <c r="W21" s="17">
        <v>127177.61679000001</v>
      </c>
      <c r="X21" s="83" t="s">
        <v>621</v>
      </c>
      <c r="Y21" s="81" t="s">
        <v>636</v>
      </c>
    </row>
    <row r="22" spans="7:25" x14ac:dyDescent="0.25">
      <c r="G22" s="11">
        <v>21</v>
      </c>
      <c r="H22" s="10" t="s">
        <v>104</v>
      </c>
      <c r="I22" t="s">
        <v>197</v>
      </c>
      <c r="J22" t="s">
        <v>175</v>
      </c>
      <c r="K22" s="43">
        <v>-2.3999999999999998E-3</v>
      </c>
      <c r="L22" s="39">
        <v>-2.9899999999999999E-2</v>
      </c>
      <c r="M22" s="39">
        <v>-4.58E-2</v>
      </c>
      <c r="N22" s="43">
        <v>-4.3700000000000003E-2</v>
      </c>
      <c r="O22" s="39">
        <v>-1.6000000000000001E-3</v>
      </c>
      <c r="P22" s="39">
        <v>-1.1599999999999999E-2</v>
      </c>
      <c r="Q22" s="39">
        <v>7.7299999999999994E-2</v>
      </c>
      <c r="R22" s="39">
        <v>-2.75E-2</v>
      </c>
      <c r="S22" s="39">
        <v>-6.9000000000000006E-2</v>
      </c>
      <c r="T22">
        <v>87.01</v>
      </c>
      <c r="U22">
        <v>55.19</v>
      </c>
      <c r="V22">
        <v>97.4</v>
      </c>
      <c r="W22" s="17">
        <v>7034.1909999999998</v>
      </c>
    </row>
    <row r="23" spans="7:25" x14ac:dyDescent="0.25">
      <c r="G23" s="11">
        <v>22</v>
      </c>
      <c r="H23" t="s">
        <v>129</v>
      </c>
      <c r="I23" t="s">
        <v>246</v>
      </c>
      <c r="J23" t="s">
        <v>175</v>
      </c>
      <c r="K23" s="43">
        <v>-1.4E-3</v>
      </c>
      <c r="L23" s="39">
        <v>-2.53E-2</v>
      </c>
      <c r="M23" s="39">
        <v>-4.7E-2</v>
      </c>
      <c r="N23" s="43">
        <v>-3.7600000000000001E-2</v>
      </c>
      <c r="O23" s="39">
        <v>-1.24E-2</v>
      </c>
      <c r="P23" s="39">
        <v>-4.99E-2</v>
      </c>
      <c r="Q23" s="39">
        <v>8.8099999999999998E-2</v>
      </c>
      <c r="R23" s="39">
        <v>-1.18E-2</v>
      </c>
      <c r="S23" s="39">
        <v>-9.1700000000000004E-2</v>
      </c>
      <c r="T23">
        <v>86.36</v>
      </c>
      <c r="U23">
        <v>60.39</v>
      </c>
      <c r="V23">
        <v>89.61</v>
      </c>
      <c r="W23" s="17">
        <v>5732.8599000000004</v>
      </c>
    </row>
    <row r="24" spans="7:25" x14ac:dyDescent="0.25">
      <c r="G24" s="11">
        <v>23</v>
      </c>
      <c r="H24" s="10" t="s">
        <v>52</v>
      </c>
      <c r="I24" t="s">
        <v>223</v>
      </c>
      <c r="J24" t="s">
        <v>175</v>
      </c>
      <c r="K24" s="43">
        <v>-2.9999999999999997E-4</v>
      </c>
      <c r="L24" s="39">
        <v>-6.4399999999999999E-2</v>
      </c>
      <c r="M24" s="39">
        <v>-4.4499999999999998E-2</v>
      </c>
      <c r="N24" s="43">
        <v>3.8E-3</v>
      </c>
      <c r="O24" s="39">
        <v>7.6999999999999999E-2</v>
      </c>
      <c r="P24" s="39">
        <v>8.0000000000000004E-4</v>
      </c>
      <c r="Q24" s="39">
        <v>2.18E-2</v>
      </c>
      <c r="R24" s="39">
        <v>-0.2427</v>
      </c>
      <c r="S24" s="39">
        <v>-0.31730000000000003</v>
      </c>
      <c r="T24">
        <v>85.71</v>
      </c>
      <c r="U24">
        <v>83.12</v>
      </c>
      <c r="V24">
        <v>66.88</v>
      </c>
      <c r="W24" s="17">
        <v>49597.088320099996</v>
      </c>
    </row>
    <row r="25" spans="7:25" x14ac:dyDescent="0.25">
      <c r="G25" s="11">
        <v>24</v>
      </c>
      <c r="H25" t="s">
        <v>59</v>
      </c>
      <c r="I25" t="s">
        <v>228</v>
      </c>
      <c r="J25" t="s">
        <v>634</v>
      </c>
      <c r="K25" s="43">
        <v>1E-4</v>
      </c>
      <c r="L25" s="39">
        <v>3.5000000000000001E-3</v>
      </c>
      <c r="M25" s="39">
        <v>7.7999999999999996E-3</v>
      </c>
      <c r="N25" s="43">
        <v>9.9000000000000008E-3</v>
      </c>
      <c r="O25" s="39">
        <v>-1.4E-3</v>
      </c>
      <c r="P25" s="39">
        <v>0.02</v>
      </c>
      <c r="Q25" s="39">
        <v>4.6199999999999998E-2</v>
      </c>
      <c r="R25" s="39">
        <v>9.0200000000000002E-2</v>
      </c>
      <c r="S25" s="39">
        <v>0.10970000000000001</v>
      </c>
      <c r="T25">
        <v>85.06</v>
      </c>
      <c r="U25">
        <v>89.61</v>
      </c>
      <c r="V25">
        <v>59.74</v>
      </c>
      <c r="W25" s="17">
        <v>122024.52129999999</v>
      </c>
      <c r="X25" s="83" t="s">
        <v>621</v>
      </c>
    </row>
    <row r="26" spans="7:25" x14ac:dyDescent="0.25">
      <c r="G26" s="11">
        <v>25</v>
      </c>
      <c r="H26" t="s">
        <v>67</v>
      </c>
      <c r="I26" t="s">
        <v>205</v>
      </c>
      <c r="J26" t="s">
        <v>175</v>
      </c>
      <c r="K26" s="43">
        <v>-1.1000000000000001E-3</v>
      </c>
      <c r="L26" s="39">
        <v>-2.9499999999999998E-2</v>
      </c>
      <c r="M26" s="39">
        <v>-3.7600000000000001E-2</v>
      </c>
      <c r="N26" s="43">
        <v>-3.4000000000000002E-2</v>
      </c>
      <c r="O26" s="39">
        <v>9.9000000000000008E-3</v>
      </c>
      <c r="P26" s="39">
        <v>1.9099999999999999E-2</v>
      </c>
      <c r="Q26" s="39">
        <v>9.9400000000000002E-2</v>
      </c>
      <c r="R26" s="39">
        <v>9.0999999999999998E-2</v>
      </c>
      <c r="S26" s="39">
        <v>0.13819999999999999</v>
      </c>
      <c r="T26">
        <v>84.42</v>
      </c>
      <c r="U26">
        <v>64.290000000000006</v>
      </c>
      <c r="V26">
        <v>84.42</v>
      </c>
      <c r="W26" s="17">
        <v>13982.7423</v>
      </c>
    </row>
    <row r="27" spans="7:25" x14ac:dyDescent="0.25">
      <c r="G27" s="11">
        <v>26</v>
      </c>
      <c r="H27" s="10" t="s">
        <v>93</v>
      </c>
      <c r="I27" t="s">
        <v>910</v>
      </c>
      <c r="J27" t="s">
        <v>175</v>
      </c>
      <c r="K27" s="43">
        <v>-8.9999999999999998E-4</v>
      </c>
      <c r="L27" s="39">
        <v>-1.3100000000000001E-2</v>
      </c>
      <c r="M27" s="39">
        <v>-2.1899999999999999E-2</v>
      </c>
      <c r="N27" s="43">
        <v>-2.76E-2</v>
      </c>
      <c r="O27" s="39">
        <v>-1.35E-2</v>
      </c>
      <c r="P27" s="39">
        <v>-2.9700000000000001E-2</v>
      </c>
      <c r="Q27" s="39">
        <v>3.9E-2</v>
      </c>
      <c r="R27" s="39">
        <v>-6.1000000000000004E-3</v>
      </c>
      <c r="S27" s="39">
        <v>5.2900000000000003E-2</v>
      </c>
      <c r="T27">
        <v>83.77</v>
      </c>
      <c r="U27">
        <v>68.83</v>
      </c>
      <c r="V27">
        <v>79.87</v>
      </c>
      <c r="W27" s="17">
        <v>1530.5139999999999</v>
      </c>
    </row>
    <row r="28" spans="7:25" x14ac:dyDescent="0.25">
      <c r="G28" s="11">
        <v>27</v>
      </c>
      <c r="H28" s="10" t="s">
        <v>59</v>
      </c>
      <c r="I28" t="s">
        <v>228</v>
      </c>
      <c r="J28" t="s">
        <v>175</v>
      </c>
      <c r="K28" s="43">
        <v>1E-4</v>
      </c>
      <c r="L28" s="39">
        <v>3.5000000000000001E-3</v>
      </c>
      <c r="M28" s="39">
        <v>7.7999999999999996E-3</v>
      </c>
      <c r="N28" s="43">
        <v>9.9000000000000008E-3</v>
      </c>
      <c r="O28" s="39">
        <v>-1.4E-3</v>
      </c>
      <c r="P28" s="39">
        <v>0.02</v>
      </c>
      <c r="Q28" s="39">
        <v>4.6199999999999998E-2</v>
      </c>
      <c r="R28" s="39">
        <v>9.0200000000000002E-2</v>
      </c>
      <c r="S28" s="39">
        <v>0.10970000000000001</v>
      </c>
      <c r="T28">
        <v>83.12</v>
      </c>
      <c r="U28">
        <v>88.96</v>
      </c>
      <c r="V28">
        <v>58.44</v>
      </c>
      <c r="W28" s="17">
        <v>122024.52129999999</v>
      </c>
    </row>
    <row r="29" spans="7:25" x14ac:dyDescent="0.25">
      <c r="G29" s="11">
        <v>28</v>
      </c>
      <c r="H29" s="10" t="s">
        <v>49</v>
      </c>
      <c r="I29" t="s">
        <v>280</v>
      </c>
      <c r="J29" t="s">
        <v>311</v>
      </c>
      <c r="K29" s="43">
        <v>2.0000000000000001E-4</v>
      </c>
      <c r="L29" s="39">
        <v>3.5000000000000001E-3</v>
      </c>
      <c r="M29" s="39">
        <v>8.3000000000000001E-3</v>
      </c>
      <c r="N29" s="43">
        <v>1.1599999999999999E-2</v>
      </c>
      <c r="O29" s="39">
        <v>-4.1000000000000003E-3</v>
      </c>
      <c r="P29" s="39">
        <v>3.27E-2</v>
      </c>
      <c r="Q29" s="39">
        <v>6.2199999999999998E-2</v>
      </c>
      <c r="R29" s="39">
        <v>0.11650000000000001</v>
      </c>
      <c r="S29" s="39">
        <v>0.13750000000000001</v>
      </c>
      <c r="T29">
        <v>82.47</v>
      </c>
      <c r="U29">
        <v>90.26</v>
      </c>
      <c r="V29">
        <v>56.49</v>
      </c>
      <c r="W29" s="17">
        <v>6052.7968000000001</v>
      </c>
    </row>
    <row r="30" spans="7:25" x14ac:dyDescent="0.25">
      <c r="G30" s="11">
        <v>29</v>
      </c>
      <c r="H30" s="10" t="s">
        <v>128</v>
      </c>
      <c r="I30" t="s">
        <v>233</v>
      </c>
      <c r="J30" t="s">
        <v>175</v>
      </c>
      <c r="K30" s="43">
        <v>5.9999999999999995E-4</v>
      </c>
      <c r="L30" s="39">
        <v>2.76E-2</v>
      </c>
      <c r="M30" s="39">
        <v>1.47E-2</v>
      </c>
      <c r="N30" s="43">
        <v>5.1999999999999998E-2</v>
      </c>
      <c r="O30" s="39">
        <v>6.08E-2</v>
      </c>
      <c r="P30" s="39">
        <v>6.93E-2</v>
      </c>
      <c r="Q30" s="39">
        <v>-4.7999999999999996E-3</v>
      </c>
      <c r="R30" s="39">
        <v>-0.34649999999999997</v>
      </c>
      <c r="S30" s="39">
        <v>-0.2752</v>
      </c>
      <c r="T30">
        <v>81.819999999999993</v>
      </c>
      <c r="U30">
        <v>98.7</v>
      </c>
      <c r="V30">
        <v>48.05</v>
      </c>
      <c r="W30" s="17">
        <v>23034.6938782</v>
      </c>
      <c r="X30" s="83" t="s">
        <v>621</v>
      </c>
    </row>
    <row r="31" spans="7:25" x14ac:dyDescent="0.25">
      <c r="G31" s="11">
        <v>30</v>
      </c>
      <c r="H31" s="10" t="s">
        <v>126</v>
      </c>
      <c r="I31" t="s">
        <v>182</v>
      </c>
      <c r="J31" t="s">
        <v>175</v>
      </c>
      <c r="K31" s="43">
        <v>8.0000000000000004E-4</v>
      </c>
      <c r="L31" s="39">
        <v>2.6800000000000001E-2</v>
      </c>
      <c r="M31" s="39">
        <v>3.3000000000000002E-2</v>
      </c>
      <c r="N31" s="43">
        <v>6.0699999999999997E-2</v>
      </c>
      <c r="O31" s="39">
        <v>0.105</v>
      </c>
      <c r="P31" s="39">
        <v>7.7899999999999997E-2</v>
      </c>
      <c r="Q31" s="39">
        <v>-4.1500000000000002E-2</v>
      </c>
      <c r="R31" s="39">
        <v>-0.2301</v>
      </c>
      <c r="S31" s="39">
        <v>-0.29370000000000002</v>
      </c>
      <c r="T31">
        <v>81.17</v>
      </c>
      <c r="U31">
        <v>99.35</v>
      </c>
      <c r="V31">
        <v>44.16</v>
      </c>
      <c r="W31" s="17">
        <v>28137.777476200001</v>
      </c>
      <c r="X31" s="83" t="s">
        <v>621</v>
      </c>
    </row>
    <row r="32" spans="7:25" x14ac:dyDescent="0.25">
      <c r="G32" s="11">
        <v>31</v>
      </c>
      <c r="H32" t="s">
        <v>631</v>
      </c>
      <c r="I32" t="s">
        <v>632</v>
      </c>
      <c r="J32" t="s">
        <v>634</v>
      </c>
      <c r="K32" s="43">
        <v>1E-4</v>
      </c>
      <c r="L32" s="39">
        <v>1.5E-3</v>
      </c>
      <c r="M32" s="39">
        <v>2.3999999999999998E-3</v>
      </c>
      <c r="N32" s="43">
        <v>3.3999999999999998E-3</v>
      </c>
      <c r="O32" s="39">
        <v>0</v>
      </c>
      <c r="P32" s="39">
        <v>3.5000000000000001E-3</v>
      </c>
      <c r="Q32" s="39">
        <v>1.7500000000000002E-2</v>
      </c>
      <c r="R32" s="39">
        <v>6.4399999999999999E-2</v>
      </c>
      <c r="S32" s="39">
        <v>7.5399999999999995E-2</v>
      </c>
      <c r="T32">
        <v>80.52</v>
      </c>
      <c r="U32">
        <v>82.47</v>
      </c>
      <c r="V32">
        <v>61.04</v>
      </c>
      <c r="W32" s="17">
        <v>23846.963800000001</v>
      </c>
      <c r="X32" s="83" t="s">
        <v>621</v>
      </c>
      <c r="Y32" s="81" t="s">
        <v>636</v>
      </c>
    </row>
    <row r="33" spans="7:24" x14ac:dyDescent="0.25">
      <c r="G33" s="11">
        <v>32</v>
      </c>
      <c r="H33" t="s">
        <v>105</v>
      </c>
      <c r="I33" t="s">
        <v>221</v>
      </c>
      <c r="J33" t="s">
        <v>175</v>
      </c>
      <c r="K33" s="43">
        <v>5.0000000000000001E-4</v>
      </c>
      <c r="L33" s="39">
        <v>1.5E-3</v>
      </c>
      <c r="M33" s="39">
        <v>-1.6999999999999999E-3</v>
      </c>
      <c r="N33" s="43">
        <v>1.6299999999999999E-2</v>
      </c>
      <c r="O33" s="39">
        <v>5.8799999999999998E-2</v>
      </c>
      <c r="P33" s="39">
        <v>2.1499999999999998E-2</v>
      </c>
      <c r="Q33" s="39">
        <v>-4.0899999999999999E-2</v>
      </c>
      <c r="R33" s="39">
        <v>-0.21959999999999999</v>
      </c>
      <c r="S33" s="39">
        <v>-0.2011</v>
      </c>
      <c r="T33">
        <v>79.87</v>
      </c>
      <c r="U33">
        <v>92.86</v>
      </c>
      <c r="V33">
        <v>49.35</v>
      </c>
      <c r="W33" s="17">
        <v>15954.090399999999</v>
      </c>
    </row>
    <row r="34" spans="7:24" x14ac:dyDescent="0.25">
      <c r="G34" s="11">
        <v>33</v>
      </c>
      <c r="H34" s="10" t="s">
        <v>69</v>
      </c>
      <c r="I34" t="s">
        <v>287</v>
      </c>
      <c r="J34" t="s">
        <v>311</v>
      </c>
      <c r="K34" s="43">
        <v>1E-4</v>
      </c>
      <c r="L34" s="39">
        <v>5.9999999999999995E-4</v>
      </c>
      <c r="M34" s="39">
        <v>1.1999999999999999E-3</v>
      </c>
      <c r="N34" s="43">
        <v>2.2000000000000001E-3</v>
      </c>
      <c r="O34" s="39">
        <v>3.7000000000000002E-3</v>
      </c>
      <c r="P34" s="39">
        <v>9.1000000000000004E-3</v>
      </c>
      <c r="Q34" s="39">
        <v>2.01E-2</v>
      </c>
      <c r="R34" s="39">
        <v>4.5499999999999999E-2</v>
      </c>
      <c r="S34" s="39">
        <v>6.88E-2</v>
      </c>
      <c r="T34">
        <v>79.22</v>
      </c>
      <c r="U34">
        <v>81.17</v>
      </c>
      <c r="V34">
        <v>60.39</v>
      </c>
      <c r="W34" s="17">
        <v>749546.54059999995</v>
      </c>
    </row>
    <row r="35" spans="7:24" x14ac:dyDescent="0.25">
      <c r="G35" s="11">
        <v>34</v>
      </c>
      <c r="H35" s="10" t="s">
        <v>284</v>
      </c>
      <c r="I35" t="s">
        <v>285</v>
      </c>
      <c r="J35" t="s">
        <v>311</v>
      </c>
      <c r="K35" s="43">
        <v>6.9999999999999999E-4</v>
      </c>
      <c r="L35" s="39">
        <v>2.3E-3</v>
      </c>
      <c r="M35" s="39">
        <v>1E-4</v>
      </c>
      <c r="N35" s="43">
        <v>1.7600000000000001E-2</v>
      </c>
      <c r="O35" s="39">
        <v>5.8299999999999998E-2</v>
      </c>
      <c r="P35" s="39">
        <v>3.5900000000000001E-2</v>
      </c>
      <c r="Q35" s="39">
        <v>-3.2000000000000001E-2</v>
      </c>
      <c r="R35" s="39">
        <v>-0.2293</v>
      </c>
      <c r="S35" s="39">
        <v>-0.22170000000000001</v>
      </c>
      <c r="T35">
        <v>78.569999999999993</v>
      </c>
      <c r="U35">
        <v>94.81</v>
      </c>
      <c r="V35">
        <v>46.75</v>
      </c>
      <c r="W35" s="17">
        <v>2848.80287</v>
      </c>
    </row>
    <row r="36" spans="7:24" x14ac:dyDescent="0.25">
      <c r="G36" s="11">
        <v>35</v>
      </c>
      <c r="H36" t="s">
        <v>110</v>
      </c>
      <c r="I36" t="s">
        <v>248</v>
      </c>
      <c r="J36" t="s">
        <v>175</v>
      </c>
      <c r="K36" s="43">
        <v>-8.9999999999999998E-4</v>
      </c>
      <c r="L36" s="39">
        <v>-2.53E-2</v>
      </c>
      <c r="M36" s="39">
        <v>-4.7E-2</v>
      </c>
      <c r="N36" s="43">
        <v>-3.73E-2</v>
      </c>
      <c r="O36" s="39">
        <v>-1.14E-2</v>
      </c>
      <c r="P36" s="39">
        <v>-4.8000000000000001E-2</v>
      </c>
      <c r="Q36" s="39">
        <v>9.06E-2</v>
      </c>
      <c r="R36" s="39">
        <v>-1.0500000000000001E-2</v>
      </c>
      <c r="S36" s="39">
        <v>-8.8800000000000004E-2</v>
      </c>
      <c r="T36">
        <v>77.92</v>
      </c>
      <c r="U36">
        <v>61.69</v>
      </c>
      <c r="V36">
        <v>79.22</v>
      </c>
      <c r="W36" s="17">
        <v>3984.2813001999998</v>
      </c>
    </row>
    <row r="37" spans="7:24" x14ac:dyDescent="0.25">
      <c r="G37" s="11">
        <v>36</v>
      </c>
      <c r="H37" s="10" t="s">
        <v>82</v>
      </c>
      <c r="I37" t="s">
        <v>177</v>
      </c>
      <c r="J37" t="s">
        <v>175</v>
      </c>
      <c r="K37" s="43">
        <v>-5.0000000000000001E-4</v>
      </c>
      <c r="L37" s="39">
        <v>-1.3899999999999999E-2</v>
      </c>
      <c r="M37" s="39">
        <v>-2.3099999999999999E-2</v>
      </c>
      <c r="N37" s="43">
        <v>-2.9000000000000001E-2</v>
      </c>
      <c r="O37" s="39">
        <v>-1.4200000000000001E-2</v>
      </c>
      <c r="P37" s="39">
        <v>-3.1600000000000003E-2</v>
      </c>
      <c r="Q37" s="39">
        <v>4.0099999999999997E-2</v>
      </c>
      <c r="R37" s="39">
        <v>-7.6E-3</v>
      </c>
      <c r="S37" s="39">
        <v>5.2699999999999997E-2</v>
      </c>
      <c r="T37">
        <v>77.27</v>
      </c>
      <c r="U37">
        <v>66.88</v>
      </c>
      <c r="V37">
        <v>73.38</v>
      </c>
      <c r="W37" s="17">
        <v>1213.0550000000001</v>
      </c>
    </row>
    <row r="38" spans="7:24" x14ac:dyDescent="0.25">
      <c r="G38" s="11">
        <v>37</v>
      </c>
      <c r="H38" t="s">
        <v>135</v>
      </c>
      <c r="I38" t="s">
        <v>253</v>
      </c>
      <c r="J38" t="s">
        <v>175</v>
      </c>
      <c r="K38" s="43">
        <v>-1E-4</v>
      </c>
      <c r="L38" s="39">
        <v>-1.2800000000000001E-2</v>
      </c>
      <c r="M38" s="39">
        <v>-2.1100000000000001E-2</v>
      </c>
      <c r="N38" s="43">
        <v>-1.35E-2</v>
      </c>
      <c r="O38" s="39">
        <v>7.3000000000000001E-3</v>
      </c>
      <c r="P38" s="39">
        <v>-8.0999999999999996E-3</v>
      </c>
      <c r="Q38" s="39">
        <v>9.0899999999999995E-2</v>
      </c>
      <c r="R38" s="39">
        <v>3.6999999999999998E-2</v>
      </c>
      <c r="S38" s="39">
        <v>-3.15E-2</v>
      </c>
      <c r="T38">
        <v>76.62</v>
      </c>
      <c r="U38">
        <v>76.62</v>
      </c>
      <c r="V38">
        <v>62.99</v>
      </c>
      <c r="W38" s="17">
        <v>295141.54979999998</v>
      </c>
    </row>
    <row r="39" spans="7:24" x14ac:dyDescent="0.25">
      <c r="G39" s="11">
        <v>38</v>
      </c>
      <c r="H39" s="10" t="s">
        <v>140</v>
      </c>
      <c r="I39" t="s">
        <v>218</v>
      </c>
      <c r="J39" t="s">
        <v>175</v>
      </c>
      <c r="K39" s="43">
        <v>-2.9999999999999997E-4</v>
      </c>
      <c r="L39" s="39">
        <v>-2.1100000000000001E-2</v>
      </c>
      <c r="M39" s="39">
        <v>-3.1600000000000003E-2</v>
      </c>
      <c r="N39" s="43">
        <v>-2.1899999999999999E-2</v>
      </c>
      <c r="O39" s="39">
        <v>1E-3</v>
      </c>
      <c r="P39" s="39">
        <v>-2.3800000000000002E-2</v>
      </c>
      <c r="Q39" s="39">
        <v>2.7199999999999998E-2</v>
      </c>
      <c r="R39" s="39">
        <v>-4.5900000000000003E-2</v>
      </c>
      <c r="S39" s="39">
        <v>-3.1600000000000003E-2</v>
      </c>
      <c r="T39">
        <v>75.97</v>
      </c>
      <c r="U39">
        <v>74.03</v>
      </c>
      <c r="V39">
        <v>64.94</v>
      </c>
      <c r="W39" s="17">
        <v>3639.4409600000004</v>
      </c>
    </row>
    <row r="40" spans="7:24" x14ac:dyDescent="0.25">
      <c r="G40" s="11">
        <v>39</v>
      </c>
      <c r="H40" t="s">
        <v>70</v>
      </c>
      <c r="I40" t="s">
        <v>870</v>
      </c>
      <c r="J40" t="s">
        <v>175</v>
      </c>
      <c r="K40" s="43">
        <v>-1.4E-3</v>
      </c>
      <c r="L40" s="39">
        <v>-4.6699999999999998E-2</v>
      </c>
      <c r="M40" s="39">
        <v>-5.3999999999999999E-2</v>
      </c>
      <c r="N40" s="43">
        <v>-5.9299999999999999E-2</v>
      </c>
      <c r="O40" s="39">
        <v>1.0699999999999999E-2</v>
      </c>
      <c r="P40" s="39">
        <v>-3.5700000000000003E-2</v>
      </c>
      <c r="Q40" s="39">
        <v>-6.1600000000000002E-2</v>
      </c>
      <c r="R40" s="39">
        <v>-0.23449999999999999</v>
      </c>
      <c r="S40" s="39">
        <v>-0.29530000000000001</v>
      </c>
      <c r="T40">
        <v>75.319999999999993</v>
      </c>
      <c r="U40">
        <v>48.05</v>
      </c>
      <c r="V40">
        <v>90.91</v>
      </c>
      <c r="W40" s="17">
        <v>921.5194608999999</v>
      </c>
      <c r="X40" s="83" t="s">
        <v>621</v>
      </c>
    </row>
    <row r="41" spans="7:24" x14ac:dyDescent="0.25">
      <c r="G41" s="11">
        <v>40</v>
      </c>
      <c r="H41" s="10" t="s">
        <v>141</v>
      </c>
      <c r="I41" t="s">
        <v>254</v>
      </c>
      <c r="J41" t="s">
        <v>175</v>
      </c>
      <c r="K41" s="43">
        <v>-5.0000000000000001E-4</v>
      </c>
      <c r="L41" s="39">
        <v>-2.47E-2</v>
      </c>
      <c r="M41" s="39">
        <v>-3.9699999999999999E-2</v>
      </c>
      <c r="N41" s="43">
        <v>-3.5400000000000001E-2</v>
      </c>
      <c r="O41" s="39">
        <v>-7.4999999999999997E-3</v>
      </c>
      <c r="P41" s="39">
        <v>-2.0400000000000001E-2</v>
      </c>
      <c r="Q41" s="39">
        <v>7.46E-2</v>
      </c>
      <c r="R41" s="39">
        <v>-1.4999999999999999E-2</v>
      </c>
      <c r="S41" s="39">
        <v>-6.8000000000000005E-2</v>
      </c>
      <c r="T41">
        <v>74.680000000000007</v>
      </c>
      <c r="U41">
        <v>63.64</v>
      </c>
      <c r="V41">
        <v>74.680000000000007</v>
      </c>
      <c r="W41" s="17">
        <v>329851.71309999999</v>
      </c>
    </row>
    <row r="42" spans="7:24" x14ac:dyDescent="0.25">
      <c r="G42" s="11">
        <v>41</v>
      </c>
      <c r="H42" s="10" t="s">
        <v>127</v>
      </c>
      <c r="I42" t="s">
        <v>911</v>
      </c>
      <c r="J42" t="s">
        <v>175</v>
      </c>
      <c r="K42" s="43">
        <v>-1E-3</v>
      </c>
      <c r="L42" s="39">
        <v>-2.3900000000000001E-2</v>
      </c>
      <c r="M42" s="39">
        <v>-3.5900000000000001E-2</v>
      </c>
      <c r="N42" s="43">
        <v>-4.36E-2</v>
      </c>
      <c r="O42" s="39">
        <v>-1.41E-2</v>
      </c>
      <c r="P42" s="39">
        <v>-4.07E-2</v>
      </c>
      <c r="Q42" s="39">
        <v>1.9699999999999999E-2</v>
      </c>
      <c r="R42" s="39">
        <v>2.2700000000000001E-2</v>
      </c>
      <c r="S42" s="39">
        <v>0.14280000000000001</v>
      </c>
      <c r="T42">
        <v>74.03</v>
      </c>
      <c r="U42">
        <v>55.84</v>
      </c>
      <c r="V42">
        <v>82.47</v>
      </c>
      <c r="W42" s="17">
        <v>1534.2198000000001</v>
      </c>
    </row>
    <row r="43" spans="7:24" x14ac:dyDescent="0.25">
      <c r="G43" s="11">
        <v>42</v>
      </c>
      <c r="H43" s="10" t="s">
        <v>97</v>
      </c>
      <c r="I43" t="s">
        <v>185</v>
      </c>
      <c r="J43" t="s">
        <v>175</v>
      </c>
      <c r="K43" s="43">
        <v>1.1000000000000001E-3</v>
      </c>
      <c r="L43" s="39">
        <v>2.6200000000000001E-2</v>
      </c>
      <c r="M43" s="39">
        <v>2.1299999999999999E-2</v>
      </c>
      <c r="N43" s="43">
        <v>4.7899999999999998E-2</v>
      </c>
      <c r="O43" s="39">
        <v>9.4100000000000003E-2</v>
      </c>
      <c r="P43" s="39">
        <v>6.2399999999999997E-2</v>
      </c>
      <c r="Q43" s="39">
        <v>-1E-4</v>
      </c>
      <c r="R43" s="39">
        <v>-0.1812</v>
      </c>
      <c r="S43" s="39">
        <v>-0.26979999999999998</v>
      </c>
      <c r="T43">
        <v>73.38</v>
      </c>
      <c r="U43">
        <v>98.05</v>
      </c>
      <c r="V43">
        <v>38.31</v>
      </c>
      <c r="W43" s="17">
        <v>27480.643973400001</v>
      </c>
      <c r="X43" s="83" t="s">
        <v>621</v>
      </c>
    </row>
    <row r="44" spans="7:24" x14ac:dyDescent="0.25">
      <c r="G44" s="11">
        <v>43</v>
      </c>
      <c r="H44" t="s">
        <v>278</v>
      </c>
      <c r="I44" t="s">
        <v>279</v>
      </c>
      <c r="J44" t="s">
        <v>311</v>
      </c>
      <c r="K44" s="43">
        <v>-2.7000000000000001E-3</v>
      </c>
      <c r="L44" s="39">
        <v>-5.3499999999999999E-2</v>
      </c>
      <c r="M44" s="39">
        <v>-8.3299999999999999E-2</v>
      </c>
      <c r="N44" s="43">
        <v>-7.4399999999999994E-2</v>
      </c>
      <c r="O44" s="39">
        <v>-6.93E-2</v>
      </c>
      <c r="P44" s="39">
        <v>-0.1021</v>
      </c>
      <c r="Q44" s="39">
        <v>-5.2200000000000003E-2</v>
      </c>
      <c r="R44" s="39">
        <v>-0.29849999999999999</v>
      </c>
      <c r="S44" s="39">
        <v>-0.43840000000000001</v>
      </c>
      <c r="T44">
        <v>72.73</v>
      </c>
      <c r="U44">
        <v>37.659999999999997</v>
      </c>
      <c r="V44">
        <v>98.05</v>
      </c>
      <c r="W44" s="17">
        <v>2163.7148299999999</v>
      </c>
    </row>
    <row r="45" spans="7:24" x14ac:dyDescent="0.25">
      <c r="G45" s="11">
        <v>44</v>
      </c>
      <c r="H45" s="10" t="s">
        <v>87</v>
      </c>
      <c r="I45" t="s">
        <v>283</v>
      </c>
      <c r="J45" t="s">
        <v>634</v>
      </c>
      <c r="K45" s="43">
        <v>6.9999999999999999E-4</v>
      </c>
      <c r="L45" s="39">
        <v>1.1000000000000001E-3</v>
      </c>
      <c r="M45" s="39">
        <v>2.7000000000000001E-3</v>
      </c>
      <c r="N45" s="43">
        <v>6.0000000000000001E-3</v>
      </c>
      <c r="O45" s="39">
        <v>1.1000000000000001E-3</v>
      </c>
      <c r="P45" s="39">
        <v>1.2200000000000001E-2</v>
      </c>
      <c r="Q45" s="39">
        <v>2.4400000000000002E-2</v>
      </c>
      <c r="R45" s="39">
        <v>5.9299999999999999E-2</v>
      </c>
      <c r="S45" s="39">
        <v>8.3599999999999994E-2</v>
      </c>
      <c r="T45">
        <v>72.08</v>
      </c>
      <c r="U45">
        <v>86.36</v>
      </c>
      <c r="V45">
        <v>47.4</v>
      </c>
      <c r="W45" s="17">
        <v>44756.027000000002</v>
      </c>
      <c r="X45" s="83" t="s">
        <v>621</v>
      </c>
    </row>
    <row r="46" spans="7:24" x14ac:dyDescent="0.25">
      <c r="G46" s="11">
        <v>45</v>
      </c>
      <c r="H46" s="10" t="s">
        <v>80</v>
      </c>
      <c r="I46" t="s">
        <v>288</v>
      </c>
      <c r="J46" t="s">
        <v>311</v>
      </c>
      <c r="K46" s="43">
        <v>5.9999999999999995E-4</v>
      </c>
      <c r="L46" s="39">
        <v>1.1000000000000001E-3</v>
      </c>
      <c r="M46" s="39">
        <v>2.5999999999999999E-3</v>
      </c>
      <c r="N46" s="43">
        <v>5.1999999999999998E-3</v>
      </c>
      <c r="O46" s="39">
        <v>1.4E-3</v>
      </c>
      <c r="P46" s="39">
        <v>1.0699999999999999E-2</v>
      </c>
      <c r="Q46" s="39">
        <v>2.4400000000000002E-2</v>
      </c>
      <c r="R46" s="39">
        <v>5.4399999999999997E-2</v>
      </c>
      <c r="S46" s="39">
        <v>7.0599999999999996E-2</v>
      </c>
      <c r="T46">
        <v>71.430000000000007</v>
      </c>
      <c r="U46">
        <v>84.42</v>
      </c>
      <c r="V46">
        <v>48.7</v>
      </c>
      <c r="W46" s="17">
        <v>226947.2751</v>
      </c>
      <c r="X46" s="83" t="s">
        <v>621</v>
      </c>
    </row>
    <row r="47" spans="7:24" x14ac:dyDescent="0.25">
      <c r="G47" s="11">
        <v>46</v>
      </c>
      <c r="H47" s="10" t="s">
        <v>396</v>
      </c>
      <c r="I47" t="s">
        <v>397</v>
      </c>
      <c r="J47" t="s">
        <v>393</v>
      </c>
      <c r="K47" s="43">
        <v>-5.0000000000000001E-4</v>
      </c>
      <c r="L47" s="39">
        <v>-2.5100000000000001E-2</v>
      </c>
      <c r="M47" s="39">
        <v>-4.5999999999999999E-2</v>
      </c>
      <c r="N47" s="43">
        <v>-4.0599999999999997E-2</v>
      </c>
      <c r="O47" s="39">
        <v>-1E-3</v>
      </c>
      <c r="P47" s="39">
        <v>-2.4299999999999999E-2</v>
      </c>
      <c r="Q47" s="39">
        <v>9.2600000000000002E-2</v>
      </c>
      <c r="R47" s="39">
        <v>-1.7399999999999999E-2</v>
      </c>
      <c r="S47" s="39">
        <v>-8.0500000000000002E-2</v>
      </c>
      <c r="T47">
        <v>70.78</v>
      </c>
      <c r="U47">
        <v>58.44</v>
      </c>
      <c r="V47">
        <v>74.03</v>
      </c>
      <c r="W47" s="17">
        <v>1476.5262</v>
      </c>
    </row>
    <row r="48" spans="7:24" x14ac:dyDescent="0.25">
      <c r="G48" s="11">
        <v>47</v>
      </c>
      <c r="H48" t="s">
        <v>64</v>
      </c>
      <c r="I48" t="s">
        <v>210</v>
      </c>
      <c r="J48" t="s">
        <v>175</v>
      </c>
      <c r="K48" s="43">
        <v>1.1999999999999999E-3</v>
      </c>
      <c r="L48" s="39">
        <v>2.3099999999999999E-2</v>
      </c>
      <c r="M48" s="39">
        <v>4.0099999999999997E-2</v>
      </c>
      <c r="N48" s="43">
        <v>2.6800000000000001E-2</v>
      </c>
      <c r="O48" s="39">
        <v>0.1066</v>
      </c>
      <c r="P48" s="39">
        <v>4.6899999999999997E-2</v>
      </c>
      <c r="Q48" s="39">
        <v>-6.7500000000000004E-2</v>
      </c>
      <c r="R48" s="39">
        <v>7.4899999999999994E-2</v>
      </c>
      <c r="S48" s="39">
        <v>0.23830000000000001</v>
      </c>
      <c r="T48">
        <v>70.13</v>
      </c>
      <c r="U48">
        <v>96.1</v>
      </c>
      <c r="V48">
        <v>36.36</v>
      </c>
      <c r="W48" s="17">
        <v>49989.314039999997</v>
      </c>
      <c r="X48" s="83" t="s">
        <v>621</v>
      </c>
    </row>
    <row r="49" spans="7:24" x14ac:dyDescent="0.25">
      <c r="G49" s="11">
        <v>48</v>
      </c>
      <c r="H49" s="10" t="s">
        <v>403</v>
      </c>
      <c r="I49" t="s">
        <v>404</v>
      </c>
      <c r="J49" t="s">
        <v>393</v>
      </c>
      <c r="K49" s="43">
        <v>-1.1999999999999999E-3</v>
      </c>
      <c r="L49" s="39">
        <v>-4.19E-2</v>
      </c>
      <c r="M49" s="39">
        <v>-7.22E-2</v>
      </c>
      <c r="N49" s="43">
        <v>-6.1699999999999998E-2</v>
      </c>
      <c r="O49" s="39">
        <v>-5.1999999999999998E-3</v>
      </c>
      <c r="P49" s="39">
        <v>-3.8100000000000002E-2</v>
      </c>
      <c r="Q49" s="39">
        <v>1.9300000000000001E-2</v>
      </c>
      <c r="R49" s="39">
        <v>-0.1215</v>
      </c>
      <c r="S49" s="39">
        <v>-0.27510000000000001</v>
      </c>
      <c r="T49">
        <v>69.48</v>
      </c>
      <c r="U49">
        <v>46.75</v>
      </c>
      <c r="V49">
        <v>85.71</v>
      </c>
      <c r="W49" s="17">
        <v>1678.9992999999999</v>
      </c>
    </row>
    <row r="50" spans="7:24" x14ac:dyDescent="0.25">
      <c r="G50" s="11">
        <v>49</v>
      </c>
      <c r="H50" s="10" t="s">
        <v>281</v>
      </c>
      <c r="I50" t="s">
        <v>282</v>
      </c>
      <c r="J50" t="s">
        <v>311</v>
      </c>
      <c r="K50" s="43">
        <v>-3.3E-3</v>
      </c>
      <c r="L50" s="39">
        <v>-4.2200000000000001E-2</v>
      </c>
      <c r="M50" s="39">
        <v>-7.4300000000000005E-2</v>
      </c>
      <c r="N50" s="43">
        <v>-8.0299999999999996E-2</v>
      </c>
      <c r="O50" s="39">
        <v>8.5000000000000006E-3</v>
      </c>
      <c r="P50" s="39">
        <v>-6.1000000000000004E-3</v>
      </c>
      <c r="Q50" s="39">
        <v>3.7600000000000001E-2</v>
      </c>
      <c r="R50" s="39">
        <v>-0.29859999999999998</v>
      </c>
      <c r="S50" s="39">
        <v>-0.4194</v>
      </c>
      <c r="T50">
        <v>68.83</v>
      </c>
      <c r="U50">
        <v>33.119999999999997</v>
      </c>
      <c r="V50">
        <v>98.7</v>
      </c>
      <c r="W50" s="17">
        <v>1098.780074</v>
      </c>
    </row>
    <row r="51" spans="7:24" x14ac:dyDescent="0.25">
      <c r="G51" s="11">
        <v>50</v>
      </c>
      <c r="H51" s="10" t="s">
        <v>89</v>
      </c>
      <c r="I51" t="s">
        <v>286</v>
      </c>
      <c r="J51" t="s">
        <v>311</v>
      </c>
      <c r="K51" s="43">
        <v>1E-4</v>
      </c>
      <c r="L51" s="39">
        <v>-1.4200000000000001E-2</v>
      </c>
      <c r="M51" s="39">
        <v>-2.0299999999999999E-2</v>
      </c>
      <c r="N51" s="43">
        <v>-2.2499999999999999E-2</v>
      </c>
      <c r="O51" s="39">
        <v>6.1999999999999998E-3</v>
      </c>
      <c r="P51" s="39">
        <v>5.8999999999999997E-2</v>
      </c>
      <c r="Q51" s="39">
        <v>6.8199999999999997E-2</v>
      </c>
      <c r="R51" s="39">
        <v>7.3400000000000007E-2</v>
      </c>
      <c r="S51" s="39">
        <v>6.0299999999999999E-2</v>
      </c>
      <c r="T51">
        <v>68.180000000000007</v>
      </c>
      <c r="U51">
        <v>73.38</v>
      </c>
      <c r="V51">
        <v>57.14</v>
      </c>
      <c r="W51" s="17">
        <v>62807.362000000001</v>
      </c>
    </row>
    <row r="52" spans="7:24" x14ac:dyDescent="0.25">
      <c r="G52" s="11">
        <v>51</v>
      </c>
      <c r="H52" s="10" t="s">
        <v>61</v>
      </c>
      <c r="I52" t="s">
        <v>226</v>
      </c>
      <c r="J52" t="s">
        <v>175</v>
      </c>
      <c r="K52" s="43">
        <v>-1.1999999999999999E-3</v>
      </c>
      <c r="L52" s="39">
        <v>-3.2500000000000001E-2</v>
      </c>
      <c r="M52" s="39">
        <v>-6.2100000000000002E-2</v>
      </c>
      <c r="N52" s="43">
        <v>-6.6699999999999995E-2</v>
      </c>
      <c r="O52" s="39">
        <v>3.5499999999999997E-2</v>
      </c>
      <c r="P52" s="39">
        <v>1.6000000000000001E-3</v>
      </c>
      <c r="Q52" s="39">
        <v>-1.5299999999999999E-2</v>
      </c>
      <c r="R52" s="39">
        <v>-8.6099999999999996E-2</v>
      </c>
      <c r="S52" s="39">
        <v>-0.1988</v>
      </c>
      <c r="T52">
        <v>67.53</v>
      </c>
      <c r="U52">
        <v>42.86</v>
      </c>
      <c r="V52">
        <v>87.01</v>
      </c>
      <c r="W52" s="17">
        <v>9668.9413999999997</v>
      </c>
      <c r="X52" s="83" t="s">
        <v>621</v>
      </c>
    </row>
    <row r="53" spans="7:24" x14ac:dyDescent="0.25">
      <c r="G53" s="11">
        <v>52</v>
      </c>
      <c r="H53" t="s">
        <v>302</v>
      </c>
      <c r="I53" t="s">
        <v>303</v>
      </c>
      <c r="J53" t="s">
        <v>311</v>
      </c>
      <c r="K53" s="43">
        <v>-2E-3</v>
      </c>
      <c r="L53" s="39">
        <v>-1.72E-2</v>
      </c>
      <c r="M53" s="39">
        <v>-3.4599999999999999E-2</v>
      </c>
      <c r="N53" s="43">
        <v>-7.9699999999999993E-2</v>
      </c>
      <c r="O53" s="39">
        <v>5.0799999999999998E-2</v>
      </c>
      <c r="P53" s="39">
        <v>0.14699999999999999</v>
      </c>
      <c r="Q53" s="39">
        <v>0.35199999999999998</v>
      </c>
      <c r="R53" s="39">
        <v>3.6600000000000001E-2</v>
      </c>
      <c r="S53" s="39">
        <v>-5.2400000000000002E-2</v>
      </c>
      <c r="T53">
        <v>66.88</v>
      </c>
      <c r="U53">
        <v>34.42</v>
      </c>
      <c r="V53">
        <v>94.16</v>
      </c>
      <c r="W53" s="17">
        <v>1948.4151999999999</v>
      </c>
    </row>
    <row r="54" spans="7:24" x14ac:dyDescent="0.25">
      <c r="G54" s="11">
        <v>53</v>
      </c>
      <c r="H54" s="10" t="s">
        <v>103</v>
      </c>
      <c r="I54" t="s">
        <v>249</v>
      </c>
      <c r="J54" t="s">
        <v>175</v>
      </c>
      <c r="K54" s="43">
        <v>-5.9999999999999995E-4</v>
      </c>
      <c r="L54" s="39">
        <v>-6.4999999999999997E-3</v>
      </c>
      <c r="M54" s="39">
        <v>-2.81E-2</v>
      </c>
      <c r="N54" s="43">
        <v>-5.6800000000000003E-2</v>
      </c>
      <c r="O54" s="39">
        <v>4.3200000000000002E-2</v>
      </c>
      <c r="P54" s="39">
        <v>0.1226</v>
      </c>
      <c r="Q54" s="39">
        <v>0.32729999999999998</v>
      </c>
      <c r="R54" s="39">
        <v>-9.1000000000000004E-3</v>
      </c>
      <c r="S54" s="39">
        <v>-0.12230000000000001</v>
      </c>
      <c r="T54">
        <v>66.23</v>
      </c>
      <c r="U54">
        <v>50.65</v>
      </c>
      <c r="V54">
        <v>77.92</v>
      </c>
      <c r="W54" s="17">
        <v>503487.8775</v>
      </c>
      <c r="X54" s="83" t="s">
        <v>621</v>
      </c>
    </row>
    <row r="55" spans="7:24" x14ac:dyDescent="0.25">
      <c r="G55" s="11">
        <v>54</v>
      </c>
      <c r="H55" s="10" t="s">
        <v>73</v>
      </c>
      <c r="I55" t="s">
        <v>240</v>
      </c>
      <c r="J55" t="s">
        <v>175</v>
      </c>
      <c r="K55" s="43">
        <v>-1E-3</v>
      </c>
      <c r="L55" s="39">
        <v>3.8999999999999998E-3</v>
      </c>
      <c r="M55" s="39">
        <v>-2.4899999999999999E-2</v>
      </c>
      <c r="N55" s="43">
        <v>-6.5299999999999997E-2</v>
      </c>
      <c r="O55" s="39">
        <v>5.8999999999999997E-2</v>
      </c>
      <c r="P55" s="39">
        <v>2.24E-2</v>
      </c>
      <c r="Q55" s="39">
        <v>0.1343</v>
      </c>
      <c r="R55" s="39">
        <v>-9.5500000000000002E-2</v>
      </c>
      <c r="S55" s="39">
        <v>-0.11940000000000001</v>
      </c>
      <c r="T55">
        <v>65.58</v>
      </c>
      <c r="U55">
        <v>43.51</v>
      </c>
      <c r="V55">
        <v>83.77</v>
      </c>
      <c r="W55" s="17">
        <v>106009.7179</v>
      </c>
      <c r="X55" s="83" t="s">
        <v>621</v>
      </c>
    </row>
    <row r="56" spans="7:24" x14ac:dyDescent="0.25">
      <c r="G56" s="11">
        <v>55</v>
      </c>
      <c r="H56" t="s">
        <v>143</v>
      </c>
      <c r="I56" t="s">
        <v>235</v>
      </c>
      <c r="J56" t="s">
        <v>175</v>
      </c>
      <c r="K56" s="43">
        <v>-5.9999999999999995E-4</v>
      </c>
      <c r="L56" s="39">
        <v>-4.7300000000000002E-2</v>
      </c>
      <c r="M56" s="39">
        <v>-6.3200000000000006E-2</v>
      </c>
      <c r="N56" s="43">
        <v>-5.8700000000000002E-2</v>
      </c>
      <c r="O56" s="39">
        <v>-3.8899999999999997E-2</v>
      </c>
      <c r="P56" s="39">
        <v>-8.09E-2</v>
      </c>
      <c r="Q56" s="39">
        <v>0.25700000000000001</v>
      </c>
      <c r="R56" s="39">
        <v>0.1714</v>
      </c>
      <c r="S56" s="39">
        <v>0.16220000000000001</v>
      </c>
      <c r="T56">
        <v>64.94</v>
      </c>
      <c r="U56">
        <v>49.35</v>
      </c>
      <c r="V56">
        <v>77.27</v>
      </c>
      <c r="W56" s="17">
        <v>20573.436300000001</v>
      </c>
      <c r="X56" s="83" t="s">
        <v>621</v>
      </c>
    </row>
    <row r="57" spans="7:24" x14ac:dyDescent="0.25">
      <c r="G57" s="11">
        <v>56</v>
      </c>
      <c r="H57" s="10" t="s">
        <v>71</v>
      </c>
      <c r="I57" t="s">
        <v>183</v>
      </c>
      <c r="J57" t="s">
        <v>175</v>
      </c>
      <c r="K57" s="43">
        <v>-2.9999999999999997E-4</v>
      </c>
      <c r="L57" s="39">
        <v>-2.6200000000000001E-2</v>
      </c>
      <c r="M57" s="39">
        <v>-4.6899999999999997E-2</v>
      </c>
      <c r="N57" s="43">
        <v>-3.7400000000000003E-2</v>
      </c>
      <c r="O57" s="39">
        <v>-2.2200000000000001E-2</v>
      </c>
      <c r="P57" s="39">
        <v>-6.7199999999999996E-2</v>
      </c>
      <c r="Q57" s="39">
        <v>-5.33E-2</v>
      </c>
      <c r="R57" s="39">
        <v>6.4500000000000002E-2</v>
      </c>
      <c r="S57" s="39">
        <v>6.9000000000000006E-2</v>
      </c>
      <c r="T57">
        <v>64.290000000000006</v>
      </c>
      <c r="U57">
        <v>61.04</v>
      </c>
      <c r="V57">
        <v>65.58</v>
      </c>
      <c r="W57" s="17">
        <v>945.62929999999994</v>
      </c>
    </row>
    <row r="58" spans="7:24" x14ac:dyDescent="0.25">
      <c r="G58" s="11">
        <v>57</v>
      </c>
      <c r="H58" t="s">
        <v>125</v>
      </c>
      <c r="I58" t="s">
        <v>215</v>
      </c>
      <c r="J58" t="s">
        <v>175</v>
      </c>
      <c r="K58" s="43">
        <v>1.1999999999999999E-3</v>
      </c>
      <c r="L58" s="39">
        <v>-6.1000000000000004E-3</v>
      </c>
      <c r="M58" s="39">
        <v>-2.2700000000000001E-2</v>
      </c>
      <c r="N58" s="43">
        <v>1.29E-2</v>
      </c>
      <c r="O58" s="39">
        <v>9.9000000000000008E-3</v>
      </c>
      <c r="P58" s="39">
        <v>-1.24E-2</v>
      </c>
      <c r="Q58" s="39">
        <v>2.35E-2</v>
      </c>
      <c r="R58" s="39">
        <v>-9.4899999999999998E-2</v>
      </c>
      <c r="S58" s="39">
        <v>-8.9599999999999999E-2</v>
      </c>
      <c r="T58">
        <v>63.64</v>
      </c>
      <c r="U58">
        <v>90.91</v>
      </c>
      <c r="V58">
        <v>35.06</v>
      </c>
      <c r="W58" s="17">
        <v>8948.3834999999999</v>
      </c>
    </row>
    <row r="59" spans="7:24" x14ac:dyDescent="0.25">
      <c r="G59" s="11">
        <v>58</v>
      </c>
      <c r="H59" t="s">
        <v>109</v>
      </c>
      <c r="I59" t="s">
        <v>176</v>
      </c>
      <c r="J59" t="s">
        <v>175</v>
      </c>
      <c r="K59" s="43">
        <v>2.0000000000000001E-4</v>
      </c>
      <c r="L59" s="39">
        <v>-2.8500000000000001E-2</v>
      </c>
      <c r="M59" s="39">
        <v>-3.1699999999999999E-2</v>
      </c>
      <c r="N59" s="43">
        <v>-2.3800000000000002E-2</v>
      </c>
      <c r="O59" s="39">
        <v>-2.8E-3</v>
      </c>
      <c r="P59" s="39">
        <v>-6.3E-3</v>
      </c>
      <c r="Q59" s="39">
        <v>0.22439999999999999</v>
      </c>
      <c r="R59" s="39">
        <v>0.27539999999999998</v>
      </c>
      <c r="S59" s="39">
        <v>0.2321</v>
      </c>
      <c r="T59">
        <v>62.99</v>
      </c>
      <c r="U59">
        <v>71.430000000000007</v>
      </c>
      <c r="V59">
        <v>53.9</v>
      </c>
      <c r="W59" s="17">
        <v>4782.2052000000003</v>
      </c>
    </row>
    <row r="60" spans="7:24" x14ac:dyDescent="0.25">
      <c r="G60" s="11">
        <v>59</v>
      </c>
      <c r="H60" t="s">
        <v>74</v>
      </c>
      <c r="I60" t="s">
        <v>219</v>
      </c>
      <c r="J60" t="s">
        <v>175</v>
      </c>
      <c r="K60" s="43">
        <v>-1.4E-3</v>
      </c>
      <c r="L60" s="39">
        <v>-4.3700000000000003E-2</v>
      </c>
      <c r="M60" s="39">
        <v>-7.2999999999999995E-2</v>
      </c>
      <c r="N60" s="43">
        <v>-8.0199999999999994E-2</v>
      </c>
      <c r="O60" s="39">
        <v>5.0999999999999997E-2</v>
      </c>
      <c r="P60" s="39">
        <v>0.1265</v>
      </c>
      <c r="Q60" s="39">
        <v>0.1283</v>
      </c>
      <c r="R60" s="39">
        <v>-0.1004</v>
      </c>
      <c r="S60" s="39">
        <v>-0.1867</v>
      </c>
      <c r="T60">
        <v>62.34</v>
      </c>
      <c r="U60">
        <v>33.770000000000003</v>
      </c>
      <c r="V60">
        <v>88.31</v>
      </c>
      <c r="W60" s="17">
        <v>4083.91</v>
      </c>
      <c r="X60" s="83" t="s">
        <v>621</v>
      </c>
    </row>
    <row r="61" spans="7:24" x14ac:dyDescent="0.25">
      <c r="G61" s="11">
        <v>60</v>
      </c>
      <c r="H61" s="10" t="s">
        <v>113</v>
      </c>
      <c r="I61" t="s">
        <v>221</v>
      </c>
      <c r="J61" t="s">
        <v>175</v>
      </c>
      <c r="K61" s="43">
        <v>1.6000000000000001E-3</v>
      </c>
      <c r="L61" s="39">
        <v>1.6000000000000001E-3</v>
      </c>
      <c r="M61" s="39">
        <v>-1.6000000000000001E-3</v>
      </c>
      <c r="N61" s="43">
        <v>1.67E-2</v>
      </c>
      <c r="O61" s="39">
        <v>6.0299999999999999E-2</v>
      </c>
      <c r="P61" s="39">
        <v>2.6499999999999999E-2</v>
      </c>
      <c r="Q61" s="39">
        <v>-3.2500000000000001E-2</v>
      </c>
      <c r="R61" s="39">
        <v>-0.2031</v>
      </c>
      <c r="S61" s="39">
        <v>-0.1825</v>
      </c>
      <c r="T61">
        <v>61.69</v>
      </c>
      <c r="U61">
        <v>94.16</v>
      </c>
      <c r="V61">
        <v>27.92</v>
      </c>
      <c r="W61" s="17">
        <v>2667.5439999999999</v>
      </c>
    </row>
    <row r="62" spans="7:24" x14ac:dyDescent="0.25">
      <c r="G62" s="11">
        <v>61</v>
      </c>
      <c r="H62" t="s">
        <v>90</v>
      </c>
      <c r="I62" t="s">
        <v>199</v>
      </c>
      <c r="J62" t="s">
        <v>175</v>
      </c>
      <c r="K62" s="43">
        <v>1.9E-3</v>
      </c>
      <c r="L62" s="39">
        <v>8.0000000000000002E-3</v>
      </c>
      <c r="M62" s="39">
        <v>6.7000000000000002E-3</v>
      </c>
      <c r="N62" s="43">
        <v>2.4199999999999999E-2</v>
      </c>
      <c r="O62" s="39">
        <v>6.6799999999999998E-2</v>
      </c>
      <c r="P62" s="39">
        <v>2.12E-2</v>
      </c>
      <c r="Q62" s="39">
        <v>-3.6400000000000002E-2</v>
      </c>
      <c r="R62" s="39">
        <v>-0.1958</v>
      </c>
      <c r="S62" s="39">
        <v>-0.21179999999999999</v>
      </c>
      <c r="T62">
        <v>61.04</v>
      </c>
      <c r="U62">
        <v>95.45</v>
      </c>
      <c r="V62">
        <v>25.97</v>
      </c>
      <c r="W62" s="17">
        <v>85537.103910999998</v>
      </c>
    </row>
    <row r="63" spans="7:24" x14ac:dyDescent="0.25">
      <c r="G63" s="11">
        <v>62</v>
      </c>
      <c r="H63" t="s">
        <v>94</v>
      </c>
      <c r="I63" t="s">
        <v>181</v>
      </c>
      <c r="J63" t="s">
        <v>175</v>
      </c>
      <c r="K63" s="43">
        <v>-2.0999999999999999E-3</v>
      </c>
      <c r="L63" s="39">
        <v>-2.5899999999999999E-2</v>
      </c>
      <c r="M63" s="39">
        <v>-6.2600000000000003E-2</v>
      </c>
      <c r="N63" s="43">
        <v>-9.2200000000000004E-2</v>
      </c>
      <c r="O63" s="39">
        <v>-2.5499999999999998E-2</v>
      </c>
      <c r="P63" s="39">
        <v>5.4199999999999998E-2</v>
      </c>
      <c r="Q63" s="39">
        <v>0.26879999999999998</v>
      </c>
      <c r="R63" s="39">
        <v>0.12790000000000001</v>
      </c>
      <c r="S63" s="39">
        <v>-4.0800000000000003E-2</v>
      </c>
      <c r="T63">
        <v>60.39</v>
      </c>
      <c r="U63">
        <v>25.97</v>
      </c>
      <c r="V63">
        <v>94.81</v>
      </c>
      <c r="W63" s="17">
        <v>1495.46</v>
      </c>
    </row>
    <row r="64" spans="7:24" x14ac:dyDescent="0.25">
      <c r="G64" s="11">
        <v>63</v>
      </c>
      <c r="H64" s="10" t="s">
        <v>76</v>
      </c>
      <c r="I64" t="s">
        <v>930</v>
      </c>
      <c r="J64" t="s">
        <v>175</v>
      </c>
      <c r="K64" s="43">
        <v>-1.8E-3</v>
      </c>
      <c r="L64" s="39">
        <v>-5.2299999999999999E-2</v>
      </c>
      <c r="M64" s="39">
        <v>-8.4599999999999995E-2</v>
      </c>
      <c r="N64" s="43">
        <v>-8.7499999999999994E-2</v>
      </c>
      <c r="O64" s="39">
        <v>-3.78E-2</v>
      </c>
      <c r="P64" s="39">
        <v>-7.4499999999999997E-2</v>
      </c>
      <c r="Q64" s="39">
        <v>-3.2899999999999999E-2</v>
      </c>
      <c r="R64" s="39">
        <v>-0.26579999999999998</v>
      </c>
      <c r="S64" s="39">
        <v>-0.38429999999999997</v>
      </c>
      <c r="T64">
        <v>59.74</v>
      </c>
      <c r="U64">
        <v>27.27</v>
      </c>
      <c r="V64">
        <v>93.51</v>
      </c>
      <c r="W64" s="17">
        <v>381.60109999999997</v>
      </c>
    </row>
    <row r="65" spans="7:25" x14ac:dyDescent="0.25">
      <c r="G65" s="11">
        <v>64</v>
      </c>
      <c r="H65" s="10" t="s">
        <v>78</v>
      </c>
      <c r="I65" t="s">
        <v>179</v>
      </c>
      <c r="J65" t="s">
        <v>175</v>
      </c>
      <c r="K65" s="43">
        <v>-4.0000000000000002E-4</v>
      </c>
      <c r="L65" s="39">
        <v>-3.8199999999999998E-2</v>
      </c>
      <c r="M65" s="39">
        <v>-6.5299999999999997E-2</v>
      </c>
      <c r="N65" s="43">
        <v>-5.8299999999999998E-2</v>
      </c>
      <c r="O65" s="39">
        <v>-4.0899999999999999E-2</v>
      </c>
      <c r="P65" s="39">
        <v>-5.8500000000000003E-2</v>
      </c>
      <c r="Q65" s="39">
        <v>-8.4500000000000006E-2</v>
      </c>
      <c r="R65" s="39">
        <v>-0.28660000000000002</v>
      </c>
      <c r="S65" s="39">
        <v>-0.32379999999999998</v>
      </c>
      <c r="T65">
        <v>59.09</v>
      </c>
      <c r="U65">
        <v>50</v>
      </c>
      <c r="V65">
        <v>69.48</v>
      </c>
      <c r="W65" s="17">
        <v>157.3837</v>
      </c>
    </row>
    <row r="66" spans="7:25" x14ac:dyDescent="0.25">
      <c r="G66" s="11">
        <v>65</v>
      </c>
      <c r="H66" s="10" t="s">
        <v>124</v>
      </c>
      <c r="I66" t="s">
        <v>252</v>
      </c>
      <c r="J66" t="s">
        <v>175</v>
      </c>
      <c r="K66" s="43">
        <v>-5.9999999999999995E-4</v>
      </c>
      <c r="L66" s="39">
        <v>-4.4200000000000003E-2</v>
      </c>
      <c r="M66" s="39">
        <v>-6.1600000000000002E-2</v>
      </c>
      <c r="N66" s="43">
        <v>-6.6900000000000001E-2</v>
      </c>
      <c r="O66" s="39">
        <v>2.12E-2</v>
      </c>
      <c r="P66" s="39">
        <v>1.8599999999999998E-2</v>
      </c>
      <c r="Q66" s="39">
        <v>7.1599999999999997E-2</v>
      </c>
      <c r="R66" s="39">
        <v>-0.08</v>
      </c>
      <c r="S66" s="39">
        <v>-9.4E-2</v>
      </c>
      <c r="T66">
        <v>58.44</v>
      </c>
      <c r="U66">
        <v>42.21</v>
      </c>
      <c r="V66">
        <v>75.319999999999993</v>
      </c>
      <c r="W66" s="17">
        <v>123632.1251</v>
      </c>
    </row>
    <row r="67" spans="7:25" x14ac:dyDescent="0.25">
      <c r="G67" s="11">
        <v>66</v>
      </c>
      <c r="H67" t="s">
        <v>924</v>
      </c>
      <c r="I67" t="s">
        <v>925</v>
      </c>
      <c r="J67" t="s">
        <v>311</v>
      </c>
      <c r="K67" s="43">
        <v>-5.0000000000000001E-4</v>
      </c>
      <c r="L67" s="39">
        <v>-2.7900000000000001E-2</v>
      </c>
      <c r="M67" s="39">
        <v>-5.62E-2</v>
      </c>
      <c r="N67" s="43">
        <v>-6.5000000000000002E-2</v>
      </c>
      <c r="O67" s="39">
        <v>0.10979999999999999</v>
      </c>
      <c r="P67" s="39">
        <v>0.12130000000000001</v>
      </c>
      <c r="Q67" s="39">
        <v>0.18390000000000001</v>
      </c>
      <c r="R67" s="39">
        <v>0.28360000000000002</v>
      </c>
      <c r="S67" s="39">
        <v>0.28360000000000002</v>
      </c>
      <c r="T67">
        <v>57.79</v>
      </c>
      <c r="U67">
        <v>44.81</v>
      </c>
      <c r="V67">
        <v>72.08</v>
      </c>
      <c r="W67" s="17">
        <v>1880.7929999999999</v>
      </c>
      <c r="X67" s="83" t="s">
        <v>621</v>
      </c>
    </row>
    <row r="68" spans="7:25" x14ac:dyDescent="0.25">
      <c r="G68" s="11">
        <v>67</v>
      </c>
      <c r="H68" s="10" t="s">
        <v>112</v>
      </c>
      <c r="I68" t="s">
        <v>189</v>
      </c>
      <c r="J68" t="s">
        <v>175</v>
      </c>
      <c r="K68" s="43">
        <v>-1.5E-3</v>
      </c>
      <c r="L68" s="39">
        <v>-2.5700000000000001E-2</v>
      </c>
      <c r="M68" s="39">
        <v>-6.2899999999999998E-2</v>
      </c>
      <c r="N68" s="43">
        <v>-9.3700000000000006E-2</v>
      </c>
      <c r="O68" s="39">
        <v>-2.92E-2</v>
      </c>
      <c r="P68" s="39">
        <v>4.1099999999999998E-2</v>
      </c>
      <c r="Q68" s="39">
        <v>0.2487</v>
      </c>
      <c r="R68" s="39">
        <v>8.2400000000000001E-2</v>
      </c>
      <c r="S68" s="39">
        <v>-8.5300000000000001E-2</v>
      </c>
      <c r="T68">
        <v>57.14</v>
      </c>
      <c r="U68">
        <v>24.03</v>
      </c>
      <c r="V68">
        <v>91.56</v>
      </c>
      <c r="W68" s="17">
        <v>674.77859999999998</v>
      </c>
    </row>
    <row r="69" spans="7:25" x14ac:dyDescent="0.25">
      <c r="G69" s="11">
        <v>68</v>
      </c>
      <c r="H69" s="10" t="s">
        <v>137</v>
      </c>
      <c r="I69" t="s">
        <v>192</v>
      </c>
      <c r="J69" t="s">
        <v>175</v>
      </c>
      <c r="K69" s="43">
        <v>0</v>
      </c>
      <c r="L69" s="39">
        <v>-4.48E-2</v>
      </c>
      <c r="M69" s="39">
        <v>-6.2E-2</v>
      </c>
      <c r="N69" s="43">
        <v>-5.21E-2</v>
      </c>
      <c r="O69" s="39">
        <v>-3.8199999999999998E-2</v>
      </c>
      <c r="P69" s="39">
        <v>-2.2700000000000001E-2</v>
      </c>
      <c r="Q69" s="39">
        <v>1.4E-2</v>
      </c>
      <c r="R69" s="39">
        <v>0.1208</v>
      </c>
      <c r="S69" s="39">
        <v>0.10580000000000001</v>
      </c>
      <c r="T69">
        <v>56.49</v>
      </c>
      <c r="U69">
        <v>52.6</v>
      </c>
      <c r="V69">
        <v>62.34</v>
      </c>
      <c r="W69" s="17">
        <v>5658.8044</v>
      </c>
    </row>
    <row r="70" spans="7:25" x14ac:dyDescent="0.25">
      <c r="G70" s="11">
        <v>69</v>
      </c>
      <c r="H70" s="10" t="s">
        <v>165</v>
      </c>
      <c r="I70" t="s">
        <v>259</v>
      </c>
      <c r="J70" t="s">
        <v>256</v>
      </c>
      <c r="K70" s="43">
        <v>3.8999999999999998E-3</v>
      </c>
      <c r="L70" s="39">
        <v>-2.0500000000000001E-2</v>
      </c>
      <c r="M70" s="39">
        <v>-1.78E-2</v>
      </c>
      <c r="N70" s="43">
        <v>3.56E-2</v>
      </c>
      <c r="O70" s="39">
        <v>-0.05</v>
      </c>
      <c r="P70" s="39">
        <v>-0.1101</v>
      </c>
      <c r="Q70" s="39">
        <v>-2.9600000000000001E-2</v>
      </c>
      <c r="R70" s="39">
        <v>0.2772</v>
      </c>
      <c r="S70" s="39">
        <v>0.27589999999999998</v>
      </c>
      <c r="T70">
        <v>55.84</v>
      </c>
      <c r="U70">
        <v>96.75</v>
      </c>
      <c r="V70">
        <v>17.53</v>
      </c>
      <c r="W70" s="17">
        <v>17455.7415683</v>
      </c>
      <c r="X70" s="83" t="s">
        <v>621</v>
      </c>
      <c r="Y70" s="81" t="s">
        <v>636</v>
      </c>
    </row>
    <row r="71" spans="7:25" x14ac:dyDescent="0.25">
      <c r="G71" s="11">
        <v>70</v>
      </c>
      <c r="H71" s="10" t="s">
        <v>295</v>
      </c>
      <c r="I71" t="s">
        <v>296</v>
      </c>
      <c r="J71" t="s">
        <v>311</v>
      </c>
      <c r="K71" s="43">
        <v>-8.9999999999999998E-4</v>
      </c>
      <c r="L71" s="39">
        <v>-0.06</v>
      </c>
      <c r="M71" s="39">
        <v>-0.1011</v>
      </c>
      <c r="N71" s="43">
        <v>-7.8899999999999998E-2</v>
      </c>
      <c r="O71" s="39">
        <v>-5.8400000000000001E-2</v>
      </c>
      <c r="P71" s="39">
        <v>1.43E-2</v>
      </c>
      <c r="Q71" s="39">
        <v>0.14149999999999999</v>
      </c>
      <c r="R71" s="39">
        <v>0.1966</v>
      </c>
      <c r="S71" s="39">
        <v>0.29049999999999998</v>
      </c>
      <c r="T71">
        <v>55.19</v>
      </c>
      <c r="U71">
        <v>35.71</v>
      </c>
      <c r="V71">
        <v>78.569999999999993</v>
      </c>
      <c r="W71" s="17">
        <v>1713.5268000000001</v>
      </c>
    </row>
    <row r="72" spans="7:25" x14ac:dyDescent="0.25">
      <c r="G72" s="11">
        <v>71</v>
      </c>
      <c r="H72" s="10" t="s">
        <v>398</v>
      </c>
      <c r="I72" t="s">
        <v>399</v>
      </c>
      <c r="J72" t="s">
        <v>393</v>
      </c>
      <c r="K72" s="43">
        <v>1.2999999999999999E-3</v>
      </c>
      <c r="L72" s="39">
        <v>-2.92E-2</v>
      </c>
      <c r="M72" s="39">
        <v>-2.01E-2</v>
      </c>
      <c r="N72" s="43">
        <v>-1.9E-3</v>
      </c>
      <c r="O72" s="39">
        <v>-2.7300000000000001E-2</v>
      </c>
      <c r="P72" s="39">
        <v>-4.1599999999999998E-2</v>
      </c>
      <c r="Q72" s="39">
        <v>-6.4000000000000001E-2</v>
      </c>
      <c r="R72" s="39">
        <v>-0.15570000000000001</v>
      </c>
      <c r="S72" s="39">
        <v>-4.5199999999999997E-2</v>
      </c>
      <c r="T72">
        <v>54.55</v>
      </c>
      <c r="U72">
        <v>80.52</v>
      </c>
      <c r="V72">
        <v>33.119999999999997</v>
      </c>
      <c r="W72" s="17">
        <v>2376.2808184</v>
      </c>
    </row>
    <row r="73" spans="7:25" x14ac:dyDescent="0.25">
      <c r="G73" s="11">
        <v>72</v>
      </c>
      <c r="H73" s="10" t="s">
        <v>274</v>
      </c>
      <c r="I73" t="s">
        <v>275</v>
      </c>
      <c r="J73" t="s">
        <v>311</v>
      </c>
      <c r="K73" s="43">
        <v>1.6000000000000001E-3</v>
      </c>
      <c r="L73" s="39">
        <v>-2.8400000000000002E-2</v>
      </c>
      <c r="M73" s="39">
        <v>-6.0000000000000001E-3</v>
      </c>
      <c r="N73" s="43">
        <v>4.4999999999999997E-3</v>
      </c>
      <c r="O73" s="39">
        <v>-1.18E-2</v>
      </c>
      <c r="P73" s="39">
        <v>-5.3600000000000002E-2</v>
      </c>
      <c r="Q73" s="39">
        <v>-3.3099999999999997E-2</v>
      </c>
      <c r="R73" s="39">
        <v>6.2199999999999998E-2</v>
      </c>
      <c r="S73" s="39">
        <v>2.1999999999999999E-2</v>
      </c>
      <c r="T73">
        <v>53.9</v>
      </c>
      <c r="U73">
        <v>83.77</v>
      </c>
      <c r="V73">
        <v>27.27</v>
      </c>
      <c r="W73" s="17">
        <v>18219.514599999999</v>
      </c>
      <c r="X73" s="83" t="s">
        <v>621</v>
      </c>
    </row>
    <row r="74" spans="7:25" x14ac:dyDescent="0.25">
      <c r="G74" s="11">
        <v>73</v>
      </c>
      <c r="H74" t="s">
        <v>98</v>
      </c>
      <c r="I74" t="s">
        <v>207</v>
      </c>
      <c r="J74" t="s">
        <v>175</v>
      </c>
      <c r="K74" s="43">
        <v>-1.1999999999999999E-3</v>
      </c>
      <c r="L74" s="39">
        <v>-5.5100000000000003E-2</v>
      </c>
      <c r="M74" s="39">
        <v>-7.3800000000000004E-2</v>
      </c>
      <c r="N74" s="43">
        <v>-9.3600000000000003E-2</v>
      </c>
      <c r="O74" s="39">
        <v>3.5400000000000001E-2</v>
      </c>
      <c r="P74" s="39">
        <v>6.4500000000000002E-2</v>
      </c>
      <c r="Q74" s="39">
        <v>9.0399999999999994E-2</v>
      </c>
      <c r="R74" s="39">
        <v>-0.1231</v>
      </c>
      <c r="S74" s="39">
        <v>-0.14419999999999999</v>
      </c>
      <c r="T74">
        <v>53.25</v>
      </c>
      <c r="U74">
        <v>24.68</v>
      </c>
      <c r="V74">
        <v>86.36</v>
      </c>
      <c r="W74" s="17">
        <v>35501.086214399998</v>
      </c>
    </row>
    <row r="75" spans="7:25" x14ac:dyDescent="0.25">
      <c r="G75" s="11">
        <v>74</v>
      </c>
      <c r="H75" s="10" t="s">
        <v>91</v>
      </c>
      <c r="I75" t="s">
        <v>213</v>
      </c>
      <c r="J75" t="s">
        <v>175</v>
      </c>
      <c r="K75" s="43">
        <v>1.1999999999999999E-3</v>
      </c>
      <c r="L75" s="39">
        <v>-2.9000000000000001E-2</v>
      </c>
      <c r="M75" s="39">
        <v>-2.7400000000000001E-2</v>
      </c>
      <c r="N75" s="43">
        <v>-1.6500000000000001E-2</v>
      </c>
      <c r="O75" s="39">
        <v>-1.5800000000000002E-2</v>
      </c>
      <c r="P75" s="39">
        <v>-1.34E-2</v>
      </c>
      <c r="Q75" s="39">
        <v>2.92E-2</v>
      </c>
      <c r="R75" s="39">
        <v>9.8900000000000002E-2</v>
      </c>
      <c r="S75" s="39">
        <v>0.16639999999999999</v>
      </c>
      <c r="T75">
        <v>52.6</v>
      </c>
      <c r="U75">
        <v>74.680000000000007</v>
      </c>
      <c r="V75">
        <v>35.71</v>
      </c>
      <c r="W75" s="17">
        <v>25565.504799999999</v>
      </c>
    </row>
    <row r="76" spans="7:25" x14ac:dyDescent="0.25">
      <c r="G76" s="11">
        <v>75</v>
      </c>
      <c r="H76" t="s">
        <v>136</v>
      </c>
      <c r="I76" t="s">
        <v>180</v>
      </c>
      <c r="J76" t="s">
        <v>175</v>
      </c>
      <c r="K76" s="43">
        <v>-8.9999999999999998E-4</v>
      </c>
      <c r="L76" s="39">
        <v>-5.28E-2</v>
      </c>
      <c r="M76" s="39">
        <v>-8.2600000000000007E-2</v>
      </c>
      <c r="N76" s="43">
        <v>-8.43E-2</v>
      </c>
      <c r="O76" s="39">
        <v>-1.24E-2</v>
      </c>
      <c r="P76" s="39">
        <v>-4.2599999999999999E-2</v>
      </c>
      <c r="Q76" s="39">
        <v>-6.4600000000000005E-2</v>
      </c>
      <c r="R76" s="39">
        <v>-0.28260000000000002</v>
      </c>
      <c r="S76" s="39">
        <v>-0.38650000000000001</v>
      </c>
      <c r="T76">
        <v>51.95</v>
      </c>
      <c r="U76">
        <v>29.87</v>
      </c>
      <c r="V76">
        <v>80.52</v>
      </c>
      <c r="W76" s="17">
        <v>4201.4568315999995</v>
      </c>
      <c r="X76" s="83" t="s">
        <v>621</v>
      </c>
    </row>
    <row r="77" spans="7:25" x14ac:dyDescent="0.25">
      <c r="G77" s="11">
        <v>76</v>
      </c>
      <c r="H77" s="10" t="s">
        <v>117</v>
      </c>
      <c r="I77" t="s">
        <v>222</v>
      </c>
      <c r="J77" t="s">
        <v>175</v>
      </c>
      <c r="K77" s="43">
        <v>-2.9999999999999997E-4</v>
      </c>
      <c r="L77" s="39">
        <v>-4.48E-2</v>
      </c>
      <c r="M77" s="39">
        <v>-7.2700000000000001E-2</v>
      </c>
      <c r="N77" s="43">
        <v>-6.7599999999999993E-2</v>
      </c>
      <c r="O77" s="39">
        <v>-2.7699999999999999E-2</v>
      </c>
      <c r="P77" s="39">
        <v>-5.2200000000000003E-2</v>
      </c>
      <c r="Q77" s="39">
        <v>4.99E-2</v>
      </c>
      <c r="R77" s="39">
        <v>-0.12970000000000001</v>
      </c>
      <c r="S77" s="39">
        <v>-0.1991</v>
      </c>
      <c r="T77">
        <v>51.3</v>
      </c>
      <c r="U77">
        <v>41.56</v>
      </c>
      <c r="V77">
        <v>68.180000000000007</v>
      </c>
      <c r="W77" s="17">
        <v>8495.9170699999995</v>
      </c>
      <c r="X77" s="83" t="s">
        <v>621</v>
      </c>
    </row>
    <row r="78" spans="7:25" x14ac:dyDescent="0.25">
      <c r="G78" s="11">
        <v>77</v>
      </c>
      <c r="H78" t="s">
        <v>75</v>
      </c>
      <c r="I78" t="s">
        <v>234</v>
      </c>
      <c r="J78" t="s">
        <v>175</v>
      </c>
      <c r="K78" s="43">
        <v>-1E-3</v>
      </c>
      <c r="L78" s="39">
        <v>-5.4399999999999997E-2</v>
      </c>
      <c r="M78" s="39">
        <v>-7.2800000000000004E-2</v>
      </c>
      <c r="N78" s="43">
        <v>-9.2100000000000001E-2</v>
      </c>
      <c r="O78" s="39">
        <v>3.5700000000000003E-2</v>
      </c>
      <c r="P78" s="39">
        <v>6.4299999999999996E-2</v>
      </c>
      <c r="Q78" s="39">
        <v>8.9399999999999993E-2</v>
      </c>
      <c r="R78" s="39">
        <v>-0.1235</v>
      </c>
      <c r="S78" s="39">
        <v>-0.1429</v>
      </c>
      <c r="T78">
        <v>50.65</v>
      </c>
      <c r="U78">
        <v>26.62</v>
      </c>
      <c r="V78">
        <v>81.819999999999993</v>
      </c>
      <c r="W78" s="17">
        <v>137914.23069999999</v>
      </c>
      <c r="X78" s="83" t="s">
        <v>621</v>
      </c>
    </row>
    <row r="79" spans="7:25" x14ac:dyDescent="0.25">
      <c r="G79" s="11">
        <v>78</v>
      </c>
      <c r="H79" s="10" t="s">
        <v>68</v>
      </c>
      <c r="I79" t="s">
        <v>869</v>
      </c>
      <c r="J79" t="s">
        <v>175</v>
      </c>
      <c r="K79" s="43">
        <v>1.5E-3</v>
      </c>
      <c r="L79" s="39">
        <v>-2.58E-2</v>
      </c>
      <c r="M79" s="39">
        <v>-2.18E-2</v>
      </c>
      <c r="N79" s="43">
        <v>-7.7999999999999996E-3</v>
      </c>
      <c r="O79" s="39">
        <v>-1.5100000000000001E-2</v>
      </c>
      <c r="P79" s="39">
        <v>1.6000000000000001E-3</v>
      </c>
      <c r="Q79" s="39">
        <v>5.9400000000000001E-2</v>
      </c>
      <c r="R79" s="39">
        <v>0.11899999999999999</v>
      </c>
      <c r="S79" s="39">
        <v>0.23910000000000001</v>
      </c>
      <c r="T79">
        <v>50</v>
      </c>
      <c r="U79">
        <v>77.92</v>
      </c>
      <c r="V79">
        <v>29.87</v>
      </c>
      <c r="W79" s="17">
        <v>13075.6047</v>
      </c>
      <c r="X79" s="83" t="s">
        <v>621</v>
      </c>
      <c r="Y79" s="81" t="s">
        <v>636</v>
      </c>
    </row>
    <row r="80" spans="7:25" x14ac:dyDescent="0.25">
      <c r="G80" s="11">
        <v>79</v>
      </c>
      <c r="H80" s="10" t="s">
        <v>138</v>
      </c>
      <c r="I80" t="s">
        <v>211</v>
      </c>
      <c r="J80" t="s">
        <v>175</v>
      </c>
      <c r="K80" s="43">
        <v>1.4E-3</v>
      </c>
      <c r="L80" s="39">
        <v>-3.0200000000000001E-2</v>
      </c>
      <c r="M80" s="39">
        <v>-2.47E-2</v>
      </c>
      <c r="N80" s="43">
        <v>-1.1900000000000001E-2</v>
      </c>
      <c r="O80" s="39">
        <v>7.3000000000000001E-3</v>
      </c>
      <c r="P80" s="39">
        <v>5.11E-2</v>
      </c>
      <c r="Q80" s="39">
        <v>0.2797</v>
      </c>
      <c r="R80" s="39">
        <v>0.4158</v>
      </c>
      <c r="S80" s="39">
        <v>0.32029999999999997</v>
      </c>
      <c r="T80">
        <v>49.35</v>
      </c>
      <c r="U80">
        <v>77.27</v>
      </c>
      <c r="V80">
        <v>30.52</v>
      </c>
      <c r="W80" s="17">
        <v>29757.621299999999</v>
      </c>
      <c r="X80" s="83" t="s">
        <v>621</v>
      </c>
    </row>
    <row r="81" spans="7:25" x14ac:dyDescent="0.25">
      <c r="G81" s="11">
        <v>80</v>
      </c>
      <c r="H81" t="s">
        <v>99</v>
      </c>
      <c r="I81" t="s">
        <v>221</v>
      </c>
      <c r="J81" t="s">
        <v>175</v>
      </c>
      <c r="K81" s="43">
        <v>5.1999999999999998E-3</v>
      </c>
      <c r="L81" s="39">
        <v>1E-3</v>
      </c>
      <c r="M81" s="39">
        <v>-2.0999999999999999E-3</v>
      </c>
      <c r="N81" s="43">
        <v>1.6E-2</v>
      </c>
      <c r="O81" s="39">
        <v>5.8200000000000002E-2</v>
      </c>
      <c r="P81" s="39">
        <v>2.7699999999999999E-2</v>
      </c>
      <c r="Q81" s="39">
        <v>-2.4899999999999999E-2</v>
      </c>
      <c r="R81" s="39">
        <v>-0.19500000000000001</v>
      </c>
      <c r="S81" s="39">
        <v>-0.16500000000000001</v>
      </c>
      <c r="T81">
        <v>48.7</v>
      </c>
      <c r="U81">
        <v>92.21</v>
      </c>
      <c r="V81">
        <v>14.29</v>
      </c>
      <c r="W81" s="17">
        <v>2554.21578</v>
      </c>
    </row>
    <row r="82" spans="7:25" x14ac:dyDescent="0.25">
      <c r="G82" s="11">
        <v>81</v>
      </c>
      <c r="H82" t="s">
        <v>62</v>
      </c>
      <c r="I82" t="s">
        <v>199</v>
      </c>
      <c r="J82" t="s">
        <v>175</v>
      </c>
      <c r="K82" s="43">
        <v>1.6999999999999999E-3</v>
      </c>
      <c r="L82" s="39">
        <v>-2.23E-2</v>
      </c>
      <c r="M82" s="39">
        <v>-3.4099999999999998E-2</v>
      </c>
      <c r="N82" s="43">
        <v>-5.7999999999999996E-3</v>
      </c>
      <c r="O82" s="39">
        <v>2.0299999999999999E-2</v>
      </c>
      <c r="P82" s="39">
        <v>3.3E-3</v>
      </c>
      <c r="Q82" s="39">
        <v>9.4999999999999998E-3</v>
      </c>
      <c r="R82" s="39">
        <v>-0.16259999999999999</v>
      </c>
      <c r="S82" s="39">
        <v>-0.19989999999999999</v>
      </c>
      <c r="T82">
        <v>48.05</v>
      </c>
      <c r="U82">
        <v>79.22</v>
      </c>
      <c r="V82">
        <v>26.62</v>
      </c>
      <c r="W82" s="17">
        <v>8996.6442000000006</v>
      </c>
    </row>
    <row r="83" spans="7:25" x14ac:dyDescent="0.25">
      <c r="G83" s="11">
        <v>82</v>
      </c>
      <c r="H83" s="10" t="s">
        <v>297</v>
      </c>
      <c r="I83" t="s">
        <v>298</v>
      </c>
      <c r="J83" t="s">
        <v>311</v>
      </c>
      <c r="K83" s="43">
        <v>-1E-4</v>
      </c>
      <c r="L83" s="39">
        <v>-5.62E-2</v>
      </c>
      <c r="M83" s="39">
        <v>-7.7899999999999997E-2</v>
      </c>
      <c r="N83" s="43">
        <v>-7.1999999999999995E-2</v>
      </c>
      <c r="O83" s="39">
        <v>1.61E-2</v>
      </c>
      <c r="P83" s="39">
        <v>2.5999999999999999E-3</v>
      </c>
      <c r="Q83" s="39">
        <v>5.6099999999999997E-2</v>
      </c>
      <c r="R83" s="39">
        <v>-2.6800000000000001E-2</v>
      </c>
      <c r="S83" s="39">
        <v>-4.0599999999999997E-2</v>
      </c>
      <c r="T83">
        <v>47.4</v>
      </c>
      <c r="U83">
        <v>38.96</v>
      </c>
      <c r="V83">
        <v>63.64</v>
      </c>
      <c r="W83" s="17">
        <v>1839.5934</v>
      </c>
      <c r="X83" s="83" t="s">
        <v>621</v>
      </c>
      <c r="Y83" s="81" t="s">
        <v>636</v>
      </c>
    </row>
    <row r="84" spans="7:25" x14ac:dyDescent="0.25">
      <c r="G84" s="11">
        <v>83</v>
      </c>
      <c r="H84" s="10" t="s">
        <v>401</v>
      </c>
      <c r="I84" t="s">
        <v>402</v>
      </c>
      <c r="J84" t="s">
        <v>393</v>
      </c>
      <c r="K84" s="43">
        <v>-1E-3</v>
      </c>
      <c r="L84" s="39">
        <v>-6.3799999999999996E-2</v>
      </c>
      <c r="M84" s="39">
        <v>-8.4599999999999995E-2</v>
      </c>
      <c r="N84" s="43">
        <v>-0.1045</v>
      </c>
      <c r="O84" s="39">
        <v>4.41E-2</v>
      </c>
      <c r="P84" s="39">
        <v>8.9599999999999999E-2</v>
      </c>
      <c r="Q84" s="39">
        <v>0.13900000000000001</v>
      </c>
      <c r="R84" s="39">
        <v>-3.4700000000000002E-2</v>
      </c>
      <c r="S84" s="39">
        <v>-3.0000000000000001E-3</v>
      </c>
      <c r="T84">
        <v>46.75</v>
      </c>
      <c r="U84">
        <v>18.829999999999998</v>
      </c>
      <c r="V84">
        <v>83.12</v>
      </c>
      <c r="W84" s="17">
        <v>7592.7771998999997</v>
      </c>
      <c r="X84" s="83" t="s">
        <v>621</v>
      </c>
    </row>
    <row r="85" spans="7:25" x14ac:dyDescent="0.25">
      <c r="G85" s="11">
        <v>84</v>
      </c>
      <c r="H85" s="10" t="s">
        <v>56</v>
      </c>
      <c r="I85" t="s">
        <v>201</v>
      </c>
      <c r="J85" t="s">
        <v>175</v>
      </c>
      <c r="K85" s="43">
        <v>1.4E-3</v>
      </c>
      <c r="L85" s="39">
        <v>-2.3400000000000001E-2</v>
      </c>
      <c r="M85" s="39">
        <v>-2.9000000000000001E-2</v>
      </c>
      <c r="N85" s="43">
        <v>-2.58E-2</v>
      </c>
      <c r="O85" s="39">
        <v>-1.7100000000000001E-2</v>
      </c>
      <c r="P85" s="39">
        <v>-2.3199999999999998E-2</v>
      </c>
      <c r="Q85" s="39">
        <v>7.4200000000000002E-2</v>
      </c>
      <c r="R85" s="39">
        <v>-7.2099999999999997E-2</v>
      </c>
      <c r="S85" s="39">
        <v>-7.0499999999999993E-2</v>
      </c>
      <c r="T85">
        <v>46.1</v>
      </c>
      <c r="U85">
        <v>70.13</v>
      </c>
      <c r="V85">
        <v>31.17</v>
      </c>
      <c r="W85" s="17">
        <v>1625.8282999999999</v>
      </c>
    </row>
    <row r="86" spans="7:25" x14ac:dyDescent="0.25">
      <c r="G86" s="11">
        <v>85</v>
      </c>
      <c r="H86" s="10" t="s">
        <v>95</v>
      </c>
      <c r="I86" t="s">
        <v>195</v>
      </c>
      <c r="J86" t="s">
        <v>175</v>
      </c>
      <c r="K86" s="43">
        <v>-2.0999999999999999E-3</v>
      </c>
      <c r="L86" s="39">
        <v>-5.8799999999999998E-2</v>
      </c>
      <c r="M86" s="39">
        <v>-7.3700000000000002E-2</v>
      </c>
      <c r="N86" s="43">
        <v>-0.1507</v>
      </c>
      <c r="O86" s="39">
        <v>7.6100000000000001E-2</v>
      </c>
      <c r="P86" s="39">
        <v>8.5900000000000004E-2</v>
      </c>
      <c r="Q86" s="39">
        <v>0.21940000000000001</v>
      </c>
      <c r="R86" s="39">
        <v>6.3899999999999998E-2</v>
      </c>
      <c r="S86" s="39">
        <v>0.25800000000000001</v>
      </c>
      <c r="T86">
        <v>45.45</v>
      </c>
      <c r="U86">
        <v>3.9</v>
      </c>
      <c r="V86">
        <v>95.45</v>
      </c>
      <c r="W86" s="17">
        <v>22762.849399999999</v>
      </c>
    </row>
    <row r="87" spans="7:25" x14ac:dyDescent="0.25">
      <c r="G87" s="11">
        <v>86</v>
      </c>
      <c r="H87" s="10" t="s">
        <v>276</v>
      </c>
      <c r="I87" t="s">
        <v>277</v>
      </c>
      <c r="J87" t="s">
        <v>311</v>
      </c>
      <c r="K87" s="43">
        <v>2.7000000000000001E-3</v>
      </c>
      <c r="L87" s="39">
        <v>-1.6E-2</v>
      </c>
      <c r="M87" s="39">
        <v>-2.1000000000000001E-2</v>
      </c>
      <c r="N87" s="43">
        <v>-1.6E-2</v>
      </c>
      <c r="O87" s="39">
        <v>2.23E-2</v>
      </c>
      <c r="P87" s="39">
        <v>-1.5900000000000001E-2</v>
      </c>
      <c r="Q87" s="39">
        <v>8.9999999999999993E-3</v>
      </c>
      <c r="R87" s="39">
        <v>-0.29649999999999999</v>
      </c>
      <c r="S87" s="39">
        <v>-0.37509999999999999</v>
      </c>
      <c r="T87">
        <v>44.81</v>
      </c>
      <c r="U87">
        <v>75.319999999999993</v>
      </c>
      <c r="V87">
        <v>21.43</v>
      </c>
      <c r="W87" s="17">
        <v>1055.6581000000001</v>
      </c>
    </row>
    <row r="88" spans="7:25" x14ac:dyDescent="0.25">
      <c r="G88" s="11">
        <v>87</v>
      </c>
      <c r="H88" s="10" t="s">
        <v>385</v>
      </c>
      <c r="I88" t="s">
        <v>400</v>
      </c>
      <c r="J88" t="s">
        <v>393</v>
      </c>
      <c r="K88" s="43">
        <v>1.9300000000000001E-2</v>
      </c>
      <c r="L88" s="39">
        <v>-0.1056</v>
      </c>
      <c r="M88" s="39">
        <v>-7.1599999999999997E-2</v>
      </c>
      <c r="N88" s="43">
        <v>6.4999999999999997E-3</v>
      </c>
      <c r="O88" s="39">
        <v>0.24310000000000001</v>
      </c>
      <c r="P88" s="39">
        <v>9.7500000000000003E-2</v>
      </c>
      <c r="Q88" s="39">
        <v>0.3306</v>
      </c>
      <c r="R88" s="39">
        <v>-8.8099999999999998E-2</v>
      </c>
      <c r="S88" s="39">
        <v>-0.1593</v>
      </c>
      <c r="T88">
        <v>44.16</v>
      </c>
      <c r="U88">
        <v>87.01</v>
      </c>
      <c r="V88">
        <v>7.14</v>
      </c>
      <c r="W88" s="17">
        <v>396933.51169999997</v>
      </c>
      <c r="X88" s="83" t="s">
        <v>621</v>
      </c>
    </row>
    <row r="89" spans="7:25" x14ac:dyDescent="0.25">
      <c r="G89" s="11">
        <v>88</v>
      </c>
      <c r="H89" s="10" t="s">
        <v>291</v>
      </c>
      <c r="I89" t="s">
        <v>292</v>
      </c>
      <c r="J89" t="s">
        <v>311</v>
      </c>
      <c r="K89" s="43">
        <v>-4.0000000000000002E-4</v>
      </c>
      <c r="L89" s="39">
        <v>-4.5699999999999998E-2</v>
      </c>
      <c r="M89" s="39">
        <v>-7.0900000000000005E-2</v>
      </c>
      <c r="N89" s="43">
        <v>-9.5899999999999999E-2</v>
      </c>
      <c r="O89" s="39">
        <v>1.29E-2</v>
      </c>
      <c r="P89" s="39">
        <v>2.7300000000000001E-2</v>
      </c>
      <c r="Q89" s="39">
        <v>-5.3E-3</v>
      </c>
      <c r="R89" s="39">
        <v>-0.2853</v>
      </c>
      <c r="S89" s="39">
        <v>-0.4007</v>
      </c>
      <c r="T89">
        <v>43.51</v>
      </c>
      <c r="U89">
        <v>23.38</v>
      </c>
      <c r="V89">
        <v>70.13</v>
      </c>
      <c r="W89" s="17">
        <v>2506.4018000000001</v>
      </c>
    </row>
    <row r="90" spans="7:25" x14ac:dyDescent="0.25">
      <c r="G90" s="11">
        <v>89</v>
      </c>
      <c r="H90" s="10" t="s">
        <v>155</v>
      </c>
      <c r="I90" t="s">
        <v>202</v>
      </c>
      <c r="J90" t="s">
        <v>175</v>
      </c>
      <c r="K90" s="43">
        <v>2.0000000000000001E-4</v>
      </c>
      <c r="L90" s="39">
        <v>-5.1499999999999997E-2</v>
      </c>
      <c r="M90" s="39">
        <v>-6.8099999999999994E-2</v>
      </c>
      <c r="N90" s="43">
        <v>-7.3999999999999996E-2</v>
      </c>
      <c r="O90" s="39">
        <v>-4.19E-2</v>
      </c>
      <c r="P90" s="39">
        <v>-4.6100000000000002E-2</v>
      </c>
      <c r="Q90" s="39">
        <v>0.19009999999999999</v>
      </c>
      <c r="R90" s="39">
        <v>0.13289999999999999</v>
      </c>
      <c r="S90" s="39">
        <v>7.3599999999999999E-2</v>
      </c>
      <c r="T90">
        <v>42.86</v>
      </c>
      <c r="U90">
        <v>38.31</v>
      </c>
      <c r="V90">
        <v>55.19</v>
      </c>
      <c r="W90" s="17">
        <v>8697.6622299999999</v>
      </c>
    </row>
    <row r="91" spans="7:25" x14ac:dyDescent="0.25">
      <c r="G91" s="11">
        <v>90</v>
      </c>
      <c r="H91" s="10" t="s">
        <v>72</v>
      </c>
      <c r="I91" t="s">
        <v>200</v>
      </c>
      <c r="J91" t="s">
        <v>175</v>
      </c>
      <c r="K91" s="43">
        <v>3.2000000000000002E-3</v>
      </c>
      <c r="L91" s="39">
        <v>-5.0200000000000002E-2</v>
      </c>
      <c r="M91" s="39">
        <v>-5.2299999999999999E-2</v>
      </c>
      <c r="N91" s="43">
        <v>-2.3599999999999999E-2</v>
      </c>
      <c r="O91" s="39">
        <v>1.8700000000000001E-2</v>
      </c>
      <c r="P91" s="39">
        <v>-5.9700000000000003E-2</v>
      </c>
      <c r="Q91" s="39">
        <v>-4.0500000000000001E-2</v>
      </c>
      <c r="R91" s="39">
        <v>-0.26150000000000001</v>
      </c>
      <c r="S91" s="39">
        <v>-0.3256</v>
      </c>
      <c r="T91">
        <v>42.21</v>
      </c>
      <c r="U91">
        <v>72.73</v>
      </c>
      <c r="V91">
        <v>20.13</v>
      </c>
      <c r="W91" s="17">
        <v>59901.500500000002</v>
      </c>
      <c r="X91" s="83" t="s">
        <v>621</v>
      </c>
    </row>
    <row r="92" spans="7:25" x14ac:dyDescent="0.25">
      <c r="G92" s="11">
        <v>91</v>
      </c>
      <c r="H92" s="10" t="s">
        <v>151</v>
      </c>
      <c r="I92" t="s">
        <v>202</v>
      </c>
      <c r="J92" t="s">
        <v>175</v>
      </c>
      <c r="K92" s="43">
        <v>2.0000000000000001E-4</v>
      </c>
      <c r="L92" s="39">
        <v>-5.2400000000000002E-2</v>
      </c>
      <c r="M92" s="39">
        <v>-6.9500000000000006E-2</v>
      </c>
      <c r="N92" s="43">
        <v>-7.5700000000000003E-2</v>
      </c>
      <c r="O92" s="39">
        <v>-4.4499999999999998E-2</v>
      </c>
      <c r="P92" s="39">
        <v>-5.0500000000000003E-2</v>
      </c>
      <c r="Q92" s="39">
        <v>0.1986</v>
      </c>
      <c r="R92" s="39">
        <v>0.13880000000000001</v>
      </c>
      <c r="S92" s="39">
        <v>7.6200000000000004E-2</v>
      </c>
      <c r="T92">
        <v>41.56</v>
      </c>
      <c r="U92">
        <v>37.01</v>
      </c>
      <c r="V92">
        <v>55.84</v>
      </c>
      <c r="W92" s="17">
        <v>58188.341999999997</v>
      </c>
    </row>
    <row r="93" spans="7:25" x14ac:dyDescent="0.25">
      <c r="G93" s="11">
        <v>92</v>
      </c>
      <c r="H93" s="10" t="s">
        <v>114</v>
      </c>
      <c r="I93" t="s">
        <v>216</v>
      </c>
      <c r="J93" t="s">
        <v>175</v>
      </c>
      <c r="K93" s="43">
        <v>4.1000000000000003E-3</v>
      </c>
      <c r="L93" s="39">
        <v>-1.54E-2</v>
      </c>
      <c r="M93" s="39">
        <v>-0.02</v>
      </c>
      <c r="N93" s="43">
        <v>-1.4E-2</v>
      </c>
      <c r="O93" s="39">
        <v>2.64E-2</v>
      </c>
      <c r="P93" s="39">
        <v>-1.0200000000000001E-2</v>
      </c>
      <c r="Q93" s="39">
        <v>2.07E-2</v>
      </c>
      <c r="R93" s="39">
        <v>-0.28449999999999998</v>
      </c>
      <c r="S93" s="39">
        <v>-0.35659999999999997</v>
      </c>
      <c r="T93">
        <v>40.909999999999997</v>
      </c>
      <c r="U93">
        <v>75.97</v>
      </c>
      <c r="V93">
        <v>16.23</v>
      </c>
      <c r="W93" s="17">
        <v>3265.7617565</v>
      </c>
      <c r="X93" s="83" t="s">
        <v>621</v>
      </c>
    </row>
    <row r="94" spans="7:25" x14ac:dyDescent="0.25">
      <c r="G94" s="11">
        <v>93</v>
      </c>
      <c r="H94" s="10" t="s">
        <v>58</v>
      </c>
      <c r="I94" t="s">
        <v>191</v>
      </c>
      <c r="J94" t="s">
        <v>175</v>
      </c>
      <c r="K94" s="43">
        <v>1E-4</v>
      </c>
      <c r="L94" s="39">
        <v>-5.91E-2</v>
      </c>
      <c r="M94" s="39">
        <v>-8.9499999999999996E-2</v>
      </c>
      <c r="N94" s="43">
        <v>-8.2500000000000004E-2</v>
      </c>
      <c r="O94" s="39">
        <v>-6.59E-2</v>
      </c>
      <c r="P94" s="39">
        <v>-9.69E-2</v>
      </c>
      <c r="Q94" s="39">
        <v>-8.6300000000000002E-2</v>
      </c>
      <c r="R94" s="39">
        <v>-0.34129999999999999</v>
      </c>
      <c r="S94" s="39">
        <v>-0.4612</v>
      </c>
      <c r="T94">
        <v>40.26</v>
      </c>
      <c r="U94">
        <v>31.82</v>
      </c>
      <c r="V94">
        <v>59.09</v>
      </c>
      <c r="W94" s="17">
        <v>904.86725000000001</v>
      </c>
    </row>
    <row r="95" spans="7:25" x14ac:dyDescent="0.25">
      <c r="G95" s="11">
        <v>94</v>
      </c>
      <c r="H95" s="10" t="s">
        <v>84</v>
      </c>
      <c r="I95" t="s">
        <v>224</v>
      </c>
      <c r="J95" t="s">
        <v>175</v>
      </c>
      <c r="K95" s="43">
        <v>8.9999999999999998E-4</v>
      </c>
      <c r="L95" s="39">
        <v>8.3000000000000001E-3</v>
      </c>
      <c r="M95" s="39">
        <v>-1.9699999999999999E-2</v>
      </c>
      <c r="N95" s="43">
        <v>-6.2799999999999995E-2</v>
      </c>
      <c r="O95" s="39">
        <v>9.7299999999999998E-2</v>
      </c>
      <c r="P95" s="39">
        <v>2.8400000000000002E-2</v>
      </c>
      <c r="Q95" s="39">
        <v>0.1714</v>
      </c>
      <c r="R95" s="39">
        <v>-0.1759</v>
      </c>
      <c r="S95" s="39">
        <v>-0.2354</v>
      </c>
      <c r="T95">
        <v>39.61</v>
      </c>
      <c r="U95">
        <v>46.1</v>
      </c>
      <c r="V95">
        <v>42.86</v>
      </c>
      <c r="W95" s="17">
        <v>26539.887200000001</v>
      </c>
    </row>
    <row r="96" spans="7:25" x14ac:dyDescent="0.25">
      <c r="G96" s="11">
        <v>95</v>
      </c>
      <c r="H96" s="10" t="s">
        <v>145</v>
      </c>
      <c r="I96" t="s">
        <v>239</v>
      </c>
      <c r="J96" t="s">
        <v>175</v>
      </c>
      <c r="K96" s="43">
        <v>3.5000000000000001E-3</v>
      </c>
      <c r="L96" s="39">
        <v>-1.2200000000000001E-2</v>
      </c>
      <c r="M96" s="39">
        <v>-2.3400000000000001E-2</v>
      </c>
      <c r="N96" s="43">
        <v>-2.53E-2</v>
      </c>
      <c r="O96" s="39">
        <v>-9.1999999999999998E-3</v>
      </c>
      <c r="P96" s="39">
        <v>-7.8399999999999997E-2</v>
      </c>
      <c r="Q96" s="39">
        <v>3.2899999999999999E-2</v>
      </c>
      <c r="R96" s="39">
        <v>-0.28849999999999998</v>
      </c>
      <c r="S96" s="39">
        <v>-0.35420000000000001</v>
      </c>
      <c r="T96">
        <v>38.96</v>
      </c>
      <c r="U96">
        <v>70.78</v>
      </c>
      <c r="V96">
        <v>18.18</v>
      </c>
      <c r="W96" s="17">
        <v>43049.8842</v>
      </c>
      <c r="X96" s="83" t="s">
        <v>621</v>
      </c>
    </row>
    <row r="97" spans="7:24" x14ac:dyDescent="0.25">
      <c r="G97" s="11">
        <v>96</v>
      </c>
      <c r="H97" s="10" t="s">
        <v>289</v>
      </c>
      <c r="I97" t="s">
        <v>627</v>
      </c>
      <c r="J97" t="s">
        <v>311</v>
      </c>
      <c r="K97" s="43">
        <v>3.3E-3</v>
      </c>
      <c r="L97" s="39">
        <v>-3.04E-2</v>
      </c>
      <c r="M97" s="39">
        <v>-3.6400000000000002E-2</v>
      </c>
      <c r="N97" s="43">
        <v>-2.7300000000000001E-2</v>
      </c>
      <c r="O97" s="39">
        <v>-6.1600000000000002E-2</v>
      </c>
      <c r="P97" s="39">
        <v>-7.1199999999999999E-2</v>
      </c>
      <c r="Q97" s="39">
        <v>8.0000000000000002E-3</v>
      </c>
      <c r="R97" s="39">
        <v>0.1958</v>
      </c>
      <c r="S97" s="39">
        <v>0.45450000000000002</v>
      </c>
      <c r="T97">
        <v>38.31</v>
      </c>
      <c r="U97">
        <v>69.48</v>
      </c>
      <c r="V97">
        <v>18.829999999999998</v>
      </c>
      <c r="W97" s="17">
        <v>6531.7348000000002</v>
      </c>
      <c r="X97" s="83" t="s">
        <v>621</v>
      </c>
    </row>
    <row r="98" spans="7:24" x14ac:dyDescent="0.25">
      <c r="G98" s="11">
        <v>97</v>
      </c>
      <c r="H98" t="s">
        <v>51</v>
      </c>
      <c r="I98" t="s">
        <v>237</v>
      </c>
      <c r="J98" t="s">
        <v>175</v>
      </c>
      <c r="K98" s="43">
        <v>8.9999999999999998E-4</v>
      </c>
      <c r="L98" s="39">
        <v>-0.05</v>
      </c>
      <c r="M98" s="39">
        <v>-6.4899999999999999E-2</v>
      </c>
      <c r="N98" s="43">
        <v>-6.5299999999999997E-2</v>
      </c>
      <c r="O98" s="39">
        <v>-9.1200000000000003E-2</v>
      </c>
      <c r="P98" s="39">
        <v>-0.1462</v>
      </c>
      <c r="Q98" s="39">
        <v>-0.1739</v>
      </c>
      <c r="R98" s="39">
        <v>-2.8000000000000001E-2</v>
      </c>
      <c r="S98" s="39">
        <v>-3.2199999999999999E-2</v>
      </c>
      <c r="T98">
        <v>37.659999999999997</v>
      </c>
      <c r="U98">
        <v>44.16</v>
      </c>
      <c r="V98">
        <v>43.51</v>
      </c>
      <c r="W98" s="17">
        <v>15790.9136</v>
      </c>
      <c r="X98" s="83" t="s">
        <v>621</v>
      </c>
    </row>
    <row r="99" spans="7:24" x14ac:dyDescent="0.25">
      <c r="G99" s="11">
        <v>98</v>
      </c>
      <c r="H99" s="10" t="s">
        <v>55</v>
      </c>
      <c r="I99" t="s">
        <v>196</v>
      </c>
      <c r="J99" t="s">
        <v>175</v>
      </c>
      <c r="K99" s="43">
        <v>1.4E-3</v>
      </c>
      <c r="L99" s="39">
        <v>-5.0799999999999998E-2</v>
      </c>
      <c r="M99" s="39">
        <v>-6.0199999999999997E-2</v>
      </c>
      <c r="N99" s="43">
        <v>-4.5100000000000001E-2</v>
      </c>
      <c r="O99" s="39">
        <v>-0.1246</v>
      </c>
      <c r="P99" s="39">
        <v>-0.16309999999999999</v>
      </c>
      <c r="Q99" s="39">
        <v>-0.1739</v>
      </c>
      <c r="R99" s="39">
        <v>8.1799999999999998E-2</v>
      </c>
      <c r="S99" s="39">
        <v>0.19739999999999999</v>
      </c>
      <c r="T99">
        <v>37.01</v>
      </c>
      <c r="U99">
        <v>54.55</v>
      </c>
      <c r="V99">
        <v>31.82</v>
      </c>
      <c r="W99" s="17">
        <v>1644.11023</v>
      </c>
    </row>
    <row r="100" spans="7:24" x14ac:dyDescent="0.25">
      <c r="G100" s="11">
        <v>99</v>
      </c>
      <c r="H100" s="10" t="s">
        <v>85</v>
      </c>
      <c r="I100" t="s">
        <v>238</v>
      </c>
      <c r="J100" t="s">
        <v>175</v>
      </c>
      <c r="K100" s="43">
        <v>1.6000000000000001E-3</v>
      </c>
      <c r="L100" s="39">
        <v>1.2699999999999999E-2</v>
      </c>
      <c r="M100" s="39">
        <v>-5.5999999999999999E-3</v>
      </c>
      <c r="N100" s="43">
        <v>-4.2700000000000002E-2</v>
      </c>
      <c r="O100" s="39">
        <v>4.4499999999999998E-2</v>
      </c>
      <c r="P100" s="39">
        <v>0.16239999999999999</v>
      </c>
      <c r="Q100" s="39">
        <v>0.47710000000000002</v>
      </c>
      <c r="R100" s="39">
        <v>0.13780000000000001</v>
      </c>
      <c r="S100" s="39">
        <v>-0.1134</v>
      </c>
      <c r="T100">
        <v>36.36</v>
      </c>
      <c r="U100">
        <v>56.49</v>
      </c>
      <c r="V100">
        <v>28.57</v>
      </c>
      <c r="W100" s="17">
        <v>117504.17406070001</v>
      </c>
      <c r="X100" s="83" t="s">
        <v>621</v>
      </c>
    </row>
    <row r="101" spans="7:24" x14ac:dyDescent="0.25">
      <c r="G101" s="11">
        <v>100</v>
      </c>
      <c r="H101" t="s">
        <v>77</v>
      </c>
      <c r="I101" t="s">
        <v>241</v>
      </c>
      <c r="J101" t="s">
        <v>175</v>
      </c>
      <c r="K101" s="43">
        <v>2.3E-3</v>
      </c>
      <c r="L101" s="39">
        <v>1.11E-2</v>
      </c>
      <c r="M101" s="39">
        <v>-9.7999999999999997E-3</v>
      </c>
      <c r="N101" s="43">
        <v>-3.9100000000000003E-2</v>
      </c>
      <c r="O101" s="39">
        <v>7.7399999999999997E-2</v>
      </c>
      <c r="P101" s="39">
        <v>0.18149999999999999</v>
      </c>
      <c r="Q101" s="39">
        <v>0.49180000000000001</v>
      </c>
      <c r="R101" s="39">
        <v>0.124</v>
      </c>
      <c r="S101" s="39">
        <v>-5.7700000000000001E-2</v>
      </c>
      <c r="T101">
        <v>35.71</v>
      </c>
      <c r="U101">
        <v>59.74</v>
      </c>
      <c r="V101">
        <v>24.03</v>
      </c>
      <c r="W101" s="17">
        <v>232471.03510000001</v>
      </c>
    </row>
    <row r="102" spans="7:24" x14ac:dyDescent="0.25">
      <c r="G102" s="11">
        <v>101</v>
      </c>
      <c r="H102" t="s">
        <v>102</v>
      </c>
      <c r="I102" t="s">
        <v>231</v>
      </c>
      <c r="J102" t="s">
        <v>175</v>
      </c>
      <c r="K102" s="43">
        <v>-2.9999999999999997E-4</v>
      </c>
      <c r="L102" s="39">
        <v>-5.8900000000000001E-2</v>
      </c>
      <c r="M102" s="39">
        <v>-0.10050000000000001</v>
      </c>
      <c r="N102" s="43">
        <v>-0.1125</v>
      </c>
      <c r="O102" s="39">
        <v>-7.7899999999999997E-2</v>
      </c>
      <c r="P102" s="39">
        <v>-0.1507</v>
      </c>
      <c r="Q102" s="39">
        <v>-3.5000000000000003E-2</v>
      </c>
      <c r="R102" s="39">
        <v>-0.26929999999999998</v>
      </c>
      <c r="S102" s="39">
        <v>-0.3841</v>
      </c>
      <c r="T102">
        <v>35.06</v>
      </c>
      <c r="U102">
        <v>16.88</v>
      </c>
      <c r="V102">
        <v>66.23</v>
      </c>
      <c r="W102" s="17">
        <v>17463.968145800001</v>
      </c>
    </row>
    <row r="103" spans="7:24" x14ac:dyDescent="0.25">
      <c r="G103" s="11">
        <v>102</v>
      </c>
      <c r="H103" s="10" t="s">
        <v>148</v>
      </c>
      <c r="I103" t="s">
        <v>230</v>
      </c>
      <c r="J103" t="s">
        <v>175</v>
      </c>
      <c r="K103" s="43">
        <v>8.0000000000000004E-4</v>
      </c>
      <c r="L103" s="39">
        <v>-5.2400000000000002E-2</v>
      </c>
      <c r="M103" s="39">
        <v>-6.9500000000000006E-2</v>
      </c>
      <c r="N103" s="43">
        <v>-7.5800000000000006E-2</v>
      </c>
      <c r="O103" s="39">
        <v>-4.48E-2</v>
      </c>
      <c r="P103" s="39">
        <v>-5.0900000000000001E-2</v>
      </c>
      <c r="Q103" s="39">
        <v>0.20200000000000001</v>
      </c>
      <c r="R103" s="39">
        <v>0.14169999999999999</v>
      </c>
      <c r="S103" s="39">
        <v>7.8399999999999997E-2</v>
      </c>
      <c r="T103">
        <v>34.42</v>
      </c>
      <c r="U103">
        <v>36.36</v>
      </c>
      <c r="V103">
        <v>46.1</v>
      </c>
      <c r="W103" s="17">
        <v>132288.18299999999</v>
      </c>
    </row>
    <row r="104" spans="7:24" x14ac:dyDescent="0.25">
      <c r="G104" s="11">
        <v>103</v>
      </c>
      <c r="H104" t="s">
        <v>86</v>
      </c>
      <c r="I104" t="s">
        <v>227</v>
      </c>
      <c r="J104" t="s">
        <v>175</v>
      </c>
      <c r="K104" s="43">
        <v>2.9999999999999997E-4</v>
      </c>
      <c r="L104" s="39">
        <v>-5.8900000000000001E-2</v>
      </c>
      <c r="M104" s="39">
        <v>-6.7199999999999996E-2</v>
      </c>
      <c r="N104" s="43">
        <v>-8.5199999999999998E-2</v>
      </c>
      <c r="O104" s="39">
        <v>3.6799999999999999E-2</v>
      </c>
      <c r="P104" s="39">
        <v>4.7300000000000002E-2</v>
      </c>
      <c r="Q104" s="39">
        <v>3.4299999999999997E-2</v>
      </c>
      <c r="R104" s="39">
        <v>-6.1699999999999998E-2</v>
      </c>
      <c r="S104" s="39">
        <v>-0.17480000000000001</v>
      </c>
      <c r="T104">
        <v>33.770000000000003</v>
      </c>
      <c r="U104">
        <v>28.57</v>
      </c>
      <c r="V104">
        <v>53.25</v>
      </c>
      <c r="W104" s="17">
        <v>7292.9391999999998</v>
      </c>
    </row>
    <row r="105" spans="7:24" x14ac:dyDescent="0.25">
      <c r="G105" s="11">
        <v>104</v>
      </c>
      <c r="H105" s="10" t="s">
        <v>46</v>
      </c>
      <c r="I105" t="s">
        <v>622</v>
      </c>
      <c r="J105" t="s">
        <v>175</v>
      </c>
      <c r="K105" s="43">
        <v>1.2999999999999999E-3</v>
      </c>
      <c r="L105" s="39">
        <v>-5.5199999999999999E-2</v>
      </c>
      <c r="M105" s="39">
        <v>-7.5999999999999998E-2</v>
      </c>
      <c r="N105" s="43">
        <v>-6.3E-2</v>
      </c>
      <c r="O105" s="39">
        <v>-1.0200000000000001E-2</v>
      </c>
      <c r="P105" s="39">
        <v>-4.8099999999999997E-2</v>
      </c>
      <c r="Q105" s="39">
        <v>1.9900000000000001E-2</v>
      </c>
      <c r="R105" s="39">
        <v>7.7799999999999994E-2</v>
      </c>
      <c r="S105" s="39">
        <v>-2.8899999999999999E-2</v>
      </c>
      <c r="T105">
        <v>33.119999999999997</v>
      </c>
      <c r="U105">
        <v>45.45</v>
      </c>
      <c r="V105">
        <v>34.42</v>
      </c>
      <c r="W105" s="17">
        <v>19825.9036829</v>
      </c>
      <c r="X105" s="83" t="s">
        <v>621</v>
      </c>
    </row>
    <row r="106" spans="7:24" x14ac:dyDescent="0.25">
      <c r="G106" s="11">
        <v>105</v>
      </c>
      <c r="H106" t="s">
        <v>57</v>
      </c>
      <c r="I106" t="s">
        <v>220</v>
      </c>
      <c r="J106" t="s">
        <v>175</v>
      </c>
      <c r="K106" s="43">
        <v>-2.9999999999999997E-4</v>
      </c>
      <c r="L106" s="39">
        <v>-8.09E-2</v>
      </c>
      <c r="M106" s="39">
        <v>-0.1263</v>
      </c>
      <c r="N106" s="43">
        <v>-0.1263</v>
      </c>
      <c r="O106" s="39">
        <v>-0.10589999999999999</v>
      </c>
      <c r="P106" s="39">
        <v>-0.15590000000000001</v>
      </c>
      <c r="Q106" s="39">
        <v>-0.22189999999999999</v>
      </c>
      <c r="R106" s="39">
        <v>-0.50549999999999995</v>
      </c>
      <c r="S106" s="39">
        <v>-0.58240000000000003</v>
      </c>
      <c r="T106">
        <v>32.47</v>
      </c>
      <c r="U106">
        <v>11.69</v>
      </c>
      <c r="V106">
        <v>67.53</v>
      </c>
      <c r="W106" s="17">
        <v>21204.403699999999</v>
      </c>
      <c r="X106" s="83" t="s">
        <v>621</v>
      </c>
    </row>
    <row r="107" spans="7:24" x14ac:dyDescent="0.25">
      <c r="G107" s="11">
        <v>106</v>
      </c>
      <c r="H107" s="10" t="s">
        <v>341</v>
      </c>
      <c r="I107" t="s">
        <v>888</v>
      </c>
      <c r="J107" t="s">
        <v>889</v>
      </c>
      <c r="K107" s="43">
        <v>5.3E-3</v>
      </c>
      <c r="L107" s="39">
        <v>-5.8200000000000002E-2</v>
      </c>
      <c r="M107" s="39">
        <v>-5.6500000000000002E-2</v>
      </c>
      <c r="N107" s="43">
        <v>-3.3599999999999998E-2</v>
      </c>
      <c r="O107" s="39">
        <v>1.49E-2</v>
      </c>
      <c r="P107" s="39">
        <v>6.9999999999999999E-4</v>
      </c>
      <c r="Q107" s="39">
        <v>0.13519999999999999</v>
      </c>
      <c r="R107" s="39">
        <v>0.34079999999999999</v>
      </c>
      <c r="S107" s="39">
        <v>0.21840000000000001</v>
      </c>
      <c r="T107">
        <v>31.82</v>
      </c>
      <c r="U107">
        <v>65.58</v>
      </c>
      <c r="V107">
        <v>13.64</v>
      </c>
      <c r="W107" s="17">
        <v>9698.8634280999995</v>
      </c>
      <c r="X107" s="83" t="s">
        <v>621</v>
      </c>
    </row>
    <row r="108" spans="7:24" x14ac:dyDescent="0.25">
      <c r="G108" s="11">
        <v>107</v>
      </c>
      <c r="H108" s="10" t="s">
        <v>405</v>
      </c>
      <c r="I108" t="s">
        <v>406</v>
      </c>
      <c r="J108" t="s">
        <v>393</v>
      </c>
      <c r="K108" s="43">
        <v>1.1999999999999999E-3</v>
      </c>
      <c r="L108" s="39">
        <v>1.03E-2</v>
      </c>
      <c r="M108" s="39">
        <v>-1.67E-2</v>
      </c>
      <c r="N108" s="43">
        <v>-6.8000000000000005E-2</v>
      </c>
      <c r="O108" s="39">
        <v>7.9100000000000004E-2</v>
      </c>
      <c r="P108" s="39">
        <v>0.01</v>
      </c>
      <c r="Q108" s="39">
        <v>0.1222</v>
      </c>
      <c r="R108" s="39">
        <v>-0.1636</v>
      </c>
      <c r="S108" s="39">
        <v>-0.23649999999999999</v>
      </c>
      <c r="T108">
        <v>31.17</v>
      </c>
      <c r="U108">
        <v>40.26</v>
      </c>
      <c r="V108">
        <v>37.01</v>
      </c>
      <c r="W108" s="17">
        <v>7550.0552105000006</v>
      </c>
    </row>
    <row r="109" spans="7:24" x14ac:dyDescent="0.25">
      <c r="G109" s="11">
        <v>108</v>
      </c>
      <c r="H109" s="10" t="s">
        <v>88</v>
      </c>
      <c r="I109" t="s">
        <v>209</v>
      </c>
      <c r="J109" t="s">
        <v>175</v>
      </c>
      <c r="K109" s="43">
        <v>8.0000000000000004E-4</v>
      </c>
      <c r="L109" s="39">
        <v>-6.5199999999999994E-2</v>
      </c>
      <c r="M109" s="39">
        <v>-8.7999999999999995E-2</v>
      </c>
      <c r="N109" s="43">
        <v>-8.4599999999999995E-2</v>
      </c>
      <c r="O109" s="39">
        <v>1.8100000000000002E-2</v>
      </c>
      <c r="P109" s="39">
        <v>-5.0599999999999999E-2</v>
      </c>
      <c r="Q109" s="39">
        <v>-5.8400000000000001E-2</v>
      </c>
      <c r="R109" s="39">
        <v>-0.36909999999999998</v>
      </c>
      <c r="S109" s="39">
        <v>-0.4365</v>
      </c>
      <c r="T109">
        <v>30.52</v>
      </c>
      <c r="U109">
        <v>29.22</v>
      </c>
      <c r="V109">
        <v>44.81</v>
      </c>
      <c r="W109" s="17">
        <v>5668.48261</v>
      </c>
    </row>
    <row r="110" spans="7:24" x14ac:dyDescent="0.25">
      <c r="G110" s="11">
        <v>109</v>
      </c>
      <c r="H110" s="10" t="s">
        <v>134</v>
      </c>
      <c r="I110" t="s">
        <v>229</v>
      </c>
      <c r="J110" t="s">
        <v>175</v>
      </c>
      <c r="K110" s="43">
        <v>1E-3</v>
      </c>
      <c r="L110" s="39">
        <v>-6.0900000000000003E-2</v>
      </c>
      <c r="M110" s="39">
        <v>-0.1024</v>
      </c>
      <c r="N110" s="43">
        <v>-8.09E-2</v>
      </c>
      <c r="O110" s="39">
        <v>-6.3200000000000006E-2</v>
      </c>
      <c r="P110" s="39">
        <v>4.1000000000000003E-3</v>
      </c>
      <c r="Q110" s="39">
        <v>0.1234</v>
      </c>
      <c r="R110" s="39">
        <v>0.16589999999999999</v>
      </c>
      <c r="S110" s="39">
        <v>0.2487</v>
      </c>
      <c r="T110">
        <v>29.87</v>
      </c>
      <c r="U110">
        <v>32.47</v>
      </c>
      <c r="V110">
        <v>40.26</v>
      </c>
      <c r="W110" s="17">
        <v>9031.6192224999995</v>
      </c>
    </row>
    <row r="111" spans="7:24" x14ac:dyDescent="0.25">
      <c r="G111" s="11">
        <v>110</v>
      </c>
      <c r="H111" s="10" t="s">
        <v>92</v>
      </c>
      <c r="I111" t="s">
        <v>236</v>
      </c>
      <c r="J111" t="s">
        <v>175</v>
      </c>
      <c r="K111" s="43">
        <v>1E-4</v>
      </c>
      <c r="L111" s="39">
        <v>-7.2599999999999998E-2</v>
      </c>
      <c r="M111" s="39">
        <v>-0.1123</v>
      </c>
      <c r="N111" s="43">
        <v>-0.12529999999999999</v>
      </c>
      <c r="O111" s="39">
        <v>1.8800000000000001E-2</v>
      </c>
      <c r="P111" s="39">
        <v>2.1399999999999999E-2</v>
      </c>
      <c r="Q111" s="39">
        <v>5.6099999999999997E-2</v>
      </c>
      <c r="R111" s="39">
        <v>-0.26910000000000001</v>
      </c>
      <c r="S111" s="39">
        <v>-0.39419999999999999</v>
      </c>
      <c r="T111">
        <v>29.22</v>
      </c>
      <c r="U111">
        <v>12.99</v>
      </c>
      <c r="V111">
        <v>57.79</v>
      </c>
      <c r="W111" s="17">
        <v>5315.0653000000002</v>
      </c>
    </row>
    <row r="112" spans="7:24" x14ac:dyDescent="0.25">
      <c r="G112" s="11">
        <v>111</v>
      </c>
      <c r="H112" s="10" t="s">
        <v>123</v>
      </c>
      <c r="I112" t="s">
        <v>214</v>
      </c>
      <c r="J112" t="s">
        <v>175</v>
      </c>
      <c r="K112" s="43">
        <v>2.0000000000000001E-4</v>
      </c>
      <c r="L112" s="39">
        <v>-6.0699999999999997E-2</v>
      </c>
      <c r="M112" s="39">
        <v>-0.1024</v>
      </c>
      <c r="N112" s="43">
        <v>-0.114</v>
      </c>
      <c r="O112" s="39">
        <v>5.8900000000000001E-2</v>
      </c>
      <c r="P112" s="39">
        <v>6.9199999999999998E-2</v>
      </c>
      <c r="Q112" s="39">
        <v>0.16309999999999999</v>
      </c>
      <c r="R112" s="39">
        <v>9.2799999999999994E-2</v>
      </c>
      <c r="S112" s="39">
        <v>-9.9000000000000008E-3</v>
      </c>
      <c r="T112">
        <v>28.57</v>
      </c>
      <c r="U112">
        <v>15.58</v>
      </c>
      <c r="V112">
        <v>54.55</v>
      </c>
      <c r="W112" s="17">
        <v>6879.7506000000003</v>
      </c>
    </row>
    <row r="113" spans="7:25" x14ac:dyDescent="0.25">
      <c r="G113" s="11">
        <v>112</v>
      </c>
      <c r="H113" s="10" t="s">
        <v>121</v>
      </c>
      <c r="I113" t="s">
        <v>198</v>
      </c>
      <c r="J113" t="s">
        <v>175</v>
      </c>
      <c r="K113" s="43">
        <v>4.0000000000000001E-3</v>
      </c>
      <c r="L113" s="39">
        <v>-4.0599999999999997E-2</v>
      </c>
      <c r="M113" s="39">
        <v>-7.2800000000000004E-2</v>
      </c>
      <c r="N113" s="43">
        <v>-4.8599999999999997E-2</v>
      </c>
      <c r="O113" s="39">
        <v>0.01</v>
      </c>
      <c r="P113" s="39">
        <v>4.9299999999999997E-2</v>
      </c>
      <c r="Q113" s="39">
        <v>0.1779</v>
      </c>
      <c r="R113" s="39">
        <v>0.28000000000000003</v>
      </c>
      <c r="S113" s="39">
        <v>0.25280000000000002</v>
      </c>
      <c r="T113">
        <v>27.92</v>
      </c>
      <c r="U113">
        <v>53.25</v>
      </c>
      <c r="V113">
        <v>16.88</v>
      </c>
      <c r="W113" s="17">
        <v>5277.8622999999998</v>
      </c>
      <c r="X113" s="83" t="s">
        <v>621</v>
      </c>
    </row>
    <row r="114" spans="7:25" x14ac:dyDescent="0.25">
      <c r="G114" s="11">
        <v>113</v>
      </c>
      <c r="H114" s="10" t="s">
        <v>306</v>
      </c>
      <c r="I114" t="s">
        <v>307</v>
      </c>
      <c r="J114" t="s">
        <v>311</v>
      </c>
      <c r="K114" s="43">
        <v>1.2999999999999999E-3</v>
      </c>
      <c r="L114" s="39">
        <v>-0.06</v>
      </c>
      <c r="M114" s="39">
        <v>-0.1011</v>
      </c>
      <c r="N114" s="43">
        <v>-7.8899999999999998E-2</v>
      </c>
      <c r="O114" s="39">
        <v>-5.9700000000000003E-2</v>
      </c>
      <c r="P114" s="39">
        <v>1.44E-2</v>
      </c>
      <c r="Q114" s="39">
        <v>0.14130000000000001</v>
      </c>
      <c r="R114" s="39">
        <v>0.1915</v>
      </c>
      <c r="S114" s="39">
        <v>0.32529999999999998</v>
      </c>
      <c r="T114">
        <v>27.27</v>
      </c>
      <c r="U114">
        <v>35.06</v>
      </c>
      <c r="V114">
        <v>33.770000000000003</v>
      </c>
      <c r="W114" s="17">
        <v>2219.0045</v>
      </c>
    </row>
    <row r="115" spans="7:25" x14ac:dyDescent="0.25">
      <c r="G115" s="11">
        <v>114</v>
      </c>
      <c r="H115" s="10" t="s">
        <v>922</v>
      </c>
      <c r="I115" t="s">
        <v>923</v>
      </c>
      <c r="J115" t="s">
        <v>311</v>
      </c>
      <c r="K115" s="43">
        <v>1.3299999999999999E-2</v>
      </c>
      <c r="L115" s="39">
        <v>-4.9500000000000002E-2</v>
      </c>
      <c r="M115" s="39">
        <v>-5.8900000000000001E-2</v>
      </c>
      <c r="N115" s="43">
        <v>-4.7699999999999999E-2</v>
      </c>
      <c r="O115" s="39">
        <v>5.0500000000000003E-2</v>
      </c>
      <c r="P115" s="39">
        <v>4.6199999999999998E-2</v>
      </c>
      <c r="Q115" s="39">
        <v>0.23749999999999999</v>
      </c>
      <c r="R115" s="39">
        <v>0.23749999999999999</v>
      </c>
      <c r="S115" s="39">
        <v>0.23749999999999999</v>
      </c>
      <c r="T115">
        <v>26.62</v>
      </c>
      <c r="U115">
        <v>53.9</v>
      </c>
      <c r="V115">
        <v>11.04</v>
      </c>
      <c r="W115" s="17">
        <v>8364.7340999999997</v>
      </c>
      <c r="X115" s="83" t="s">
        <v>621</v>
      </c>
      <c r="Y115" s="81" t="s">
        <v>636</v>
      </c>
    </row>
    <row r="116" spans="7:25" x14ac:dyDescent="0.25">
      <c r="G116" s="11">
        <v>115</v>
      </c>
      <c r="H116" s="10" t="s">
        <v>154</v>
      </c>
      <c r="I116" t="s">
        <v>171</v>
      </c>
      <c r="J116" t="s">
        <v>266</v>
      </c>
      <c r="K116" s="43">
        <v>2.1299999999999999E-2</v>
      </c>
      <c r="L116" s="39">
        <v>-6.7000000000000002E-3</v>
      </c>
      <c r="M116" s="39">
        <v>-5.2900000000000003E-2</v>
      </c>
      <c r="N116" s="43">
        <v>-4.2099999999999999E-2</v>
      </c>
      <c r="O116" s="39">
        <v>-6.8099999999999994E-2</v>
      </c>
      <c r="P116" s="39">
        <v>-9.0499999999999997E-2</v>
      </c>
      <c r="Q116" s="39">
        <v>-0.1011</v>
      </c>
      <c r="R116" s="39">
        <v>0.2487</v>
      </c>
      <c r="S116" s="39">
        <v>0.31240000000000001</v>
      </c>
      <c r="T116">
        <v>25.97</v>
      </c>
      <c r="U116">
        <v>57.14</v>
      </c>
      <c r="V116">
        <v>5.84</v>
      </c>
      <c r="W116" s="17">
        <v>21175.614699999998</v>
      </c>
      <c r="X116" s="83" t="s">
        <v>621</v>
      </c>
      <c r="Y116" s="81" t="s">
        <v>636</v>
      </c>
    </row>
    <row r="117" spans="7:25" x14ac:dyDescent="0.25">
      <c r="G117" s="11">
        <v>116</v>
      </c>
      <c r="H117" t="s">
        <v>290</v>
      </c>
      <c r="I117" t="s">
        <v>628</v>
      </c>
      <c r="J117" t="s">
        <v>311</v>
      </c>
      <c r="K117" s="43">
        <v>1.3299999999999999E-2</v>
      </c>
      <c r="L117" s="39">
        <v>-4.9599999999999998E-2</v>
      </c>
      <c r="M117" s="39">
        <v>-5.4100000000000002E-2</v>
      </c>
      <c r="N117" s="43">
        <v>-5.2999999999999999E-2</v>
      </c>
      <c r="O117" s="39">
        <v>1E-3</v>
      </c>
      <c r="P117" s="39">
        <v>-3.8999999999999998E-3</v>
      </c>
      <c r="Q117" s="39">
        <v>0.25280000000000002</v>
      </c>
      <c r="R117" s="39">
        <v>0.29880000000000001</v>
      </c>
      <c r="S117" s="39">
        <v>0.39410000000000001</v>
      </c>
      <c r="T117">
        <v>25.32</v>
      </c>
      <c r="U117">
        <v>51.95</v>
      </c>
      <c r="V117">
        <v>10.39</v>
      </c>
      <c r="W117" s="17">
        <v>6821.7215999999999</v>
      </c>
      <c r="X117" s="83" t="s">
        <v>621</v>
      </c>
    </row>
    <row r="118" spans="7:25" x14ac:dyDescent="0.25">
      <c r="G118" s="11">
        <v>117</v>
      </c>
      <c r="H118" t="s">
        <v>96</v>
      </c>
      <c r="I118" t="s">
        <v>873</v>
      </c>
      <c r="J118" t="s">
        <v>175</v>
      </c>
      <c r="K118" s="43">
        <v>5.0000000000000001E-4</v>
      </c>
      <c r="L118" s="39">
        <v>-5.4100000000000002E-2</v>
      </c>
      <c r="M118" s="39">
        <v>-7.9799999999999996E-2</v>
      </c>
      <c r="N118" s="43">
        <v>-0.12920000000000001</v>
      </c>
      <c r="O118" s="39">
        <v>1.46E-2</v>
      </c>
      <c r="P118" s="39">
        <v>6.5199999999999994E-2</v>
      </c>
      <c r="Q118" s="39">
        <v>0.1973</v>
      </c>
      <c r="R118" s="39">
        <v>3.7699999999999997E-2</v>
      </c>
      <c r="S118" s="39">
        <v>1.8E-3</v>
      </c>
      <c r="T118">
        <v>24.68</v>
      </c>
      <c r="U118">
        <v>10.39</v>
      </c>
      <c r="V118">
        <v>50.65</v>
      </c>
      <c r="W118" s="17">
        <v>57962.328858299996</v>
      </c>
      <c r="X118" s="83" t="s">
        <v>621</v>
      </c>
    </row>
    <row r="119" spans="7:25" x14ac:dyDescent="0.25">
      <c r="G119" s="11">
        <v>118</v>
      </c>
      <c r="H119" t="s">
        <v>142</v>
      </c>
      <c r="I119" t="s">
        <v>187</v>
      </c>
      <c r="J119" t="s">
        <v>175</v>
      </c>
      <c r="K119" s="43">
        <v>5.0000000000000001E-4</v>
      </c>
      <c r="L119" s="39">
        <v>-4.58E-2</v>
      </c>
      <c r="M119" s="39">
        <v>-6.6400000000000001E-2</v>
      </c>
      <c r="N119" s="43">
        <v>-0.13339999999999999</v>
      </c>
      <c r="O119" s="39">
        <v>8.1799999999999998E-2</v>
      </c>
      <c r="P119" s="39">
        <v>0.1196</v>
      </c>
      <c r="Q119" s="39">
        <v>0.1736</v>
      </c>
      <c r="R119" s="39">
        <v>-0.1171</v>
      </c>
      <c r="S119" s="39">
        <v>-3.8100000000000002E-2</v>
      </c>
      <c r="T119">
        <v>24.03</v>
      </c>
      <c r="U119">
        <v>9.74</v>
      </c>
      <c r="V119">
        <v>50</v>
      </c>
      <c r="W119" s="17">
        <v>8256.0177999999996</v>
      </c>
    </row>
    <row r="120" spans="7:25" x14ac:dyDescent="0.25">
      <c r="G120" s="11">
        <v>119</v>
      </c>
      <c r="H120" t="s">
        <v>65</v>
      </c>
      <c r="I120" t="s">
        <v>206</v>
      </c>
      <c r="J120" t="s">
        <v>175</v>
      </c>
      <c r="K120" s="43">
        <v>8.0000000000000004E-4</v>
      </c>
      <c r="L120" s="39">
        <v>-7.2800000000000004E-2</v>
      </c>
      <c r="M120" s="39">
        <v>-0.1113</v>
      </c>
      <c r="N120" s="43">
        <v>-0.1235</v>
      </c>
      <c r="O120" s="39">
        <v>2.2499999999999999E-2</v>
      </c>
      <c r="P120" s="39">
        <v>2.4400000000000002E-2</v>
      </c>
      <c r="Q120" s="39">
        <v>5.8099999999999999E-2</v>
      </c>
      <c r="R120" s="39">
        <v>-0.27079999999999999</v>
      </c>
      <c r="S120" s="39">
        <v>-0.39989999999999998</v>
      </c>
      <c r="T120">
        <v>23.38</v>
      </c>
      <c r="U120">
        <v>14.29</v>
      </c>
      <c r="V120">
        <v>45.45</v>
      </c>
      <c r="W120" s="17">
        <v>1244.4475199999999</v>
      </c>
    </row>
    <row r="121" spans="7:25" x14ac:dyDescent="0.25">
      <c r="G121" s="11">
        <v>120</v>
      </c>
      <c r="H121" s="10" t="s">
        <v>83</v>
      </c>
      <c r="I121" t="s">
        <v>209</v>
      </c>
      <c r="J121" t="s">
        <v>175</v>
      </c>
      <c r="K121" s="43">
        <v>1.6000000000000001E-3</v>
      </c>
      <c r="L121" s="39">
        <v>-6.4799999999999996E-2</v>
      </c>
      <c r="M121" s="39">
        <v>-8.7599999999999997E-2</v>
      </c>
      <c r="N121" s="43">
        <v>-8.4199999999999997E-2</v>
      </c>
      <c r="O121" s="39">
        <v>1.7100000000000001E-2</v>
      </c>
      <c r="P121" s="39">
        <v>-5.0999999999999997E-2</v>
      </c>
      <c r="Q121" s="39">
        <v>-5.9200000000000003E-2</v>
      </c>
      <c r="R121" s="39">
        <v>-0.36349999999999999</v>
      </c>
      <c r="S121" s="39">
        <v>-0.43309999999999998</v>
      </c>
      <c r="T121">
        <v>22.73</v>
      </c>
      <c r="U121">
        <v>30.52</v>
      </c>
      <c r="V121">
        <v>29.22</v>
      </c>
      <c r="W121" s="17">
        <v>59227.475100000003</v>
      </c>
    </row>
    <row r="122" spans="7:25" x14ac:dyDescent="0.25">
      <c r="G122" s="11">
        <v>121</v>
      </c>
      <c r="H122" s="10" t="s">
        <v>81</v>
      </c>
      <c r="I122" t="s">
        <v>181</v>
      </c>
      <c r="J122" t="s">
        <v>175</v>
      </c>
      <c r="K122" s="43">
        <v>1.4E-3</v>
      </c>
      <c r="L122" s="39">
        <v>-2.8199999999999999E-2</v>
      </c>
      <c r="M122" s="39">
        <v>-6.6500000000000004E-2</v>
      </c>
      <c r="N122" s="43">
        <v>-9.3399999999999997E-2</v>
      </c>
      <c r="O122" s="39">
        <v>-1.1000000000000001E-3</v>
      </c>
      <c r="P122" s="39">
        <v>6.6900000000000001E-2</v>
      </c>
      <c r="Q122" s="39">
        <v>0.26190000000000002</v>
      </c>
      <c r="R122" s="39">
        <v>0.1041</v>
      </c>
      <c r="S122" s="39">
        <v>-3.7900000000000003E-2</v>
      </c>
      <c r="T122">
        <v>22.08</v>
      </c>
      <c r="U122">
        <v>25.32</v>
      </c>
      <c r="V122">
        <v>32.47</v>
      </c>
      <c r="W122" s="17">
        <v>2852.5852150000001</v>
      </c>
    </row>
    <row r="123" spans="7:25" x14ac:dyDescent="0.25">
      <c r="G123" s="11">
        <v>122</v>
      </c>
      <c r="H123" t="s">
        <v>149</v>
      </c>
      <c r="I123" t="s">
        <v>190</v>
      </c>
      <c r="J123" t="s">
        <v>175</v>
      </c>
      <c r="K123" s="43">
        <v>1.1000000000000001E-3</v>
      </c>
      <c r="L123" s="39">
        <v>-6.0199999999999997E-2</v>
      </c>
      <c r="M123" s="39">
        <v>-6.4500000000000002E-2</v>
      </c>
      <c r="N123" s="43">
        <v>-0.1007</v>
      </c>
      <c r="O123" s="39">
        <v>5.0900000000000001E-2</v>
      </c>
      <c r="P123" s="39">
        <v>0.1227</v>
      </c>
      <c r="Q123" s="39">
        <v>5.6599999999999998E-2</v>
      </c>
      <c r="R123" s="39">
        <v>2.5700000000000001E-2</v>
      </c>
      <c r="S123" s="39">
        <v>0.19020000000000001</v>
      </c>
      <c r="T123">
        <v>21.43</v>
      </c>
      <c r="U123">
        <v>20.13</v>
      </c>
      <c r="V123">
        <v>37.659999999999997</v>
      </c>
      <c r="W123" s="17">
        <v>2531.19526</v>
      </c>
    </row>
    <row r="124" spans="7:25" x14ac:dyDescent="0.25">
      <c r="G124" s="11">
        <v>123</v>
      </c>
      <c r="H124" s="10" t="s">
        <v>66</v>
      </c>
      <c r="I124" t="s">
        <v>225</v>
      </c>
      <c r="J124" t="s">
        <v>175</v>
      </c>
      <c r="K124" s="43">
        <v>8.9999999999999998E-4</v>
      </c>
      <c r="L124" s="39">
        <v>-6.9099999999999995E-2</v>
      </c>
      <c r="M124" s="39">
        <v>-0.1179</v>
      </c>
      <c r="N124" s="43">
        <v>-0.1174</v>
      </c>
      <c r="O124" s="39">
        <v>2.5999999999999999E-2</v>
      </c>
      <c r="P124" s="39">
        <v>1.46E-2</v>
      </c>
      <c r="Q124" s="39">
        <v>0.106</v>
      </c>
      <c r="R124" s="39">
        <v>-0.24579999999999999</v>
      </c>
      <c r="S124" s="39">
        <v>-0.3896</v>
      </c>
      <c r="T124">
        <v>20.78</v>
      </c>
      <c r="U124">
        <v>14.94</v>
      </c>
      <c r="V124">
        <v>42.21</v>
      </c>
      <c r="W124" s="17">
        <v>8689.7743200000004</v>
      </c>
      <c r="X124" s="83" t="s">
        <v>621</v>
      </c>
    </row>
    <row r="125" spans="7:25" x14ac:dyDescent="0.25">
      <c r="G125" s="11">
        <v>124</v>
      </c>
      <c r="H125" t="s">
        <v>101</v>
      </c>
      <c r="I125" t="s">
        <v>251</v>
      </c>
      <c r="J125" t="s">
        <v>175</v>
      </c>
      <c r="K125" s="43">
        <v>1.1000000000000001E-3</v>
      </c>
      <c r="L125" s="39">
        <v>-6.7100000000000007E-2</v>
      </c>
      <c r="M125" s="39">
        <v>-0.1017</v>
      </c>
      <c r="N125" s="43">
        <v>-0.1104</v>
      </c>
      <c r="O125" s="39">
        <v>-4.02E-2</v>
      </c>
      <c r="P125" s="39">
        <v>-7.6799999999999993E-2</v>
      </c>
      <c r="Q125" s="39">
        <v>6.8699999999999997E-2</v>
      </c>
      <c r="R125" s="39">
        <v>-0.16639999999999999</v>
      </c>
      <c r="S125" s="39">
        <v>-0.26779999999999998</v>
      </c>
      <c r="T125">
        <v>20.13</v>
      </c>
      <c r="U125">
        <v>17.53</v>
      </c>
      <c r="V125">
        <v>38.96</v>
      </c>
      <c r="W125" s="17">
        <v>349232.98469250003</v>
      </c>
      <c r="X125" s="83" t="s">
        <v>621</v>
      </c>
    </row>
    <row r="126" spans="7:25" x14ac:dyDescent="0.25">
      <c r="G126" s="11">
        <v>125</v>
      </c>
      <c r="H126" t="s">
        <v>131</v>
      </c>
      <c r="I126" t="s">
        <v>260</v>
      </c>
      <c r="J126" t="s">
        <v>256</v>
      </c>
      <c r="K126" s="43">
        <v>2.69E-2</v>
      </c>
      <c r="L126" s="39">
        <v>-6.7599999999999993E-2</v>
      </c>
      <c r="M126" s="39">
        <v>-7.3800000000000004E-2</v>
      </c>
      <c r="N126" s="43">
        <v>-5.4399999999999997E-2</v>
      </c>
      <c r="O126" s="39">
        <v>-0.10680000000000001</v>
      </c>
      <c r="P126" s="39">
        <v>-8.3699999999999997E-2</v>
      </c>
      <c r="Q126" s="39">
        <v>1.8499999999999999E-2</v>
      </c>
      <c r="R126" s="39">
        <v>0.40229999999999999</v>
      </c>
      <c r="S126" s="39">
        <v>0.40329999999999999</v>
      </c>
      <c r="T126">
        <v>19.48</v>
      </c>
      <c r="U126">
        <v>51.3</v>
      </c>
      <c r="V126">
        <v>4.55</v>
      </c>
      <c r="W126" s="17">
        <v>113229.9293</v>
      </c>
      <c r="X126" s="83" t="s">
        <v>621</v>
      </c>
      <c r="Y126" s="81" t="s">
        <v>636</v>
      </c>
    </row>
    <row r="127" spans="7:25" x14ac:dyDescent="0.25">
      <c r="G127" s="11">
        <v>126</v>
      </c>
      <c r="H127" t="s">
        <v>304</v>
      </c>
      <c r="I127" t="s">
        <v>305</v>
      </c>
      <c r="J127" t="s">
        <v>311</v>
      </c>
      <c r="K127" s="43">
        <v>1E-3</v>
      </c>
      <c r="L127" s="39">
        <v>-4.4999999999999998E-2</v>
      </c>
      <c r="M127" s="39">
        <v>-9.4399999999999998E-2</v>
      </c>
      <c r="N127" s="43">
        <v>-0.1139</v>
      </c>
      <c r="O127" s="39">
        <v>-3.2199999999999999E-2</v>
      </c>
      <c r="P127" s="39">
        <v>3.5999999999999997E-2</v>
      </c>
      <c r="Q127" s="39">
        <v>0.28470000000000001</v>
      </c>
      <c r="R127" s="39">
        <v>0.1221</v>
      </c>
      <c r="S127" s="39">
        <v>-6.2899999999999998E-2</v>
      </c>
      <c r="T127">
        <v>18.829999999999998</v>
      </c>
      <c r="U127">
        <v>16.23</v>
      </c>
      <c r="V127">
        <v>39.61</v>
      </c>
      <c r="W127" s="17">
        <v>2513.1080000000002</v>
      </c>
      <c r="X127" s="83" t="s">
        <v>621</v>
      </c>
    </row>
    <row r="128" spans="7:25" x14ac:dyDescent="0.25">
      <c r="G128" s="11">
        <v>127</v>
      </c>
      <c r="H128" s="10" t="s">
        <v>122</v>
      </c>
      <c r="I128" t="s">
        <v>203</v>
      </c>
      <c r="J128" t="s">
        <v>175</v>
      </c>
      <c r="K128" s="43">
        <v>4.0000000000000002E-4</v>
      </c>
      <c r="L128" s="39">
        <v>-8.7300000000000003E-2</v>
      </c>
      <c r="M128" s="39">
        <v>-0.1154</v>
      </c>
      <c r="N128" s="43">
        <v>-0.15079999999999999</v>
      </c>
      <c r="O128" s="39">
        <v>-0.1288</v>
      </c>
      <c r="P128" s="39">
        <v>-0.13400000000000001</v>
      </c>
      <c r="Q128" s="39">
        <v>-2.3699999999999999E-2</v>
      </c>
      <c r="R128" s="39">
        <v>0.1226</v>
      </c>
      <c r="S128" s="39">
        <v>0.1651</v>
      </c>
      <c r="T128">
        <v>18.18</v>
      </c>
      <c r="U128">
        <v>3.25</v>
      </c>
      <c r="V128">
        <v>51.95</v>
      </c>
      <c r="W128" s="17">
        <v>21224.909</v>
      </c>
      <c r="X128" s="83" t="s">
        <v>621</v>
      </c>
    </row>
    <row r="129" spans="7:25" x14ac:dyDescent="0.25">
      <c r="G129" s="11">
        <v>128</v>
      </c>
      <c r="H129" s="10" t="s">
        <v>79</v>
      </c>
      <c r="I129" t="s">
        <v>245</v>
      </c>
      <c r="J129" t="s">
        <v>175</v>
      </c>
      <c r="K129" s="43">
        <v>8.9999999999999998E-4</v>
      </c>
      <c r="L129" s="39">
        <v>-7.2900000000000006E-2</v>
      </c>
      <c r="M129" s="39">
        <v>-0.1115</v>
      </c>
      <c r="N129" s="43">
        <v>-0.1241</v>
      </c>
      <c r="O129" s="39">
        <v>2.0299999999999999E-2</v>
      </c>
      <c r="P129" s="39">
        <v>1.9699999999999999E-2</v>
      </c>
      <c r="Q129" s="39">
        <v>5.28E-2</v>
      </c>
      <c r="R129" s="39">
        <v>-0.27839999999999998</v>
      </c>
      <c r="S129" s="39">
        <v>-0.40860000000000002</v>
      </c>
      <c r="T129">
        <v>17.53</v>
      </c>
      <c r="U129">
        <v>13.64</v>
      </c>
      <c r="V129">
        <v>41.56</v>
      </c>
      <c r="W129" s="17">
        <v>10748.497300000001</v>
      </c>
    </row>
    <row r="130" spans="7:25" x14ac:dyDescent="0.25">
      <c r="G130" s="11">
        <v>129</v>
      </c>
      <c r="H130" s="10" t="s">
        <v>45</v>
      </c>
      <c r="I130" t="s">
        <v>876</v>
      </c>
      <c r="J130" t="s">
        <v>175</v>
      </c>
      <c r="K130" s="43">
        <v>6.6E-3</v>
      </c>
      <c r="L130" s="39">
        <v>-6.9699999999999998E-2</v>
      </c>
      <c r="M130" s="39">
        <v>-9.2999999999999999E-2</v>
      </c>
      <c r="N130" s="43">
        <v>-6.7900000000000002E-2</v>
      </c>
      <c r="O130" s="39">
        <v>-0.10050000000000001</v>
      </c>
      <c r="P130" s="39">
        <v>-0.1215</v>
      </c>
      <c r="Q130" s="39">
        <v>-0.19819999999999999</v>
      </c>
      <c r="R130" s="39">
        <v>-0.1618</v>
      </c>
      <c r="S130" s="39">
        <v>-0.27360000000000001</v>
      </c>
      <c r="T130">
        <v>16.88</v>
      </c>
      <c r="U130">
        <v>40.909999999999997</v>
      </c>
      <c r="V130">
        <v>12.99</v>
      </c>
      <c r="W130" s="17">
        <v>4973.9698988</v>
      </c>
      <c r="X130" s="83" t="s">
        <v>621</v>
      </c>
    </row>
    <row r="131" spans="7:25" x14ac:dyDescent="0.25">
      <c r="G131" s="11">
        <v>130</v>
      </c>
      <c r="H131" t="s">
        <v>133</v>
      </c>
      <c r="I131" t="s">
        <v>204</v>
      </c>
      <c r="J131" t="s">
        <v>175</v>
      </c>
      <c r="K131" s="43">
        <v>4.0000000000000002E-4</v>
      </c>
      <c r="L131" s="39">
        <v>-8.0199999999999994E-2</v>
      </c>
      <c r="M131" s="39">
        <v>-0.1231</v>
      </c>
      <c r="N131" s="43">
        <v>-0.15379999999999999</v>
      </c>
      <c r="O131" s="39">
        <v>-0.1079</v>
      </c>
      <c r="P131" s="39">
        <v>-0.1149</v>
      </c>
      <c r="Q131" s="39">
        <v>5.6599999999999998E-2</v>
      </c>
      <c r="R131" s="39">
        <v>7.2800000000000004E-2</v>
      </c>
      <c r="S131" s="39">
        <v>-8.8000000000000005E-3</v>
      </c>
      <c r="T131">
        <v>16.23</v>
      </c>
      <c r="U131">
        <v>2.6</v>
      </c>
      <c r="V131">
        <v>51.3</v>
      </c>
      <c r="W131" s="17">
        <v>15911.511500000001</v>
      </c>
    </row>
    <row r="132" spans="7:25" x14ac:dyDescent="0.25">
      <c r="G132" s="11">
        <v>131</v>
      </c>
      <c r="H132" t="s">
        <v>864</v>
      </c>
      <c r="I132" t="s">
        <v>865</v>
      </c>
      <c r="J132" t="s">
        <v>256</v>
      </c>
      <c r="K132" s="43">
        <v>4.3499999999999997E-2</v>
      </c>
      <c r="L132" s="39">
        <v>-6.1100000000000002E-2</v>
      </c>
      <c r="M132" s="39">
        <v>-7.6100000000000001E-2</v>
      </c>
      <c r="N132" s="43">
        <v>-6.13E-2</v>
      </c>
      <c r="O132" s="39">
        <v>-0.13289999999999999</v>
      </c>
      <c r="P132" s="39">
        <v>-8.9599999999999999E-2</v>
      </c>
      <c r="Q132" s="39">
        <v>6.1000000000000004E-3</v>
      </c>
      <c r="R132" s="39">
        <v>0.1145</v>
      </c>
      <c r="S132" s="39">
        <v>0.1145</v>
      </c>
      <c r="T132">
        <v>15.58</v>
      </c>
      <c r="U132">
        <v>47.4</v>
      </c>
      <c r="V132">
        <v>3.25</v>
      </c>
      <c r="W132" s="17">
        <v>17570.609080000002</v>
      </c>
      <c r="X132" s="83" t="s">
        <v>621</v>
      </c>
      <c r="Y132" s="81" t="s">
        <v>636</v>
      </c>
    </row>
    <row r="133" spans="7:25" x14ac:dyDescent="0.25">
      <c r="G133" s="11">
        <v>132</v>
      </c>
      <c r="H133" t="s">
        <v>119</v>
      </c>
      <c r="I133" t="s">
        <v>261</v>
      </c>
      <c r="J133" t="s">
        <v>256</v>
      </c>
      <c r="K133" s="43">
        <v>6.93E-2</v>
      </c>
      <c r="L133" s="39">
        <v>-5.9499999999999997E-2</v>
      </c>
      <c r="M133" s="39">
        <v>-7.4800000000000005E-2</v>
      </c>
      <c r="N133" s="43">
        <v>-5.91E-2</v>
      </c>
      <c r="O133" s="39">
        <v>-0.1343</v>
      </c>
      <c r="P133" s="39">
        <v>-9.0200000000000002E-2</v>
      </c>
      <c r="Q133" s="39">
        <v>1.44E-2</v>
      </c>
      <c r="R133" s="39">
        <v>0.50649999999999995</v>
      </c>
      <c r="S133" s="39">
        <v>0.50170000000000003</v>
      </c>
      <c r="T133">
        <v>14.94</v>
      </c>
      <c r="U133">
        <v>48.7</v>
      </c>
      <c r="V133">
        <v>0.65</v>
      </c>
      <c r="W133" s="17">
        <v>304932.35930000001</v>
      </c>
    </row>
    <row r="134" spans="7:25" x14ac:dyDescent="0.25">
      <c r="G134" s="11">
        <v>133</v>
      </c>
      <c r="H134" t="s">
        <v>903</v>
      </c>
      <c r="I134" t="s">
        <v>902</v>
      </c>
      <c r="J134" t="s">
        <v>266</v>
      </c>
      <c r="K134" s="43">
        <v>1.7999999999999999E-2</v>
      </c>
      <c r="L134" s="39">
        <v>-8.6800000000000002E-2</v>
      </c>
      <c r="M134" s="39">
        <v>-9.3399999999999997E-2</v>
      </c>
      <c r="N134" s="43">
        <v>-7.1599999999999997E-2</v>
      </c>
      <c r="O134" s="39">
        <v>-0.21229999999999999</v>
      </c>
      <c r="P134" s="39">
        <v>-0.158</v>
      </c>
      <c r="Q134" s="39">
        <v>4.6199999999999998E-2</v>
      </c>
      <c r="R134" s="39">
        <v>4.4200000000000003E-2</v>
      </c>
      <c r="S134" s="39">
        <v>4.4200000000000003E-2</v>
      </c>
      <c r="T134">
        <v>14.29</v>
      </c>
      <c r="U134">
        <v>39.61</v>
      </c>
      <c r="V134">
        <v>7.79</v>
      </c>
      <c r="W134" s="17">
        <v>29851.558700000001</v>
      </c>
      <c r="X134" s="83" t="s">
        <v>621</v>
      </c>
    </row>
    <row r="135" spans="7:25" x14ac:dyDescent="0.25">
      <c r="G135" s="11">
        <v>134</v>
      </c>
      <c r="H135" s="10" t="s">
        <v>270</v>
      </c>
      <c r="I135" t="s">
        <v>271</v>
      </c>
      <c r="J135" t="s">
        <v>311</v>
      </c>
      <c r="K135" s="43">
        <v>2.0999999999999999E-3</v>
      </c>
      <c r="L135" s="39">
        <v>-6.0499999999999998E-2</v>
      </c>
      <c r="M135" s="39">
        <v>-5.4600000000000003E-2</v>
      </c>
      <c r="N135" s="43">
        <v>-9.9000000000000005E-2</v>
      </c>
      <c r="O135" s="39">
        <v>9.3899999999999997E-2</v>
      </c>
      <c r="P135" s="39">
        <v>0.17530000000000001</v>
      </c>
      <c r="Q135" s="39">
        <v>-8.6999999999999994E-3</v>
      </c>
      <c r="R135" s="39">
        <v>-0.11260000000000001</v>
      </c>
      <c r="S135" s="39">
        <v>-1.47E-2</v>
      </c>
      <c r="T135">
        <v>13.64</v>
      </c>
      <c r="U135">
        <v>21.43</v>
      </c>
      <c r="V135">
        <v>24.68</v>
      </c>
      <c r="W135" s="17">
        <v>1446.1624999999999</v>
      </c>
    </row>
    <row r="136" spans="7:25" x14ac:dyDescent="0.25">
      <c r="G136" s="11">
        <v>135</v>
      </c>
      <c r="H136" s="10" t="s">
        <v>150</v>
      </c>
      <c r="I136" t="s">
        <v>212</v>
      </c>
      <c r="J136" t="s">
        <v>175</v>
      </c>
      <c r="K136" s="43">
        <v>1E-3</v>
      </c>
      <c r="L136" s="39">
        <v>-8.1600000000000006E-2</v>
      </c>
      <c r="M136" s="39">
        <v>-9.0700000000000003E-2</v>
      </c>
      <c r="N136" s="43">
        <v>-0.14849999999999999</v>
      </c>
      <c r="O136" s="39">
        <v>9.64E-2</v>
      </c>
      <c r="P136" s="39">
        <v>0.1128</v>
      </c>
      <c r="Q136" s="39">
        <v>5.4100000000000002E-2</v>
      </c>
      <c r="R136" s="39">
        <v>-1.6799999999999999E-2</v>
      </c>
      <c r="S136" s="39">
        <v>0.20300000000000001</v>
      </c>
      <c r="T136">
        <v>12.99</v>
      </c>
      <c r="U136">
        <v>4.55</v>
      </c>
      <c r="V136">
        <v>40.909999999999997</v>
      </c>
      <c r="W136" s="17">
        <v>39497.404815900001</v>
      </c>
      <c r="X136" s="83" t="s">
        <v>621</v>
      </c>
    </row>
    <row r="137" spans="7:25" x14ac:dyDescent="0.25">
      <c r="G137" s="11">
        <v>136</v>
      </c>
      <c r="H137" t="s">
        <v>115</v>
      </c>
      <c r="I137" t="s">
        <v>208</v>
      </c>
      <c r="J137" t="s">
        <v>175</v>
      </c>
      <c r="K137" s="43">
        <v>2.5999999999999999E-3</v>
      </c>
      <c r="L137" s="39">
        <v>-3.1899999999999998E-2</v>
      </c>
      <c r="M137" s="39">
        <v>-6.6000000000000003E-2</v>
      </c>
      <c r="N137" s="43">
        <v>-9.9900000000000003E-2</v>
      </c>
      <c r="O137" s="39">
        <v>2.1700000000000001E-2</v>
      </c>
      <c r="P137" s="39">
        <v>8.0600000000000005E-2</v>
      </c>
      <c r="Q137" s="39">
        <v>0.26290000000000002</v>
      </c>
      <c r="R137" s="39">
        <v>3.1E-2</v>
      </c>
      <c r="S137" s="39">
        <v>-2.0899999999999998E-2</v>
      </c>
      <c r="T137">
        <v>12.34</v>
      </c>
      <c r="U137">
        <v>20.78</v>
      </c>
      <c r="V137">
        <v>22.08</v>
      </c>
      <c r="W137" s="17">
        <v>2600.2010100000002</v>
      </c>
    </row>
    <row r="138" spans="7:25" x14ac:dyDescent="0.25">
      <c r="G138" s="11">
        <v>137</v>
      </c>
      <c r="H138" s="10" t="s">
        <v>147</v>
      </c>
      <c r="I138" t="s">
        <v>184</v>
      </c>
      <c r="J138" t="s">
        <v>175</v>
      </c>
      <c r="K138" s="43">
        <v>2E-3</v>
      </c>
      <c r="L138" s="39">
        <v>-5.4100000000000002E-2</v>
      </c>
      <c r="M138" s="39">
        <v>-8.5900000000000004E-2</v>
      </c>
      <c r="N138" s="43">
        <v>-0.1263</v>
      </c>
      <c r="O138" s="39">
        <v>3.4599999999999999E-2</v>
      </c>
      <c r="P138" s="39">
        <v>5.7500000000000002E-2</v>
      </c>
      <c r="Q138" s="39">
        <v>0.45</v>
      </c>
      <c r="R138" s="39">
        <v>0.15290000000000001</v>
      </c>
      <c r="S138" s="39">
        <v>0.21260000000000001</v>
      </c>
      <c r="T138">
        <v>11.69</v>
      </c>
      <c r="U138">
        <v>12.34</v>
      </c>
      <c r="V138">
        <v>25.32</v>
      </c>
      <c r="W138" s="17">
        <v>35794.778080000004</v>
      </c>
    </row>
    <row r="139" spans="7:25" x14ac:dyDescent="0.25">
      <c r="G139" s="11">
        <v>138</v>
      </c>
      <c r="H139" s="10" t="s">
        <v>132</v>
      </c>
      <c r="I139" t="s">
        <v>190</v>
      </c>
      <c r="J139" t="s">
        <v>175</v>
      </c>
      <c r="K139" s="43">
        <v>3.3E-3</v>
      </c>
      <c r="L139" s="39">
        <v>-6.1699999999999998E-2</v>
      </c>
      <c r="M139" s="39">
        <v>-6.6600000000000006E-2</v>
      </c>
      <c r="N139" s="43">
        <v>-0.1051</v>
      </c>
      <c r="O139" s="39">
        <v>4.3900000000000002E-2</v>
      </c>
      <c r="P139" s="39">
        <v>0.11020000000000001</v>
      </c>
      <c r="Q139" s="39">
        <v>4.1500000000000002E-2</v>
      </c>
      <c r="R139" s="39">
        <v>2E-3</v>
      </c>
      <c r="S139" s="39">
        <v>0.1507</v>
      </c>
      <c r="T139">
        <v>11.04</v>
      </c>
      <c r="U139">
        <v>18.18</v>
      </c>
      <c r="V139">
        <v>19.48</v>
      </c>
      <c r="W139" s="17">
        <v>11714.570400000001</v>
      </c>
    </row>
    <row r="140" spans="7:25" x14ac:dyDescent="0.25">
      <c r="G140" s="11">
        <v>139</v>
      </c>
      <c r="H140" t="s">
        <v>156</v>
      </c>
      <c r="I140" t="s">
        <v>247</v>
      </c>
      <c r="J140" t="s">
        <v>266</v>
      </c>
      <c r="K140" s="43">
        <v>1.7399999999999999E-2</v>
      </c>
      <c r="L140" s="39">
        <v>-6.4000000000000001E-2</v>
      </c>
      <c r="M140" s="39">
        <v>-9.06E-2</v>
      </c>
      <c r="N140" s="43">
        <v>-8.7300000000000003E-2</v>
      </c>
      <c r="O140" s="39">
        <v>0.1144</v>
      </c>
      <c r="P140" s="39">
        <v>8.8300000000000003E-2</v>
      </c>
      <c r="Q140" s="39">
        <v>0.38519999999999999</v>
      </c>
      <c r="R140" s="39">
        <v>0.2989</v>
      </c>
      <c r="S140" s="39">
        <v>0.3291</v>
      </c>
      <c r="T140">
        <v>10.39</v>
      </c>
      <c r="U140">
        <v>27.92</v>
      </c>
      <c r="V140">
        <v>8.44</v>
      </c>
      <c r="W140" s="17">
        <v>61158.327599999997</v>
      </c>
    </row>
    <row r="141" spans="7:25" x14ac:dyDescent="0.25">
      <c r="G141" s="11">
        <v>140</v>
      </c>
      <c r="H141" s="10" t="s">
        <v>157</v>
      </c>
      <c r="I141" t="s">
        <v>265</v>
      </c>
      <c r="J141" t="s">
        <v>256</v>
      </c>
      <c r="K141" s="43">
        <v>6.3E-2</v>
      </c>
      <c r="L141" s="39">
        <v>-6.4100000000000004E-2</v>
      </c>
      <c r="M141" s="39">
        <v>-8.14E-2</v>
      </c>
      <c r="N141" s="43">
        <v>-8.3799999999999999E-2</v>
      </c>
      <c r="O141" s="39">
        <v>5.9900000000000002E-2</v>
      </c>
      <c r="P141" s="39">
        <v>6.9900000000000004E-2</v>
      </c>
      <c r="Q141" s="39">
        <v>0.1133</v>
      </c>
      <c r="R141" s="39">
        <v>0.40720000000000001</v>
      </c>
      <c r="S141" s="39">
        <v>0.60260000000000002</v>
      </c>
      <c r="T141">
        <v>9.74</v>
      </c>
      <c r="U141">
        <v>31.17</v>
      </c>
      <c r="V141">
        <v>1.3</v>
      </c>
      <c r="W141" s="17">
        <v>79769.060700000002</v>
      </c>
    </row>
    <row r="142" spans="7:25" x14ac:dyDescent="0.25">
      <c r="G142" s="11">
        <v>141</v>
      </c>
      <c r="H142" s="10" t="s">
        <v>118</v>
      </c>
      <c r="I142" t="s">
        <v>186</v>
      </c>
      <c r="J142" t="s">
        <v>175</v>
      </c>
      <c r="K142" s="43">
        <v>2.5000000000000001E-3</v>
      </c>
      <c r="L142" s="39">
        <v>-5.1700000000000003E-2</v>
      </c>
      <c r="M142" s="39">
        <v>-7.3700000000000002E-2</v>
      </c>
      <c r="N142" s="43">
        <v>-0.14299999999999999</v>
      </c>
      <c r="O142" s="39">
        <v>0.1032</v>
      </c>
      <c r="P142" s="39">
        <v>9.2899999999999996E-2</v>
      </c>
      <c r="Q142" s="39">
        <v>0.18759999999999999</v>
      </c>
      <c r="R142" s="39">
        <v>-0.2175</v>
      </c>
      <c r="S142" s="39">
        <v>-9.6500000000000002E-2</v>
      </c>
      <c r="T142">
        <v>9.09</v>
      </c>
      <c r="U142">
        <v>8.44</v>
      </c>
      <c r="V142">
        <v>22.73</v>
      </c>
      <c r="W142" s="17">
        <v>16316.8348424</v>
      </c>
      <c r="X142" s="83" t="s">
        <v>621</v>
      </c>
    </row>
    <row r="143" spans="7:25" x14ac:dyDescent="0.25">
      <c r="G143" s="11">
        <v>142</v>
      </c>
      <c r="H143" t="s">
        <v>299</v>
      </c>
      <c r="I143" t="s">
        <v>300</v>
      </c>
      <c r="J143" t="s">
        <v>311</v>
      </c>
      <c r="K143" s="43">
        <v>2.5000000000000001E-3</v>
      </c>
      <c r="L143" s="39">
        <v>-8.2199999999999995E-2</v>
      </c>
      <c r="M143" s="39">
        <v>-0.1221</v>
      </c>
      <c r="N143" s="43">
        <v>-0.1462</v>
      </c>
      <c r="O143" s="39">
        <v>6.8699999999999997E-2</v>
      </c>
      <c r="P143" s="39">
        <v>0.18820000000000001</v>
      </c>
      <c r="Q143" s="39">
        <v>0.12809999999999999</v>
      </c>
      <c r="R143" s="39">
        <v>1.5900000000000001E-2</v>
      </c>
      <c r="S143" s="39">
        <v>1.5299999999999999E-2</v>
      </c>
      <c r="T143">
        <v>8.44</v>
      </c>
      <c r="U143">
        <v>6.49</v>
      </c>
      <c r="V143">
        <v>23.38</v>
      </c>
      <c r="W143" s="17">
        <v>112866.9143</v>
      </c>
    </row>
    <row r="144" spans="7:25" x14ac:dyDescent="0.25">
      <c r="G144" s="11">
        <v>143</v>
      </c>
      <c r="H144" t="s">
        <v>139</v>
      </c>
      <c r="I144" t="s">
        <v>193</v>
      </c>
      <c r="J144" t="s">
        <v>175</v>
      </c>
      <c r="K144" s="43">
        <v>2.7000000000000001E-3</v>
      </c>
      <c r="L144" s="39">
        <v>-5.33E-2</v>
      </c>
      <c r="M144" s="39">
        <v>-6.5299999999999997E-2</v>
      </c>
      <c r="N144" s="43">
        <v>-0.1462</v>
      </c>
      <c r="O144" s="39">
        <v>0.11609999999999999</v>
      </c>
      <c r="P144" s="39">
        <v>0.1734</v>
      </c>
      <c r="Q144" s="39">
        <v>0.20319999999999999</v>
      </c>
      <c r="R144" s="39">
        <v>-9.7500000000000003E-2</v>
      </c>
      <c r="S144" s="39">
        <v>8.8999999999999999E-3</v>
      </c>
      <c r="T144">
        <v>7.79</v>
      </c>
      <c r="U144">
        <v>7.14</v>
      </c>
      <c r="V144">
        <v>20.78</v>
      </c>
      <c r="W144" s="17">
        <v>10982.2976</v>
      </c>
    </row>
    <row r="145" spans="7:25" x14ac:dyDescent="0.25">
      <c r="G145" s="11">
        <v>144</v>
      </c>
      <c r="H145" t="s">
        <v>153</v>
      </c>
      <c r="I145" t="s">
        <v>267</v>
      </c>
      <c r="J145" t="s">
        <v>266</v>
      </c>
      <c r="K145" s="43">
        <v>2.0199999999999999E-2</v>
      </c>
      <c r="L145" s="39">
        <v>-7.7899999999999997E-2</v>
      </c>
      <c r="M145" s="39">
        <v>-0.10489999999999999</v>
      </c>
      <c r="N145" s="43">
        <v>-0.1023</v>
      </c>
      <c r="O145" s="39">
        <v>9.7100000000000006E-2</v>
      </c>
      <c r="P145" s="39">
        <v>5.67E-2</v>
      </c>
      <c r="Q145" s="39">
        <v>0.34189999999999998</v>
      </c>
      <c r="R145" s="39">
        <v>0.20119999999999999</v>
      </c>
      <c r="S145" s="39">
        <v>0.26</v>
      </c>
      <c r="T145">
        <v>7.14</v>
      </c>
      <c r="U145">
        <v>19.48</v>
      </c>
      <c r="V145">
        <v>6.49</v>
      </c>
      <c r="W145" s="17">
        <v>69863.016000000003</v>
      </c>
    </row>
    <row r="146" spans="7:25" x14ac:dyDescent="0.25">
      <c r="G146" s="11">
        <v>145</v>
      </c>
      <c r="H146" s="10" t="s">
        <v>164</v>
      </c>
      <c r="I146" t="s">
        <v>261</v>
      </c>
      <c r="J146" t="s">
        <v>256</v>
      </c>
      <c r="K146" s="43">
        <v>4.6600000000000003E-2</v>
      </c>
      <c r="L146" s="39">
        <v>-7.5499999999999998E-2</v>
      </c>
      <c r="M146" s="39">
        <v>-9.4500000000000001E-2</v>
      </c>
      <c r="N146" s="43">
        <v>-9.8199999999999996E-2</v>
      </c>
      <c r="O146" s="39">
        <v>-6.9999999999999999E-4</v>
      </c>
      <c r="P146" s="39">
        <v>-4.4200000000000003E-2</v>
      </c>
      <c r="Q146" s="39">
        <v>-0.1022</v>
      </c>
      <c r="R146" s="39">
        <v>0.10390000000000001</v>
      </c>
      <c r="S146" s="39">
        <v>0.33679999999999999</v>
      </c>
      <c r="T146">
        <v>6.49</v>
      </c>
      <c r="U146">
        <v>22.73</v>
      </c>
      <c r="V146">
        <v>2.6</v>
      </c>
      <c r="W146" s="17">
        <v>17356.4467</v>
      </c>
      <c r="X146" s="83" t="s">
        <v>621</v>
      </c>
      <c r="Y146" s="81" t="s">
        <v>636</v>
      </c>
    </row>
    <row r="147" spans="7:25" x14ac:dyDescent="0.25">
      <c r="G147" s="11">
        <v>146</v>
      </c>
      <c r="H147" s="10" t="s">
        <v>164</v>
      </c>
      <c r="I147" t="s">
        <v>898</v>
      </c>
      <c r="J147" t="s">
        <v>256</v>
      </c>
      <c r="K147" s="43">
        <v>4.6600000000000003E-2</v>
      </c>
      <c r="L147" s="39">
        <v>-7.5499999999999998E-2</v>
      </c>
      <c r="M147" s="39">
        <v>-9.4500000000000001E-2</v>
      </c>
      <c r="N147" s="43">
        <v>-9.8199999999999996E-2</v>
      </c>
      <c r="O147" s="39">
        <v>-6.9999999999999999E-4</v>
      </c>
      <c r="P147" s="39">
        <v>-4.4200000000000003E-2</v>
      </c>
      <c r="Q147" s="39">
        <v>-0.1022</v>
      </c>
      <c r="R147" s="39">
        <v>0.10390000000000001</v>
      </c>
      <c r="S147" s="39">
        <v>0.33679999999999999</v>
      </c>
      <c r="T147">
        <v>5.84</v>
      </c>
      <c r="U147">
        <v>22.08</v>
      </c>
      <c r="V147">
        <v>1.95</v>
      </c>
      <c r="W147" s="17">
        <v>17356.4467</v>
      </c>
      <c r="X147" s="83" t="s">
        <v>621</v>
      </c>
    </row>
    <row r="148" spans="7:25" x14ac:dyDescent="0.25">
      <c r="G148" s="11">
        <v>147</v>
      </c>
      <c r="H148" t="s">
        <v>158</v>
      </c>
      <c r="I148" t="s">
        <v>242</v>
      </c>
      <c r="J148" t="s">
        <v>175</v>
      </c>
      <c r="K148" s="43">
        <v>1.32E-2</v>
      </c>
      <c r="L148" s="39">
        <v>-8.14E-2</v>
      </c>
      <c r="M148" s="39">
        <v>-0.1174</v>
      </c>
      <c r="N148" s="43">
        <v>-0.12889999999999999</v>
      </c>
      <c r="O148" s="39">
        <v>1.54E-2</v>
      </c>
      <c r="P148" s="39">
        <v>2.8199999999999999E-2</v>
      </c>
      <c r="Q148" s="39">
        <v>0.54179999999999995</v>
      </c>
      <c r="R148" s="39">
        <v>0.30209999999999998</v>
      </c>
      <c r="S148" s="39">
        <v>0.28749999999999998</v>
      </c>
      <c r="T148">
        <v>5.19</v>
      </c>
      <c r="U148">
        <v>11.04</v>
      </c>
      <c r="V148">
        <v>11.69</v>
      </c>
      <c r="W148" s="17">
        <v>602249.64150000003</v>
      </c>
      <c r="X148" s="83" t="s">
        <v>621</v>
      </c>
    </row>
    <row r="149" spans="7:25" x14ac:dyDescent="0.25">
      <c r="G149" s="11">
        <v>148</v>
      </c>
      <c r="H149" t="s">
        <v>144</v>
      </c>
      <c r="I149" t="s">
        <v>258</v>
      </c>
      <c r="J149" t="s">
        <v>256</v>
      </c>
      <c r="K149" s="43">
        <v>9.4000000000000004E-3</v>
      </c>
      <c r="L149" s="39">
        <v>-0.12870000000000001</v>
      </c>
      <c r="M149" s="39">
        <v>-0.13239999999999999</v>
      </c>
      <c r="N149" s="43">
        <v>-0.14099999999999999</v>
      </c>
      <c r="O149" s="39">
        <v>6.7699999999999996E-2</v>
      </c>
      <c r="P149" s="39">
        <v>-5.7599999999999998E-2</v>
      </c>
      <c r="Q149" s="39">
        <v>0.1993</v>
      </c>
      <c r="R149" s="39">
        <v>0.16769999999999999</v>
      </c>
      <c r="S149" s="39">
        <v>0.31169999999999998</v>
      </c>
      <c r="T149">
        <v>4.55</v>
      </c>
      <c r="U149">
        <v>9.09</v>
      </c>
      <c r="V149">
        <v>12.34</v>
      </c>
      <c r="W149" s="17">
        <v>3040.3920359999997</v>
      </c>
    </row>
    <row r="150" spans="7:25" x14ac:dyDescent="0.25">
      <c r="G150" s="11">
        <v>149</v>
      </c>
      <c r="H150" t="s">
        <v>161</v>
      </c>
      <c r="I150" t="s">
        <v>257</v>
      </c>
      <c r="J150" t="s">
        <v>256</v>
      </c>
      <c r="K150" s="43">
        <v>4.7999999999999996E-3</v>
      </c>
      <c r="L150" s="39">
        <v>-0.129</v>
      </c>
      <c r="M150" s="39">
        <v>-0.14779999999999999</v>
      </c>
      <c r="N150" s="43">
        <v>-0.1552</v>
      </c>
      <c r="O150" s="39">
        <v>9.8699999999999996E-2</v>
      </c>
      <c r="P150" s="39">
        <v>-2.9100000000000001E-2</v>
      </c>
      <c r="Q150" s="39">
        <v>0.32300000000000001</v>
      </c>
      <c r="R150" s="39">
        <v>0.29780000000000001</v>
      </c>
      <c r="S150" s="39">
        <v>0.41739999999999999</v>
      </c>
      <c r="T150">
        <v>3.9</v>
      </c>
      <c r="U150">
        <v>1.95</v>
      </c>
      <c r="V150">
        <v>15.58</v>
      </c>
      <c r="W150" s="17">
        <v>217479.69453499999</v>
      </c>
    </row>
    <row r="151" spans="7:25" x14ac:dyDescent="0.25">
      <c r="G151" s="11">
        <v>150</v>
      </c>
      <c r="H151" t="s">
        <v>160</v>
      </c>
      <c r="I151" t="s">
        <v>269</v>
      </c>
      <c r="J151" t="s">
        <v>266</v>
      </c>
      <c r="K151" s="43">
        <v>1.54E-2</v>
      </c>
      <c r="L151" s="39">
        <v>-9.1300000000000006E-2</v>
      </c>
      <c r="M151" s="39">
        <v>-0.11849999999999999</v>
      </c>
      <c r="N151" s="43">
        <v>-0.14599999999999999</v>
      </c>
      <c r="O151" s="39">
        <v>0.1295</v>
      </c>
      <c r="P151" s="39">
        <v>3.8399999999999997E-2</v>
      </c>
      <c r="Q151" s="39">
        <v>0.32129999999999997</v>
      </c>
      <c r="R151" s="39">
        <v>6.8500000000000005E-2</v>
      </c>
      <c r="S151" s="39">
        <v>3.3799999999999997E-2</v>
      </c>
      <c r="T151">
        <v>3.25</v>
      </c>
      <c r="U151">
        <v>7.79</v>
      </c>
      <c r="V151">
        <v>9.09</v>
      </c>
      <c r="W151" s="17">
        <v>586477.0281</v>
      </c>
    </row>
    <row r="152" spans="7:25" x14ac:dyDescent="0.25">
      <c r="G152" s="11">
        <v>151</v>
      </c>
      <c r="H152" t="s">
        <v>906</v>
      </c>
      <c r="I152" t="s">
        <v>907</v>
      </c>
      <c r="J152" t="s">
        <v>175</v>
      </c>
      <c r="K152" s="43">
        <v>5.0000000000000001E-3</v>
      </c>
      <c r="L152" s="39">
        <v>-0.12970000000000001</v>
      </c>
      <c r="M152" s="39">
        <v>-0.1489</v>
      </c>
      <c r="N152" s="43">
        <v>-0.15629999999999999</v>
      </c>
      <c r="O152" s="39">
        <v>9.8400000000000001E-2</v>
      </c>
      <c r="P152" s="39">
        <v>-2.75E-2</v>
      </c>
      <c r="Q152" s="39">
        <v>0.32519999999999999</v>
      </c>
      <c r="R152" s="39">
        <v>0.29010000000000002</v>
      </c>
      <c r="S152" s="39">
        <v>0.3967</v>
      </c>
      <c r="T152">
        <v>2.6</v>
      </c>
      <c r="U152">
        <v>1.3</v>
      </c>
      <c r="V152">
        <v>14.94</v>
      </c>
      <c r="W152" s="17">
        <v>75890.251739999992</v>
      </c>
      <c r="X152" s="83" t="s">
        <v>621</v>
      </c>
    </row>
    <row r="153" spans="7:25" x14ac:dyDescent="0.25">
      <c r="G153" s="11">
        <v>152</v>
      </c>
      <c r="H153" t="s">
        <v>886</v>
      </c>
      <c r="I153" t="s">
        <v>887</v>
      </c>
      <c r="J153" t="s">
        <v>256</v>
      </c>
      <c r="K153" s="43">
        <v>2.4500000000000001E-2</v>
      </c>
      <c r="L153" s="39">
        <v>-9.7799999999999998E-2</v>
      </c>
      <c r="M153" s="39">
        <v>-0.12670000000000001</v>
      </c>
      <c r="N153" s="43">
        <v>-0.1467</v>
      </c>
      <c r="O153" s="39">
        <v>-0.13700000000000001</v>
      </c>
      <c r="P153" s="39">
        <v>-0.19289999999999999</v>
      </c>
      <c r="Q153" s="39">
        <v>-0.13089999999999999</v>
      </c>
      <c r="R153" s="39">
        <v>-1.6400000000000001E-2</v>
      </c>
      <c r="S153" s="39">
        <v>-4.4000000000000003E-3</v>
      </c>
      <c r="T153">
        <v>1.95</v>
      </c>
      <c r="U153">
        <v>5.84</v>
      </c>
      <c r="V153">
        <v>5.19</v>
      </c>
      <c r="W153" s="17">
        <v>11429.2647</v>
      </c>
      <c r="X153" s="83" t="s">
        <v>621</v>
      </c>
    </row>
    <row r="154" spans="7:25" x14ac:dyDescent="0.25">
      <c r="G154" s="11">
        <v>153</v>
      </c>
      <c r="H154" t="s">
        <v>162</v>
      </c>
      <c r="I154" t="s">
        <v>262</v>
      </c>
      <c r="J154" t="s">
        <v>256</v>
      </c>
      <c r="K154" s="43">
        <v>1.47E-2</v>
      </c>
      <c r="L154" s="39">
        <v>-0.12540000000000001</v>
      </c>
      <c r="M154" s="39">
        <v>-0.13200000000000001</v>
      </c>
      <c r="N154" s="43">
        <v>-0.17249999999999999</v>
      </c>
      <c r="O154" s="39">
        <v>1.95E-2</v>
      </c>
      <c r="P154" s="39">
        <v>-0.10009999999999999</v>
      </c>
      <c r="Q154" s="39">
        <v>-0.18360000000000001</v>
      </c>
      <c r="R154" s="39">
        <v>-7.4399999999999994E-2</v>
      </c>
      <c r="S154" s="39">
        <v>0.33589999999999998</v>
      </c>
      <c r="T154">
        <v>1.3</v>
      </c>
      <c r="U154">
        <v>0.65</v>
      </c>
      <c r="V154">
        <v>9.74</v>
      </c>
      <c r="W154" s="17">
        <v>33953.279300000002</v>
      </c>
      <c r="X154" s="83" t="s">
        <v>621</v>
      </c>
    </row>
    <row r="155" spans="7:25" x14ac:dyDescent="0.25">
      <c r="G155" s="11">
        <v>154</v>
      </c>
      <c r="H155" t="s">
        <v>44</v>
      </c>
      <c r="I155" t="s">
        <v>264</v>
      </c>
      <c r="J155" t="s">
        <v>263</v>
      </c>
      <c r="K155" s="43">
        <v>2.81E-2</v>
      </c>
      <c r="L155" s="39">
        <v>-0.2072</v>
      </c>
      <c r="M155" s="39">
        <v>-0.2029</v>
      </c>
      <c r="N155" s="43">
        <v>-0.1474</v>
      </c>
      <c r="O155" s="39">
        <v>-0.22370000000000001</v>
      </c>
      <c r="P155" s="39">
        <v>-0.21779999999999999</v>
      </c>
      <c r="Q155" s="39">
        <v>-0.2979</v>
      </c>
      <c r="R155" s="39">
        <v>-6.0900000000000003E-2</v>
      </c>
      <c r="S155" s="39">
        <v>-9.1000000000000004E-3</v>
      </c>
      <c r="T155">
        <v>0.65</v>
      </c>
      <c r="U155">
        <v>5.19</v>
      </c>
      <c r="V155">
        <v>3.9</v>
      </c>
      <c r="W155" s="17">
        <v>23323.555285599999</v>
      </c>
      <c r="X155" s="83" t="s">
        <v>621</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129396</xdr:colOff>
                    <xdr:row>1</xdr:row>
                    <xdr:rowOff>129396</xdr:rowOff>
                  </from>
                  <to>
                    <xdr:col>27</xdr:col>
                    <xdr:colOff>543464</xdr:colOff>
                    <xdr:row>4</xdr:row>
                    <xdr:rowOff>51758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F1" workbookViewId="0">
      <pane ySplit="1" topLeftCell="A2" activePane="bottomLeft" state="frozen"/>
      <selection pane="bottomLeft" activeCell="J35" sqref="J35"/>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customWidth="1"/>
    <col min="9" max="9" width="19.44140625" bestFit="1" customWidth="1"/>
    <col min="10" max="10" width="12" customWidth="1"/>
    <col min="11" max="11" width="8" style="43" customWidth="1"/>
    <col min="12" max="12" width="8.109375" style="39" customWidth="1"/>
    <col min="13" max="13" width="8.44140625" style="39" customWidth="1"/>
    <col min="14" max="14" width="8" style="43" customWidth="1"/>
    <col min="15" max="16" width="7.88671875" style="39" customWidth="1"/>
    <col min="17" max="17" width="8.6640625" style="39" customWidth="1"/>
    <col min="18" max="19" width="9" style="39" customWidth="1"/>
    <col min="20" max="20" width="8.5546875" customWidth="1"/>
    <col min="21" max="21" width="9" customWidth="1"/>
    <col min="22" max="22" width="7.21875" customWidth="1"/>
    <col min="23" max="23" width="12.44140625" style="17" customWidth="1"/>
    <col min="24" max="24" width="8.6640625" style="83" customWidth="1"/>
    <col min="25" max="25" width="9" style="81"/>
  </cols>
  <sheetData>
    <row r="1" spans="1:28" s="18" customFormat="1" ht="50.3" customHeight="1" x14ac:dyDescent="0.25">
      <c r="A1" s="23" t="s">
        <v>43</v>
      </c>
      <c r="B1" s="19" t="s">
        <v>33</v>
      </c>
      <c r="C1" s="19" t="s">
        <v>32</v>
      </c>
      <c r="D1" s="19" t="s">
        <v>313</v>
      </c>
      <c r="E1" s="22"/>
      <c r="F1" s="23" t="s">
        <v>312</v>
      </c>
      <c r="G1" s="20"/>
      <c r="H1" s="19" t="s">
        <v>33</v>
      </c>
      <c r="I1" s="19" t="s">
        <v>32</v>
      </c>
      <c r="J1" s="19" t="s">
        <v>31</v>
      </c>
      <c r="K1" s="42" t="s">
        <v>29</v>
      </c>
      <c r="L1" s="41" t="s">
        <v>372</v>
      </c>
      <c r="M1" s="41" t="s">
        <v>373</v>
      </c>
      <c r="N1" s="42" t="s">
        <v>30</v>
      </c>
      <c r="O1" s="41" t="s">
        <v>389</v>
      </c>
      <c r="P1" s="41" t="s">
        <v>390</v>
      </c>
      <c r="Q1" s="41" t="s">
        <v>391</v>
      </c>
      <c r="R1" s="41" t="s">
        <v>392</v>
      </c>
      <c r="S1" s="41" t="s">
        <v>407</v>
      </c>
      <c r="T1" s="19" t="s">
        <v>28</v>
      </c>
      <c r="U1" s="19" t="s">
        <v>308</v>
      </c>
      <c r="V1" s="19" t="s">
        <v>309</v>
      </c>
      <c r="W1" s="21" t="s">
        <v>310</v>
      </c>
      <c r="X1" s="82" t="s">
        <v>620</v>
      </c>
      <c r="Y1" s="80" t="s">
        <v>635</v>
      </c>
      <c r="AA1" s="36" t="s">
        <v>367</v>
      </c>
    </row>
    <row r="2" spans="1:28" x14ac:dyDescent="0.25">
      <c r="A2">
        <v>1</v>
      </c>
      <c r="B2">
        <v>159980</v>
      </c>
      <c r="C2" t="s">
        <v>172</v>
      </c>
      <c r="D2">
        <f t="shared" ref="D2:D8" si="0">MATCH(IF(B2&lt;499999,"SZ"&amp;B2,"SH"&amp;B2),$H$2:$H$2848,0)</f>
        <v>21</v>
      </c>
      <c r="G2" s="11">
        <v>1</v>
      </c>
      <c r="H2" t="s">
        <v>908</v>
      </c>
      <c r="I2" t="s">
        <v>909</v>
      </c>
      <c r="J2" t="s">
        <v>634</v>
      </c>
      <c r="K2" s="43">
        <v>-2.9999999999999997E-4</v>
      </c>
      <c r="L2" s="39">
        <v>6.1999999999999998E-3</v>
      </c>
      <c r="M2" s="39">
        <v>2.9399999999999999E-2</v>
      </c>
      <c r="N2" s="43">
        <v>3.7400000000000003E-2</v>
      </c>
      <c r="O2" s="39">
        <v>-2.0000000000000001E-4</v>
      </c>
      <c r="P2" s="39">
        <v>8.1799999999999998E-2</v>
      </c>
      <c r="Q2" s="39">
        <v>0.13919999999999999</v>
      </c>
      <c r="R2" s="39">
        <v>0.29709999999999998</v>
      </c>
      <c r="S2" s="39">
        <v>0.29709999999999998</v>
      </c>
      <c r="T2">
        <v>100</v>
      </c>
      <c r="U2">
        <v>97.56</v>
      </c>
      <c r="V2">
        <v>82.93</v>
      </c>
      <c r="W2" s="17">
        <v>1048760.078</v>
      </c>
      <c r="X2" s="83" t="s">
        <v>621</v>
      </c>
      <c r="AA2" s="9"/>
      <c r="AB2" s="9"/>
    </row>
    <row r="3" spans="1:28" x14ac:dyDescent="0.25">
      <c r="A3">
        <v>2</v>
      </c>
      <c r="B3">
        <v>159981</v>
      </c>
      <c r="C3" t="s">
        <v>173</v>
      </c>
      <c r="D3">
        <f t="shared" si="0"/>
        <v>24</v>
      </c>
      <c r="G3" s="11">
        <v>2</v>
      </c>
      <c r="H3" t="s">
        <v>335</v>
      </c>
      <c r="I3" t="s">
        <v>336</v>
      </c>
      <c r="J3" t="s">
        <v>315</v>
      </c>
      <c r="K3" s="43">
        <v>-1.4E-3</v>
      </c>
      <c r="L3" s="39">
        <v>1.2999999999999999E-3</v>
      </c>
      <c r="M3" s="39">
        <v>4.1000000000000003E-3</v>
      </c>
      <c r="N3" s="43">
        <v>7.1000000000000004E-3</v>
      </c>
      <c r="O3" s="39">
        <v>-8.9999999999999998E-4</v>
      </c>
      <c r="P3" s="39">
        <v>1.9E-2</v>
      </c>
      <c r="Q3" s="39">
        <v>3.5999999999999997E-2</v>
      </c>
      <c r="R3" s="39">
        <v>8.6400000000000005E-2</v>
      </c>
      <c r="S3" s="39">
        <v>0.11849999999999999</v>
      </c>
      <c r="T3">
        <v>97.56</v>
      </c>
      <c r="U3">
        <v>80.489999999999995</v>
      </c>
      <c r="V3">
        <v>97.56</v>
      </c>
      <c r="W3" s="17">
        <v>4402.6246836999999</v>
      </c>
      <c r="X3" s="83" t="s">
        <v>621</v>
      </c>
      <c r="Y3" s="81" t="s">
        <v>636</v>
      </c>
      <c r="AA3" s="9"/>
      <c r="AB3" s="9"/>
    </row>
    <row r="4" spans="1:28" x14ac:dyDescent="0.25">
      <c r="A4">
        <v>3</v>
      </c>
      <c r="B4">
        <v>160216</v>
      </c>
      <c r="C4" t="s">
        <v>22</v>
      </c>
      <c r="D4" t="e">
        <f t="shared" si="0"/>
        <v>#N/A</v>
      </c>
      <c r="G4" s="11">
        <v>3</v>
      </c>
      <c r="H4" t="s">
        <v>50</v>
      </c>
      <c r="I4" t="s">
        <v>317</v>
      </c>
      <c r="J4" t="s">
        <v>315</v>
      </c>
      <c r="K4" s="43">
        <v>-5.0000000000000001E-4</v>
      </c>
      <c r="L4" s="39">
        <v>1.6000000000000001E-3</v>
      </c>
      <c r="M4" s="39">
        <v>8.8999999999999999E-3</v>
      </c>
      <c r="N4" s="43">
        <v>9.4999999999999998E-3</v>
      </c>
      <c r="O4" s="39">
        <v>-6.1000000000000004E-3</v>
      </c>
      <c r="P4" s="39">
        <v>2.9499999999999998E-2</v>
      </c>
      <c r="Q4" s="39">
        <v>6.0100000000000001E-2</v>
      </c>
      <c r="R4" s="39">
        <v>0.1172</v>
      </c>
      <c r="S4" s="39">
        <v>0.15790000000000001</v>
      </c>
      <c r="T4">
        <v>95.12</v>
      </c>
      <c r="U4">
        <v>82.93</v>
      </c>
      <c r="V4">
        <v>90.24</v>
      </c>
      <c r="W4" s="17">
        <v>70013.883499999996</v>
      </c>
      <c r="X4" s="83" t="s">
        <v>621</v>
      </c>
      <c r="AA4" s="9"/>
      <c r="AB4" s="9"/>
    </row>
    <row r="5" spans="1:28" x14ac:dyDescent="0.25">
      <c r="A5">
        <v>4</v>
      </c>
      <c r="B5">
        <v>161815</v>
      </c>
      <c r="C5" t="s">
        <v>17</v>
      </c>
      <c r="D5" t="e">
        <f t="shared" si="0"/>
        <v>#N/A</v>
      </c>
      <c r="G5" s="11">
        <v>4</v>
      </c>
      <c r="H5" t="s">
        <v>54</v>
      </c>
      <c r="I5" t="s">
        <v>320</v>
      </c>
      <c r="J5" t="s">
        <v>315</v>
      </c>
      <c r="K5" s="43">
        <v>-2.0000000000000001E-4</v>
      </c>
      <c r="L5" s="39">
        <v>3.7000000000000002E-3</v>
      </c>
      <c r="M5" s="39">
        <v>1.11E-2</v>
      </c>
      <c r="N5" s="43">
        <v>1.49E-2</v>
      </c>
      <c r="O5" s="39">
        <v>-2.8999999999999998E-3</v>
      </c>
      <c r="P5" s="39">
        <v>3.9699999999999999E-2</v>
      </c>
      <c r="Q5" s="39">
        <v>7.17E-2</v>
      </c>
      <c r="R5" s="39">
        <v>0.13420000000000001</v>
      </c>
      <c r="S5" s="39">
        <v>0.16320000000000001</v>
      </c>
      <c r="T5">
        <v>92.68</v>
      </c>
      <c r="U5">
        <v>90.24</v>
      </c>
      <c r="V5">
        <v>80.489999999999995</v>
      </c>
      <c r="W5" s="17">
        <v>37663.703300000001</v>
      </c>
      <c r="X5" s="83" t="s">
        <v>621</v>
      </c>
      <c r="AA5" s="9"/>
      <c r="AB5" s="9"/>
    </row>
    <row r="6" spans="1:28" x14ac:dyDescent="0.25">
      <c r="A6">
        <v>5</v>
      </c>
      <c r="B6">
        <v>163208</v>
      </c>
      <c r="C6" t="s">
        <v>18</v>
      </c>
      <c r="D6" t="e">
        <f t="shared" si="0"/>
        <v>#N/A</v>
      </c>
      <c r="G6" s="11">
        <v>5</v>
      </c>
      <c r="H6" t="s">
        <v>47</v>
      </c>
      <c r="I6" t="s">
        <v>319</v>
      </c>
      <c r="J6" t="s">
        <v>315</v>
      </c>
      <c r="K6" s="43">
        <v>-5.9999999999999995E-4</v>
      </c>
      <c r="L6" s="39">
        <v>2.5000000000000001E-3</v>
      </c>
      <c r="M6" s="39">
        <v>6.6E-3</v>
      </c>
      <c r="N6" s="43">
        <v>5.8999999999999999E-3</v>
      </c>
      <c r="O6" s="39">
        <v>-2.8E-3</v>
      </c>
      <c r="P6" s="39">
        <v>1.9300000000000001E-2</v>
      </c>
      <c r="Q6" s="39">
        <v>4.5600000000000002E-2</v>
      </c>
      <c r="R6" s="39">
        <v>9.5299999999999996E-2</v>
      </c>
      <c r="S6" s="39">
        <v>0.12570000000000001</v>
      </c>
      <c r="T6">
        <v>90.24</v>
      </c>
      <c r="U6">
        <v>73.17</v>
      </c>
      <c r="V6">
        <v>92.68</v>
      </c>
      <c r="W6" s="17">
        <v>134687.35630000001</v>
      </c>
      <c r="X6" s="83" t="s">
        <v>621</v>
      </c>
      <c r="AA6" t="s">
        <v>1105</v>
      </c>
    </row>
    <row r="7" spans="1:28" x14ac:dyDescent="0.25">
      <c r="A7">
        <v>6</v>
      </c>
      <c r="B7">
        <v>165513</v>
      </c>
      <c r="C7" t="s">
        <v>20</v>
      </c>
      <c r="D7" t="e">
        <f t="shared" si="0"/>
        <v>#N/A</v>
      </c>
      <c r="G7" s="11">
        <v>6</v>
      </c>
      <c r="H7" t="s">
        <v>60</v>
      </c>
      <c r="I7" t="s">
        <v>326</v>
      </c>
      <c r="J7" t="s">
        <v>325</v>
      </c>
      <c r="K7" s="43">
        <v>8.9999999999999998E-4</v>
      </c>
      <c r="L7" s="39">
        <v>2.47E-2</v>
      </c>
      <c r="M7" s="39">
        <v>6.7199999999999996E-2</v>
      </c>
      <c r="N7" s="43">
        <v>0.1066</v>
      </c>
      <c r="O7" s="39">
        <v>0.20269999999999999</v>
      </c>
      <c r="P7" s="39">
        <v>0.25069999999999998</v>
      </c>
      <c r="Q7" s="39">
        <v>0.42549999999999999</v>
      </c>
      <c r="R7" s="39">
        <v>0.69610000000000005</v>
      </c>
      <c r="S7" s="39">
        <v>0.84609999999999996</v>
      </c>
      <c r="T7">
        <v>87.8</v>
      </c>
      <c r="U7">
        <v>100</v>
      </c>
      <c r="V7">
        <v>65.849999999999994</v>
      </c>
      <c r="W7" s="17">
        <v>707307.76599999995</v>
      </c>
      <c r="X7" s="83" t="s">
        <v>621</v>
      </c>
      <c r="Y7" s="81" t="s">
        <v>636</v>
      </c>
    </row>
    <row r="8" spans="1:28" x14ac:dyDescent="0.25">
      <c r="A8">
        <v>7</v>
      </c>
      <c r="B8">
        <v>513130</v>
      </c>
      <c r="C8" t="s">
        <v>174</v>
      </c>
      <c r="D8" t="e">
        <f t="shared" si="0"/>
        <v>#N/A</v>
      </c>
      <c r="G8" s="11">
        <v>7</v>
      </c>
      <c r="H8" t="s">
        <v>59</v>
      </c>
      <c r="I8" t="s">
        <v>324</v>
      </c>
      <c r="J8" t="s">
        <v>315</v>
      </c>
      <c r="K8" s="43">
        <v>1E-4</v>
      </c>
      <c r="L8" s="39">
        <v>3.5000000000000001E-3</v>
      </c>
      <c r="M8" s="39">
        <v>7.7999999999999996E-3</v>
      </c>
      <c r="N8" s="43">
        <v>9.9000000000000008E-3</v>
      </c>
      <c r="O8" s="39">
        <v>-1.4E-3</v>
      </c>
      <c r="P8" s="39">
        <v>0.02</v>
      </c>
      <c r="Q8" s="39">
        <v>4.6199999999999998E-2</v>
      </c>
      <c r="R8" s="39">
        <v>9.0200000000000002E-2</v>
      </c>
      <c r="S8" s="39">
        <v>0.10970000000000001</v>
      </c>
      <c r="T8">
        <v>85.37</v>
      </c>
      <c r="U8">
        <v>85.37</v>
      </c>
      <c r="V8">
        <v>78.05</v>
      </c>
      <c r="W8" s="17">
        <v>122024.52129999999</v>
      </c>
    </row>
    <row r="9" spans="1:28" x14ac:dyDescent="0.25">
      <c r="G9" s="11">
        <v>8</v>
      </c>
      <c r="H9" t="s">
        <v>59</v>
      </c>
      <c r="I9" t="s">
        <v>228</v>
      </c>
      <c r="J9" t="s">
        <v>634</v>
      </c>
      <c r="K9" s="43">
        <v>1E-4</v>
      </c>
      <c r="L9" s="39">
        <v>3.5000000000000001E-3</v>
      </c>
      <c r="M9" s="39">
        <v>7.7999999999999996E-3</v>
      </c>
      <c r="N9" s="43">
        <v>9.9000000000000008E-3</v>
      </c>
      <c r="O9" s="39">
        <v>-1.4E-3</v>
      </c>
      <c r="P9" s="39">
        <v>0.02</v>
      </c>
      <c r="Q9" s="39">
        <v>4.6199999999999998E-2</v>
      </c>
      <c r="R9" s="39">
        <v>9.0200000000000002E-2</v>
      </c>
      <c r="S9" s="39">
        <v>0.10970000000000001</v>
      </c>
      <c r="T9">
        <v>82.93</v>
      </c>
      <c r="U9">
        <v>87.8</v>
      </c>
      <c r="V9">
        <v>75.61</v>
      </c>
      <c r="W9" s="17">
        <v>122024.52129999999</v>
      </c>
      <c r="X9" s="83" t="s">
        <v>621</v>
      </c>
    </row>
    <row r="10" spans="1:28" x14ac:dyDescent="0.25">
      <c r="G10" s="11">
        <v>9</v>
      </c>
      <c r="H10" t="s">
        <v>108</v>
      </c>
      <c r="I10" t="s">
        <v>875</v>
      </c>
      <c r="J10" t="s">
        <v>15</v>
      </c>
      <c r="K10" s="43">
        <v>-7.7999999999999996E-3</v>
      </c>
      <c r="L10" s="39">
        <v>-8.5599999999999996E-2</v>
      </c>
      <c r="M10" s="39">
        <v>-6.4399999999999999E-2</v>
      </c>
      <c r="N10" s="43">
        <v>-5.7999999999999996E-3</v>
      </c>
      <c r="O10" s="39">
        <v>0.2341</v>
      </c>
      <c r="P10" s="39">
        <v>9.5699999999999993E-2</v>
      </c>
      <c r="Q10" s="39">
        <v>0.24129999999999999</v>
      </c>
      <c r="R10" s="39">
        <v>-0.20519999999999999</v>
      </c>
      <c r="S10" s="39">
        <v>-9.6699999999999994E-2</v>
      </c>
      <c r="T10">
        <v>80.489999999999995</v>
      </c>
      <c r="U10">
        <v>58.54</v>
      </c>
      <c r="V10">
        <v>100</v>
      </c>
      <c r="W10" s="17">
        <v>255241.42559999999</v>
      </c>
    </row>
    <row r="11" spans="1:28" x14ac:dyDescent="0.25">
      <c r="G11" s="11">
        <v>10</v>
      </c>
      <c r="H11" t="s">
        <v>53</v>
      </c>
      <c r="I11" t="s">
        <v>318</v>
      </c>
      <c r="J11" t="s">
        <v>315</v>
      </c>
      <c r="K11" s="43">
        <v>-5.0000000000000001E-4</v>
      </c>
      <c r="L11" s="39">
        <v>3.0000000000000001E-3</v>
      </c>
      <c r="M11" s="39">
        <v>6.7999999999999996E-3</v>
      </c>
      <c r="N11" s="43">
        <v>5.7999999999999996E-3</v>
      </c>
      <c r="O11" s="39">
        <v>-2.8E-3</v>
      </c>
      <c r="P11" s="39">
        <v>1.7399999999999999E-2</v>
      </c>
      <c r="Q11" s="39">
        <v>4.2500000000000003E-2</v>
      </c>
      <c r="R11" s="39">
        <v>8.5500000000000007E-2</v>
      </c>
      <c r="S11" s="39">
        <v>0.11360000000000001</v>
      </c>
      <c r="T11">
        <v>78.05</v>
      </c>
      <c r="U11">
        <v>70.73</v>
      </c>
      <c r="V11">
        <v>87.8</v>
      </c>
      <c r="W11" s="17">
        <v>21076.4856</v>
      </c>
    </row>
    <row r="12" spans="1:28" x14ac:dyDescent="0.25">
      <c r="G12" s="11">
        <v>11</v>
      </c>
      <c r="H12" t="s">
        <v>64</v>
      </c>
      <c r="I12" t="s">
        <v>24</v>
      </c>
      <c r="J12" t="s">
        <v>316</v>
      </c>
      <c r="K12" s="43">
        <v>1.1999999999999999E-3</v>
      </c>
      <c r="L12" s="39">
        <v>2.3099999999999999E-2</v>
      </c>
      <c r="M12" s="39">
        <v>4.0099999999999997E-2</v>
      </c>
      <c r="N12" s="43">
        <v>2.6800000000000001E-2</v>
      </c>
      <c r="O12" s="39">
        <v>0.1066</v>
      </c>
      <c r="P12" s="39">
        <v>4.6899999999999997E-2</v>
      </c>
      <c r="Q12" s="39">
        <v>-6.7500000000000004E-2</v>
      </c>
      <c r="R12" s="39">
        <v>7.4899999999999994E-2</v>
      </c>
      <c r="S12" s="39">
        <v>0.23830000000000001</v>
      </c>
      <c r="T12">
        <v>75.61</v>
      </c>
      <c r="U12">
        <v>92.68</v>
      </c>
      <c r="V12">
        <v>63.41</v>
      </c>
      <c r="W12" s="17">
        <v>49989.314039999997</v>
      </c>
      <c r="X12" s="83" t="s">
        <v>621</v>
      </c>
    </row>
    <row r="13" spans="1:28" x14ac:dyDescent="0.25">
      <c r="G13" s="11">
        <v>12</v>
      </c>
      <c r="H13" t="s">
        <v>165</v>
      </c>
      <c r="I13" t="s">
        <v>344</v>
      </c>
      <c r="J13" t="s">
        <v>15</v>
      </c>
      <c r="K13" s="43">
        <v>3.8999999999999998E-3</v>
      </c>
      <c r="L13" s="39">
        <v>-2.0500000000000001E-2</v>
      </c>
      <c r="M13" s="39">
        <v>-1.78E-2</v>
      </c>
      <c r="N13" s="43">
        <v>3.56E-2</v>
      </c>
      <c r="O13" s="39">
        <v>-0.05</v>
      </c>
      <c r="P13" s="39">
        <v>-0.1101</v>
      </c>
      <c r="Q13" s="39">
        <v>-2.9600000000000001E-2</v>
      </c>
      <c r="R13" s="39">
        <v>0.2772</v>
      </c>
      <c r="S13" s="39">
        <v>0.27589999999999998</v>
      </c>
      <c r="T13">
        <v>73.17</v>
      </c>
      <c r="U13">
        <v>95.12</v>
      </c>
      <c r="V13">
        <v>58.54</v>
      </c>
      <c r="W13" s="17">
        <v>17455.7415683</v>
      </c>
      <c r="X13" s="83" t="s">
        <v>621</v>
      </c>
      <c r="Y13" s="81" t="s">
        <v>636</v>
      </c>
    </row>
    <row r="14" spans="1:28" x14ac:dyDescent="0.25">
      <c r="G14" s="11">
        <v>13</v>
      </c>
      <c r="H14" t="s">
        <v>100</v>
      </c>
      <c r="I14" t="s">
        <v>16</v>
      </c>
      <c r="J14" t="s">
        <v>315</v>
      </c>
      <c r="K14" s="43">
        <v>-1.1000000000000001E-3</v>
      </c>
      <c r="L14" s="39">
        <v>-1.6799999999999999E-2</v>
      </c>
      <c r="M14" s="39">
        <v>-2.3599999999999999E-2</v>
      </c>
      <c r="N14" s="43">
        <v>-2.7900000000000001E-2</v>
      </c>
      <c r="O14" s="39">
        <v>2.18E-2</v>
      </c>
      <c r="P14" s="39">
        <v>8.3799999999999999E-2</v>
      </c>
      <c r="Q14" s="39">
        <v>8.2400000000000001E-2</v>
      </c>
      <c r="R14" s="39">
        <v>4.5100000000000001E-2</v>
      </c>
      <c r="S14" s="39">
        <v>4.5999999999999999E-2</v>
      </c>
      <c r="T14">
        <v>70.73</v>
      </c>
      <c r="U14">
        <v>56.1</v>
      </c>
      <c r="V14">
        <v>95.12</v>
      </c>
      <c r="W14" s="17">
        <v>712978.41680000001</v>
      </c>
      <c r="X14" s="83" t="s">
        <v>621</v>
      </c>
    </row>
    <row r="15" spans="1:28" x14ac:dyDescent="0.25">
      <c r="G15" s="11">
        <v>14</v>
      </c>
      <c r="H15" t="s">
        <v>48</v>
      </c>
      <c r="I15" t="s">
        <v>321</v>
      </c>
      <c r="J15" t="s">
        <v>315</v>
      </c>
      <c r="K15" s="43">
        <v>-5.0000000000000001E-4</v>
      </c>
      <c r="L15" s="39">
        <v>1.1999999999999999E-3</v>
      </c>
      <c r="M15" s="39">
        <v>3.0999999999999999E-3</v>
      </c>
      <c r="N15" s="43">
        <v>3.3E-3</v>
      </c>
      <c r="O15" s="39">
        <v>-1.9E-3</v>
      </c>
      <c r="P15" s="39">
        <v>1.1900000000000001E-2</v>
      </c>
      <c r="Q15" s="39">
        <v>3.1E-2</v>
      </c>
      <c r="R15" s="39">
        <v>6.9699999999999998E-2</v>
      </c>
      <c r="S15" s="39">
        <v>9.3299999999999994E-2</v>
      </c>
      <c r="T15">
        <v>68.290000000000006</v>
      </c>
      <c r="U15">
        <v>63.41</v>
      </c>
      <c r="V15">
        <v>85.37</v>
      </c>
      <c r="W15" s="17">
        <v>134182.09430999999</v>
      </c>
      <c r="X15" s="83" t="s">
        <v>621</v>
      </c>
    </row>
    <row r="16" spans="1:28" x14ac:dyDescent="0.25">
      <c r="G16" s="11">
        <v>15</v>
      </c>
      <c r="H16" t="s">
        <v>87</v>
      </c>
      <c r="I16" t="s">
        <v>330</v>
      </c>
      <c r="J16" t="s">
        <v>315</v>
      </c>
      <c r="K16" s="43">
        <v>6.9999999999999999E-4</v>
      </c>
      <c r="L16" s="39">
        <v>1.1000000000000001E-3</v>
      </c>
      <c r="M16" s="39">
        <v>2.7000000000000001E-3</v>
      </c>
      <c r="N16" s="43">
        <v>6.0000000000000001E-3</v>
      </c>
      <c r="O16" s="39">
        <v>1.1000000000000001E-3</v>
      </c>
      <c r="P16" s="39">
        <v>1.2200000000000001E-2</v>
      </c>
      <c r="Q16" s="39">
        <v>2.4400000000000002E-2</v>
      </c>
      <c r="R16" s="39">
        <v>5.9299999999999999E-2</v>
      </c>
      <c r="S16" s="39">
        <v>8.3599999999999994E-2</v>
      </c>
      <c r="T16">
        <v>65.849999999999994</v>
      </c>
      <c r="U16">
        <v>75.61</v>
      </c>
      <c r="V16">
        <v>68.290000000000006</v>
      </c>
      <c r="W16" s="17">
        <v>44756.027000000002</v>
      </c>
      <c r="X16" s="83" t="s">
        <v>621</v>
      </c>
    </row>
    <row r="17" spans="7:25" x14ac:dyDescent="0.25">
      <c r="G17" s="11">
        <v>16</v>
      </c>
      <c r="H17" t="s">
        <v>80</v>
      </c>
      <c r="I17" t="s">
        <v>334</v>
      </c>
      <c r="J17" t="s">
        <v>315</v>
      </c>
      <c r="K17" s="43">
        <v>5.9999999999999995E-4</v>
      </c>
      <c r="L17" s="39">
        <v>1.1000000000000001E-3</v>
      </c>
      <c r="M17" s="39">
        <v>2.5999999999999999E-3</v>
      </c>
      <c r="N17" s="43">
        <v>5.1999999999999998E-3</v>
      </c>
      <c r="O17" s="39">
        <v>1.4E-3</v>
      </c>
      <c r="P17" s="39">
        <v>1.0699999999999999E-2</v>
      </c>
      <c r="Q17" s="39">
        <v>2.4400000000000002E-2</v>
      </c>
      <c r="R17" s="39">
        <v>5.4399999999999997E-2</v>
      </c>
      <c r="S17" s="39">
        <v>7.0599999999999996E-2</v>
      </c>
      <c r="T17">
        <v>63.41</v>
      </c>
      <c r="U17">
        <v>65.849999999999994</v>
      </c>
      <c r="V17">
        <v>70.73</v>
      </c>
      <c r="W17" s="17">
        <v>226947.2751</v>
      </c>
      <c r="X17" s="83" t="s">
        <v>621</v>
      </c>
    </row>
    <row r="18" spans="7:25" x14ac:dyDescent="0.25">
      <c r="G18" s="11">
        <v>17</v>
      </c>
      <c r="H18" t="s">
        <v>69</v>
      </c>
      <c r="I18" t="s">
        <v>287</v>
      </c>
      <c r="J18" t="s">
        <v>315</v>
      </c>
      <c r="K18" s="43">
        <v>1E-4</v>
      </c>
      <c r="L18" s="39">
        <v>5.9999999999999995E-4</v>
      </c>
      <c r="M18" s="39">
        <v>1.1999999999999999E-3</v>
      </c>
      <c r="N18" s="43">
        <v>2.2000000000000001E-3</v>
      </c>
      <c r="O18" s="39">
        <v>3.7000000000000002E-3</v>
      </c>
      <c r="P18" s="39">
        <v>9.1000000000000004E-3</v>
      </c>
      <c r="Q18" s="39">
        <v>2.01E-2</v>
      </c>
      <c r="R18" s="39">
        <v>4.5499999999999999E-2</v>
      </c>
      <c r="S18" s="39">
        <v>6.88E-2</v>
      </c>
      <c r="T18">
        <v>60.98</v>
      </c>
      <c r="U18">
        <v>60.98</v>
      </c>
      <c r="V18">
        <v>73.17</v>
      </c>
      <c r="W18" s="17">
        <v>749546.54059999995</v>
      </c>
      <c r="X18" s="83" t="s">
        <v>621</v>
      </c>
    </row>
    <row r="19" spans="7:25" x14ac:dyDescent="0.25">
      <c r="G19" s="11">
        <v>18</v>
      </c>
      <c r="H19" t="s">
        <v>387</v>
      </c>
      <c r="I19" t="s">
        <v>388</v>
      </c>
      <c r="J19" t="s">
        <v>15</v>
      </c>
      <c r="K19" s="43">
        <v>6.0000000000000001E-3</v>
      </c>
      <c r="L19" s="39">
        <v>-9.11E-2</v>
      </c>
      <c r="M19" s="39">
        <v>-6.4000000000000001E-2</v>
      </c>
      <c r="N19" s="43">
        <v>5.7000000000000002E-3</v>
      </c>
      <c r="O19" s="39">
        <v>0.25979999999999998</v>
      </c>
      <c r="P19" s="39">
        <v>0.1206</v>
      </c>
      <c r="Q19" s="39">
        <v>0.31330000000000002</v>
      </c>
      <c r="R19" s="39">
        <v>-0.1482</v>
      </c>
      <c r="S19" s="39">
        <v>-0.18390000000000001</v>
      </c>
      <c r="T19">
        <v>58.54</v>
      </c>
      <c r="U19">
        <v>68.290000000000006</v>
      </c>
      <c r="V19">
        <v>51.22</v>
      </c>
      <c r="W19" s="17">
        <v>38902.740279999998</v>
      </c>
      <c r="X19" s="83" t="s">
        <v>621</v>
      </c>
    </row>
    <row r="20" spans="7:25" x14ac:dyDescent="0.25">
      <c r="G20" s="11">
        <v>19</v>
      </c>
      <c r="H20" t="s">
        <v>341</v>
      </c>
      <c r="I20" t="s">
        <v>342</v>
      </c>
      <c r="J20" t="s">
        <v>316</v>
      </c>
      <c r="K20" s="43">
        <v>5.3E-3</v>
      </c>
      <c r="L20" s="39">
        <v>-5.8200000000000002E-2</v>
      </c>
      <c r="M20" s="39">
        <v>-5.6500000000000002E-2</v>
      </c>
      <c r="N20" s="43">
        <v>-3.3599999999999998E-2</v>
      </c>
      <c r="O20" s="39">
        <v>1.49E-2</v>
      </c>
      <c r="P20" s="39">
        <v>6.9999999999999999E-4</v>
      </c>
      <c r="Q20" s="39">
        <v>0.13519999999999999</v>
      </c>
      <c r="R20" s="39">
        <v>0.34079999999999999</v>
      </c>
      <c r="S20" s="39">
        <v>0.21840000000000001</v>
      </c>
      <c r="T20">
        <v>56.1</v>
      </c>
      <c r="U20">
        <v>53.66</v>
      </c>
      <c r="V20">
        <v>53.66</v>
      </c>
      <c r="W20" s="17">
        <v>9698.8634280999995</v>
      </c>
    </row>
    <row r="21" spans="7:25" x14ac:dyDescent="0.25">
      <c r="G21" s="11">
        <v>20</v>
      </c>
      <c r="H21" t="s">
        <v>385</v>
      </c>
      <c r="I21" t="s">
        <v>386</v>
      </c>
      <c r="J21" t="s">
        <v>15</v>
      </c>
      <c r="K21" s="43">
        <v>1.9300000000000001E-2</v>
      </c>
      <c r="L21" s="39">
        <v>-0.1056</v>
      </c>
      <c r="M21" s="39">
        <v>-7.1599999999999997E-2</v>
      </c>
      <c r="N21" s="43">
        <v>6.4999999999999997E-3</v>
      </c>
      <c r="O21" s="39">
        <v>0.24310000000000001</v>
      </c>
      <c r="P21" s="39">
        <v>9.7500000000000003E-2</v>
      </c>
      <c r="Q21" s="39">
        <v>0.3306</v>
      </c>
      <c r="R21" s="39">
        <v>-8.8099999999999998E-2</v>
      </c>
      <c r="S21" s="39">
        <v>-0.1593</v>
      </c>
      <c r="T21">
        <v>53.66</v>
      </c>
      <c r="U21">
        <v>78.05</v>
      </c>
      <c r="V21">
        <v>26.83</v>
      </c>
      <c r="W21" s="17">
        <v>396933.51169999997</v>
      </c>
      <c r="X21" s="83" t="s">
        <v>621</v>
      </c>
    </row>
    <row r="22" spans="7:25" x14ac:dyDescent="0.25">
      <c r="G22" s="11">
        <v>21</v>
      </c>
      <c r="H22" t="s">
        <v>46</v>
      </c>
      <c r="I22" t="s">
        <v>23</v>
      </c>
      <c r="J22" t="s">
        <v>316</v>
      </c>
      <c r="K22" s="43">
        <v>1.2999999999999999E-3</v>
      </c>
      <c r="L22" s="39">
        <v>-5.5199999999999999E-2</v>
      </c>
      <c r="M22" s="39">
        <v>-7.5999999999999998E-2</v>
      </c>
      <c r="N22" s="43">
        <v>-6.3E-2</v>
      </c>
      <c r="O22" s="39">
        <v>-1.0200000000000001E-2</v>
      </c>
      <c r="P22" s="39">
        <v>-4.8099999999999997E-2</v>
      </c>
      <c r="Q22" s="39">
        <v>1.9900000000000001E-2</v>
      </c>
      <c r="R22" s="39">
        <v>7.7799999999999994E-2</v>
      </c>
      <c r="S22" s="39">
        <v>-2.8899999999999999E-2</v>
      </c>
      <c r="T22">
        <v>51.22</v>
      </c>
      <c r="U22">
        <v>39.020000000000003</v>
      </c>
      <c r="V22">
        <v>60.98</v>
      </c>
      <c r="W22" s="17">
        <v>19825.9036829</v>
      </c>
      <c r="X22" s="83" t="s">
        <v>621</v>
      </c>
    </row>
    <row r="23" spans="7:25" x14ac:dyDescent="0.25">
      <c r="G23" s="11">
        <v>22</v>
      </c>
      <c r="H23" t="s">
        <v>922</v>
      </c>
      <c r="I23" t="s">
        <v>923</v>
      </c>
      <c r="J23" t="s">
        <v>15</v>
      </c>
      <c r="K23" s="43">
        <v>1.3299999999999999E-2</v>
      </c>
      <c r="L23" s="39">
        <v>-4.9500000000000002E-2</v>
      </c>
      <c r="M23" s="39">
        <v>-5.8900000000000001E-2</v>
      </c>
      <c r="N23" s="43">
        <v>-4.7699999999999999E-2</v>
      </c>
      <c r="O23" s="39">
        <v>5.0500000000000003E-2</v>
      </c>
      <c r="P23" s="39">
        <v>4.6199999999999998E-2</v>
      </c>
      <c r="Q23" s="39">
        <v>0.23749999999999999</v>
      </c>
      <c r="R23" s="39">
        <v>0.23749999999999999</v>
      </c>
      <c r="S23" s="39">
        <v>0.23749999999999999</v>
      </c>
      <c r="T23">
        <v>48.78</v>
      </c>
      <c r="U23">
        <v>48.78</v>
      </c>
      <c r="V23">
        <v>46.34</v>
      </c>
      <c r="W23" s="17">
        <v>8364.7340999999997</v>
      </c>
      <c r="X23" s="83" t="s">
        <v>621</v>
      </c>
      <c r="Y23" s="81" t="s">
        <v>636</v>
      </c>
    </row>
    <row r="24" spans="7:25" x14ac:dyDescent="0.25">
      <c r="G24" s="11">
        <v>23</v>
      </c>
      <c r="H24" t="s">
        <v>290</v>
      </c>
      <c r="I24" t="s">
        <v>628</v>
      </c>
      <c r="J24" t="s">
        <v>15</v>
      </c>
      <c r="K24" s="43">
        <v>1.3299999999999999E-2</v>
      </c>
      <c r="L24" s="39">
        <v>-4.9599999999999998E-2</v>
      </c>
      <c r="M24" s="39">
        <v>-5.4100000000000002E-2</v>
      </c>
      <c r="N24" s="43">
        <v>-5.2999999999999999E-2</v>
      </c>
      <c r="O24" s="39">
        <v>1E-3</v>
      </c>
      <c r="P24" s="39">
        <v>-3.8999999999999998E-3</v>
      </c>
      <c r="Q24" s="39">
        <v>0.25280000000000002</v>
      </c>
      <c r="R24" s="39">
        <v>0.29880000000000001</v>
      </c>
      <c r="S24" s="39">
        <v>0.39410000000000001</v>
      </c>
      <c r="T24">
        <v>46.34</v>
      </c>
      <c r="U24">
        <v>46.34</v>
      </c>
      <c r="V24">
        <v>43.9</v>
      </c>
      <c r="W24" s="17">
        <v>6821.7215999999999</v>
      </c>
      <c r="X24" s="83" t="s">
        <v>621</v>
      </c>
    </row>
    <row r="25" spans="7:25" x14ac:dyDescent="0.25">
      <c r="G25" s="11">
        <v>24</v>
      </c>
      <c r="H25" t="s">
        <v>45</v>
      </c>
      <c r="I25" t="s">
        <v>876</v>
      </c>
      <c r="J25" t="s">
        <v>316</v>
      </c>
      <c r="K25" s="43">
        <v>6.6E-3</v>
      </c>
      <c r="L25" s="39">
        <v>-6.9699999999999998E-2</v>
      </c>
      <c r="M25" s="39">
        <v>-9.2999999999999999E-2</v>
      </c>
      <c r="N25" s="43">
        <v>-6.7900000000000002E-2</v>
      </c>
      <c r="O25" s="39">
        <v>-0.10050000000000001</v>
      </c>
      <c r="P25" s="39">
        <v>-0.1215</v>
      </c>
      <c r="Q25" s="39">
        <v>-0.19819999999999999</v>
      </c>
      <c r="R25" s="39">
        <v>-0.1618</v>
      </c>
      <c r="S25" s="39">
        <v>-0.27360000000000001</v>
      </c>
      <c r="T25">
        <v>43.9</v>
      </c>
      <c r="U25">
        <v>36.590000000000003</v>
      </c>
      <c r="V25">
        <v>48.78</v>
      </c>
      <c r="W25" s="17">
        <v>4973.9698988</v>
      </c>
      <c r="X25" s="83" t="s">
        <v>621</v>
      </c>
    </row>
    <row r="26" spans="7:25" x14ac:dyDescent="0.25">
      <c r="G26" s="11">
        <v>25</v>
      </c>
      <c r="H26" t="s">
        <v>154</v>
      </c>
      <c r="I26" t="s">
        <v>323</v>
      </c>
      <c r="J26" t="s">
        <v>15</v>
      </c>
      <c r="K26" s="43">
        <v>2.1299999999999999E-2</v>
      </c>
      <c r="L26" s="39">
        <v>-6.7000000000000002E-3</v>
      </c>
      <c r="M26" s="39">
        <v>-5.2900000000000003E-2</v>
      </c>
      <c r="N26" s="43">
        <v>-4.2099999999999999E-2</v>
      </c>
      <c r="O26" s="39">
        <v>-6.8099999999999994E-2</v>
      </c>
      <c r="P26" s="39">
        <v>-9.0499999999999997E-2</v>
      </c>
      <c r="Q26" s="39">
        <v>-0.1011</v>
      </c>
      <c r="R26" s="39">
        <v>0.2487</v>
      </c>
      <c r="S26" s="39">
        <v>0.31240000000000001</v>
      </c>
      <c r="T26">
        <v>41.46</v>
      </c>
      <c r="U26">
        <v>51.22</v>
      </c>
      <c r="V26">
        <v>21.95</v>
      </c>
      <c r="W26" s="17">
        <v>21175.614699999998</v>
      </c>
      <c r="X26" s="83" t="s">
        <v>621</v>
      </c>
      <c r="Y26" s="81" t="s">
        <v>636</v>
      </c>
    </row>
    <row r="27" spans="7:25" x14ac:dyDescent="0.25">
      <c r="G27" s="11">
        <v>26</v>
      </c>
      <c r="H27" t="s">
        <v>903</v>
      </c>
      <c r="I27" t="s">
        <v>902</v>
      </c>
      <c r="J27" t="s">
        <v>15</v>
      </c>
      <c r="K27" s="43">
        <v>1.7999999999999999E-2</v>
      </c>
      <c r="L27" s="39">
        <v>-8.6800000000000002E-2</v>
      </c>
      <c r="M27" s="39">
        <v>-9.3399999999999997E-2</v>
      </c>
      <c r="N27" s="43">
        <v>-7.1599999999999997E-2</v>
      </c>
      <c r="O27" s="39">
        <v>-0.21229999999999999</v>
      </c>
      <c r="P27" s="39">
        <v>-0.158</v>
      </c>
      <c r="Q27" s="39">
        <v>4.6199999999999998E-2</v>
      </c>
      <c r="R27" s="39">
        <v>4.4200000000000003E-2</v>
      </c>
      <c r="S27" s="39">
        <v>4.4200000000000003E-2</v>
      </c>
      <c r="T27">
        <v>39.020000000000003</v>
      </c>
      <c r="U27">
        <v>34.15</v>
      </c>
      <c r="V27">
        <v>29.27</v>
      </c>
      <c r="W27" s="17">
        <v>29851.558700000001</v>
      </c>
      <c r="X27" s="83" t="s">
        <v>621</v>
      </c>
    </row>
    <row r="28" spans="7:25" x14ac:dyDescent="0.25">
      <c r="G28" s="11">
        <v>27</v>
      </c>
      <c r="H28" t="s">
        <v>906</v>
      </c>
      <c r="I28" t="s">
        <v>907</v>
      </c>
      <c r="J28" t="s">
        <v>175</v>
      </c>
      <c r="K28" s="43">
        <v>5.0000000000000001E-3</v>
      </c>
      <c r="L28" s="39">
        <v>-0.12970000000000001</v>
      </c>
      <c r="M28" s="39">
        <v>-0.1489</v>
      </c>
      <c r="N28" s="43">
        <v>-0.15629999999999999</v>
      </c>
      <c r="O28" s="39">
        <v>9.8400000000000001E-2</v>
      </c>
      <c r="P28" s="39">
        <v>-2.75E-2</v>
      </c>
      <c r="Q28" s="39">
        <v>0.32519999999999999</v>
      </c>
      <c r="R28" s="39">
        <v>0.29010000000000002</v>
      </c>
      <c r="S28" s="39">
        <v>0.3967</v>
      </c>
      <c r="T28">
        <v>36.590000000000003</v>
      </c>
      <c r="U28">
        <v>7.32</v>
      </c>
      <c r="V28">
        <v>56.1</v>
      </c>
      <c r="W28" s="17">
        <v>75890.251739999992</v>
      </c>
      <c r="X28" s="83" t="s">
        <v>621</v>
      </c>
    </row>
    <row r="29" spans="7:25" x14ac:dyDescent="0.25">
      <c r="G29" s="11">
        <v>28</v>
      </c>
      <c r="H29" t="s">
        <v>163</v>
      </c>
      <c r="I29" t="s">
        <v>339</v>
      </c>
      <c r="J29" t="s">
        <v>15</v>
      </c>
      <c r="K29" s="43">
        <v>1.37E-2</v>
      </c>
      <c r="L29" s="39">
        <v>-0.115</v>
      </c>
      <c r="M29" s="39">
        <v>-0.1154</v>
      </c>
      <c r="N29" s="43">
        <v>-0.1242</v>
      </c>
      <c r="O29" s="39">
        <v>2.35E-2</v>
      </c>
      <c r="P29" s="39">
        <v>-1.9E-2</v>
      </c>
      <c r="Q29" s="39">
        <v>0.14779999999999999</v>
      </c>
      <c r="R29" s="39">
        <v>-0.15329999999999999</v>
      </c>
      <c r="S29" s="39">
        <v>-0.18820000000000001</v>
      </c>
      <c r="T29">
        <v>34.15</v>
      </c>
      <c r="U29">
        <v>19.510000000000002</v>
      </c>
      <c r="V29">
        <v>41.46</v>
      </c>
      <c r="W29" s="17">
        <v>69346.4104907</v>
      </c>
      <c r="X29" s="83" t="s">
        <v>621</v>
      </c>
    </row>
    <row r="30" spans="7:25" x14ac:dyDescent="0.25">
      <c r="G30" s="11">
        <v>29</v>
      </c>
      <c r="H30" t="s">
        <v>152</v>
      </c>
      <c r="I30" t="s">
        <v>322</v>
      </c>
      <c r="J30" t="s">
        <v>15</v>
      </c>
      <c r="K30" s="43">
        <v>1.5900000000000001E-2</v>
      </c>
      <c r="L30" s="39">
        <v>-7.4800000000000005E-2</v>
      </c>
      <c r="M30" s="39">
        <v>-0.1019</v>
      </c>
      <c r="N30" s="43">
        <v>-9.8100000000000007E-2</v>
      </c>
      <c r="O30" s="39">
        <v>8.6300000000000002E-2</v>
      </c>
      <c r="P30" s="39">
        <v>4.8099999999999997E-2</v>
      </c>
      <c r="Q30" s="39">
        <v>0.30719999999999997</v>
      </c>
      <c r="R30" s="39">
        <v>0.1908</v>
      </c>
      <c r="S30" s="39">
        <v>0.21510000000000001</v>
      </c>
      <c r="T30">
        <v>31.71</v>
      </c>
      <c r="U30">
        <v>26.83</v>
      </c>
      <c r="V30">
        <v>31.71</v>
      </c>
      <c r="W30" s="17">
        <v>193309.77002999999</v>
      </c>
    </row>
    <row r="31" spans="7:25" x14ac:dyDescent="0.25">
      <c r="G31" s="11">
        <v>30</v>
      </c>
      <c r="H31" t="s">
        <v>131</v>
      </c>
      <c r="I31" t="s">
        <v>340</v>
      </c>
      <c r="J31" t="s">
        <v>15</v>
      </c>
      <c r="K31" s="43">
        <v>2.69E-2</v>
      </c>
      <c r="L31" s="39">
        <v>-6.7599999999999993E-2</v>
      </c>
      <c r="M31" s="39">
        <v>-7.3800000000000004E-2</v>
      </c>
      <c r="N31" s="43">
        <v>-5.4399999999999997E-2</v>
      </c>
      <c r="O31" s="39">
        <v>-0.10680000000000001</v>
      </c>
      <c r="P31" s="39">
        <v>-8.3699999999999997E-2</v>
      </c>
      <c r="Q31" s="39">
        <v>1.8499999999999999E-2</v>
      </c>
      <c r="R31" s="39">
        <v>0.40229999999999999</v>
      </c>
      <c r="S31" s="39">
        <v>0.40329999999999999</v>
      </c>
      <c r="T31">
        <v>29.27</v>
      </c>
      <c r="U31">
        <v>43.9</v>
      </c>
      <c r="V31">
        <v>14.63</v>
      </c>
      <c r="W31" s="17">
        <v>113229.9293</v>
      </c>
      <c r="X31" s="83" t="s">
        <v>621</v>
      </c>
      <c r="Y31" s="81" t="s">
        <v>636</v>
      </c>
    </row>
    <row r="32" spans="7:25" x14ac:dyDescent="0.25">
      <c r="G32" s="11">
        <v>31</v>
      </c>
      <c r="H32" t="s">
        <v>159</v>
      </c>
      <c r="I32" t="s">
        <v>327</v>
      </c>
      <c r="J32" t="s">
        <v>15</v>
      </c>
      <c r="K32" s="43">
        <v>1.44E-2</v>
      </c>
      <c r="L32" s="39">
        <v>-7.0900000000000005E-2</v>
      </c>
      <c r="M32" s="39">
        <v>-0.11650000000000001</v>
      </c>
      <c r="N32" s="43">
        <v>-0.1411</v>
      </c>
      <c r="O32" s="39">
        <v>0.14430000000000001</v>
      </c>
      <c r="P32" s="39">
        <v>0.121</v>
      </c>
      <c r="Q32" s="39">
        <v>0.45300000000000001</v>
      </c>
      <c r="R32" s="39">
        <v>0.30559999999999998</v>
      </c>
      <c r="S32" s="39">
        <v>0.30259999999999998</v>
      </c>
      <c r="T32">
        <v>26.83</v>
      </c>
      <c r="U32">
        <v>14.63</v>
      </c>
      <c r="V32">
        <v>39.020000000000003</v>
      </c>
      <c r="W32" s="17">
        <v>1142494.625</v>
      </c>
    </row>
    <row r="33" spans="7:25" x14ac:dyDescent="0.25">
      <c r="G33" s="11">
        <v>32</v>
      </c>
      <c r="H33" t="s">
        <v>168</v>
      </c>
      <c r="I33" t="s">
        <v>332</v>
      </c>
      <c r="J33" t="s">
        <v>15</v>
      </c>
      <c r="K33" s="43">
        <v>2.3900000000000001E-2</v>
      </c>
      <c r="L33" s="39">
        <v>-0.1263</v>
      </c>
      <c r="M33" s="39">
        <v>-0.1084</v>
      </c>
      <c r="N33" s="43">
        <v>-7.3499999999999996E-2</v>
      </c>
      <c r="O33" s="39">
        <v>-0.1356</v>
      </c>
      <c r="P33" s="39">
        <v>-0.11310000000000001</v>
      </c>
      <c r="Q33" s="39">
        <v>-0.14069999999999999</v>
      </c>
      <c r="R33" s="39">
        <v>0.1007</v>
      </c>
      <c r="S33" s="39">
        <v>-5.4199999999999998E-2</v>
      </c>
      <c r="T33">
        <v>24.39</v>
      </c>
      <c r="U33">
        <v>31.71</v>
      </c>
      <c r="V33">
        <v>17.07</v>
      </c>
      <c r="W33" s="17">
        <v>1813.3576</v>
      </c>
      <c r="X33" s="83" t="s">
        <v>621</v>
      </c>
    </row>
    <row r="34" spans="7:25" x14ac:dyDescent="0.25">
      <c r="G34" s="11">
        <v>33</v>
      </c>
      <c r="H34" t="s">
        <v>160</v>
      </c>
      <c r="I34" t="s">
        <v>329</v>
      </c>
      <c r="J34" t="s">
        <v>15</v>
      </c>
      <c r="K34" s="43">
        <v>1.54E-2</v>
      </c>
      <c r="L34" s="39">
        <v>-9.1300000000000006E-2</v>
      </c>
      <c r="M34" s="39">
        <v>-0.11849999999999999</v>
      </c>
      <c r="N34" s="43">
        <v>-0.14599999999999999</v>
      </c>
      <c r="O34" s="39">
        <v>0.1295</v>
      </c>
      <c r="P34" s="39">
        <v>3.8399999999999997E-2</v>
      </c>
      <c r="Q34" s="39">
        <v>0.32129999999999997</v>
      </c>
      <c r="R34" s="39">
        <v>6.8500000000000005E-2</v>
      </c>
      <c r="S34" s="39">
        <v>3.3799999999999997E-2</v>
      </c>
      <c r="T34">
        <v>21.95</v>
      </c>
      <c r="U34">
        <v>12.2</v>
      </c>
      <c r="V34">
        <v>34.15</v>
      </c>
      <c r="W34" s="17">
        <v>586477.0281</v>
      </c>
    </row>
    <row r="35" spans="7:25" x14ac:dyDescent="0.25">
      <c r="G35" s="11">
        <v>34</v>
      </c>
      <c r="H35" t="s">
        <v>146</v>
      </c>
      <c r="I35" t="s">
        <v>331</v>
      </c>
      <c r="J35" t="s">
        <v>15</v>
      </c>
      <c r="K35" s="43">
        <v>0.02</v>
      </c>
      <c r="L35" s="39">
        <v>-7.7700000000000005E-2</v>
      </c>
      <c r="M35" s="39">
        <v>-0.1066</v>
      </c>
      <c r="N35" s="43">
        <v>-0.10349999999999999</v>
      </c>
      <c r="O35" s="39">
        <v>9.6799999999999997E-2</v>
      </c>
      <c r="P35" s="39">
        <v>6.8000000000000005E-2</v>
      </c>
      <c r="Q35" s="39">
        <v>0.34210000000000002</v>
      </c>
      <c r="R35" s="39">
        <v>0.2306</v>
      </c>
      <c r="S35" s="39">
        <v>0.2903</v>
      </c>
      <c r="T35">
        <v>19.510000000000002</v>
      </c>
      <c r="U35">
        <v>21.95</v>
      </c>
      <c r="V35">
        <v>24.39</v>
      </c>
      <c r="W35" s="17">
        <v>46974.387300000002</v>
      </c>
    </row>
    <row r="36" spans="7:25" x14ac:dyDescent="0.25">
      <c r="G36" s="11">
        <v>35</v>
      </c>
      <c r="H36" t="s">
        <v>119</v>
      </c>
      <c r="I36" t="s">
        <v>343</v>
      </c>
      <c r="J36" t="s">
        <v>15</v>
      </c>
      <c r="K36" s="43">
        <v>6.93E-2</v>
      </c>
      <c r="L36" s="39">
        <v>-5.9499999999999997E-2</v>
      </c>
      <c r="M36" s="39">
        <v>-7.4800000000000005E-2</v>
      </c>
      <c r="N36" s="43">
        <v>-5.91E-2</v>
      </c>
      <c r="O36" s="39">
        <v>-0.1343</v>
      </c>
      <c r="P36" s="39">
        <v>-9.0200000000000002E-2</v>
      </c>
      <c r="Q36" s="39">
        <v>1.44E-2</v>
      </c>
      <c r="R36" s="39">
        <v>0.50649999999999995</v>
      </c>
      <c r="S36" s="39">
        <v>0.50170000000000003</v>
      </c>
      <c r="T36">
        <v>17.07</v>
      </c>
      <c r="U36">
        <v>41.46</v>
      </c>
      <c r="V36">
        <v>2.44</v>
      </c>
      <c r="W36" s="17">
        <v>304932.35930000001</v>
      </c>
      <c r="X36" s="83" t="s">
        <v>621</v>
      </c>
      <c r="Y36" s="81" t="s">
        <v>636</v>
      </c>
    </row>
    <row r="37" spans="7:25" x14ac:dyDescent="0.25">
      <c r="G37" s="11">
        <v>36</v>
      </c>
      <c r="H37" t="s">
        <v>162</v>
      </c>
      <c r="I37" t="s">
        <v>333</v>
      </c>
      <c r="J37" t="s">
        <v>15</v>
      </c>
      <c r="K37" s="43">
        <v>1.47E-2</v>
      </c>
      <c r="L37" s="39">
        <v>-0.12540000000000001</v>
      </c>
      <c r="M37" s="39">
        <v>-0.13200000000000001</v>
      </c>
      <c r="N37" s="43">
        <v>-0.17249999999999999</v>
      </c>
      <c r="O37" s="39">
        <v>1.95E-2</v>
      </c>
      <c r="P37" s="39">
        <v>-0.10009999999999999</v>
      </c>
      <c r="Q37" s="39">
        <v>-0.18360000000000001</v>
      </c>
      <c r="R37" s="39">
        <v>-7.4399999999999994E-2</v>
      </c>
      <c r="S37" s="39">
        <v>0.33589999999999998</v>
      </c>
      <c r="T37">
        <v>14.63</v>
      </c>
      <c r="U37">
        <v>2.44</v>
      </c>
      <c r="V37">
        <v>36.590000000000003</v>
      </c>
      <c r="W37" s="17">
        <v>33953.279300000002</v>
      </c>
      <c r="X37" s="83" t="s">
        <v>621</v>
      </c>
    </row>
    <row r="38" spans="7:25" x14ac:dyDescent="0.25">
      <c r="G38" s="11">
        <v>37</v>
      </c>
      <c r="H38" t="s">
        <v>157</v>
      </c>
      <c r="I38" t="s">
        <v>338</v>
      </c>
      <c r="J38" t="s">
        <v>15</v>
      </c>
      <c r="K38" s="43">
        <v>6.3E-2</v>
      </c>
      <c r="L38" s="39">
        <v>-6.4100000000000004E-2</v>
      </c>
      <c r="M38" s="39">
        <v>-8.14E-2</v>
      </c>
      <c r="N38" s="43">
        <v>-8.3799999999999999E-2</v>
      </c>
      <c r="O38" s="39">
        <v>5.9900000000000002E-2</v>
      </c>
      <c r="P38" s="39">
        <v>6.9900000000000004E-2</v>
      </c>
      <c r="Q38" s="39">
        <v>0.1133</v>
      </c>
      <c r="R38" s="39">
        <v>0.40720000000000001</v>
      </c>
      <c r="S38" s="39">
        <v>0.60260000000000002</v>
      </c>
      <c r="T38">
        <v>12.2</v>
      </c>
      <c r="U38">
        <v>29.27</v>
      </c>
      <c r="V38">
        <v>4.88</v>
      </c>
      <c r="W38" s="17">
        <v>79769.060700000002</v>
      </c>
    </row>
    <row r="39" spans="7:25" x14ac:dyDescent="0.25">
      <c r="G39" s="11">
        <v>38</v>
      </c>
      <c r="H39" t="s">
        <v>164</v>
      </c>
      <c r="I39" t="s">
        <v>337</v>
      </c>
      <c r="J39" t="s">
        <v>15</v>
      </c>
      <c r="K39" s="43">
        <v>4.6600000000000003E-2</v>
      </c>
      <c r="L39" s="39">
        <v>-7.5499999999999998E-2</v>
      </c>
      <c r="M39" s="39">
        <v>-9.4500000000000001E-2</v>
      </c>
      <c r="N39" s="43">
        <v>-9.8199999999999996E-2</v>
      </c>
      <c r="O39" s="39">
        <v>-6.9999999999999999E-4</v>
      </c>
      <c r="P39" s="39">
        <v>-4.4200000000000003E-2</v>
      </c>
      <c r="Q39" s="39">
        <v>-0.1022</v>
      </c>
      <c r="R39" s="39">
        <v>0.10390000000000001</v>
      </c>
      <c r="S39" s="39">
        <v>0.33679999999999999</v>
      </c>
      <c r="T39">
        <v>9.76</v>
      </c>
      <c r="U39">
        <v>24.39</v>
      </c>
      <c r="V39">
        <v>7.32</v>
      </c>
      <c r="W39" s="17">
        <v>17356.4467</v>
      </c>
      <c r="X39" s="83" t="s">
        <v>621</v>
      </c>
      <c r="Y39" s="81" t="s">
        <v>636</v>
      </c>
    </row>
    <row r="40" spans="7:25" x14ac:dyDescent="0.25">
      <c r="G40" s="11">
        <v>39</v>
      </c>
      <c r="H40" t="s">
        <v>166</v>
      </c>
      <c r="I40" t="s">
        <v>328</v>
      </c>
      <c r="J40" t="s">
        <v>15</v>
      </c>
      <c r="K40" s="43">
        <v>2.7400000000000001E-2</v>
      </c>
      <c r="L40" s="39">
        <v>-0.19089999999999999</v>
      </c>
      <c r="M40" s="39">
        <v>-0.18360000000000001</v>
      </c>
      <c r="N40" s="43">
        <v>-0.1321</v>
      </c>
      <c r="O40" s="39">
        <v>-0.1643</v>
      </c>
      <c r="P40" s="39">
        <v>-0.18140000000000001</v>
      </c>
      <c r="Q40" s="39">
        <v>-0.25269999999999998</v>
      </c>
      <c r="R40" s="39">
        <v>2.6800000000000001E-2</v>
      </c>
      <c r="S40" s="39">
        <v>0.1794</v>
      </c>
      <c r="T40">
        <v>7.32</v>
      </c>
      <c r="U40">
        <v>17.07</v>
      </c>
      <c r="V40">
        <v>12.2</v>
      </c>
      <c r="W40" s="17">
        <v>2117.7777714000003</v>
      </c>
    </row>
    <row r="41" spans="7:25" x14ac:dyDescent="0.25">
      <c r="G41" s="11">
        <v>40</v>
      </c>
      <c r="H41" t="s">
        <v>167</v>
      </c>
      <c r="I41" t="s">
        <v>345</v>
      </c>
      <c r="J41" t="s">
        <v>15</v>
      </c>
      <c r="K41" s="43">
        <v>2.1299999999999999E-2</v>
      </c>
      <c r="L41" s="39">
        <v>-0.1024</v>
      </c>
      <c r="M41" s="39">
        <v>-0.1454</v>
      </c>
      <c r="N41" s="43">
        <v>-0.16500000000000001</v>
      </c>
      <c r="O41" s="39">
        <v>-0.217</v>
      </c>
      <c r="P41" s="39">
        <v>-0.25380000000000003</v>
      </c>
      <c r="Q41" s="39">
        <v>-0.22919999999999999</v>
      </c>
      <c r="R41" s="39">
        <v>-3.3099999999999997E-2</v>
      </c>
      <c r="S41" s="39">
        <v>-8.6400000000000005E-2</v>
      </c>
      <c r="T41">
        <v>4.88</v>
      </c>
      <c r="U41">
        <v>4.88</v>
      </c>
      <c r="V41">
        <v>19.510000000000002</v>
      </c>
      <c r="W41" s="17">
        <v>986.31316340000001</v>
      </c>
      <c r="X41" s="83" t="s">
        <v>621</v>
      </c>
    </row>
    <row r="42" spans="7:25" x14ac:dyDescent="0.25">
      <c r="G42" s="11">
        <v>41</v>
      </c>
      <c r="H42" t="s">
        <v>44</v>
      </c>
      <c r="I42" t="s">
        <v>21</v>
      </c>
      <c r="J42" t="s">
        <v>15</v>
      </c>
      <c r="K42" s="43">
        <v>2.81E-2</v>
      </c>
      <c r="L42" s="39">
        <v>-0.2072</v>
      </c>
      <c r="M42" s="39">
        <v>-0.2029</v>
      </c>
      <c r="N42" s="43">
        <v>-0.1474</v>
      </c>
      <c r="O42" s="39">
        <v>-0.22370000000000001</v>
      </c>
      <c r="P42" s="39">
        <v>-0.21779999999999999</v>
      </c>
      <c r="Q42" s="39">
        <v>-0.2979</v>
      </c>
      <c r="R42" s="39">
        <v>-6.0900000000000003E-2</v>
      </c>
      <c r="S42" s="39">
        <v>-9.1000000000000004E-3</v>
      </c>
      <c r="T42">
        <v>2.44</v>
      </c>
      <c r="U42">
        <v>9.76</v>
      </c>
      <c r="V42">
        <v>9.76</v>
      </c>
      <c r="W42" s="17">
        <v>23323.555285599999</v>
      </c>
      <c r="X42" s="83" t="s">
        <v>621</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172528</xdr:colOff>
                    <xdr:row>1</xdr:row>
                    <xdr:rowOff>138023</xdr:rowOff>
                  </from>
                  <to>
                    <xdr:col>27</xdr:col>
                    <xdr:colOff>491706</xdr:colOff>
                    <xdr:row>4</xdr:row>
                    <xdr:rowOff>129396</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
  <sheetViews>
    <sheetView workbookViewId="0">
      <selection activeCell="H11" sqref="H11:I11"/>
    </sheetView>
  </sheetViews>
  <sheetFormatPr defaultRowHeight="16.3" x14ac:dyDescent="0.25"/>
  <cols>
    <col min="5" max="5" width="9" style="39"/>
  </cols>
  <sheetData>
    <row r="1" spans="1:23" x14ac:dyDescent="0.25">
      <c r="A1" s="91"/>
      <c r="B1" s="91" t="s">
        <v>409</v>
      </c>
      <c r="C1" s="91" t="s">
        <v>929</v>
      </c>
      <c r="D1" s="91" t="s">
        <v>346</v>
      </c>
      <c r="E1" s="51" t="s">
        <v>355</v>
      </c>
    </row>
    <row r="2" spans="1:23" x14ac:dyDescent="0.25">
      <c r="A2" s="92">
        <v>0</v>
      </c>
      <c r="B2" s="93" t="s">
        <v>926</v>
      </c>
      <c r="C2" s="93" t="s">
        <v>927</v>
      </c>
      <c r="D2" s="93">
        <v>144.1</v>
      </c>
      <c r="E2" s="34">
        <v>-1.23E-2</v>
      </c>
    </row>
    <row r="3" spans="1:23" x14ac:dyDescent="0.25">
      <c r="A3" s="94">
        <v>1</v>
      </c>
      <c r="B3" s="94" t="s">
        <v>928</v>
      </c>
      <c r="C3" s="94"/>
      <c r="D3" s="94"/>
      <c r="W3" t="s">
        <v>1106</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9" max="29" width="12.21875" style="7" bestFit="1" customWidth="1"/>
  </cols>
  <sheetData>
    <row r="1" spans="1:31" s="18" customFormat="1" ht="59.95" customHeight="1" x14ac:dyDescent="0.25">
      <c r="A1" s="23" t="s">
        <v>43</v>
      </c>
      <c r="B1" s="19" t="s">
        <v>410</v>
      </c>
      <c r="C1" s="19" t="s">
        <v>411</v>
      </c>
      <c r="D1" s="19" t="s">
        <v>313</v>
      </c>
      <c r="E1" s="22"/>
      <c r="F1" s="23" t="s">
        <v>169</v>
      </c>
      <c r="G1" s="20"/>
      <c r="H1" s="45" t="s">
        <v>409</v>
      </c>
      <c r="I1" s="19" t="s">
        <v>412</v>
      </c>
      <c r="J1" s="18" t="s">
        <v>413</v>
      </c>
      <c r="K1" s="18" t="s">
        <v>414</v>
      </c>
      <c r="L1" s="18" t="s">
        <v>415</v>
      </c>
      <c r="M1" s="18" t="s">
        <v>416</v>
      </c>
      <c r="N1" s="46" t="s">
        <v>417</v>
      </c>
      <c r="O1" s="18" t="s">
        <v>418</v>
      </c>
      <c r="P1" s="46" t="s">
        <v>419</v>
      </c>
      <c r="Q1" s="18" t="s">
        <v>420</v>
      </c>
      <c r="R1" s="46" t="s">
        <v>421</v>
      </c>
      <c r="S1" s="18" t="s">
        <v>422</v>
      </c>
      <c r="T1" s="18" t="s">
        <v>423</v>
      </c>
      <c r="U1" s="46" t="s">
        <v>424</v>
      </c>
      <c r="V1" s="18" t="s">
        <v>425</v>
      </c>
      <c r="W1" s="46" t="s">
        <v>426</v>
      </c>
      <c r="X1" s="18" t="s">
        <v>28</v>
      </c>
      <c r="Y1" s="18" t="s">
        <v>427</v>
      </c>
      <c r="Z1" s="18" t="s">
        <v>428</v>
      </c>
      <c r="AA1" s="18" t="s">
        <v>429</v>
      </c>
      <c r="AB1" s="18" t="s">
        <v>430</v>
      </c>
      <c r="AC1" s="18" t="s">
        <v>431</v>
      </c>
      <c r="AE1" s="87" t="s">
        <v>593</v>
      </c>
    </row>
    <row r="2" spans="1:31" x14ac:dyDescent="0.25">
      <c r="A2">
        <v>1</v>
      </c>
      <c r="B2">
        <v>14</v>
      </c>
      <c r="C2" t="s">
        <v>562</v>
      </c>
      <c r="D2">
        <f>MATCH(B2,$H$2:$H$4000,0)</f>
        <v>77</v>
      </c>
      <c r="G2" s="11">
        <v>1</v>
      </c>
      <c r="H2" s="44">
        <v>600455</v>
      </c>
      <c r="I2" t="s">
        <v>432</v>
      </c>
      <c r="J2" s="17" t="s">
        <v>433</v>
      </c>
      <c r="K2" t="s">
        <v>434</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25">
      <c r="A3">
        <v>2</v>
      </c>
      <c r="B3">
        <v>2836</v>
      </c>
      <c r="C3" t="s">
        <v>592</v>
      </c>
      <c r="D3">
        <f t="shared" ref="D3:D11" si="0">MATCH(B3,$H$2:$H$4000,0)</f>
        <v>38</v>
      </c>
      <c r="G3" s="11">
        <v>2</v>
      </c>
      <c r="H3" s="44">
        <v>603860</v>
      </c>
      <c r="I3" t="s">
        <v>435</v>
      </c>
      <c r="J3" s="17" t="s">
        <v>436</v>
      </c>
      <c r="K3" t="s">
        <v>437</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25">
      <c r="A4">
        <v>3</v>
      </c>
      <c r="B4">
        <v>300371</v>
      </c>
      <c r="C4" t="s">
        <v>561</v>
      </c>
      <c r="D4">
        <f t="shared" si="0"/>
        <v>76</v>
      </c>
      <c r="G4" s="11">
        <v>3</v>
      </c>
      <c r="H4" s="44">
        <v>300789</v>
      </c>
      <c r="I4" t="s">
        <v>438</v>
      </c>
      <c r="J4" s="17" t="s">
        <v>187</v>
      </c>
      <c r="K4" t="s">
        <v>439</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25">
      <c r="A5">
        <v>4</v>
      </c>
      <c r="B5">
        <v>300564</v>
      </c>
      <c r="C5" t="s">
        <v>533</v>
      </c>
      <c r="D5">
        <f t="shared" si="0"/>
        <v>56</v>
      </c>
      <c r="G5" s="11">
        <v>4</v>
      </c>
      <c r="H5" s="44">
        <v>300899</v>
      </c>
      <c r="I5" t="s">
        <v>440</v>
      </c>
      <c r="J5" s="17" t="s">
        <v>441</v>
      </c>
      <c r="K5" t="s">
        <v>442</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25">
      <c r="A6">
        <v>5</v>
      </c>
      <c r="B6">
        <v>300789</v>
      </c>
      <c r="C6" t="s">
        <v>438</v>
      </c>
      <c r="D6">
        <f t="shared" si="0"/>
        <v>3</v>
      </c>
      <c r="G6" s="11">
        <v>5</v>
      </c>
      <c r="H6" s="44">
        <v>300929</v>
      </c>
      <c r="I6" t="s">
        <v>443</v>
      </c>
      <c r="J6" s="17" t="s">
        <v>441</v>
      </c>
      <c r="K6" t="s">
        <v>444</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25">
      <c r="A7">
        <v>6</v>
      </c>
      <c r="B7">
        <v>300972</v>
      </c>
      <c r="C7" t="s">
        <v>462</v>
      </c>
      <c r="D7">
        <f t="shared" si="0"/>
        <v>13</v>
      </c>
      <c r="G7" s="11">
        <v>6</v>
      </c>
      <c r="H7" s="44">
        <v>603813</v>
      </c>
      <c r="I7" t="s">
        <v>445</v>
      </c>
      <c r="J7" s="17" t="s">
        <v>446</v>
      </c>
      <c r="K7" t="s">
        <v>447</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25">
      <c r="A8">
        <v>8</v>
      </c>
      <c r="B8">
        <v>600083</v>
      </c>
      <c r="C8" t="s">
        <v>476</v>
      </c>
      <c r="D8">
        <f t="shared" si="0"/>
        <v>18</v>
      </c>
      <c r="G8" s="11">
        <v>7</v>
      </c>
      <c r="H8" s="44">
        <v>603269</v>
      </c>
      <c r="I8" t="s">
        <v>448</v>
      </c>
      <c r="J8" s="17" t="s">
        <v>449</v>
      </c>
      <c r="K8" t="s">
        <v>450</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25">
      <c r="A9">
        <v>9</v>
      </c>
      <c r="B9">
        <v>600319</v>
      </c>
      <c r="C9" t="s">
        <v>584</v>
      </c>
      <c r="D9">
        <f t="shared" si="0"/>
        <v>95</v>
      </c>
      <c r="G9" s="11">
        <v>8</v>
      </c>
      <c r="H9" s="44">
        <v>1211</v>
      </c>
      <c r="I9" t="s">
        <v>451</v>
      </c>
      <c r="J9" s="17" t="s">
        <v>452</v>
      </c>
      <c r="K9" t="s">
        <v>453</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25">
      <c r="A10">
        <v>10</v>
      </c>
      <c r="B10">
        <v>600455</v>
      </c>
      <c r="C10" t="s">
        <v>432</v>
      </c>
      <c r="D10">
        <f t="shared" si="0"/>
        <v>1</v>
      </c>
      <c r="G10" s="11">
        <v>9</v>
      </c>
      <c r="H10" s="44">
        <v>2830</v>
      </c>
      <c r="I10" t="s">
        <v>454</v>
      </c>
      <c r="J10" s="17" t="s">
        <v>436</v>
      </c>
      <c r="K10" t="s">
        <v>455</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25">
      <c r="A11">
        <v>11</v>
      </c>
      <c r="B11">
        <v>603037</v>
      </c>
      <c r="C11" t="s">
        <v>456</v>
      </c>
      <c r="D11">
        <f t="shared" si="0"/>
        <v>10</v>
      </c>
      <c r="G11" s="11">
        <v>10</v>
      </c>
      <c r="H11" s="44">
        <v>603037</v>
      </c>
      <c r="I11" t="s">
        <v>456</v>
      </c>
      <c r="J11" s="17" t="s">
        <v>457</v>
      </c>
      <c r="K11" t="s">
        <v>458</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25">
      <c r="G12" s="11">
        <v>11</v>
      </c>
      <c r="H12" s="44">
        <v>300823</v>
      </c>
      <c r="I12" t="s">
        <v>459</v>
      </c>
      <c r="J12" s="17" t="s">
        <v>449</v>
      </c>
      <c r="K12" t="s">
        <v>460</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25">
      <c r="G13" s="11">
        <v>12</v>
      </c>
      <c r="H13" s="44">
        <v>301079</v>
      </c>
      <c r="I13" t="s">
        <v>461</v>
      </c>
      <c r="J13" s="17" t="s">
        <v>449</v>
      </c>
      <c r="K13" t="s">
        <v>450</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25">
      <c r="G14" s="11">
        <v>13</v>
      </c>
      <c r="H14" s="44">
        <v>300972</v>
      </c>
      <c r="I14" t="s">
        <v>462</v>
      </c>
      <c r="J14" s="17" t="s">
        <v>463</v>
      </c>
      <c r="K14" t="s">
        <v>464</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25">
      <c r="G15" s="11">
        <v>14</v>
      </c>
      <c r="H15" s="44">
        <v>600883</v>
      </c>
      <c r="I15" t="s">
        <v>465</v>
      </c>
      <c r="J15" s="17" t="s">
        <v>466</v>
      </c>
      <c r="K15" t="s">
        <v>467</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25">
      <c r="G16" s="11">
        <v>15</v>
      </c>
      <c r="H16" s="44">
        <v>300923</v>
      </c>
      <c r="I16" t="s">
        <v>468</v>
      </c>
      <c r="J16" s="17" t="s">
        <v>449</v>
      </c>
      <c r="K16" t="s">
        <v>469</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25">
      <c r="G17" s="11">
        <v>16</v>
      </c>
      <c r="H17" s="44">
        <v>586</v>
      </c>
      <c r="I17" t="s">
        <v>470</v>
      </c>
      <c r="J17" s="17" t="s">
        <v>471</v>
      </c>
      <c r="K17" t="s">
        <v>472</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25">
      <c r="G18" s="11">
        <v>17</v>
      </c>
      <c r="H18" s="44">
        <v>691</v>
      </c>
      <c r="I18" t="s">
        <v>473</v>
      </c>
      <c r="J18" s="17" t="s">
        <v>474</v>
      </c>
      <c r="K18" t="s">
        <v>475</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25">
      <c r="G19" s="11">
        <v>18</v>
      </c>
      <c r="H19" s="44">
        <v>600083</v>
      </c>
      <c r="I19" t="s">
        <v>476</v>
      </c>
      <c r="J19" s="17" t="s">
        <v>477</v>
      </c>
      <c r="K19" t="s">
        <v>477</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25">
      <c r="G20" s="11">
        <v>19</v>
      </c>
      <c r="H20" s="44">
        <v>300826</v>
      </c>
      <c r="I20" t="s">
        <v>478</v>
      </c>
      <c r="J20" s="17" t="s">
        <v>436</v>
      </c>
      <c r="K20" t="s">
        <v>479</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25">
      <c r="G21" s="11">
        <v>20</v>
      </c>
      <c r="H21" s="44">
        <v>600493</v>
      </c>
      <c r="I21" t="s">
        <v>480</v>
      </c>
      <c r="J21" s="17" t="s">
        <v>481</v>
      </c>
      <c r="K21" t="s">
        <v>482</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25">
      <c r="G22" s="11">
        <v>21</v>
      </c>
      <c r="H22" s="44">
        <v>300854</v>
      </c>
      <c r="I22" t="s">
        <v>483</v>
      </c>
      <c r="J22" s="17" t="s">
        <v>441</v>
      </c>
      <c r="K22" t="s">
        <v>442</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25">
      <c r="G23" s="11">
        <v>22</v>
      </c>
      <c r="H23" s="44">
        <v>300626</v>
      </c>
      <c r="I23" t="s">
        <v>484</v>
      </c>
      <c r="J23" s="17" t="s">
        <v>485</v>
      </c>
      <c r="K23" t="s">
        <v>486</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25">
      <c r="G24" s="11">
        <v>23</v>
      </c>
      <c r="H24" s="44">
        <v>300717</v>
      </c>
      <c r="I24" t="s">
        <v>487</v>
      </c>
      <c r="J24" s="17" t="s">
        <v>488</v>
      </c>
      <c r="K24" t="s">
        <v>489</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25">
      <c r="G25" s="11">
        <v>24</v>
      </c>
      <c r="H25" s="44">
        <v>300669</v>
      </c>
      <c r="I25" t="s">
        <v>490</v>
      </c>
      <c r="J25" s="17" t="s">
        <v>449</v>
      </c>
      <c r="K25" t="s">
        <v>460</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25">
      <c r="G26" s="11">
        <v>25</v>
      </c>
      <c r="H26" s="44">
        <v>603320</v>
      </c>
      <c r="I26" t="s">
        <v>491</v>
      </c>
      <c r="J26" s="17" t="s">
        <v>485</v>
      </c>
      <c r="K26" t="s">
        <v>486</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25">
      <c r="G27" s="11">
        <v>26</v>
      </c>
      <c r="H27" s="44">
        <v>603196</v>
      </c>
      <c r="I27" t="s">
        <v>492</v>
      </c>
      <c r="J27" s="17" t="s">
        <v>481</v>
      </c>
      <c r="K27" t="s">
        <v>493</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25">
      <c r="G28" s="11">
        <v>27</v>
      </c>
      <c r="H28" s="44">
        <v>2193</v>
      </c>
      <c r="I28" t="s">
        <v>494</v>
      </c>
      <c r="J28" s="17" t="s">
        <v>481</v>
      </c>
      <c r="K28" t="s">
        <v>482</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25">
      <c r="G29" s="11">
        <v>28</v>
      </c>
      <c r="H29" s="44">
        <v>600137</v>
      </c>
      <c r="I29" t="s">
        <v>495</v>
      </c>
      <c r="J29" s="17" t="s">
        <v>481</v>
      </c>
      <c r="K29" t="s">
        <v>493</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25">
      <c r="G30" s="11">
        <v>29</v>
      </c>
      <c r="H30" s="44">
        <v>603316</v>
      </c>
      <c r="I30" t="s">
        <v>496</v>
      </c>
      <c r="J30" s="17" t="s">
        <v>436</v>
      </c>
      <c r="K30" t="s">
        <v>497</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25">
      <c r="G31" s="11">
        <v>30</v>
      </c>
      <c r="H31" s="44">
        <v>300992</v>
      </c>
      <c r="I31" t="s">
        <v>498</v>
      </c>
      <c r="J31" s="17" t="s">
        <v>449</v>
      </c>
      <c r="K31" t="s">
        <v>450</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25">
      <c r="G32" s="11">
        <v>31</v>
      </c>
      <c r="H32" s="44">
        <v>301156</v>
      </c>
      <c r="I32" t="s">
        <v>499</v>
      </c>
      <c r="J32" s="17" t="s">
        <v>463</v>
      </c>
      <c r="K32" t="s">
        <v>500</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25">
      <c r="G33" s="11">
        <v>32</v>
      </c>
      <c r="H33" s="44">
        <v>300535</v>
      </c>
      <c r="I33" t="s">
        <v>501</v>
      </c>
      <c r="J33" s="17" t="s">
        <v>488</v>
      </c>
      <c r="K33" t="s">
        <v>502</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25">
      <c r="G34" s="11">
        <v>33</v>
      </c>
      <c r="H34" s="44">
        <v>300106</v>
      </c>
      <c r="I34" t="s">
        <v>503</v>
      </c>
      <c r="J34" s="17" t="s">
        <v>463</v>
      </c>
      <c r="K34" t="s">
        <v>504</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25">
      <c r="G35" s="11">
        <v>34</v>
      </c>
      <c r="H35" s="44">
        <v>600539</v>
      </c>
      <c r="I35" t="s">
        <v>505</v>
      </c>
      <c r="J35" s="17" t="s">
        <v>452</v>
      </c>
      <c r="K35" t="s">
        <v>453</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25">
      <c r="G36" s="11">
        <v>35</v>
      </c>
      <c r="H36" s="44">
        <v>300948</v>
      </c>
      <c r="I36" t="s">
        <v>506</v>
      </c>
      <c r="J36" s="17" t="s">
        <v>436</v>
      </c>
      <c r="K36" t="s">
        <v>497</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25">
      <c r="G37" s="11">
        <v>36</v>
      </c>
      <c r="H37" s="44">
        <v>300606</v>
      </c>
      <c r="I37" t="s">
        <v>507</v>
      </c>
      <c r="J37" s="17" t="s">
        <v>449</v>
      </c>
      <c r="K37" t="s">
        <v>450</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25">
      <c r="G38" s="11">
        <v>37</v>
      </c>
      <c r="H38" s="44">
        <v>301070</v>
      </c>
      <c r="I38" t="s">
        <v>508</v>
      </c>
      <c r="J38" s="17" t="s">
        <v>449</v>
      </c>
      <c r="K38" t="s">
        <v>450</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25">
      <c r="G39" s="11">
        <v>38</v>
      </c>
      <c r="H39" s="44">
        <v>2836</v>
      </c>
      <c r="I39" t="s">
        <v>509</v>
      </c>
      <c r="J39" s="17" t="s">
        <v>452</v>
      </c>
      <c r="K39" t="s">
        <v>510</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25">
      <c r="G40" s="11">
        <v>39</v>
      </c>
      <c r="H40" s="44">
        <v>300743</v>
      </c>
      <c r="I40" t="s">
        <v>511</v>
      </c>
      <c r="J40" s="17" t="s">
        <v>488</v>
      </c>
      <c r="K40" t="s">
        <v>502</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25">
      <c r="G41" s="11">
        <v>40</v>
      </c>
      <c r="H41" s="44">
        <v>2357</v>
      </c>
      <c r="I41" t="s">
        <v>512</v>
      </c>
      <c r="J41" s="17" t="s">
        <v>446</v>
      </c>
      <c r="K41" t="s">
        <v>513</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25">
      <c r="G42" s="11">
        <v>41</v>
      </c>
      <c r="H42" s="44">
        <v>605155</v>
      </c>
      <c r="I42" t="s">
        <v>514</v>
      </c>
      <c r="J42" s="17" t="s">
        <v>488</v>
      </c>
      <c r="K42" t="s">
        <v>502</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25">
      <c r="G43" s="11">
        <v>42</v>
      </c>
      <c r="H43" s="44">
        <v>300984</v>
      </c>
      <c r="I43" t="s">
        <v>515</v>
      </c>
      <c r="J43" s="17" t="s">
        <v>449</v>
      </c>
      <c r="K43" t="s">
        <v>450</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25">
      <c r="G44" s="11">
        <v>43</v>
      </c>
      <c r="H44" s="44">
        <v>300906</v>
      </c>
      <c r="I44" t="s">
        <v>516</v>
      </c>
      <c r="J44" s="17" t="s">
        <v>449</v>
      </c>
      <c r="K44" t="s">
        <v>469</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25">
      <c r="G45" s="11">
        <v>44</v>
      </c>
      <c r="H45" s="44">
        <v>300897</v>
      </c>
      <c r="I45" t="s">
        <v>517</v>
      </c>
      <c r="J45" s="17" t="s">
        <v>449</v>
      </c>
      <c r="K45" t="s">
        <v>518</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25">
      <c r="G46" s="11">
        <v>45</v>
      </c>
      <c r="H46" s="44">
        <v>605081</v>
      </c>
      <c r="I46" t="s">
        <v>519</v>
      </c>
      <c r="J46" s="17" t="s">
        <v>436</v>
      </c>
      <c r="K46" t="s">
        <v>497</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25">
      <c r="G47" s="11">
        <v>46</v>
      </c>
      <c r="H47" s="44">
        <v>301098</v>
      </c>
      <c r="I47" t="s">
        <v>520</v>
      </c>
      <c r="J47" s="17" t="s">
        <v>436</v>
      </c>
      <c r="K47" t="s">
        <v>497</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25">
      <c r="G48" s="11">
        <v>47</v>
      </c>
      <c r="H48" s="44">
        <v>301125</v>
      </c>
      <c r="I48" t="s">
        <v>521</v>
      </c>
      <c r="J48" s="17" t="s">
        <v>449</v>
      </c>
      <c r="K48" t="s">
        <v>450</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25">
      <c r="G49" s="11">
        <v>48</v>
      </c>
      <c r="H49" s="44">
        <v>301178</v>
      </c>
      <c r="I49" t="s">
        <v>522</v>
      </c>
      <c r="J49" s="17" t="s">
        <v>187</v>
      </c>
      <c r="K49" t="s">
        <v>523</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25">
      <c r="G50" s="11">
        <v>49</v>
      </c>
      <c r="H50" s="44">
        <v>2899</v>
      </c>
      <c r="I50" t="s">
        <v>524</v>
      </c>
      <c r="J50" s="17" t="s">
        <v>452</v>
      </c>
      <c r="K50" t="s">
        <v>453</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25">
      <c r="G51" s="11">
        <v>50</v>
      </c>
      <c r="H51" s="44">
        <v>301043</v>
      </c>
      <c r="I51" t="s">
        <v>525</v>
      </c>
      <c r="J51" s="17" t="s">
        <v>449</v>
      </c>
      <c r="K51" t="s">
        <v>450</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25">
      <c r="G52" s="11">
        <v>51</v>
      </c>
      <c r="H52" s="44">
        <v>1209</v>
      </c>
      <c r="I52" t="s">
        <v>526</v>
      </c>
      <c r="J52" s="17" t="s">
        <v>481</v>
      </c>
      <c r="K52" t="s">
        <v>493</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25">
      <c r="G53" s="11">
        <v>52</v>
      </c>
      <c r="H53" s="44">
        <v>603829</v>
      </c>
      <c r="I53" t="s">
        <v>527</v>
      </c>
      <c r="J53" s="17" t="s">
        <v>485</v>
      </c>
      <c r="K53" t="s">
        <v>528</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25">
      <c r="G54" s="11">
        <v>53</v>
      </c>
      <c r="H54" s="44">
        <v>603580</v>
      </c>
      <c r="I54" t="s">
        <v>529</v>
      </c>
      <c r="J54" s="17" t="s">
        <v>488</v>
      </c>
      <c r="K54" t="s">
        <v>489</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25">
      <c r="G55" s="11">
        <v>54</v>
      </c>
      <c r="H55" s="44">
        <v>603080</v>
      </c>
      <c r="I55" t="s">
        <v>530</v>
      </c>
      <c r="J55" s="17" t="s">
        <v>441</v>
      </c>
      <c r="K55" t="s">
        <v>531</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25">
      <c r="G56" s="11">
        <v>55</v>
      </c>
      <c r="H56" s="44">
        <v>300521</v>
      </c>
      <c r="I56" t="s">
        <v>532</v>
      </c>
      <c r="J56" s="17" t="s">
        <v>449</v>
      </c>
      <c r="K56" t="s">
        <v>460</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25">
      <c r="G57" s="11">
        <v>56</v>
      </c>
      <c r="H57" s="44">
        <v>300564</v>
      </c>
      <c r="I57" t="s">
        <v>533</v>
      </c>
      <c r="J57" s="17" t="s">
        <v>436</v>
      </c>
      <c r="K57" t="s">
        <v>534</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25">
      <c r="G58" s="11">
        <v>57</v>
      </c>
      <c r="H58" s="44">
        <v>300235</v>
      </c>
      <c r="I58" t="s">
        <v>535</v>
      </c>
      <c r="J58" s="17" t="s">
        <v>187</v>
      </c>
      <c r="K58" t="s">
        <v>523</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25">
      <c r="G59" s="11">
        <v>58</v>
      </c>
      <c r="H59" s="44">
        <v>2893</v>
      </c>
      <c r="I59" t="s">
        <v>536</v>
      </c>
      <c r="J59" s="17" t="s">
        <v>441</v>
      </c>
      <c r="K59" t="s">
        <v>537</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25">
      <c r="G60" s="11">
        <v>59</v>
      </c>
      <c r="H60" s="44">
        <v>301022</v>
      </c>
      <c r="I60" t="s">
        <v>538</v>
      </c>
      <c r="J60" s="17" t="s">
        <v>457</v>
      </c>
      <c r="K60" t="s">
        <v>458</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25">
      <c r="G61" s="11">
        <v>60</v>
      </c>
      <c r="H61" s="44">
        <v>2767</v>
      </c>
      <c r="I61" t="s">
        <v>539</v>
      </c>
      <c r="J61" s="17" t="s">
        <v>485</v>
      </c>
      <c r="K61" t="s">
        <v>540</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25">
      <c r="G62" s="11">
        <v>61</v>
      </c>
      <c r="H62" s="44">
        <v>301167</v>
      </c>
      <c r="I62" t="s">
        <v>541</v>
      </c>
      <c r="J62" s="17" t="s">
        <v>436</v>
      </c>
      <c r="K62" t="s">
        <v>534</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25">
      <c r="G63" s="11">
        <v>62</v>
      </c>
      <c r="H63" s="44">
        <v>300920</v>
      </c>
      <c r="I63" t="s">
        <v>542</v>
      </c>
      <c r="J63" s="17" t="s">
        <v>488</v>
      </c>
      <c r="K63" t="s">
        <v>489</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25">
      <c r="G64" s="11">
        <v>63</v>
      </c>
      <c r="H64" s="44">
        <v>300022</v>
      </c>
      <c r="I64" t="s">
        <v>543</v>
      </c>
      <c r="J64" s="17" t="s">
        <v>544</v>
      </c>
      <c r="K64" t="s">
        <v>545</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25">
      <c r="G65" s="11">
        <v>64</v>
      </c>
      <c r="H65" s="44">
        <v>300644</v>
      </c>
      <c r="I65" t="s">
        <v>546</v>
      </c>
      <c r="J65" s="17" t="s">
        <v>488</v>
      </c>
      <c r="K65" t="s">
        <v>489</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25">
      <c r="G66" s="11">
        <v>65</v>
      </c>
      <c r="H66" s="44">
        <v>2144</v>
      </c>
      <c r="I66" t="s">
        <v>547</v>
      </c>
      <c r="J66" s="17" t="s">
        <v>481</v>
      </c>
      <c r="K66" t="s">
        <v>482</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25">
      <c r="G67" s="11">
        <v>66</v>
      </c>
      <c r="H67" s="44">
        <v>300995</v>
      </c>
      <c r="I67" t="s">
        <v>548</v>
      </c>
      <c r="J67" s="17" t="s">
        <v>488</v>
      </c>
      <c r="K67" t="s">
        <v>489</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25">
      <c r="G68" s="11">
        <v>67</v>
      </c>
      <c r="H68" s="44">
        <v>301007</v>
      </c>
      <c r="I68" t="s">
        <v>549</v>
      </c>
      <c r="J68" s="17" t="s">
        <v>457</v>
      </c>
      <c r="K68" t="s">
        <v>458</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25">
      <c r="G69" s="11">
        <v>68</v>
      </c>
      <c r="H69" s="44">
        <v>300621</v>
      </c>
      <c r="I69" t="s">
        <v>550</v>
      </c>
      <c r="J69" s="17" t="s">
        <v>436</v>
      </c>
      <c r="K69" t="s">
        <v>455</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25">
      <c r="G70" s="11">
        <v>69</v>
      </c>
      <c r="H70" s="44">
        <v>301231</v>
      </c>
      <c r="I70" t="s">
        <v>551</v>
      </c>
      <c r="J70" s="17" t="s">
        <v>433</v>
      </c>
      <c r="K70" t="s">
        <v>434</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25">
      <c r="G71" s="11">
        <v>70</v>
      </c>
      <c r="H71" s="44">
        <v>300321</v>
      </c>
      <c r="I71" t="s">
        <v>552</v>
      </c>
      <c r="J71" s="17" t="s">
        <v>488</v>
      </c>
      <c r="K71" t="s">
        <v>489</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25">
      <c r="G72" s="11">
        <v>71</v>
      </c>
      <c r="H72" s="44">
        <v>301233</v>
      </c>
      <c r="I72" t="s">
        <v>553</v>
      </c>
      <c r="J72" s="17" t="s">
        <v>457</v>
      </c>
      <c r="K72" t="s">
        <v>458</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25">
      <c r="G73" s="11">
        <v>72</v>
      </c>
      <c r="H73" s="44">
        <v>2890</v>
      </c>
      <c r="I73" t="s">
        <v>554</v>
      </c>
      <c r="J73" s="17" t="s">
        <v>449</v>
      </c>
      <c r="K73" t="s">
        <v>460</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25">
      <c r="G74" s="11">
        <v>73</v>
      </c>
      <c r="H74" s="44">
        <v>603685</v>
      </c>
      <c r="I74" t="s">
        <v>555</v>
      </c>
      <c r="J74" s="17" t="s">
        <v>556</v>
      </c>
      <c r="K74" t="s">
        <v>557</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25">
      <c r="G75" s="11">
        <v>74</v>
      </c>
      <c r="H75" s="44">
        <v>600678</v>
      </c>
      <c r="I75" t="s">
        <v>558</v>
      </c>
      <c r="J75" s="17" t="s">
        <v>466</v>
      </c>
      <c r="K75" t="s">
        <v>559</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25">
      <c r="G76" s="11">
        <v>75</v>
      </c>
      <c r="H76" s="44">
        <v>301052</v>
      </c>
      <c r="I76" t="s">
        <v>560</v>
      </c>
      <c r="J76" s="17" t="s">
        <v>433</v>
      </c>
      <c r="K76" t="s">
        <v>434</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25">
      <c r="G77" s="11">
        <v>76</v>
      </c>
      <c r="H77" s="44">
        <v>300371</v>
      </c>
      <c r="I77" t="s">
        <v>561</v>
      </c>
      <c r="J77" s="17" t="s">
        <v>449</v>
      </c>
      <c r="K77" t="s">
        <v>518</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25">
      <c r="G78" s="11">
        <v>77</v>
      </c>
      <c r="H78" s="44">
        <v>14</v>
      </c>
      <c r="I78" t="s">
        <v>562</v>
      </c>
      <c r="J78" s="17" t="s">
        <v>474</v>
      </c>
      <c r="K78" t="s">
        <v>475</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25">
      <c r="G79" s="11">
        <v>78</v>
      </c>
      <c r="H79" s="44">
        <v>2295</v>
      </c>
      <c r="I79" t="s">
        <v>563</v>
      </c>
      <c r="J79" s="17" t="s">
        <v>178</v>
      </c>
      <c r="K79" t="s">
        <v>564</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25">
      <c r="G80" s="11">
        <v>79</v>
      </c>
      <c r="H80" s="44">
        <v>605298</v>
      </c>
      <c r="I80" t="s">
        <v>565</v>
      </c>
      <c r="J80" s="17" t="s">
        <v>449</v>
      </c>
      <c r="K80" t="s">
        <v>469</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25">
      <c r="G81" s="11">
        <v>80</v>
      </c>
      <c r="H81" s="44">
        <v>605318</v>
      </c>
      <c r="I81" t="s">
        <v>566</v>
      </c>
      <c r="J81" s="17" t="s">
        <v>466</v>
      </c>
      <c r="K81" t="s">
        <v>559</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25">
      <c r="G82" s="11">
        <v>81</v>
      </c>
      <c r="H82" s="44">
        <v>600689</v>
      </c>
      <c r="I82" t="s">
        <v>567</v>
      </c>
      <c r="J82" s="17" t="s">
        <v>481</v>
      </c>
      <c r="K82" t="s">
        <v>482</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25">
      <c r="G83" s="11">
        <v>82</v>
      </c>
      <c r="H83" s="44">
        <v>300635</v>
      </c>
      <c r="I83" t="s">
        <v>568</v>
      </c>
      <c r="J83" s="17" t="s">
        <v>436</v>
      </c>
      <c r="K83" t="s">
        <v>479</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25">
      <c r="G84" s="11">
        <v>83</v>
      </c>
      <c r="H84" s="44">
        <v>300947</v>
      </c>
      <c r="I84" t="s">
        <v>569</v>
      </c>
      <c r="J84" s="17" t="s">
        <v>544</v>
      </c>
      <c r="K84" t="s">
        <v>570</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25">
      <c r="G85" s="11">
        <v>84</v>
      </c>
      <c r="H85" s="44">
        <v>300778</v>
      </c>
      <c r="I85" t="s">
        <v>571</v>
      </c>
      <c r="J85" s="17" t="s">
        <v>436</v>
      </c>
      <c r="K85" t="s">
        <v>534</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25">
      <c r="G86" s="11">
        <v>85</v>
      </c>
      <c r="H86" s="44">
        <v>300886</v>
      </c>
      <c r="I86" t="s">
        <v>572</v>
      </c>
      <c r="J86" s="17" t="s">
        <v>488</v>
      </c>
      <c r="K86" t="s">
        <v>502</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25">
      <c r="G87" s="11">
        <v>86</v>
      </c>
      <c r="H87" s="44">
        <v>300637</v>
      </c>
      <c r="I87" t="s">
        <v>573</v>
      </c>
      <c r="J87" s="17" t="s">
        <v>488</v>
      </c>
      <c r="K87" t="s">
        <v>502</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25">
      <c r="G88" s="11">
        <v>87</v>
      </c>
      <c r="H88" s="44">
        <v>301045</v>
      </c>
      <c r="I88" t="s">
        <v>574</v>
      </c>
      <c r="J88" s="17" t="s">
        <v>556</v>
      </c>
      <c r="K88" t="s">
        <v>557</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25">
      <c r="G89" s="11">
        <v>88</v>
      </c>
      <c r="H89" s="44">
        <v>603637</v>
      </c>
      <c r="I89" t="s">
        <v>575</v>
      </c>
      <c r="J89" s="17" t="s">
        <v>436</v>
      </c>
      <c r="K89" t="s">
        <v>479</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25">
      <c r="G90" s="11">
        <v>89</v>
      </c>
      <c r="H90" s="44">
        <v>300970</v>
      </c>
      <c r="I90" t="s">
        <v>576</v>
      </c>
      <c r="J90" s="17" t="s">
        <v>463</v>
      </c>
      <c r="K90" t="s">
        <v>464</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25">
      <c r="G91" s="11">
        <v>90</v>
      </c>
      <c r="H91" s="44">
        <v>3017</v>
      </c>
      <c r="I91" t="s">
        <v>577</v>
      </c>
      <c r="J91" s="17" t="s">
        <v>488</v>
      </c>
      <c r="K91" t="s">
        <v>578</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25">
      <c r="G92" s="11">
        <v>91</v>
      </c>
      <c r="H92" s="44">
        <v>301131</v>
      </c>
      <c r="I92" t="s">
        <v>579</v>
      </c>
      <c r="J92" s="17" t="s">
        <v>488</v>
      </c>
      <c r="K92" t="s">
        <v>489</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25">
      <c r="G93" s="11">
        <v>92</v>
      </c>
      <c r="H93" s="44">
        <v>300991</v>
      </c>
      <c r="I93" t="s">
        <v>580</v>
      </c>
      <c r="J93" s="17" t="s">
        <v>556</v>
      </c>
      <c r="K93" t="s">
        <v>581</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25">
      <c r="G94" s="11">
        <v>93</v>
      </c>
      <c r="H94" s="44">
        <v>2921</v>
      </c>
      <c r="I94" t="s">
        <v>582</v>
      </c>
      <c r="J94" s="17" t="s">
        <v>457</v>
      </c>
      <c r="K94" t="s">
        <v>458</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25">
      <c r="G95" s="11">
        <v>94</v>
      </c>
      <c r="H95" s="44">
        <v>300851</v>
      </c>
      <c r="I95" t="s">
        <v>583</v>
      </c>
      <c r="J95" s="17" t="s">
        <v>449</v>
      </c>
      <c r="K95" t="s">
        <v>469</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25">
      <c r="G96" s="11">
        <v>95</v>
      </c>
      <c r="H96" s="44">
        <v>600319</v>
      </c>
      <c r="I96" t="s">
        <v>584</v>
      </c>
      <c r="J96" s="17" t="s">
        <v>488</v>
      </c>
      <c r="K96" t="s">
        <v>578</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25">
      <c r="G97" s="11">
        <v>96</v>
      </c>
      <c r="H97" s="44">
        <v>301041</v>
      </c>
      <c r="I97" t="s">
        <v>585</v>
      </c>
      <c r="J97" s="17" t="s">
        <v>556</v>
      </c>
      <c r="K97" t="s">
        <v>586</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25">
      <c r="G98" s="11">
        <v>97</v>
      </c>
      <c r="H98" s="44">
        <v>300597</v>
      </c>
      <c r="I98" t="s">
        <v>587</v>
      </c>
      <c r="J98" s="17" t="s">
        <v>471</v>
      </c>
      <c r="K98" t="s">
        <v>472</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25">
      <c r="G99" s="11">
        <v>98</v>
      </c>
      <c r="H99" s="44">
        <v>301183</v>
      </c>
      <c r="I99" t="s">
        <v>588</v>
      </c>
      <c r="J99" s="17" t="s">
        <v>556</v>
      </c>
      <c r="K99" t="s">
        <v>557</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25">
      <c r="G100" s="11">
        <v>99</v>
      </c>
      <c r="H100" s="44">
        <v>715</v>
      </c>
      <c r="I100" t="s">
        <v>589</v>
      </c>
      <c r="J100" s="17" t="s">
        <v>544</v>
      </c>
      <c r="K100" t="s">
        <v>590</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25">
      <c r="G101" s="11">
        <v>100</v>
      </c>
      <c r="H101" s="44">
        <v>1210</v>
      </c>
      <c r="I101" t="s">
        <v>591</v>
      </c>
      <c r="J101" s="17" t="s">
        <v>441</v>
      </c>
      <c r="K101" t="s">
        <v>537</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5" max="25" width="12.21875" style="7" bestFit="1" customWidth="1"/>
  </cols>
  <sheetData>
    <row r="1" spans="1:27" s="18" customFormat="1" ht="57.75" customHeight="1" x14ac:dyDescent="0.25">
      <c r="A1" s="23" t="s">
        <v>43</v>
      </c>
      <c r="B1" s="19" t="s">
        <v>410</v>
      </c>
      <c r="C1" s="19" t="s">
        <v>411</v>
      </c>
      <c r="D1" s="19" t="s">
        <v>313</v>
      </c>
      <c r="E1" s="22"/>
      <c r="F1" s="23" t="s">
        <v>169</v>
      </c>
      <c r="G1" s="20"/>
      <c r="H1" s="86" t="s">
        <v>409</v>
      </c>
      <c r="I1" s="86" t="s">
        <v>412</v>
      </c>
      <c r="J1" s="86" t="s">
        <v>413</v>
      </c>
      <c r="K1" s="86" t="s">
        <v>414</v>
      </c>
      <c r="L1" s="86" t="s">
        <v>415</v>
      </c>
      <c r="M1" s="86" t="s">
        <v>416</v>
      </c>
      <c r="N1" s="86" t="s">
        <v>417</v>
      </c>
      <c r="O1" s="86" t="s">
        <v>638</v>
      </c>
      <c r="P1" s="86" t="s">
        <v>639</v>
      </c>
      <c r="Q1" s="86" t="s">
        <v>423</v>
      </c>
      <c r="R1" s="86" t="s">
        <v>640</v>
      </c>
      <c r="S1" s="86" t="s">
        <v>641</v>
      </c>
      <c r="T1" s="86" t="s">
        <v>642</v>
      </c>
      <c r="U1" s="86" t="s">
        <v>643</v>
      </c>
      <c r="V1" s="86" t="s">
        <v>28</v>
      </c>
      <c r="W1" s="86" t="s">
        <v>644</v>
      </c>
      <c r="X1" s="86" t="s">
        <v>645</v>
      </c>
      <c r="Y1" s="18" t="s">
        <v>431</v>
      </c>
      <c r="AA1" s="87" t="s">
        <v>637</v>
      </c>
    </row>
    <row r="2" spans="1:27" x14ac:dyDescent="0.25">
      <c r="A2">
        <v>1</v>
      </c>
      <c r="B2">
        <v>600704</v>
      </c>
      <c r="C2" t="s">
        <v>790</v>
      </c>
      <c r="D2" t="e">
        <f t="shared" ref="D2:D11" si="0">MATCH(B2,$H$2:$H$3898,0)</f>
        <v>#N/A</v>
      </c>
      <c r="G2" s="11">
        <v>1</v>
      </c>
      <c r="H2" s="84">
        <v>603071</v>
      </c>
      <c r="I2" s="84" t="s">
        <v>646</v>
      </c>
      <c r="J2" s="84" t="s">
        <v>441</v>
      </c>
      <c r="K2" s="84" t="s">
        <v>537</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25">
      <c r="A3">
        <v>2</v>
      </c>
      <c r="B3">
        <v>601319</v>
      </c>
      <c r="C3" t="s">
        <v>663</v>
      </c>
      <c r="D3">
        <f t="shared" si="0"/>
        <v>13</v>
      </c>
      <c r="G3" s="11">
        <v>2</v>
      </c>
      <c r="H3" s="84">
        <v>600998</v>
      </c>
      <c r="I3" s="84" t="s">
        <v>647</v>
      </c>
      <c r="J3" s="84" t="s">
        <v>648</v>
      </c>
      <c r="K3" s="84" t="s">
        <v>649</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25">
      <c r="A4">
        <v>3</v>
      </c>
      <c r="B4">
        <v>601618</v>
      </c>
      <c r="C4" t="s">
        <v>658</v>
      </c>
      <c r="D4">
        <f t="shared" si="0"/>
        <v>8</v>
      </c>
      <c r="G4" s="11">
        <v>3</v>
      </c>
      <c r="H4" s="84">
        <v>600073</v>
      </c>
      <c r="I4" s="84" t="s">
        <v>650</v>
      </c>
      <c r="J4" s="84" t="s">
        <v>651</v>
      </c>
      <c r="K4" s="84" t="s">
        <v>652</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25">
      <c r="A5">
        <v>4</v>
      </c>
      <c r="B5">
        <v>600713</v>
      </c>
      <c r="C5" t="s">
        <v>659</v>
      </c>
      <c r="D5">
        <f t="shared" si="0"/>
        <v>9</v>
      </c>
      <c r="G5" s="11">
        <v>4</v>
      </c>
      <c r="H5" s="84">
        <v>600362</v>
      </c>
      <c r="I5" s="84" t="s">
        <v>653</v>
      </c>
      <c r="J5" s="84" t="s">
        <v>178</v>
      </c>
      <c r="K5" s="84" t="s">
        <v>564</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25">
      <c r="A6">
        <v>5</v>
      </c>
      <c r="B6">
        <v>600362</v>
      </c>
      <c r="C6" t="s">
        <v>653</v>
      </c>
      <c r="D6">
        <f t="shared" si="0"/>
        <v>4</v>
      </c>
      <c r="G6" s="11">
        <v>5</v>
      </c>
      <c r="H6" s="84">
        <v>600820</v>
      </c>
      <c r="I6" s="84" t="s">
        <v>654</v>
      </c>
      <c r="J6" s="84" t="s">
        <v>436</v>
      </c>
      <c r="K6" s="84" t="s">
        <v>437</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25">
      <c r="A7">
        <v>6</v>
      </c>
      <c r="B7">
        <v>2042</v>
      </c>
      <c r="C7" t="s">
        <v>791</v>
      </c>
      <c r="D7" t="e">
        <f t="shared" si="0"/>
        <v>#N/A</v>
      </c>
      <c r="G7" s="11">
        <v>6</v>
      </c>
      <c r="H7" s="84">
        <v>601607</v>
      </c>
      <c r="I7" s="84" t="s">
        <v>655</v>
      </c>
      <c r="J7" s="84" t="s">
        <v>648</v>
      </c>
      <c r="K7" s="84" t="s">
        <v>649</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25">
      <c r="A8">
        <v>7</v>
      </c>
      <c r="B8">
        <v>600710</v>
      </c>
      <c r="C8" t="s">
        <v>660</v>
      </c>
      <c r="D8">
        <f t="shared" si="0"/>
        <v>10</v>
      </c>
      <c r="G8" s="11">
        <v>7</v>
      </c>
      <c r="H8" s="84">
        <v>600755</v>
      </c>
      <c r="I8" s="84" t="s">
        <v>656</v>
      </c>
      <c r="J8" s="84" t="s">
        <v>544</v>
      </c>
      <c r="K8" s="84" t="s">
        <v>657</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25">
      <c r="A9">
        <v>8</v>
      </c>
      <c r="B9">
        <v>601186</v>
      </c>
      <c r="C9" t="s">
        <v>678</v>
      </c>
      <c r="D9">
        <f t="shared" si="0"/>
        <v>23</v>
      </c>
      <c r="G9" s="11">
        <v>8</v>
      </c>
      <c r="H9" s="84">
        <v>601618</v>
      </c>
      <c r="I9" s="84" t="s">
        <v>658</v>
      </c>
      <c r="J9" s="84" t="s">
        <v>436</v>
      </c>
      <c r="K9" s="84" t="s">
        <v>479</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25">
      <c r="A10">
        <v>9</v>
      </c>
      <c r="B10">
        <v>603071</v>
      </c>
      <c r="C10" t="s">
        <v>646</v>
      </c>
      <c r="D10">
        <f t="shared" si="0"/>
        <v>1</v>
      </c>
      <c r="G10" s="11">
        <v>9</v>
      </c>
      <c r="H10" s="84">
        <v>600713</v>
      </c>
      <c r="I10" s="84" t="s">
        <v>659</v>
      </c>
      <c r="J10" s="84" t="s">
        <v>648</v>
      </c>
      <c r="K10" s="84" t="s">
        <v>649</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25">
      <c r="A11">
        <v>10</v>
      </c>
      <c r="B11">
        <v>600820</v>
      </c>
      <c r="C11" t="s">
        <v>654</v>
      </c>
      <c r="D11">
        <f t="shared" si="0"/>
        <v>5</v>
      </c>
      <c r="G11" s="11">
        <v>10</v>
      </c>
      <c r="H11" s="84">
        <v>600710</v>
      </c>
      <c r="I11" s="84" t="s">
        <v>660</v>
      </c>
      <c r="J11" s="84" t="s">
        <v>544</v>
      </c>
      <c r="K11" s="84" t="s">
        <v>657</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25">
      <c r="G12" s="11">
        <v>11</v>
      </c>
      <c r="H12" s="84">
        <v>600133</v>
      </c>
      <c r="I12" s="84" t="s">
        <v>661</v>
      </c>
      <c r="J12" s="84" t="s">
        <v>436</v>
      </c>
      <c r="K12" s="84" t="s">
        <v>437</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25">
      <c r="G13" s="11">
        <v>12</v>
      </c>
      <c r="H13" s="84">
        <v>2788</v>
      </c>
      <c r="I13" s="84" t="s">
        <v>662</v>
      </c>
      <c r="J13" s="84" t="s">
        <v>648</v>
      </c>
      <c r="K13" s="84" t="s">
        <v>649</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25">
      <c r="G14" s="11">
        <v>13</v>
      </c>
      <c r="H14" s="84">
        <v>601319</v>
      </c>
      <c r="I14" s="84" t="s">
        <v>663</v>
      </c>
      <c r="J14" s="84" t="s">
        <v>664</v>
      </c>
      <c r="K14" s="84" t="s">
        <v>665</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25">
      <c r="G15" s="11">
        <v>14</v>
      </c>
      <c r="H15" s="84">
        <v>600741</v>
      </c>
      <c r="I15" s="84" t="s">
        <v>666</v>
      </c>
      <c r="J15" s="84" t="s">
        <v>457</v>
      </c>
      <c r="K15" s="84" t="s">
        <v>458</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25">
      <c r="G16" s="11">
        <v>15</v>
      </c>
      <c r="H16" s="84">
        <v>878</v>
      </c>
      <c r="I16" s="84" t="s">
        <v>667</v>
      </c>
      <c r="J16" s="84" t="s">
        <v>178</v>
      </c>
      <c r="K16" s="84" t="s">
        <v>564</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25">
      <c r="G17" s="11">
        <v>16</v>
      </c>
      <c r="H17" s="84">
        <v>906</v>
      </c>
      <c r="I17" s="84" t="s">
        <v>668</v>
      </c>
      <c r="J17" s="84" t="s">
        <v>446</v>
      </c>
      <c r="K17" s="84" t="s">
        <v>447</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25">
      <c r="G18" s="11">
        <v>17</v>
      </c>
      <c r="H18" s="84">
        <v>605599</v>
      </c>
      <c r="I18" s="84" t="s">
        <v>669</v>
      </c>
      <c r="J18" s="84" t="s">
        <v>452</v>
      </c>
      <c r="K18" s="84" t="s">
        <v>453</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25">
      <c r="G19" s="11">
        <v>18</v>
      </c>
      <c r="H19" s="84">
        <v>600967</v>
      </c>
      <c r="I19" s="84" t="s">
        <v>670</v>
      </c>
      <c r="J19" s="84" t="s">
        <v>671</v>
      </c>
      <c r="K19" s="84" t="s">
        <v>672</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25">
      <c r="G20" s="11">
        <v>19</v>
      </c>
      <c r="H20" s="84">
        <v>600057</v>
      </c>
      <c r="I20" s="84" t="s">
        <v>673</v>
      </c>
      <c r="J20" s="84" t="s">
        <v>446</v>
      </c>
      <c r="K20" s="84" t="s">
        <v>447</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25">
      <c r="G21" s="11">
        <v>20</v>
      </c>
      <c r="H21" s="84">
        <v>601766</v>
      </c>
      <c r="I21" s="84" t="s">
        <v>674</v>
      </c>
      <c r="J21" s="84" t="s">
        <v>449</v>
      </c>
      <c r="K21" s="84" t="s">
        <v>469</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25">
      <c r="G22" s="11">
        <v>21</v>
      </c>
      <c r="H22" s="84">
        <v>600015</v>
      </c>
      <c r="I22" s="84" t="s">
        <v>675</v>
      </c>
      <c r="J22" s="84" t="s">
        <v>676</v>
      </c>
      <c r="K22" s="84" t="s">
        <v>676</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25">
      <c r="G23" s="11">
        <v>22</v>
      </c>
      <c r="H23" s="84">
        <v>601916</v>
      </c>
      <c r="I23" s="84" t="s">
        <v>677</v>
      </c>
      <c r="J23" s="84" t="s">
        <v>676</v>
      </c>
      <c r="K23" s="84" t="s">
        <v>676</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25">
      <c r="G24" s="11">
        <v>23</v>
      </c>
      <c r="H24" s="84">
        <v>601186</v>
      </c>
      <c r="I24" s="84" t="s">
        <v>678</v>
      </c>
      <c r="J24" s="84" t="s">
        <v>436</v>
      </c>
      <c r="K24" s="84" t="s">
        <v>437</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25">
      <c r="G25" s="11">
        <v>24</v>
      </c>
      <c r="H25" s="84">
        <v>600098</v>
      </c>
      <c r="I25" s="84" t="s">
        <v>679</v>
      </c>
      <c r="J25" s="84" t="s">
        <v>441</v>
      </c>
      <c r="K25" s="84" t="s">
        <v>537</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25">
      <c r="G26" s="11">
        <v>25</v>
      </c>
      <c r="H26" s="84">
        <v>600612</v>
      </c>
      <c r="I26" s="84" t="s">
        <v>680</v>
      </c>
      <c r="J26" s="84" t="s">
        <v>452</v>
      </c>
      <c r="K26" s="84" t="s">
        <v>453</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25">
      <c r="G27" s="11">
        <v>26</v>
      </c>
      <c r="H27" s="84">
        <v>2091</v>
      </c>
      <c r="I27" s="84" t="s">
        <v>681</v>
      </c>
      <c r="J27" s="84" t="s">
        <v>544</v>
      </c>
      <c r="K27" s="84" t="s">
        <v>657</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25">
      <c r="G28" s="11">
        <v>27</v>
      </c>
      <c r="H28" s="84">
        <v>600835</v>
      </c>
      <c r="I28" s="84" t="s">
        <v>682</v>
      </c>
      <c r="J28" s="84" t="s">
        <v>449</v>
      </c>
      <c r="K28" s="84" t="s">
        <v>460</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25">
      <c r="G29" s="11">
        <v>28</v>
      </c>
      <c r="H29" s="84">
        <v>601598</v>
      </c>
      <c r="I29" s="84" t="s">
        <v>683</v>
      </c>
      <c r="J29" s="84" t="s">
        <v>446</v>
      </c>
      <c r="K29" s="84" t="s">
        <v>447</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25">
      <c r="G30" s="11">
        <v>29</v>
      </c>
      <c r="H30" s="84">
        <v>601857</v>
      </c>
      <c r="I30" s="84" t="s">
        <v>684</v>
      </c>
      <c r="J30" s="84" t="s">
        <v>685</v>
      </c>
      <c r="K30" s="84" t="s">
        <v>686</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25">
      <c r="G31" s="11">
        <v>30</v>
      </c>
      <c r="H31" s="84">
        <v>600737</v>
      </c>
      <c r="I31" s="84" t="s">
        <v>687</v>
      </c>
      <c r="J31" s="84" t="s">
        <v>463</v>
      </c>
      <c r="K31" s="84" t="s">
        <v>500</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25">
      <c r="G32" s="11">
        <v>31</v>
      </c>
      <c r="H32" s="84">
        <v>600261</v>
      </c>
      <c r="I32" s="84" t="s">
        <v>688</v>
      </c>
      <c r="J32" s="84" t="s">
        <v>556</v>
      </c>
      <c r="K32" s="84" t="s">
        <v>557</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25">
      <c r="G33" s="11">
        <v>32</v>
      </c>
      <c r="H33" s="84">
        <v>601997</v>
      </c>
      <c r="I33" s="84" t="s">
        <v>689</v>
      </c>
      <c r="J33" s="84" t="s">
        <v>676</v>
      </c>
      <c r="K33" s="84" t="s">
        <v>676</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25">
      <c r="G34" s="11">
        <v>33</v>
      </c>
      <c r="H34" s="84">
        <v>600008</v>
      </c>
      <c r="I34" s="84" t="s">
        <v>690</v>
      </c>
      <c r="J34" s="84" t="s">
        <v>441</v>
      </c>
      <c r="K34" s="84" t="s">
        <v>444</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25">
      <c r="G35" s="11">
        <v>34</v>
      </c>
      <c r="H35" s="84">
        <v>600655</v>
      </c>
      <c r="I35" s="84" t="s">
        <v>691</v>
      </c>
      <c r="J35" s="84" t="s">
        <v>544</v>
      </c>
      <c r="K35" s="84" t="s">
        <v>545</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25">
      <c r="G36" s="11">
        <v>35</v>
      </c>
      <c r="H36" s="84">
        <v>2391</v>
      </c>
      <c r="I36" s="84" t="s">
        <v>692</v>
      </c>
      <c r="J36" s="84" t="s">
        <v>488</v>
      </c>
      <c r="K36" s="84" t="s">
        <v>502</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25">
      <c r="G37" s="11">
        <v>36</v>
      </c>
      <c r="H37" s="84">
        <v>603967</v>
      </c>
      <c r="I37" s="84" t="s">
        <v>693</v>
      </c>
      <c r="J37" s="84" t="s">
        <v>446</v>
      </c>
      <c r="K37" s="84" t="s">
        <v>447</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25">
      <c r="G38" s="11">
        <v>37</v>
      </c>
      <c r="H38" s="84">
        <v>2061</v>
      </c>
      <c r="I38" s="84" t="s">
        <v>694</v>
      </c>
      <c r="J38" s="84" t="s">
        <v>436</v>
      </c>
      <c r="K38" s="84" t="s">
        <v>437</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25">
      <c r="G39" s="11">
        <v>38</v>
      </c>
      <c r="H39" s="84">
        <v>600582</v>
      </c>
      <c r="I39" s="84" t="s">
        <v>695</v>
      </c>
      <c r="J39" s="84" t="s">
        <v>449</v>
      </c>
      <c r="K39" s="84" t="s">
        <v>460</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25">
      <c r="G40" s="11">
        <v>39</v>
      </c>
      <c r="H40" s="84">
        <v>603689</v>
      </c>
      <c r="I40" s="84" t="s">
        <v>696</v>
      </c>
      <c r="J40" s="84" t="s">
        <v>441</v>
      </c>
      <c r="K40" s="84" t="s">
        <v>531</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25">
      <c r="G41" s="11">
        <v>40</v>
      </c>
      <c r="H41" s="84">
        <v>601390</v>
      </c>
      <c r="I41" s="84" t="s">
        <v>697</v>
      </c>
      <c r="J41" s="84" t="s">
        <v>436</v>
      </c>
      <c r="K41" s="84" t="s">
        <v>437</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25">
      <c r="G42" s="11">
        <v>41</v>
      </c>
      <c r="H42" s="84">
        <v>600985</v>
      </c>
      <c r="I42" s="84" t="s">
        <v>698</v>
      </c>
      <c r="J42" s="84" t="s">
        <v>685</v>
      </c>
      <c r="K42" s="84" t="s">
        <v>699</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25">
      <c r="G43" s="11">
        <v>42</v>
      </c>
      <c r="H43" s="84">
        <v>2081</v>
      </c>
      <c r="I43" s="84" t="s">
        <v>700</v>
      </c>
      <c r="J43" s="84" t="s">
        <v>436</v>
      </c>
      <c r="K43" s="84" t="s">
        <v>455</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25">
      <c r="G44" s="11">
        <v>43</v>
      </c>
      <c r="H44" s="84">
        <v>600143</v>
      </c>
      <c r="I44" s="84" t="s">
        <v>701</v>
      </c>
      <c r="J44" s="84" t="s">
        <v>488</v>
      </c>
      <c r="K44" s="84" t="s">
        <v>489</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25">
      <c r="G45" s="11">
        <v>44</v>
      </c>
      <c r="H45" s="84">
        <v>603368</v>
      </c>
      <c r="I45" s="84" t="s">
        <v>702</v>
      </c>
      <c r="J45" s="84" t="s">
        <v>648</v>
      </c>
      <c r="K45" s="84" t="s">
        <v>649</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25">
      <c r="G46" s="11">
        <v>45</v>
      </c>
      <c r="H46" s="84">
        <v>2479</v>
      </c>
      <c r="I46" s="84" t="s">
        <v>703</v>
      </c>
      <c r="J46" s="84" t="s">
        <v>441</v>
      </c>
      <c r="K46" s="84" t="s">
        <v>442</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25">
      <c r="G47" s="11">
        <v>46</v>
      </c>
      <c r="H47" s="84">
        <v>601336</v>
      </c>
      <c r="I47" s="84" t="s">
        <v>704</v>
      </c>
      <c r="J47" s="84" t="s">
        <v>664</v>
      </c>
      <c r="K47" s="84" t="s">
        <v>665</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25">
      <c r="G48" s="11">
        <v>47</v>
      </c>
      <c r="H48" s="84">
        <v>601577</v>
      </c>
      <c r="I48" s="84" t="s">
        <v>705</v>
      </c>
      <c r="J48" s="84" t="s">
        <v>676</v>
      </c>
      <c r="K48" s="84" t="s">
        <v>676</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25">
      <c r="G49" s="11">
        <v>48</v>
      </c>
      <c r="H49" s="84">
        <v>600016</v>
      </c>
      <c r="I49" s="84" t="s">
        <v>706</v>
      </c>
      <c r="J49" s="84" t="s">
        <v>676</v>
      </c>
      <c r="K49" s="84" t="s">
        <v>676</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25">
      <c r="G50" s="11">
        <v>49</v>
      </c>
      <c r="H50" s="84">
        <v>600795</v>
      </c>
      <c r="I50" s="84" t="s">
        <v>707</v>
      </c>
      <c r="J50" s="84" t="s">
        <v>441</v>
      </c>
      <c r="K50" s="84" t="s">
        <v>537</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25">
      <c r="G51" s="11">
        <v>50</v>
      </c>
      <c r="H51" s="84">
        <v>300388</v>
      </c>
      <c r="I51" s="84" t="s">
        <v>708</v>
      </c>
      <c r="J51" s="84" t="s">
        <v>441</v>
      </c>
      <c r="K51" s="84" t="s">
        <v>444</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25">
      <c r="G52" s="11">
        <v>51</v>
      </c>
      <c r="H52" s="84">
        <v>600578</v>
      </c>
      <c r="I52" s="84" t="s">
        <v>709</v>
      </c>
      <c r="J52" s="84" t="s">
        <v>441</v>
      </c>
      <c r="K52" s="84" t="s">
        <v>537</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25">
      <c r="G53" s="11">
        <v>52</v>
      </c>
      <c r="H53" s="84">
        <v>601818</v>
      </c>
      <c r="I53" s="84" t="s">
        <v>710</v>
      </c>
      <c r="J53" s="84" t="s">
        <v>676</v>
      </c>
      <c r="K53" s="84" t="s">
        <v>676</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25">
      <c r="G54" s="11">
        <v>53</v>
      </c>
      <c r="H54" s="84">
        <v>603600</v>
      </c>
      <c r="I54" s="84" t="s">
        <v>711</v>
      </c>
      <c r="J54" s="84" t="s">
        <v>452</v>
      </c>
      <c r="K54" s="84" t="s">
        <v>453</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25">
      <c r="G55" s="11">
        <v>54</v>
      </c>
      <c r="H55" s="84">
        <v>600502</v>
      </c>
      <c r="I55" s="84" t="s">
        <v>712</v>
      </c>
      <c r="J55" s="84" t="s">
        <v>436</v>
      </c>
      <c r="K55" s="84" t="s">
        <v>437</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25">
      <c r="G56" s="11">
        <v>55</v>
      </c>
      <c r="H56" s="84">
        <v>895</v>
      </c>
      <c r="I56" s="84" t="s">
        <v>713</v>
      </c>
      <c r="J56" s="84" t="s">
        <v>651</v>
      </c>
      <c r="K56" s="84" t="s">
        <v>652</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25">
      <c r="G57" s="11">
        <v>56</v>
      </c>
      <c r="H57" s="84">
        <v>2249</v>
      </c>
      <c r="I57" s="84" t="s">
        <v>714</v>
      </c>
      <c r="J57" s="84" t="s">
        <v>485</v>
      </c>
      <c r="K57" s="84" t="s">
        <v>486</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25">
      <c r="G58" s="11">
        <v>57</v>
      </c>
      <c r="H58" s="84">
        <v>601665</v>
      </c>
      <c r="I58" s="84" t="s">
        <v>715</v>
      </c>
      <c r="J58" s="84" t="s">
        <v>676</v>
      </c>
      <c r="K58" s="84" t="s">
        <v>676</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25">
      <c r="G59" s="11">
        <v>58</v>
      </c>
      <c r="H59" s="84">
        <v>605138</v>
      </c>
      <c r="I59" s="84" t="s">
        <v>716</v>
      </c>
      <c r="J59" s="84" t="s">
        <v>481</v>
      </c>
      <c r="K59" s="84" t="s">
        <v>493</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25">
      <c r="G60" s="11">
        <v>59</v>
      </c>
      <c r="H60" s="84">
        <v>601077</v>
      </c>
      <c r="I60" s="84" t="s">
        <v>717</v>
      </c>
      <c r="J60" s="84" t="s">
        <v>676</v>
      </c>
      <c r="K60" s="84" t="s">
        <v>676</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25">
      <c r="G61" s="11">
        <v>60</v>
      </c>
      <c r="H61" s="84">
        <v>2948</v>
      </c>
      <c r="I61" s="84" t="s">
        <v>718</v>
      </c>
      <c r="J61" s="84" t="s">
        <v>676</v>
      </c>
      <c r="K61" s="84" t="s">
        <v>676</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25">
      <c r="G62" s="11">
        <v>61</v>
      </c>
      <c r="H62" s="84">
        <v>603408</v>
      </c>
      <c r="I62" s="84" t="s">
        <v>719</v>
      </c>
      <c r="J62" s="84" t="s">
        <v>452</v>
      </c>
      <c r="K62" s="84" t="s">
        <v>453</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25">
      <c r="G63" s="11">
        <v>62</v>
      </c>
      <c r="H63" s="84">
        <v>2381</v>
      </c>
      <c r="I63" s="84" t="s">
        <v>720</v>
      </c>
      <c r="J63" s="84" t="s">
        <v>488</v>
      </c>
      <c r="K63" s="84" t="s">
        <v>721</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25">
      <c r="G64" s="11">
        <v>63</v>
      </c>
      <c r="H64" s="84">
        <v>601117</v>
      </c>
      <c r="I64" s="84" t="s">
        <v>722</v>
      </c>
      <c r="J64" s="84" t="s">
        <v>436</v>
      </c>
      <c r="K64" s="84" t="s">
        <v>479</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25">
      <c r="G65" s="11">
        <v>64</v>
      </c>
      <c r="H65" s="84">
        <v>605066</v>
      </c>
      <c r="I65" s="84" t="s">
        <v>723</v>
      </c>
      <c r="J65" s="84" t="s">
        <v>485</v>
      </c>
      <c r="K65" s="84" t="s">
        <v>528</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25">
      <c r="G66" s="11">
        <v>65</v>
      </c>
      <c r="H66" s="84">
        <v>600968</v>
      </c>
      <c r="I66" s="84" t="s">
        <v>724</v>
      </c>
      <c r="J66" s="84" t="s">
        <v>685</v>
      </c>
      <c r="K66" s="84" t="s">
        <v>725</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25">
      <c r="G67" s="11">
        <v>66</v>
      </c>
      <c r="H67" s="84">
        <v>300639</v>
      </c>
      <c r="I67" s="84" t="s">
        <v>726</v>
      </c>
      <c r="J67" s="84" t="s">
        <v>648</v>
      </c>
      <c r="K67" s="84" t="s">
        <v>194</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25">
      <c r="G68" s="11">
        <v>67</v>
      </c>
      <c r="H68" s="84">
        <v>600803</v>
      </c>
      <c r="I68" s="84" t="s">
        <v>727</v>
      </c>
      <c r="J68" s="84" t="s">
        <v>441</v>
      </c>
      <c r="K68" s="84" t="s">
        <v>531</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25">
      <c r="G69" s="11">
        <v>68</v>
      </c>
      <c r="H69" s="84">
        <v>601800</v>
      </c>
      <c r="I69" s="84" t="s">
        <v>728</v>
      </c>
      <c r="J69" s="84" t="s">
        <v>436</v>
      </c>
      <c r="K69" s="84" t="s">
        <v>437</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25">
      <c r="G70" s="11">
        <v>69</v>
      </c>
      <c r="H70" s="84">
        <v>2533</v>
      </c>
      <c r="I70" s="84" t="s">
        <v>729</v>
      </c>
      <c r="J70" s="84" t="s">
        <v>485</v>
      </c>
      <c r="K70" s="84" t="s">
        <v>528</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25">
      <c r="G71" s="11">
        <v>70</v>
      </c>
      <c r="H71" s="84">
        <v>600039</v>
      </c>
      <c r="I71" s="84" t="s">
        <v>730</v>
      </c>
      <c r="J71" s="84" t="s">
        <v>436</v>
      </c>
      <c r="K71" s="84" t="s">
        <v>437</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25">
      <c r="G72" s="11">
        <v>71</v>
      </c>
      <c r="H72" s="84">
        <v>498</v>
      </c>
      <c r="I72" s="84" t="s">
        <v>731</v>
      </c>
      <c r="J72" s="84" t="s">
        <v>436</v>
      </c>
      <c r="K72" s="84" t="s">
        <v>437</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25">
      <c r="G73" s="11">
        <v>72</v>
      </c>
      <c r="H73" s="84">
        <v>603968</v>
      </c>
      <c r="I73" s="84" t="s">
        <v>732</v>
      </c>
      <c r="J73" s="84" t="s">
        <v>488</v>
      </c>
      <c r="K73" s="84" t="s">
        <v>502</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25">
      <c r="G74" s="11">
        <v>73</v>
      </c>
      <c r="H74" s="84">
        <v>600665</v>
      </c>
      <c r="I74" s="84" t="s">
        <v>733</v>
      </c>
      <c r="J74" s="84" t="s">
        <v>474</v>
      </c>
      <c r="K74" s="84" t="s">
        <v>475</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25">
      <c r="G75" s="11">
        <v>74</v>
      </c>
      <c r="H75" s="84">
        <v>600433</v>
      </c>
      <c r="I75" s="84" t="s">
        <v>734</v>
      </c>
      <c r="J75" s="84" t="s">
        <v>452</v>
      </c>
      <c r="K75" s="84" t="s">
        <v>735</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25">
      <c r="G76" s="11">
        <v>75</v>
      </c>
      <c r="H76" s="84">
        <v>601231</v>
      </c>
      <c r="I76" s="84" t="s">
        <v>736</v>
      </c>
      <c r="J76" s="84" t="s">
        <v>556</v>
      </c>
      <c r="K76" s="84" t="s">
        <v>581</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25">
      <c r="G77" s="11">
        <v>76</v>
      </c>
      <c r="H77" s="84">
        <v>600210</v>
      </c>
      <c r="I77" s="84" t="s">
        <v>737</v>
      </c>
      <c r="J77" s="84" t="s">
        <v>452</v>
      </c>
      <c r="K77" s="84" t="s">
        <v>510</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25">
      <c r="G78" s="11">
        <v>77</v>
      </c>
      <c r="H78" s="84">
        <v>48</v>
      </c>
      <c r="I78" s="84" t="s">
        <v>738</v>
      </c>
      <c r="J78" s="84" t="s">
        <v>463</v>
      </c>
      <c r="K78" s="84" t="s">
        <v>739</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25">
      <c r="G79" s="11">
        <v>78</v>
      </c>
      <c r="H79" s="84">
        <v>601168</v>
      </c>
      <c r="I79" s="84" t="s">
        <v>740</v>
      </c>
      <c r="J79" s="84" t="s">
        <v>178</v>
      </c>
      <c r="K79" s="84" t="s">
        <v>564</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25">
      <c r="G80" s="11">
        <v>79</v>
      </c>
      <c r="H80" s="84">
        <v>2258</v>
      </c>
      <c r="I80" s="84" t="s">
        <v>741</v>
      </c>
      <c r="J80" s="84" t="s">
        <v>488</v>
      </c>
      <c r="K80" s="84" t="s">
        <v>502</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25">
      <c r="G81" s="11">
        <v>80</v>
      </c>
      <c r="H81" s="84">
        <v>603323</v>
      </c>
      <c r="I81" s="84" t="s">
        <v>742</v>
      </c>
      <c r="J81" s="84" t="s">
        <v>676</v>
      </c>
      <c r="K81" s="84" t="s">
        <v>676</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25">
      <c r="G82" s="11">
        <v>81</v>
      </c>
      <c r="H82" s="84">
        <v>600479</v>
      </c>
      <c r="I82" s="84" t="s">
        <v>743</v>
      </c>
      <c r="J82" s="84" t="s">
        <v>648</v>
      </c>
      <c r="K82" s="84" t="s">
        <v>744</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25">
      <c r="G83" s="11">
        <v>82</v>
      </c>
      <c r="H83" s="84">
        <v>589</v>
      </c>
      <c r="I83" s="84" t="s">
        <v>745</v>
      </c>
      <c r="J83" s="84" t="s">
        <v>488</v>
      </c>
      <c r="K83" s="84" t="s">
        <v>721</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25">
      <c r="G84" s="11">
        <v>83</v>
      </c>
      <c r="H84" s="84">
        <v>600060</v>
      </c>
      <c r="I84" s="84" t="s">
        <v>746</v>
      </c>
      <c r="J84" s="84" t="s">
        <v>747</v>
      </c>
      <c r="K84" s="84" t="s">
        <v>748</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25">
      <c r="G85" s="11">
        <v>84</v>
      </c>
      <c r="H85" s="84">
        <v>601898</v>
      </c>
      <c r="I85" s="84" t="s">
        <v>749</v>
      </c>
      <c r="J85" s="84" t="s">
        <v>685</v>
      </c>
      <c r="K85" s="84" t="s">
        <v>699</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25">
      <c r="G86" s="11">
        <v>85</v>
      </c>
      <c r="H86" s="84">
        <v>601169</v>
      </c>
      <c r="I86" s="84" t="s">
        <v>750</v>
      </c>
      <c r="J86" s="84" t="s">
        <v>676</v>
      </c>
      <c r="K86" s="84" t="s">
        <v>676</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25">
      <c r="G87" s="11">
        <v>86</v>
      </c>
      <c r="H87" s="84">
        <v>2839</v>
      </c>
      <c r="I87" s="84" t="s">
        <v>751</v>
      </c>
      <c r="J87" s="84" t="s">
        <v>676</v>
      </c>
      <c r="K87" s="84" t="s">
        <v>676</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25">
      <c r="G88" s="11">
        <v>87</v>
      </c>
      <c r="H88" s="84">
        <v>601860</v>
      </c>
      <c r="I88" s="84" t="s">
        <v>752</v>
      </c>
      <c r="J88" s="84" t="s">
        <v>676</v>
      </c>
      <c r="K88" s="84" t="s">
        <v>676</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25">
      <c r="G89" s="11">
        <v>88</v>
      </c>
      <c r="H89" s="84">
        <v>2022</v>
      </c>
      <c r="I89" s="84" t="s">
        <v>753</v>
      </c>
      <c r="J89" s="84" t="s">
        <v>648</v>
      </c>
      <c r="K89" s="84" t="s">
        <v>194</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25">
      <c r="G90" s="11">
        <v>89</v>
      </c>
      <c r="H90" s="84">
        <v>2100</v>
      </c>
      <c r="I90" s="84" t="s">
        <v>754</v>
      </c>
      <c r="J90" s="84" t="s">
        <v>463</v>
      </c>
      <c r="K90" s="84" t="s">
        <v>739</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25">
      <c r="G91" s="11">
        <v>90</v>
      </c>
      <c r="H91" s="84">
        <v>601921</v>
      </c>
      <c r="I91" s="84" t="s">
        <v>755</v>
      </c>
      <c r="J91" s="84" t="s">
        <v>433</v>
      </c>
      <c r="K91" s="84" t="s">
        <v>434</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25">
      <c r="G92" s="11">
        <v>91</v>
      </c>
      <c r="H92" s="84">
        <v>600089</v>
      </c>
      <c r="I92" s="84" t="s">
        <v>756</v>
      </c>
      <c r="J92" s="84" t="s">
        <v>485</v>
      </c>
      <c r="K92" s="84" t="s">
        <v>528</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25">
      <c r="G93" s="11">
        <v>92</v>
      </c>
      <c r="H93" s="84">
        <v>605368</v>
      </c>
      <c r="I93" s="84" t="s">
        <v>757</v>
      </c>
      <c r="J93" s="84" t="s">
        <v>441</v>
      </c>
      <c r="K93" s="84" t="s">
        <v>531</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25">
      <c r="G94" s="11">
        <v>93</v>
      </c>
      <c r="H94" s="84">
        <v>600050</v>
      </c>
      <c r="I94" s="84" t="s">
        <v>758</v>
      </c>
      <c r="J94" s="84" t="s">
        <v>471</v>
      </c>
      <c r="K94" s="84" t="s">
        <v>759</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25">
      <c r="G95" s="11">
        <v>94</v>
      </c>
      <c r="H95" s="84">
        <v>600096</v>
      </c>
      <c r="I95" s="84" t="s">
        <v>760</v>
      </c>
      <c r="J95" s="84" t="s">
        <v>488</v>
      </c>
      <c r="K95" s="84" t="s">
        <v>502</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25">
      <c r="G96" s="11">
        <v>95</v>
      </c>
      <c r="H96" s="84">
        <v>603558</v>
      </c>
      <c r="I96" s="84" t="s">
        <v>761</v>
      </c>
      <c r="J96" s="84" t="s">
        <v>481</v>
      </c>
      <c r="K96" s="84" t="s">
        <v>493</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25">
      <c r="G97" s="11">
        <v>96</v>
      </c>
      <c r="H97" s="84">
        <v>3019</v>
      </c>
      <c r="I97" s="84" t="s">
        <v>762</v>
      </c>
      <c r="J97" s="84" t="s">
        <v>556</v>
      </c>
      <c r="K97" s="84" t="s">
        <v>557</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25">
      <c r="G98" s="11">
        <v>97</v>
      </c>
      <c r="H98" s="84">
        <v>2404</v>
      </c>
      <c r="I98" s="84" t="s">
        <v>763</v>
      </c>
      <c r="J98" s="84" t="s">
        <v>481</v>
      </c>
      <c r="K98" s="84" t="s">
        <v>482</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25">
      <c r="G99" s="11">
        <v>98</v>
      </c>
      <c r="H99" s="84">
        <v>600761</v>
      </c>
      <c r="I99" s="84" t="s">
        <v>764</v>
      </c>
      <c r="J99" s="84" t="s">
        <v>449</v>
      </c>
      <c r="K99" s="84" t="s">
        <v>460</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25">
      <c r="G100" s="11">
        <v>99</v>
      </c>
      <c r="H100" s="84">
        <v>603095</v>
      </c>
      <c r="I100" s="84" t="s">
        <v>765</v>
      </c>
      <c r="J100" s="84" t="s">
        <v>449</v>
      </c>
      <c r="K100" s="84" t="s">
        <v>460</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25">
      <c r="G101" s="11">
        <v>100</v>
      </c>
      <c r="H101" s="84">
        <v>601229</v>
      </c>
      <c r="I101" s="84" t="s">
        <v>766</v>
      </c>
      <c r="J101" s="84" t="s">
        <v>676</v>
      </c>
      <c r="K101" s="84" t="s">
        <v>676</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6.3" x14ac:dyDescent="0.25"/>
  <cols>
    <col min="1" max="1" width="10.44140625" customWidth="1"/>
    <col min="2" max="2" width="10.109375" customWidth="1"/>
    <col min="3" max="3" width="13.6640625" bestFit="1" customWidth="1"/>
    <col min="4" max="4" width="9.44140625" customWidth="1"/>
    <col min="5" max="5" width="11.44140625" customWidth="1"/>
    <col min="6" max="6" width="10.88671875" customWidth="1"/>
    <col min="7" max="7" width="4.5546875" style="11" customWidth="1"/>
    <col min="8" max="8" width="9.6640625" style="44" customWidth="1"/>
    <col min="9" max="9" width="9.5546875" customWidth="1"/>
    <col min="10" max="10" width="12.44140625" style="17" customWidth="1"/>
    <col min="11" max="11" width="10.21875" customWidth="1"/>
    <col min="14" max="14" width="9" style="39"/>
    <col min="16" max="16" width="9" style="39"/>
    <col min="18" max="18" width="9" style="39"/>
    <col min="21" max="21" width="9" style="39"/>
    <col min="23" max="23" width="9" style="39"/>
    <col min="25" max="25" width="12.21875" style="7" bestFit="1" customWidth="1"/>
  </cols>
  <sheetData>
    <row r="1" spans="1:27" s="18" customFormat="1" ht="44.35" customHeight="1" x14ac:dyDescent="0.25">
      <c r="A1" s="23" t="s">
        <v>43</v>
      </c>
      <c r="B1" s="19" t="s">
        <v>410</v>
      </c>
      <c r="C1" s="19" t="s">
        <v>411</v>
      </c>
      <c r="D1" s="19" t="s">
        <v>313</v>
      </c>
      <c r="E1" s="22"/>
      <c r="F1" s="23" t="s">
        <v>169</v>
      </c>
      <c r="G1" s="20"/>
      <c r="H1" s="86" t="s">
        <v>409</v>
      </c>
      <c r="I1" s="86" t="s">
        <v>412</v>
      </c>
      <c r="J1" s="86" t="s">
        <v>413</v>
      </c>
      <c r="K1" s="86" t="s">
        <v>414</v>
      </c>
      <c r="L1" s="86" t="s">
        <v>415</v>
      </c>
      <c r="M1" s="86" t="s">
        <v>416</v>
      </c>
      <c r="N1" s="86" t="s">
        <v>417</v>
      </c>
      <c r="O1" s="86" t="s">
        <v>793</v>
      </c>
      <c r="P1" s="86" t="s">
        <v>794</v>
      </c>
      <c r="Q1" s="86" t="s">
        <v>795</v>
      </c>
      <c r="R1" s="86" t="s">
        <v>796</v>
      </c>
      <c r="S1" s="86" t="s">
        <v>797</v>
      </c>
      <c r="T1" s="86" t="s">
        <v>643</v>
      </c>
      <c r="U1" s="86" t="s">
        <v>798</v>
      </c>
      <c r="V1" s="86" t="s">
        <v>28</v>
      </c>
      <c r="W1" s="86" t="s">
        <v>645</v>
      </c>
      <c r="X1" s="86" t="s">
        <v>799</v>
      </c>
      <c r="Y1" s="18" t="s">
        <v>431</v>
      </c>
      <c r="AA1" s="87" t="s">
        <v>792</v>
      </c>
    </row>
    <row r="2" spans="1:27" x14ac:dyDescent="0.25">
      <c r="A2">
        <v>1</v>
      </c>
      <c r="B2">
        <v>895</v>
      </c>
      <c r="C2" t="s">
        <v>713</v>
      </c>
      <c r="D2">
        <f t="shared" ref="D2:D11" si="0">MATCH(B2,$H$2:$H$3879,0)</f>
        <v>1</v>
      </c>
      <c r="G2" s="11">
        <v>1</v>
      </c>
      <c r="H2" s="85">
        <v>895</v>
      </c>
      <c r="I2" s="85" t="s">
        <v>713</v>
      </c>
      <c r="J2" s="85" t="s">
        <v>651</v>
      </c>
      <c r="K2" s="85" t="s">
        <v>652</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25">
      <c r="A3">
        <v>2</v>
      </c>
      <c r="B3">
        <v>600867</v>
      </c>
      <c r="C3" t="s">
        <v>821</v>
      </c>
      <c r="D3">
        <f t="shared" si="0"/>
        <v>31</v>
      </c>
      <c r="G3" s="11">
        <v>2</v>
      </c>
      <c r="H3" s="85">
        <v>601156</v>
      </c>
      <c r="I3" s="85" t="s">
        <v>800</v>
      </c>
      <c r="J3" s="85" t="s">
        <v>446</v>
      </c>
      <c r="K3" s="85" t="s">
        <v>447</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25">
      <c r="A4">
        <v>3</v>
      </c>
      <c r="B4">
        <v>600612</v>
      </c>
      <c r="C4" t="s">
        <v>680</v>
      </c>
      <c r="D4">
        <f t="shared" si="0"/>
        <v>88</v>
      </c>
      <c r="G4" s="11">
        <v>3</v>
      </c>
      <c r="H4" s="85">
        <v>429</v>
      </c>
      <c r="I4" s="85" t="s">
        <v>801</v>
      </c>
      <c r="J4" s="85" t="s">
        <v>446</v>
      </c>
      <c r="K4" s="85" t="s">
        <v>802</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25">
      <c r="A5">
        <v>4</v>
      </c>
      <c r="B5">
        <v>600177</v>
      </c>
      <c r="C5" t="s">
        <v>828</v>
      </c>
      <c r="D5">
        <f t="shared" si="0"/>
        <v>47</v>
      </c>
      <c r="G5" s="11">
        <v>4</v>
      </c>
      <c r="H5" s="85">
        <v>600179</v>
      </c>
      <c r="I5" s="85" t="s">
        <v>803</v>
      </c>
      <c r="J5" s="85" t="s">
        <v>446</v>
      </c>
      <c r="K5" s="85" t="s">
        <v>447</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25">
      <c r="A6">
        <v>5</v>
      </c>
      <c r="B6">
        <v>651</v>
      </c>
      <c r="C6" t="s">
        <v>780</v>
      </c>
      <c r="D6">
        <f t="shared" si="0"/>
        <v>23</v>
      </c>
      <c r="G6" s="11">
        <v>5</v>
      </c>
      <c r="H6" s="85">
        <v>603071</v>
      </c>
      <c r="I6" s="85" t="s">
        <v>646</v>
      </c>
      <c r="J6" s="85" t="s">
        <v>441</v>
      </c>
      <c r="K6" s="85" t="s">
        <v>537</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25">
      <c r="A7">
        <v>6</v>
      </c>
      <c r="B7">
        <v>429</v>
      </c>
      <c r="C7" t="s">
        <v>801</v>
      </c>
      <c r="D7">
        <f t="shared" si="0"/>
        <v>3</v>
      </c>
      <c r="G7" s="11">
        <v>6</v>
      </c>
      <c r="H7" s="85">
        <v>600519</v>
      </c>
      <c r="I7" s="85" t="s">
        <v>804</v>
      </c>
      <c r="J7" s="85" t="s">
        <v>651</v>
      </c>
      <c r="K7" s="85" t="s">
        <v>784</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25">
      <c r="A8">
        <v>7</v>
      </c>
      <c r="B8">
        <v>600519</v>
      </c>
      <c r="C8" t="s">
        <v>804</v>
      </c>
      <c r="D8">
        <f t="shared" si="0"/>
        <v>6</v>
      </c>
      <c r="G8" s="11">
        <v>7</v>
      </c>
      <c r="H8" s="85">
        <v>600039</v>
      </c>
      <c r="I8" s="85" t="s">
        <v>730</v>
      </c>
      <c r="J8" s="85" t="s">
        <v>436</v>
      </c>
      <c r="K8" s="85" t="s">
        <v>437</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25">
      <c r="A9">
        <v>8</v>
      </c>
      <c r="B9">
        <v>2030</v>
      </c>
      <c r="C9" t="s">
        <v>824</v>
      </c>
      <c r="D9">
        <f t="shared" si="0"/>
        <v>37</v>
      </c>
      <c r="G9" s="11">
        <v>8</v>
      </c>
      <c r="H9" s="85">
        <v>600064</v>
      </c>
      <c r="I9" s="85" t="s">
        <v>805</v>
      </c>
      <c r="J9" s="85" t="s">
        <v>474</v>
      </c>
      <c r="K9" s="85" t="s">
        <v>806</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25">
      <c r="A10">
        <v>9</v>
      </c>
      <c r="B10">
        <v>600179</v>
      </c>
      <c r="C10" t="s">
        <v>803</v>
      </c>
      <c r="D10">
        <f t="shared" si="0"/>
        <v>4</v>
      </c>
      <c r="G10" s="11">
        <v>9</v>
      </c>
      <c r="H10" s="85">
        <v>600461</v>
      </c>
      <c r="I10" s="85" t="s">
        <v>807</v>
      </c>
      <c r="J10" s="85" t="s">
        <v>441</v>
      </c>
      <c r="K10" s="85" t="s">
        <v>444</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25">
      <c r="A11">
        <v>10</v>
      </c>
      <c r="B11">
        <v>603408</v>
      </c>
      <c r="C11" t="s">
        <v>719</v>
      </c>
      <c r="D11">
        <f t="shared" si="0"/>
        <v>24</v>
      </c>
      <c r="G11" s="11">
        <v>10</v>
      </c>
      <c r="H11" s="85">
        <v>600598</v>
      </c>
      <c r="I11" s="85" t="s">
        <v>808</v>
      </c>
      <c r="J11" s="85" t="s">
        <v>463</v>
      </c>
      <c r="K11" s="85" t="s">
        <v>464</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25">
      <c r="G12" s="11">
        <v>11</v>
      </c>
      <c r="H12" s="85">
        <v>600018</v>
      </c>
      <c r="I12" s="85" t="s">
        <v>809</v>
      </c>
      <c r="J12" s="85" t="s">
        <v>446</v>
      </c>
      <c r="K12" s="85" t="s">
        <v>810</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25">
      <c r="G13" s="11">
        <v>12</v>
      </c>
      <c r="H13" s="85">
        <v>601009</v>
      </c>
      <c r="I13" s="85" t="s">
        <v>778</v>
      </c>
      <c r="J13" s="85" t="s">
        <v>676</v>
      </c>
      <c r="K13" s="85" t="s">
        <v>676</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25">
      <c r="G14" s="11">
        <v>13</v>
      </c>
      <c r="H14" s="85">
        <v>601827</v>
      </c>
      <c r="I14" s="85" t="s">
        <v>786</v>
      </c>
      <c r="J14" s="85" t="s">
        <v>441</v>
      </c>
      <c r="K14" s="85" t="s">
        <v>442</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25">
      <c r="G15" s="11">
        <v>14</v>
      </c>
      <c r="H15" s="85">
        <v>600790</v>
      </c>
      <c r="I15" s="85" t="s">
        <v>811</v>
      </c>
      <c r="J15" s="85" t="s">
        <v>544</v>
      </c>
      <c r="K15" s="85" t="s">
        <v>570</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25">
      <c r="G16" s="11">
        <v>15</v>
      </c>
      <c r="H16" s="85">
        <v>600857</v>
      </c>
      <c r="I16" s="85" t="s">
        <v>812</v>
      </c>
      <c r="J16" s="85" t="s">
        <v>544</v>
      </c>
      <c r="K16" s="85" t="s">
        <v>590</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25">
      <c r="G17" s="11">
        <v>16</v>
      </c>
      <c r="H17" s="85">
        <v>2311</v>
      </c>
      <c r="I17" s="85" t="s">
        <v>813</v>
      </c>
      <c r="J17" s="85" t="s">
        <v>463</v>
      </c>
      <c r="K17" s="85" t="s">
        <v>739</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25">
      <c r="G18" s="11">
        <v>17</v>
      </c>
      <c r="H18" s="85">
        <v>601939</v>
      </c>
      <c r="I18" s="85" t="s">
        <v>814</v>
      </c>
      <c r="J18" s="85" t="s">
        <v>676</v>
      </c>
      <c r="K18" s="85" t="s">
        <v>676</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25">
      <c r="G19" s="11">
        <v>18</v>
      </c>
      <c r="H19" s="85">
        <v>600919</v>
      </c>
      <c r="I19" s="85" t="s">
        <v>768</v>
      </c>
      <c r="J19" s="85" t="s">
        <v>676</v>
      </c>
      <c r="K19" s="85" t="s">
        <v>676</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25">
      <c r="G20" s="11">
        <v>19</v>
      </c>
      <c r="H20" s="85">
        <v>603002</v>
      </c>
      <c r="I20" s="85" t="s">
        <v>779</v>
      </c>
      <c r="J20" s="85" t="s">
        <v>488</v>
      </c>
      <c r="K20" s="85" t="s">
        <v>502</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25">
      <c r="G21" s="11">
        <v>20</v>
      </c>
      <c r="H21" s="85">
        <v>605599</v>
      </c>
      <c r="I21" s="85" t="s">
        <v>669</v>
      </c>
      <c r="J21" s="85" t="s">
        <v>452</v>
      </c>
      <c r="K21" s="85" t="s">
        <v>453</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25">
      <c r="G22" s="11">
        <v>21</v>
      </c>
      <c r="H22" s="85">
        <v>603095</v>
      </c>
      <c r="I22" s="85" t="s">
        <v>765</v>
      </c>
      <c r="J22" s="85" t="s">
        <v>449</v>
      </c>
      <c r="K22" s="85" t="s">
        <v>460</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25">
      <c r="G23" s="11">
        <v>22</v>
      </c>
      <c r="H23" s="85">
        <v>601825</v>
      </c>
      <c r="I23" s="85" t="s">
        <v>776</v>
      </c>
      <c r="J23" s="85" t="s">
        <v>676</v>
      </c>
      <c r="K23" s="85" t="s">
        <v>676</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25">
      <c r="G24" s="11">
        <v>23</v>
      </c>
      <c r="H24" s="85">
        <v>651</v>
      </c>
      <c r="I24" s="85" t="s">
        <v>780</v>
      </c>
      <c r="J24" s="85" t="s">
        <v>747</v>
      </c>
      <c r="K24" s="85" t="s">
        <v>767</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25">
      <c r="G25" s="11">
        <v>24</v>
      </c>
      <c r="H25" s="85">
        <v>603408</v>
      </c>
      <c r="I25" s="85" t="s">
        <v>719</v>
      </c>
      <c r="J25" s="85" t="s">
        <v>452</v>
      </c>
      <c r="K25" s="85" t="s">
        <v>453</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25">
      <c r="G26" s="11">
        <v>25</v>
      </c>
      <c r="H26" s="85">
        <v>598</v>
      </c>
      <c r="I26" s="85" t="s">
        <v>815</v>
      </c>
      <c r="J26" s="85" t="s">
        <v>441</v>
      </c>
      <c r="K26" s="85" t="s">
        <v>444</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25">
      <c r="G27" s="11">
        <v>26</v>
      </c>
      <c r="H27" s="85">
        <v>2266</v>
      </c>
      <c r="I27" s="85" t="s">
        <v>816</v>
      </c>
      <c r="J27" s="85" t="s">
        <v>441</v>
      </c>
      <c r="K27" s="85" t="s">
        <v>442</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25">
      <c r="G28" s="11">
        <v>27</v>
      </c>
      <c r="H28" s="85">
        <v>600887</v>
      </c>
      <c r="I28" s="85" t="s">
        <v>770</v>
      </c>
      <c r="J28" s="85" t="s">
        <v>651</v>
      </c>
      <c r="K28" s="85" t="s">
        <v>652</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25">
      <c r="G29" s="11">
        <v>28</v>
      </c>
      <c r="H29" s="85">
        <v>605006</v>
      </c>
      <c r="I29" s="85" t="s">
        <v>817</v>
      </c>
      <c r="J29" s="85" t="s">
        <v>488</v>
      </c>
      <c r="K29" s="85" t="s">
        <v>502</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25">
      <c r="G30" s="11">
        <v>29</v>
      </c>
      <c r="H30" s="85">
        <v>600273</v>
      </c>
      <c r="I30" s="85" t="s">
        <v>818</v>
      </c>
      <c r="J30" s="85" t="s">
        <v>488</v>
      </c>
      <c r="K30" s="85" t="s">
        <v>502</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25">
      <c r="G31" s="11">
        <v>30</v>
      </c>
      <c r="H31" s="85">
        <v>601919</v>
      </c>
      <c r="I31" s="85" t="s">
        <v>819</v>
      </c>
      <c r="J31" s="85" t="s">
        <v>446</v>
      </c>
      <c r="K31" s="85" t="s">
        <v>820</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25">
      <c r="G32" s="11">
        <v>31</v>
      </c>
      <c r="H32" s="85">
        <v>600867</v>
      </c>
      <c r="I32" s="85" t="s">
        <v>821</v>
      </c>
      <c r="J32" s="85" t="s">
        <v>648</v>
      </c>
      <c r="K32" s="85" t="s">
        <v>822</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25">
      <c r="G33" s="11">
        <v>32</v>
      </c>
      <c r="H33" s="85">
        <v>601166</v>
      </c>
      <c r="I33" s="85" t="s">
        <v>777</v>
      </c>
      <c r="J33" s="85" t="s">
        <v>676</v>
      </c>
      <c r="K33" s="85" t="s">
        <v>676</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25">
      <c r="G34" s="11">
        <v>33</v>
      </c>
      <c r="H34" s="85">
        <v>600704</v>
      </c>
      <c r="I34" s="85" t="s">
        <v>790</v>
      </c>
      <c r="J34" s="85" t="s">
        <v>446</v>
      </c>
      <c r="K34" s="85" t="s">
        <v>447</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25">
      <c r="G35" s="11">
        <v>34</v>
      </c>
      <c r="H35" s="85">
        <v>601128</v>
      </c>
      <c r="I35" s="85" t="s">
        <v>772</v>
      </c>
      <c r="J35" s="85" t="s">
        <v>676</v>
      </c>
      <c r="K35" s="85" t="s">
        <v>676</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25">
      <c r="G36" s="11">
        <v>35</v>
      </c>
      <c r="H36" s="85">
        <v>601298</v>
      </c>
      <c r="I36" s="85" t="s">
        <v>823</v>
      </c>
      <c r="J36" s="85" t="s">
        <v>446</v>
      </c>
      <c r="K36" s="85" t="s">
        <v>810</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25">
      <c r="G37" s="11">
        <v>36</v>
      </c>
      <c r="H37" s="85">
        <v>601997</v>
      </c>
      <c r="I37" s="85" t="s">
        <v>689</v>
      </c>
      <c r="J37" s="85" t="s">
        <v>676</v>
      </c>
      <c r="K37" s="85" t="s">
        <v>676</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25">
      <c r="G38" s="11">
        <v>37</v>
      </c>
      <c r="H38" s="85">
        <v>2030</v>
      </c>
      <c r="I38" s="85" t="s">
        <v>824</v>
      </c>
      <c r="J38" s="85" t="s">
        <v>648</v>
      </c>
      <c r="K38" s="85" t="s">
        <v>194</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25">
      <c r="G39" s="11">
        <v>38</v>
      </c>
      <c r="H39" s="85">
        <v>600008</v>
      </c>
      <c r="I39" s="85" t="s">
        <v>690</v>
      </c>
      <c r="J39" s="85" t="s">
        <v>441</v>
      </c>
      <c r="K39" s="85" t="s">
        <v>444</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25">
      <c r="G40" s="11">
        <v>39</v>
      </c>
      <c r="H40" s="85">
        <v>603156</v>
      </c>
      <c r="I40" s="85" t="s">
        <v>825</v>
      </c>
      <c r="J40" s="85" t="s">
        <v>651</v>
      </c>
      <c r="K40" s="85" t="s">
        <v>784</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25">
      <c r="G41" s="11">
        <v>40</v>
      </c>
      <c r="H41" s="85">
        <v>600901</v>
      </c>
      <c r="I41" s="85" t="s">
        <v>787</v>
      </c>
      <c r="J41" s="85" t="s">
        <v>664</v>
      </c>
      <c r="K41" s="85" t="s">
        <v>788</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25">
      <c r="G42" s="11">
        <v>41</v>
      </c>
      <c r="H42" s="85">
        <v>601158</v>
      </c>
      <c r="I42" s="85" t="s">
        <v>826</v>
      </c>
      <c r="J42" s="85" t="s">
        <v>441</v>
      </c>
      <c r="K42" s="85" t="s">
        <v>444</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25">
      <c r="G43" s="11">
        <v>42</v>
      </c>
      <c r="H43" s="85">
        <v>601577</v>
      </c>
      <c r="I43" s="85" t="s">
        <v>705</v>
      </c>
      <c r="J43" s="85" t="s">
        <v>676</v>
      </c>
      <c r="K43" s="85" t="s">
        <v>676</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25">
      <c r="G44" s="11">
        <v>43</v>
      </c>
      <c r="H44" s="85">
        <v>601665</v>
      </c>
      <c r="I44" s="85" t="s">
        <v>715</v>
      </c>
      <c r="J44" s="85" t="s">
        <v>676</v>
      </c>
      <c r="K44" s="85" t="s">
        <v>676</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25">
      <c r="G45" s="11">
        <v>44</v>
      </c>
      <c r="H45" s="85">
        <v>601229</v>
      </c>
      <c r="I45" s="85" t="s">
        <v>766</v>
      </c>
      <c r="J45" s="85" t="s">
        <v>676</v>
      </c>
      <c r="K45" s="85" t="s">
        <v>676</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25">
      <c r="G46" s="11">
        <v>45</v>
      </c>
      <c r="H46" s="85">
        <v>605368</v>
      </c>
      <c r="I46" s="85" t="s">
        <v>757</v>
      </c>
      <c r="J46" s="85" t="s">
        <v>441</v>
      </c>
      <c r="K46" s="85" t="s">
        <v>531</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25">
      <c r="G47" s="11">
        <v>46</v>
      </c>
      <c r="H47" s="85">
        <v>601398</v>
      </c>
      <c r="I47" s="85" t="s">
        <v>827</v>
      </c>
      <c r="J47" s="85" t="s">
        <v>676</v>
      </c>
      <c r="K47" s="85" t="s">
        <v>676</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25">
      <c r="G48" s="11">
        <v>47</v>
      </c>
      <c r="H48" s="85">
        <v>600177</v>
      </c>
      <c r="I48" s="85" t="s">
        <v>828</v>
      </c>
      <c r="J48" s="85" t="s">
        <v>474</v>
      </c>
      <c r="K48" s="85" t="s">
        <v>475</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25">
      <c r="G49" s="11">
        <v>48</v>
      </c>
      <c r="H49" s="85">
        <v>600674</v>
      </c>
      <c r="I49" s="85" t="s">
        <v>829</v>
      </c>
      <c r="J49" s="85" t="s">
        <v>441</v>
      </c>
      <c r="K49" s="85" t="s">
        <v>537</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25">
      <c r="G50" s="11">
        <v>49</v>
      </c>
      <c r="H50" s="85">
        <v>2677</v>
      </c>
      <c r="I50" s="85" t="s">
        <v>830</v>
      </c>
      <c r="J50" s="85" t="s">
        <v>747</v>
      </c>
      <c r="K50" s="85" t="s">
        <v>767</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25">
      <c r="G51" s="11">
        <v>50</v>
      </c>
      <c r="H51" s="85">
        <v>600660</v>
      </c>
      <c r="I51" s="85" t="s">
        <v>831</v>
      </c>
      <c r="J51" s="85" t="s">
        <v>457</v>
      </c>
      <c r="K51" s="85" t="s">
        <v>458</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25">
      <c r="G52" s="11">
        <v>51</v>
      </c>
      <c r="H52" s="85">
        <v>600323</v>
      </c>
      <c r="I52" s="85" t="s">
        <v>832</v>
      </c>
      <c r="J52" s="85" t="s">
        <v>441</v>
      </c>
      <c r="K52" s="85" t="s">
        <v>442</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25">
      <c r="G53" s="11">
        <v>52</v>
      </c>
      <c r="H53" s="85">
        <v>600926</v>
      </c>
      <c r="I53" s="85" t="s">
        <v>782</v>
      </c>
      <c r="J53" s="85" t="s">
        <v>676</v>
      </c>
      <c r="K53" s="85" t="s">
        <v>676</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25">
      <c r="G54" s="11">
        <v>53</v>
      </c>
      <c r="H54" s="85">
        <v>600377</v>
      </c>
      <c r="I54" s="85" t="s">
        <v>833</v>
      </c>
      <c r="J54" s="85" t="s">
        <v>446</v>
      </c>
      <c r="K54" s="85" t="s">
        <v>802</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25">
      <c r="G55" s="11">
        <v>54</v>
      </c>
      <c r="H55" s="85">
        <v>601187</v>
      </c>
      <c r="I55" s="85" t="s">
        <v>771</v>
      </c>
      <c r="J55" s="85" t="s">
        <v>676</v>
      </c>
      <c r="K55" s="85" t="s">
        <v>676</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25">
      <c r="G56" s="11">
        <v>55</v>
      </c>
      <c r="H56" s="85">
        <v>603323</v>
      </c>
      <c r="I56" s="85" t="s">
        <v>742</v>
      </c>
      <c r="J56" s="85" t="s">
        <v>676</v>
      </c>
      <c r="K56" s="85" t="s">
        <v>676</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25">
      <c r="G57" s="11">
        <v>56</v>
      </c>
      <c r="H57" s="85">
        <v>3816</v>
      </c>
      <c r="I57" s="85" t="s">
        <v>834</v>
      </c>
      <c r="J57" s="85" t="s">
        <v>441</v>
      </c>
      <c r="K57" s="85" t="s">
        <v>537</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25">
      <c r="G58" s="11">
        <v>57</v>
      </c>
      <c r="H58" s="85">
        <v>2032</v>
      </c>
      <c r="I58" s="85" t="s">
        <v>835</v>
      </c>
      <c r="J58" s="85" t="s">
        <v>747</v>
      </c>
      <c r="K58" s="85" t="s">
        <v>767</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25">
      <c r="G59" s="11">
        <v>58</v>
      </c>
      <c r="H59" s="85">
        <v>600900</v>
      </c>
      <c r="I59" s="85" t="s">
        <v>836</v>
      </c>
      <c r="J59" s="85" t="s">
        <v>441</v>
      </c>
      <c r="K59" s="85" t="s">
        <v>537</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25">
      <c r="G60" s="11">
        <v>59</v>
      </c>
      <c r="H60" s="85">
        <v>848</v>
      </c>
      <c r="I60" s="85" t="s">
        <v>783</v>
      </c>
      <c r="J60" s="85" t="s">
        <v>651</v>
      </c>
      <c r="K60" s="85" t="s">
        <v>784</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25">
      <c r="G61" s="11">
        <v>60</v>
      </c>
      <c r="H61" s="85">
        <v>601288</v>
      </c>
      <c r="I61" s="85" t="s">
        <v>789</v>
      </c>
      <c r="J61" s="85" t="s">
        <v>676</v>
      </c>
      <c r="K61" s="85" t="s">
        <v>676</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25">
      <c r="G62" s="11">
        <v>61</v>
      </c>
      <c r="H62" s="85">
        <v>2839</v>
      </c>
      <c r="I62" s="85" t="s">
        <v>751</v>
      </c>
      <c r="J62" s="85" t="s">
        <v>676</v>
      </c>
      <c r="K62" s="85" t="s">
        <v>676</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25">
      <c r="G63" s="11">
        <v>62</v>
      </c>
      <c r="H63" s="85">
        <v>2293</v>
      </c>
      <c r="I63" s="85" t="s">
        <v>837</v>
      </c>
      <c r="J63" s="85" t="s">
        <v>481</v>
      </c>
      <c r="K63" s="85" t="s">
        <v>493</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25">
      <c r="G64" s="11">
        <v>63</v>
      </c>
      <c r="H64" s="85">
        <v>600681</v>
      </c>
      <c r="I64" s="85" t="s">
        <v>838</v>
      </c>
      <c r="J64" s="85" t="s">
        <v>441</v>
      </c>
      <c r="K64" s="85" t="s">
        <v>531</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25">
      <c r="G65" s="11">
        <v>64</v>
      </c>
      <c r="H65" s="85">
        <v>601963</v>
      </c>
      <c r="I65" s="85" t="s">
        <v>769</v>
      </c>
      <c r="J65" s="85" t="s">
        <v>676</v>
      </c>
      <c r="K65" s="85" t="s">
        <v>676</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25">
      <c r="G66" s="11">
        <v>65</v>
      </c>
      <c r="H66" s="85">
        <v>601918</v>
      </c>
      <c r="I66" s="85" t="s">
        <v>839</v>
      </c>
      <c r="J66" s="85" t="s">
        <v>685</v>
      </c>
      <c r="K66" s="85" t="s">
        <v>699</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25">
      <c r="G67" s="11">
        <v>66</v>
      </c>
      <c r="H67" s="85">
        <v>600908</v>
      </c>
      <c r="I67" s="85" t="s">
        <v>775</v>
      </c>
      <c r="J67" s="85" t="s">
        <v>676</v>
      </c>
      <c r="K67" s="85" t="s">
        <v>676</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25">
      <c r="G68" s="11">
        <v>67</v>
      </c>
      <c r="H68" s="85">
        <v>601113</v>
      </c>
      <c r="I68" s="85" t="s">
        <v>840</v>
      </c>
      <c r="J68" s="85" t="s">
        <v>544</v>
      </c>
      <c r="K68" s="85" t="s">
        <v>590</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25">
      <c r="G69" s="11">
        <v>68</v>
      </c>
      <c r="H69" s="85">
        <v>601006</v>
      </c>
      <c r="I69" s="85" t="s">
        <v>841</v>
      </c>
      <c r="J69" s="85" t="s">
        <v>446</v>
      </c>
      <c r="K69" s="85" t="s">
        <v>842</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25">
      <c r="G70" s="11">
        <v>69</v>
      </c>
      <c r="H70" s="85">
        <v>601077</v>
      </c>
      <c r="I70" s="85" t="s">
        <v>717</v>
      </c>
      <c r="J70" s="85" t="s">
        <v>676</v>
      </c>
      <c r="K70" s="85" t="s">
        <v>676</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25">
      <c r="G71" s="11">
        <v>70</v>
      </c>
      <c r="H71" s="85">
        <v>600025</v>
      </c>
      <c r="I71" s="85" t="s">
        <v>843</v>
      </c>
      <c r="J71" s="85" t="s">
        <v>441</v>
      </c>
      <c r="K71" s="85" t="s">
        <v>537</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25">
      <c r="G72" s="11">
        <v>71</v>
      </c>
      <c r="H72" s="85">
        <v>2966</v>
      </c>
      <c r="I72" s="85" t="s">
        <v>773</v>
      </c>
      <c r="J72" s="85" t="s">
        <v>676</v>
      </c>
      <c r="K72" s="85" t="s">
        <v>676</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25">
      <c r="G73" s="11">
        <v>72</v>
      </c>
      <c r="H73" s="85">
        <v>601860</v>
      </c>
      <c r="I73" s="85" t="s">
        <v>752</v>
      </c>
      <c r="J73" s="85" t="s">
        <v>676</v>
      </c>
      <c r="K73" s="85" t="s">
        <v>676</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25">
      <c r="G74" s="11">
        <v>73</v>
      </c>
      <c r="H74" s="85">
        <v>600905</v>
      </c>
      <c r="I74" s="85" t="s">
        <v>844</v>
      </c>
      <c r="J74" s="85" t="s">
        <v>441</v>
      </c>
      <c r="K74" s="85" t="s">
        <v>537</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25">
      <c r="G75" s="11">
        <v>74</v>
      </c>
      <c r="H75" s="85">
        <v>600176</v>
      </c>
      <c r="I75" s="85" t="s">
        <v>845</v>
      </c>
      <c r="J75" s="85" t="s">
        <v>488</v>
      </c>
      <c r="K75" s="85" t="s">
        <v>502</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25">
      <c r="G76" s="11">
        <v>75</v>
      </c>
      <c r="H76" s="85">
        <v>601328</v>
      </c>
      <c r="I76" s="85" t="s">
        <v>774</v>
      </c>
      <c r="J76" s="85" t="s">
        <v>676</v>
      </c>
      <c r="K76" s="85" t="s">
        <v>676</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25">
      <c r="G77" s="11">
        <v>76</v>
      </c>
      <c r="H77" s="85">
        <v>2179</v>
      </c>
      <c r="I77" s="85" t="s">
        <v>846</v>
      </c>
      <c r="J77" s="85" t="s">
        <v>671</v>
      </c>
      <c r="K77" s="85" t="s">
        <v>847</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25">
      <c r="G78" s="11">
        <v>77</v>
      </c>
      <c r="H78" s="85">
        <v>2831</v>
      </c>
      <c r="I78" s="85" t="s">
        <v>848</v>
      </c>
      <c r="J78" s="85" t="s">
        <v>452</v>
      </c>
      <c r="K78" s="85" t="s">
        <v>510</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25">
      <c r="G79" s="11">
        <v>78</v>
      </c>
      <c r="H79" s="85">
        <v>601985</v>
      </c>
      <c r="I79" s="85" t="s">
        <v>849</v>
      </c>
      <c r="J79" s="85" t="s">
        <v>441</v>
      </c>
      <c r="K79" s="85" t="s">
        <v>537</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25">
      <c r="G80" s="11">
        <v>79</v>
      </c>
      <c r="H80" s="85">
        <v>600807</v>
      </c>
      <c r="I80" s="85" t="s">
        <v>850</v>
      </c>
      <c r="J80" s="85" t="s">
        <v>474</v>
      </c>
      <c r="K80" s="85" t="s">
        <v>475</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25">
      <c r="G81" s="11">
        <v>80</v>
      </c>
      <c r="H81" s="85">
        <v>603587</v>
      </c>
      <c r="I81" s="85" t="s">
        <v>851</v>
      </c>
      <c r="J81" s="85" t="s">
        <v>481</v>
      </c>
      <c r="K81" s="85" t="s">
        <v>493</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25">
      <c r="G82" s="11">
        <v>81</v>
      </c>
      <c r="H82" s="85">
        <v>603195</v>
      </c>
      <c r="I82" s="85" t="s">
        <v>852</v>
      </c>
      <c r="J82" s="85" t="s">
        <v>452</v>
      </c>
      <c r="K82" s="85" t="s">
        <v>453</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25">
      <c r="G83" s="11">
        <v>82</v>
      </c>
      <c r="H83" s="85">
        <v>601988</v>
      </c>
      <c r="I83" s="85" t="s">
        <v>853</v>
      </c>
      <c r="J83" s="85" t="s">
        <v>676</v>
      </c>
      <c r="K83" s="85" t="s">
        <v>676</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25">
      <c r="G84" s="11">
        <v>83</v>
      </c>
      <c r="H84" s="85">
        <v>2258</v>
      </c>
      <c r="I84" s="85" t="s">
        <v>741</v>
      </c>
      <c r="J84" s="85" t="s">
        <v>488</v>
      </c>
      <c r="K84" s="85" t="s">
        <v>502</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25">
      <c r="G85" s="11">
        <v>84</v>
      </c>
      <c r="H85" s="85">
        <v>601818</v>
      </c>
      <c r="I85" s="85" t="s">
        <v>710</v>
      </c>
      <c r="J85" s="85" t="s">
        <v>676</v>
      </c>
      <c r="K85" s="85" t="s">
        <v>676</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25">
      <c r="G86" s="11">
        <v>85</v>
      </c>
      <c r="H86" s="85">
        <v>601319</v>
      </c>
      <c r="I86" s="85" t="s">
        <v>663</v>
      </c>
      <c r="J86" s="85" t="s">
        <v>664</v>
      </c>
      <c r="K86" s="85" t="s">
        <v>665</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25">
      <c r="G87" s="11">
        <v>86</v>
      </c>
      <c r="H87" s="85">
        <v>600368</v>
      </c>
      <c r="I87" s="85" t="s">
        <v>854</v>
      </c>
      <c r="J87" s="85" t="s">
        <v>446</v>
      </c>
      <c r="K87" s="85" t="s">
        <v>802</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25">
      <c r="G88" s="11">
        <v>87</v>
      </c>
      <c r="H88" s="85">
        <v>600309</v>
      </c>
      <c r="I88" s="85" t="s">
        <v>855</v>
      </c>
      <c r="J88" s="85" t="s">
        <v>488</v>
      </c>
      <c r="K88" s="85" t="s">
        <v>502</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25">
      <c r="G89" s="11">
        <v>88</v>
      </c>
      <c r="H89" s="85">
        <v>600612</v>
      </c>
      <c r="I89" s="85" t="s">
        <v>680</v>
      </c>
      <c r="J89" s="85" t="s">
        <v>452</v>
      </c>
      <c r="K89" s="85" t="s">
        <v>453</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25">
      <c r="G90" s="11">
        <v>89</v>
      </c>
      <c r="H90" s="85">
        <v>601916</v>
      </c>
      <c r="I90" s="85" t="s">
        <v>677</v>
      </c>
      <c r="J90" s="85" t="s">
        <v>676</v>
      </c>
      <c r="K90" s="85" t="s">
        <v>676</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25">
      <c r="G91" s="11">
        <v>90</v>
      </c>
      <c r="H91" s="85">
        <v>600236</v>
      </c>
      <c r="I91" s="85" t="s">
        <v>856</v>
      </c>
      <c r="J91" s="85" t="s">
        <v>441</v>
      </c>
      <c r="K91" s="85" t="s">
        <v>537</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25">
      <c r="G92" s="11">
        <v>91</v>
      </c>
      <c r="H92" s="85">
        <v>603365</v>
      </c>
      <c r="I92" s="85" t="s">
        <v>857</v>
      </c>
      <c r="J92" s="85" t="s">
        <v>481</v>
      </c>
      <c r="K92" s="85" t="s">
        <v>493</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25">
      <c r="G93" s="11">
        <v>92</v>
      </c>
      <c r="H93" s="85">
        <v>601330</v>
      </c>
      <c r="I93" s="85" t="s">
        <v>858</v>
      </c>
      <c r="J93" s="85" t="s">
        <v>441</v>
      </c>
      <c r="K93" s="85" t="s">
        <v>442</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25">
      <c r="G94" s="11">
        <v>93</v>
      </c>
      <c r="H94" s="85">
        <v>603599</v>
      </c>
      <c r="I94" s="85" t="s">
        <v>859</v>
      </c>
      <c r="J94" s="85" t="s">
        <v>488</v>
      </c>
      <c r="K94" s="85" t="s">
        <v>502</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25">
      <c r="G95" s="11">
        <v>94</v>
      </c>
      <c r="H95" s="85">
        <v>2968</v>
      </c>
      <c r="I95" s="85" t="s">
        <v>860</v>
      </c>
      <c r="J95" s="85" t="s">
        <v>474</v>
      </c>
      <c r="K95" s="85" t="s">
        <v>475</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25">
      <c r="G96" s="11">
        <v>95</v>
      </c>
      <c r="H96" s="85">
        <v>600352</v>
      </c>
      <c r="I96" s="85" t="s">
        <v>781</v>
      </c>
      <c r="J96" s="85" t="s">
        <v>488</v>
      </c>
      <c r="K96" s="85" t="s">
        <v>502</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25">
      <c r="G97" s="11">
        <v>96</v>
      </c>
      <c r="H97" s="85">
        <v>600883</v>
      </c>
      <c r="I97" s="85" t="s">
        <v>465</v>
      </c>
      <c r="J97" s="85" t="s">
        <v>466</v>
      </c>
      <c r="K97" s="85" t="s">
        <v>467</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25">
      <c r="G98" s="11">
        <v>97</v>
      </c>
      <c r="H98" s="85">
        <v>932</v>
      </c>
      <c r="I98" s="85" t="s">
        <v>861</v>
      </c>
      <c r="J98" s="85" t="s">
        <v>862</v>
      </c>
      <c r="K98" s="85" t="s">
        <v>862</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25">
      <c r="G99" s="11">
        <v>98</v>
      </c>
      <c r="H99" s="85">
        <v>601169</v>
      </c>
      <c r="I99" s="85" t="s">
        <v>750</v>
      </c>
      <c r="J99" s="85" t="s">
        <v>676</v>
      </c>
      <c r="K99" s="85" t="s">
        <v>676</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25">
      <c r="G100" s="11">
        <v>99</v>
      </c>
      <c r="H100" s="85">
        <v>600886</v>
      </c>
      <c r="I100" s="85" t="s">
        <v>863</v>
      </c>
      <c r="J100" s="85" t="s">
        <v>441</v>
      </c>
      <c r="K100" s="85" t="s">
        <v>537</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25">
      <c r="G101" s="11">
        <v>100</v>
      </c>
      <c r="H101" s="85">
        <v>600874</v>
      </c>
      <c r="I101" s="85" t="s">
        <v>785</v>
      </c>
      <c r="J101" s="85" t="s">
        <v>441</v>
      </c>
      <c r="K101" s="85" t="s">
        <v>444</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8671875" defaultRowHeight="16.3" x14ac:dyDescent="0.25"/>
  <cols>
    <col min="1" max="1" width="14.6640625" style="1" customWidth="1"/>
    <col min="2" max="2" width="9.21875" style="1" customWidth="1"/>
    <col min="3" max="16384" width="8.88671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1</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股票实时数据</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2025-04-12T06:25:44Z</dcterms:modified>
</cp:coreProperties>
</file>