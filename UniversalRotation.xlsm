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activeTab="1"/>
  </bookViews>
  <sheets>
    <sheet name="Readme" sheetId="14" r:id="rId1"/>
    <sheet name="wbb任我行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<sst xmlns="http://schemas.openxmlformats.org/spreadsheetml/2006/main" count="2349" uniqueCount="1143">
  <si>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</si>
  <si>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</si>
  <si>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</si>
  <si>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</si>
  <si>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</si>
  <si>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</si>
  <si>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</si>
  <si>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</si>
  <si>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</si>
  <si>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</si>
  <si>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</si>
  <si>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</si>
  <si>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</si>
  <si>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</si>
  <si>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</si>
  <si>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</si>
  <si>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</si>
  <si>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</si>
  <si>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</si>
  <si>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</si>
  <si>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</si>
  <si>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</si>
  <si>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</si>
  <si>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</si>
  <si>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</si>
  <si>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</si>
  <si>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</si>
  <si>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</si>
  <si>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</si>
  <si>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</si>
  <si>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</si>
  <si>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</si>
  <si>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</si>
  <si>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</si>
  <si>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</si>
  <si>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</si>
  <si>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</si>
  <si>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</si>
  <si>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</si>
  <si>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</si>
  <si>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</si>
  <si>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</si>
  <si>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</si>
  <si>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</si>
  <si>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</si>
  <si>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</si>
  <si>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</si>
  <si>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</si>
  <si>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</si>
  <si>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</si>
  <si>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</si>
  <si>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</si>
  <si>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</si>
  <si>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</si>
  <si>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</si>
  <si>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</si>
  <si>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</si>
  <si>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</si>
  <si>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</si>
  <si>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</si>
  <si>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</si>
  <si>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</si>
  <si>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</si>
  <si>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</si>
  <si>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</si>
  <si>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</si>
  <si>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</si>
  <si>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</si>
  <si>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</si>
  <si>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</si>
  <si>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</si>
  <si>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</si>
  <si>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</si>
  <si>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</si>
  <si>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</si>
  <si>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</si>
  <si>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</si>
  <si>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</si>
  <si>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</si>
  <si>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</si>
  <si>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</si>
  <si>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</si>
  <si>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</si>
  <si>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</si>
  <si>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</si>
  <si>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</si>
  <si>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</si>
  <si>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</si>
  <si>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</si>
  <si>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</si>
  <si>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</si>
  <si>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</si>
  <si>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</si>
  <si>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</si>
  <si>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</si>
  <si>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</si>
  <si>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</si>
  <si>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</si>
  <si>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</si>
  <si>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</si>
  <si>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</si>
  <si>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</si>
  <si>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</si>
  <si>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</si>
  <si>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</si>
  <si>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</si>
  <si>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</si>
  <si>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</si>
  <si>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</si>
  <si>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</si>
  <si>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</si>
  <si>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</si>
  <si>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</si>
  <si>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</si>
  <si>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</si>
  <si>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</si>
  <si>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</si>
  <si>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</si>
  <si>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</si>
  <si>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</si>
  <si>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</si>
  <si>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</si>
  <si>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</si>
  <si>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</si>
  <si>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</si>
  <si>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</si>
  <si>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</si>
  <si>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</si>
  <si>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</si>
  <si>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</si>
  <si>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</si>
  <si>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</si>
  <si>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</si>
  <si>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</si>
  <si>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</si>
  <si>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</si>
  <si>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</si>
  <si>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</si>
  <si>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</si>
  <si>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</si>
  <si>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</si>
  <si>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</si>
  <si>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</si>
  <si>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</si>
  <si>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</si>
  <si>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</si>
  <si>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</si>
  <si>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</si>
  <si>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</si>
  <si>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</si>
  <si>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</si>
  <si>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</si>
  <si>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</si>
  <si>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</si>
  <si>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</si>
  <si>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</si>
  <si>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</si>
  <si>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</si>
  <si>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</si>
  <si>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</si>
  <si>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</si>
  <si>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</si>
  <si>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</si>
  <si>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</si>
  <si>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</si>
  <si>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</si>
  <si>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</si>
  <si>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</si>
  <si>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</si>
  <si>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</si>
  <si>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</si>
  <si>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</si>
  <si>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</si>
  <si>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</si>
  <si>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</si>
  <si>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</si>
  <si>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</si>
  <si>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</si>
  <si>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</si>
  <si>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</si>
  <si>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</si>
  <si>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</si>
  <si>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</si>
  <si>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</si>
  <si>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</si>
  <si>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</si>
  <si>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</si>
  <si>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</si>
  <si>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</si>
  <si>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</si>
  <si>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</si>
  <si>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</si>
  <si>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</si>
  <si>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</si>
  <si>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</si>
  <si>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</si>
  <si>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</si>
  <si>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</si>
  <si>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</si>
  <si>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</si>
  <si>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</si>
  <si>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</si>
  <si>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</si>
  <si>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</si>
  <si>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</si>
  <si>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</si>
  <si>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</si>
  <si>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</si>
  <si>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</si>
  <si>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</si>
  <si>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</si>
  <si>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</si>
  <si>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</si>
  <si>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</si>
  <si>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</si>
  <si>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</si>
  <si>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湖广转债</t>
  </si>
  <si>
    <t>寿仙转债</t>
  </si>
  <si>
    <t>日经ETF</t>
  </si>
  <si>
    <t>有色ETF</t>
  </si>
  <si>
    <t>能源化工</t>
  </si>
  <si>
    <t>恒生科技</t>
  </si>
  <si>
    <t>金禾转债</t>
  </si>
  <si>
    <t>苏试转债</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</si>
  <si>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</si>
  <si>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</si>
  <si>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</si>
  <si>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</si>
  <si>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</si>
  <si>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</si>
  <si>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</si>
  <si>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</si>
  <si>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</si>
  <si>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</si>
  <si>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</si>
  <si>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</si>
  <si>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</si>
  <si>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</si>
  <si>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</si>
  <si>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</si>
  <si>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</si>
  <si>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</si>
  <si>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</si>
  <si>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</si>
  <si>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</si>
  <si>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</si>
  <si>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</si>
  <si>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</si>
  <si>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</si>
  <si>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</si>
  <si>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</si>
  <si>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</si>
  <si>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</si>
  <si>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</si>
  <si>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</si>
  <si>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</si>
  <si>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</si>
  <si>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</si>
  <si>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</si>
  <si>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</si>
  <si>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</si>
  <si>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</si>
  <si>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</si>
  <si>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</si>
  <si>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</si>
  <si>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</si>
  <si>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</si>
  <si>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</si>
  <si>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</si>
  <si>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</si>
  <si>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</si>
  <si>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</si>
  <si>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</si>
  <si>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</si>
  <si>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</si>
  <si>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</si>
  <si>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</si>
  <si>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</si>
  <si>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</si>
  <si>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</si>
  <si>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</si>
  <si>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</si>
  <si>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</si>
  <si>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</si>
  <si>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</si>
  <si>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</si>
  <si>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</si>
  <si>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</si>
  <si>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</si>
  <si>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</si>
  <si>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</si>
  <si>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</si>
  <si>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</si>
  <si>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</si>
  <si>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</si>
  <si>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</si>
  <si>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</si>
  <si>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</si>
  <si>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</si>
  <si>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</si>
  <si>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</si>
  <si>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</si>
  <si>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</si>
  <si>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</si>
  <si>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</si>
  <si>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</si>
  <si>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</si>
  <si>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</si>
  <si>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</si>
  <si>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</si>
  <si>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</si>
  <si>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</si>
  <si>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</si>
  <si>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</si>
  <si>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</si>
  <si>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</si>
  <si>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</si>
  <si>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</si>
  <si>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</si>
  <si>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</si>
  <si>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</si>
  <si>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</si>
  <si>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</si>
  <si>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</si>
  <si>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</si>
  <si>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</si>
  <si>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</si>
  <si>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</si>
  <si>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</si>
  <si>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</si>
  <si>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</si>
  <si>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</si>
  <si>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</si>
  <si>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</si>
  <si>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</si>
  <si>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</si>
  <si>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</si>
  <si>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</si>
  <si>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</si>
  <si>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</si>
  <si>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</si>
  <si>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</si>
  <si>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</si>
  <si>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</si>
  <si>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</si>
  <si>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</si>
  <si>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</si>
  <si>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</si>
  <si>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</si>
  <si>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</si>
  <si>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</si>
  <si>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</si>
  <si>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</si>
  <si>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</si>
  <si>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</si>
  <si>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</si>
  <si>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</si>
  <si>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</si>
  <si>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</si>
  <si>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</si>
  <si>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</si>
  <si>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</si>
  <si>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</si>
  <si>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</si>
  <si>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</si>
  <si>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</si>
  <si>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</si>
  <si>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</si>
  <si>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</si>
  <si>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</si>
  <si>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</si>
  <si>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</si>
  <si>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</si>
  <si>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</si>
  <si>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</si>
  <si>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</si>
  <si>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</si>
  <si>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</si>
  <si>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</si>
  <si>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</si>
  <si>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</si>
  <si>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</si>
  <si>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</si>
  <si>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</si>
  <si>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</si>
  <si>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</si>
  <si>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</si>
  <si>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</si>
  <si>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</si>
  <si>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</si>
  <si>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</si>
  <si>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</si>
  <si>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</si>
  <si>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</si>
  <si>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</si>
  <si>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</si>
  <si>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</si>
  <si>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</si>
  <si>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</si>
  <si>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</si>
  <si>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</si>
  <si>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</si>
  <si>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</si>
  <si>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</si>
  <si>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</si>
  <si>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</si>
  <si>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</si>
  <si>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</si>
  <si>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</si>
  <si>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</si>
  <si>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</si>
  <si>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</si>
  <si>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</si>
  <si>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</si>
  <si>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</si>
  <si>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</si>
  <si>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</si>
  <si>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</si>
  <si>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</si>
  <si>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</si>
  <si>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</si>
  <si>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</si>
  <si>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</si>
  <si>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</si>
  <si>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</si>
  <si>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</si>
  <si>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</si>
  <si>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</si>
  <si>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</si>
  <si>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</si>
  <si>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</si>
  <si>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</si>
  <si>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</si>
  <si>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</si>
  <si>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</si>
  <si>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</si>
  <si>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</si>
  <si>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</si>
  <si>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</si>
  <si>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一品转债</t>
  </si>
  <si>
    <t>太极转债</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</si>
  <si>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</si>
  <si>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</si>
  <si>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</si>
  <si>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</si>
  <si>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</si>
  <si>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</si>
  <si>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</si>
  <si>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</si>
  <si>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</si>
  <si>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</si>
  <si>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</si>
  <si>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</si>
  <si>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</si>
  <si>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</si>
  <si>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</si>
  <si>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</si>
  <si>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</si>
  <si>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</si>
  <si>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</si>
  <si>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</si>
  <si>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</si>
  <si>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</si>
  <si>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</si>
  <si>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</si>
  <si>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</si>
  <si>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</si>
  <si>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</si>
  <si>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</si>
  <si>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</si>
  <si>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</si>
  <si>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</si>
  <si>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</si>
  <si>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</si>
  <si>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</si>
  <si>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</si>
  <si>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</si>
  <si>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</si>
  <si>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</si>
  <si>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</si>
  <si>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</si>
  <si>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</si>
  <si>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</si>
  <si>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</si>
  <si>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</si>
  <si>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</si>
  <si>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</si>
  <si>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</si>
  <si>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</si>
  <si>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</si>
  <si>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</si>
  <si>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</si>
  <si>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</si>
  <si>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</si>
  <si>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</si>
  <si>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</si>
  <si>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</si>
  <si>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</si>
  <si>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</si>
  <si>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</si>
  <si>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</si>
  <si>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</si>
  <si>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</si>
  <si>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</si>
  <si>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</si>
  <si>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</si>
  <si>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</si>
  <si>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</si>
  <si>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</si>
  <si>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</si>
  <si>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</si>
  <si>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</si>
  <si>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</si>
  <si>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</si>
  <si>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</si>
  <si>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</si>
  <si>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</si>
  <si>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</si>
  <si>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</si>
  <si>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</si>
  <si>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</si>
  <si>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</si>
  <si>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</si>
  <si>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</si>
  <si>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</si>
  <si>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</si>
  <si>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</si>
  <si>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</si>
  <si>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</si>
  <si>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</si>
  <si>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</si>
  <si>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</si>
  <si>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</si>
  <si>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</si>
  <si>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</si>
  <si>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</si>
  <si>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</si>
  <si>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</si>
  <si>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</si>
  <si>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</si>
  <si>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</si>
  <si>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</si>
  <si>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</si>
  <si>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</si>
  <si>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</si>
  <si>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</si>
  <si>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</si>
  <si>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</si>
  <si>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</si>
  <si>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</si>
  <si>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</si>
  <si>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</si>
  <si>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</si>
  <si>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</si>
  <si>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</si>
  <si>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</si>
  <si>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</si>
  <si>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</si>
  <si>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</si>
  <si>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</si>
  <si>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</si>
  <si>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</si>
  <si>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</si>
  <si>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</si>
  <si>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</si>
  <si>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</si>
  <si>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</si>
  <si>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</si>
  <si>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</si>
  <si>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</si>
  <si>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</si>
  <si>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</si>
  <si>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</si>
  <si>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</si>
  <si>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</si>
  <si>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</si>
  <si>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</si>
  <si>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</si>
  <si>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</si>
  <si>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</si>
  <si>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</si>
  <si>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</si>
  <si>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</si>
  <si>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</si>
  <si>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</si>
  <si>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</si>
  <si>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</si>
  <si>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</si>
  <si>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</si>
  <si>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</si>
  <si>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</si>
  <si>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</si>
  <si>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</si>
  <si>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</si>
  <si>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</si>
  <si>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</si>
  <si>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</si>
  <si>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</si>
  <si>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</si>
  <si>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</si>
  <si>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</si>
  <si>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</si>
  <si>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</si>
  <si>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</si>
  <si>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</si>
  <si>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</si>
  <si>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</si>
  <si>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</si>
  <si>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</si>
  <si>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</si>
  <si>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</si>
  <si>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</si>
  <si>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</si>
  <si>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</si>
  <si>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</si>
  <si>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</si>
  <si>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</si>
  <si>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</si>
  <si>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</si>
  <si>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</si>
  <si>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</si>
  <si>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</si>
  <si>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</si>
  <si>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</si>
  <si>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</si>
  <si>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</si>
  <si>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</si>
  <si>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</si>
  <si>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</si>
  <si>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</si>
  <si>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</si>
  <si>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</si>
  <si>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</si>
  <si>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</si>
  <si>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</si>
  <si>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</si>
  <si>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</si>
  <si>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</si>
  <si>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</si>
  <si>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</si>
  <si>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</si>
  <si>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</si>
  <si>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</si>
  <si>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</si>
  <si>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</si>
  <si>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</si>
  <si>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</si>
  <si>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</si>
  <si>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</si>
  <si>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</si>
  <si>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</si>
  <si>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</si>
  <si>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</si>
  <si>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</si>
  <si>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</si>
  <si>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</si>
  <si>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</si>
  <si>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</si>
  <si>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</si>
  <si>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</si>
  <si>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</si>
  <si>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</si>
  <si>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</si>
  <si>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</si>
  <si>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</si>
  <si>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</si>
  <si>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</si>
  <si>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</si>
  <si>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</si>
  <si>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</si>
  <si>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</si>
  <si>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</si>
  <si>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</si>
  <si>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</si>
  <si>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</si>
  <si>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</si>
  <si>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</si>
  <si>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</si>
  <si>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特纸转债</t>
  </si>
  <si>
    <t>华锋转债!</t>
  </si>
  <si>
    <t>大禹转债</t>
  </si>
  <si>
    <t>奇正转债</t>
  </si>
  <si>
    <t>蒙泰转债</t>
  </si>
  <si>
    <t>天能转债</t>
  </si>
  <si>
    <t>设研转债</t>
  </si>
  <si>
    <t>华翔转债</t>
  </si>
  <si>
    <t>沿浦转债</t>
  </si>
  <si>
    <t>隆华转债</t>
  </si>
  <si>
    <t>洁美转债</t>
  </si>
  <si>
    <t>微芯转债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</si>
  <si>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</si>
  <si>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</si>
  <si>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</si>
  <si>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</si>
  <si>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</si>
  <si>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</si>
  <si>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</si>
  <si>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</si>
  <si>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</si>
  <si>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</si>
  <si>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</si>
  <si>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</si>
  <si>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</si>
  <si>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</si>
  <si>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</si>
  <si>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</si>
  <si>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</si>
  <si>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</si>
  <si>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</si>
  <si>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</si>
  <si>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</si>
  <si>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</si>
  <si>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</si>
  <si>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</si>
  <si>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</si>
  <si>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</si>
  <si>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</si>
  <si>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</si>
  <si>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英力转债!</t>
  </si>
  <si>
    <t>银微转债!</t>
  </si>
  <si>
    <t>彤程转债!</t>
  </si>
  <si>
    <t>瑞科转债!</t>
  </si>
  <si>
    <t>宏川转债!</t>
  </si>
  <si>
    <t>惠云转债</t>
  </si>
  <si>
    <t>裕兴转债!</t>
  </si>
  <si>
    <t>九洲转2!</t>
  </si>
  <si>
    <t>商络转债</t>
  </si>
  <si>
    <t>永东转2!</t>
  </si>
  <si>
    <t>新化转债</t>
  </si>
  <si>
    <t>金沃转债!</t>
  </si>
  <si>
    <t>银轮转债!!</t>
  </si>
  <si>
    <t>寿22转债</t>
  </si>
  <si>
    <t>明新转债!</t>
  </si>
  <si>
    <t>华锐转债!</t>
  </si>
  <si>
    <t>万顺转2!!</t>
  </si>
  <si>
    <t>火炬转债!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</si>
  <si>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</si>
  <si>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</si>
  <si>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</si>
  <si>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</si>
  <si>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</si>
  <si>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</si>
  <si>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</si>
  <si>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</si>
  <si>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</si>
  <si>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</si>
  <si>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新天转债!</t>
  </si>
  <si>
    <t>斯莱转债!</t>
  </si>
  <si>
    <t>恒锋转债</t>
  </si>
  <si>
    <t>华亚转债</t>
  </si>
  <si>
    <t>精达转债!</t>
  </si>
  <si>
    <t>福新转债</t>
  </si>
  <si>
    <t>智能转债!</t>
  </si>
  <si>
    <t>冠盛转债</t>
  </si>
  <si>
    <t>华源转债!</t>
  </si>
  <si>
    <t>招商沪深300增强策略ETF</t>
  </si>
  <si>
    <t>中国国企开放共赢ETF</t>
  </si>
  <si>
    <t>港股通红利ETF</t>
  </si>
  <si>
    <t>百畅转债</t>
  </si>
  <si>
    <t>声迅转债</t>
  </si>
  <si>
    <t>小熊转债!</t>
  </si>
  <si>
    <t>珀莱转债!</t>
  </si>
  <si>
    <t>永安转债</t>
  </si>
  <si>
    <t>齐翔转2</t>
  </si>
  <si>
    <t>法兰转债!</t>
  </si>
  <si>
    <t>淳中转债</t>
  </si>
  <si>
    <t>思特转债</t>
  </si>
  <si>
    <t>贵广转债!!</t>
  </si>
  <si>
    <t>博汇转债</t>
  </si>
  <si>
    <t>水羊转债</t>
  </si>
  <si>
    <t>海波转债!</t>
  </si>
  <si>
    <t>天箭转债</t>
  </si>
  <si>
    <t>风语转债</t>
  </si>
  <si>
    <t>华特转债</t>
  </si>
  <si>
    <t>测绘转债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</si>
  <si>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</si>
  <si>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</si>
  <si>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</si>
  <si>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</si>
  <si>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</si>
  <si>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</si>
  <si>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</si>
  <si>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</si>
  <si>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</si>
  <si>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</si>
  <si>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</si>
  <si>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</si>
  <si>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</si>
  <si>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</si>
  <si>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</si>
  <si>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</si>
  <si>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</si>
  <si>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</si>
  <si>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</si>
  <si>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</si>
  <si>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</si>
  <si>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</si>
  <si>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</si>
  <si>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</si>
  <si>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</si>
  <si>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</si>
  <si>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</si>
  <si>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</si>
  <si>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</si>
  <si>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</si>
  <si>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</si>
  <si>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</si>
  <si>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</si>
  <si>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</si>
  <si>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</si>
  <si>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</si>
  <si>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</si>
  <si>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</si>
  <si>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</si>
  <si>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</si>
  <si>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</si>
  <si>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</si>
  <si>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</si>
  <si>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</si>
  <si>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</si>
  <si>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</si>
  <si>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</si>
  <si>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</si>
  <si>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</si>
  <si>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</si>
  <si>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</si>
  <si>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</si>
  <si>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</si>
  <si>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</si>
  <si>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</si>
  <si>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</si>
  <si>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</si>
  <si>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</si>
  <si>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</si>
  <si>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</si>
  <si>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</si>
  <si>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</si>
  <si>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</si>
  <si>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</si>
  <si>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</si>
  <si>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</si>
  <si>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</si>
  <si>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</si>
  <si>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</si>
  <si>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</si>
  <si>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</si>
  <si>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</si>
  <si>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</si>
  <si>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</si>
  <si>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</si>
  <si>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</si>
  <si>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</si>
  <si>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</si>
  <si>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</si>
  <si>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</si>
  <si>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</si>
  <si>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</si>
  <si>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</si>
  <si>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</si>
  <si>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</si>
  <si>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</si>
  <si>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</si>
  <si>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</si>
  <si>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</si>
  <si>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</si>
  <si>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</si>
  <si>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</si>
  <si>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</si>
  <si>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</si>
  <si>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</si>
  <si>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</si>
  <si>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</si>
  <si>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</si>
  <si>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</si>
  <si>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</si>
  <si>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</si>
  <si>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</si>
  <si>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</si>
  <si>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</si>
  <si>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</si>
  <si>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</si>
  <si>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</si>
  <si>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</si>
  <si>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</si>
  <si>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</si>
  <si>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</si>
  <si>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</si>
  <si>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</si>
  <si>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</si>
  <si>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</si>
  <si>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</si>
  <si>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</si>
  <si>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</si>
  <si>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</si>
  <si>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</si>
  <si>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</si>
  <si>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</si>
  <si>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</si>
  <si>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</si>
  <si>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</si>
  <si>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</si>
  <si>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</si>
  <si>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</si>
  <si>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</si>
  <si>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</si>
  <si>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</si>
  <si>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</si>
  <si>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</si>
  <si>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</si>
  <si>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</si>
  <si>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</si>
  <si>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</si>
  <si>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</si>
  <si>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</si>
  <si>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</si>
  <si>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</si>
  <si>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</si>
  <si>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</si>
  <si>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</si>
  <si>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</si>
  <si>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</si>
  <si>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</si>
  <si>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</si>
  <si>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</si>
  <si>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</si>
  <si>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</si>
  <si>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</si>
  <si>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</si>
  <si>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</si>
  <si>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</si>
  <si>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</si>
  <si>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</si>
  <si>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</si>
  <si>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</si>
  <si>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</si>
  <si>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</si>
  <si>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</si>
  <si>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</si>
  <si>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</si>
  <si>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</si>
  <si>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</si>
  <si>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</si>
  <si>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</si>
  <si>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</si>
  <si>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</si>
  <si>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</si>
  <si>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</si>
  <si>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</si>
  <si>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</si>
  <si>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</si>
  <si>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</si>
  <si>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</si>
  <si>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</si>
  <si>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</si>
  <si>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</si>
  <si>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</si>
  <si>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</si>
  <si>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</si>
  <si>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</si>
  <si>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</si>
  <si>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</si>
  <si>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</si>
  <si>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</si>
  <si>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</si>
  <si>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</si>
  <si>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</si>
  <si>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</si>
  <si>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</si>
  <si>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</si>
  <si>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</si>
  <si>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</si>
  <si>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</si>
  <si>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</si>
  <si>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</si>
  <si>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</si>
  <si>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</si>
  <si>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</si>
  <si>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</si>
  <si>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</si>
  <si>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</si>
  <si>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</si>
  <si>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</si>
  <si>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</si>
  <si>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</si>
  <si>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</si>
  <si>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</si>
  <si>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</si>
  <si>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</si>
  <si>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</si>
  <si>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</si>
  <si>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</si>
  <si>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</si>
  <si>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</si>
  <si>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</si>
  <si>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</si>
  <si>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</si>
  <si>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</si>
  <si>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</si>
  <si>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</si>
  <si>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</si>
  <si>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</si>
  <si>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</si>
  <si>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</si>
  <si>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</si>
  <si>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</si>
  <si>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</si>
  <si>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</si>
  <si>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</si>
  <si>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</si>
  <si>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</si>
  <si>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</si>
  <si>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</si>
  <si>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</si>
  <si>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永鼎转债!</t>
  </si>
  <si>
    <t>天路转债</t>
  </si>
  <si>
    <t>正裕转债!</t>
  </si>
  <si>
    <t>全筑转债</t>
  </si>
  <si>
    <t>新星转债</t>
  </si>
  <si>
    <t>阿拉转债!</t>
  </si>
  <si>
    <t>胜蓝转债!</t>
  </si>
  <si>
    <t>丰山转债</t>
  </si>
  <si>
    <t>康医转债!</t>
  </si>
  <si>
    <t>晨丰转债</t>
  </si>
  <si>
    <t>崧盛转债!</t>
  </si>
  <si>
    <t>再22转债!</t>
  </si>
  <si>
    <t>法本转债!</t>
  </si>
  <si>
    <t>豪能转债!</t>
  </si>
  <si>
    <t>共同转债!</t>
  </si>
  <si>
    <t>漱玉转债</t>
  </si>
  <si>
    <t>汇通转债!</t>
  </si>
  <si>
    <t>中旗转债!</t>
  </si>
  <si>
    <t>浙矿转债!</t>
  </si>
  <si>
    <t>春23转债!</t>
  </si>
  <si>
    <t>晓鸣转债!</t>
  </si>
  <si>
    <t>智尚转债</t>
  </si>
  <si>
    <t>科思转债</t>
  </si>
  <si>
    <t>蓝晓转02</t>
  </si>
  <si>
    <t>光力转债</t>
  </si>
  <si>
    <t>金埔转债</t>
  </si>
  <si>
    <t>国力转债</t>
  </si>
  <si>
    <t>星帅转2</t>
  </si>
  <si>
    <t>李子转债</t>
  </si>
  <si>
    <t>海泰转债</t>
  </si>
  <si>
    <t>SZ159513</t>
  </si>
  <si>
    <t>纳斯达克100指数ETF</t>
  </si>
  <si>
    <t>鼎胜转债!</t>
  </si>
  <si>
    <t>精测转债!!</t>
  </si>
  <si>
    <t>北方转债!!</t>
  </si>
  <si>
    <t>华统转债!</t>
  </si>
  <si>
    <t>天壕转债!</t>
  </si>
  <si>
    <t>新致转债!</t>
  </si>
  <si>
    <t>超达转债</t>
  </si>
  <si>
    <t>纽泰转债</t>
  </si>
  <si>
    <t>祥源转债</t>
  </si>
  <si>
    <t>新港转债</t>
  </si>
  <si>
    <t>东亚转债</t>
  </si>
  <si>
    <t>金丹转债</t>
  </si>
  <si>
    <t>赫达转债</t>
  </si>
  <si>
    <t>力合转债</t>
  </si>
  <si>
    <t>山河转债!</t>
  </si>
  <si>
    <t>明电转02</t>
  </si>
  <si>
    <t>高测转债!</t>
  </si>
  <si>
    <t>武进转债</t>
  </si>
  <si>
    <t>润达转债</t>
  </si>
  <si>
    <t>双箭转债</t>
  </si>
  <si>
    <t>联得转债</t>
  </si>
  <si>
    <t>东宝转债</t>
  </si>
  <si>
    <t>星球转债</t>
  </si>
  <si>
    <t>聚隆转债</t>
  </si>
  <si>
    <t>阳谷转债</t>
  </si>
  <si>
    <t>神通转债</t>
  </si>
  <si>
    <t>冠中转债</t>
  </si>
  <si>
    <t>兴瑞转债</t>
  </si>
  <si>
    <t>华设转债</t>
  </si>
  <si>
    <t>开能转债</t>
  </si>
  <si>
    <t>煜邦转债</t>
  </si>
  <si>
    <t>福蓉转债</t>
  </si>
  <si>
    <t>海能转债!</t>
  </si>
  <si>
    <t>能辉转债</t>
  </si>
  <si>
    <t>广联转债!</t>
  </si>
  <si>
    <t>深科转债</t>
  </si>
  <si>
    <t>润禾转债!</t>
  </si>
  <si>
    <t>锋龙转债</t>
  </si>
  <si>
    <t>飞凯转债</t>
  </si>
  <si>
    <t>聚飞转债</t>
  </si>
  <si>
    <t>伊力转债!!</t>
  </si>
  <si>
    <t>红利低波100ETF</t>
  </si>
  <si>
    <t>医疗器械指数ETF</t>
  </si>
  <si>
    <t>海富通上证10年期地方债ETF</t>
  </si>
  <si>
    <t>海富通上证5年期地方债ETF</t>
  </si>
  <si>
    <t>易方达中证人工智能主题ETF</t>
  </si>
  <si>
    <t>中宠转2!</t>
  </si>
  <si>
    <t>永和转债</t>
  </si>
  <si>
    <t>力诺转债</t>
  </si>
  <si>
    <t>易瑞转债</t>
  </si>
  <si>
    <t>荣23转债</t>
  </si>
  <si>
    <t>福立转债</t>
  </si>
  <si>
    <t>宇瞳转债</t>
  </si>
  <si>
    <t>富仕转债</t>
  </si>
  <si>
    <t>宏微转债!</t>
  </si>
  <si>
    <t>正元转02</t>
  </si>
  <si>
    <t>海顺转债!</t>
  </si>
  <si>
    <t>富淼转债</t>
  </si>
  <si>
    <t>华宏转债!</t>
  </si>
  <si>
    <t>永02转债!</t>
  </si>
  <si>
    <t>湘佳转债!</t>
  </si>
  <si>
    <t>申昊转债!</t>
  </si>
  <si>
    <t>精装转债!</t>
  </si>
  <si>
    <t>华正转债!</t>
  </si>
  <si>
    <t>金禾转债!!*</t>
  </si>
  <si>
    <t>太平转债!</t>
  </si>
  <si>
    <t>朗科转债!</t>
  </si>
  <si>
    <t>北陆转债!</t>
  </si>
  <si>
    <t>嘉泽转债!!</t>
  </si>
  <si>
    <t>起步转债</t>
  </si>
  <si>
    <t>华钰转债!!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</si>
  <si>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</si>
  <si>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</si>
  <si>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</si>
  <si>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</si>
  <si>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</si>
  <si>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</si>
  <si>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</si>
  <si>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</si>
  <si>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</si>
  <si>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</si>
  <si>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</si>
  <si>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</si>
  <si>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</si>
  <si>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</si>
  <si>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</si>
  <si>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</si>
  <si>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可转债</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</si>
  <si>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</si>
  <si>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</si>
  <si>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</si>
  <si>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</si>
  <si>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更新时间:2023-10-28__09.28.23</t>
    <phoneticPr fontId="2" type="noConversion"/>
  </si>
  <si>
    <t>更新时间:2023-10-28__09.32.02</t>
    <phoneticPr fontId="2" type="noConversion"/>
  </si>
  <si>
    <t>更新时间:2023-10-28__09.33.16</t>
    <phoneticPr fontId="2" type="noConversion"/>
  </si>
  <si>
    <t>稳定价值/高股息</t>
    <phoneticPr fontId="2" type="noConversion"/>
  </si>
  <si>
    <t>稳定价值</t>
    <phoneticPr fontId="2" type="noConversion"/>
  </si>
  <si>
    <t>高股息</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</si>
</sst>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2</xdr:col>
      <xdr:colOff>447410</xdr:colOff>
      <xdr:row>15</xdr:row>
      <xdr:rowOff>37846</xdr:rowOff>
    </xdr:to>
    <xdr:pic>
      <xdr:nvPicPr>
        <xdr:cNvPr id="4" name="图片 3"/>
        <xdr:cNvPicPr>
          <a:picLocks noChangeAspect="1"/>
        </xdr:cNvPicPr>
      </xdr:nvPicPr>
      <xdr:blipFill>
        <a:blip xmlns:r="http://schemas.openxmlformats.org/officeDocument/2006/relationships" r:embed="rId1"/>
        <a:stretch>
          <a:fillRect/>
        </a:stretch>
      </xdr:blipFill>
      <xdr:spPr>
        <a:xfrm>
          <a:off x="0" y="723900"/>
          <a:ext cx="2123810" cy="2028571"/>
        </a:xfrm>
        <a:prstGeom prst="rect">
          <a:avLst/>
        </a:prstGeom>
      </xdr:spPr>
    </xdr:pic>
    <xdr:clientData/>
  </xdr:twoCellAnchor>
  <xdr:twoCellAnchor editAs="oneCell">
    <xdr:from>
      <xdr:col>0</xdr:col>
      <xdr:colOff>0</xdr:colOff>
      <xdr:row>17</xdr:row>
      <xdr:rowOff>19050</xdr:rowOff>
    </xdr:from>
    <xdr:to>
      <xdr:col>2</xdr:col>
      <xdr:colOff>28362</xdr:colOff>
      <xdr:row>22</xdr:row>
      <xdr:rowOff>142746</xdr:rowOff>
    </xdr:to>
    <xdr:pic>
      <xdr:nvPicPr>
        <xdr:cNvPr id="5" name="图片 4"/>
        <xdr:cNvPicPr>
          <a:picLocks noChangeAspect="1"/>
        </xdr:cNvPicPr>
      </xdr:nvPicPr>
      <xdr:blipFill>
        <a:blip xmlns:r="http://schemas.openxmlformats.org/officeDocument/2006/relationships" r:embed="rId2"/>
        <a:stretch>
          <a:fillRect/>
        </a:stretch>
      </xdr:blipFill>
      <xdr:spPr>
        <a:xfrm>
          <a:off x="0" y="3095625"/>
          <a:ext cx="1704762" cy="1028571"/>
        </a:xfrm>
        <a:prstGeom prst="rect">
          <a:avLst/>
        </a:prstGeom>
      </xdr:spPr>
    </xdr:pic>
    <xdr:clientData/>
  </xdr:twoCellAnchor>
  <xdr:twoCellAnchor editAs="oneCell">
    <xdr:from>
      <xdr:col>0</xdr:col>
      <xdr:colOff>0</xdr:colOff>
      <xdr:row>25</xdr:row>
      <xdr:rowOff>19050</xdr:rowOff>
    </xdr:from>
    <xdr:to>
      <xdr:col>1</xdr:col>
      <xdr:colOff>542725</xdr:colOff>
      <xdr:row>29</xdr:row>
      <xdr:rowOff>142769</xdr:rowOff>
    </xdr:to>
    <xdr:pic>
      <xdr:nvPicPr>
        <xdr:cNvPr id="6" name="图片 5"/>
        <xdr:cNvPicPr>
          <a:picLocks noChangeAspect="1"/>
        </xdr:cNvPicPr>
      </xdr:nvPicPr>
      <xdr:blipFill>
        <a:blip xmlns:r="http://schemas.openxmlformats.org/officeDocument/2006/relationships" r:embed="rId3"/>
        <a:stretch>
          <a:fillRect/>
        </a:stretch>
      </xdr:blipFill>
      <xdr:spPr>
        <a:xfrm>
          <a:off x="0" y="4543425"/>
          <a:ext cx="1600000" cy="8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473</v>
      </c>
      <c r="B1" s="92"/>
      <c r="C1" s="92"/>
      <c r="D1" s="92"/>
      <c r="E1" s="92"/>
      <c r="F1" s="92"/>
    </row>
    <row r="2" spans="1:10" x14ac:dyDescent="0.15">
      <c r="A2" s="93" t="s">
        <v>474</v>
      </c>
      <c r="B2" s="93"/>
      <c r="C2" s="93"/>
      <c r="D2" s="93"/>
      <c r="E2" s="93"/>
      <c r="F2" s="93"/>
    </row>
    <row r="4" spans="1:10" x14ac:dyDescent="0.15">
      <c r="A4" s="77" t="s">
        <v>422</v>
      </c>
    </row>
    <row r="5" spans="1:10" s="79" customFormat="1" x14ac:dyDescent="0.15">
      <c r="A5" s="78" t="s">
        <v>1010</v>
      </c>
      <c r="B5" s="78"/>
      <c r="C5" s="78"/>
      <c r="D5" s="78"/>
      <c r="E5" s="78"/>
      <c r="F5" s="78"/>
      <c r="G5" s="78"/>
      <c r="H5" s="78"/>
      <c r="I5" s="78"/>
      <c r="J5" s="78"/>
    </row>
    <row r="26" spans="1:1" s="77" customFormat="1" x14ac:dyDescent="0.15">
      <c r="A26" s="77" t="s">
        <v>427</v>
      </c>
    </row>
    <row r="27" spans="1:1" x14ac:dyDescent="0.15">
      <c r="A27" s="78" t="s">
        <v>1118</v>
      </c>
    </row>
    <row r="28" spans="1:1" x14ac:dyDescent="0.15">
      <c r="A28" s="76" t="s">
        <v>1119</v>
      </c>
    </row>
    <row r="29" spans="1:1" x14ac:dyDescent="0.15">
      <c r="A29" s="76" t="s">
        <v>1120</v>
      </c>
    </row>
    <row r="30" spans="1:1" x14ac:dyDescent="0.15">
      <c r="A30" s="76" t="s">
        <v>1121</v>
      </c>
    </row>
    <row r="31" spans="1:1" x14ac:dyDescent="0.15">
      <c r="A31" s="76" t="s">
        <v>1122</v>
      </c>
    </row>
    <row r="32" spans="1:1" x14ac:dyDescent="0.15">
      <c r="A32" s="76" t="s">
        <v>1123</v>
      </c>
    </row>
    <row r="34" spans="1:1" x14ac:dyDescent="0.15">
      <c r="A34" s="76" t="s">
        <v>428</v>
      </c>
    </row>
    <row r="35" spans="1:1" x14ac:dyDescent="0.15">
      <c r="A35" s="76" t="s">
        <v>429</v>
      </c>
    </row>
    <row r="36" spans="1:1" x14ac:dyDescent="0.15">
      <c r="A36" s="76" t="s">
        <v>1124</v>
      </c>
    </row>
    <row r="37" spans="1:1" x14ac:dyDescent="0.15">
      <c r="A37" s="76" t="s">
        <v>1125</v>
      </c>
    </row>
    <row r="38" spans="1:1" x14ac:dyDescent="0.15">
      <c r="A38" s="76" t="s">
        <v>1126</v>
      </c>
    </row>
    <row r="40" spans="1:1" x14ac:dyDescent="0.15">
      <c r="A40" s="76" t="s">
        <v>743</v>
      </c>
    </row>
    <row r="41" spans="1:1" x14ac:dyDescent="0.15">
      <c r="A41" s="76" t="s">
        <v>745</v>
      </c>
    </row>
    <row r="43" spans="1:1" x14ac:dyDescent="0.15">
      <c r="A43" s="76" t="s">
        <v>744</v>
      </c>
    </row>
    <row r="44" spans="1:1" s="77" customFormat="1" x14ac:dyDescent="0.15"/>
    <row r="46" spans="1:1" s="77" customFormat="1" x14ac:dyDescent="0.15">
      <c r="A46" s="77" t="s">
        <v>430</v>
      </c>
    </row>
    <row r="47" spans="1:1" x14ac:dyDescent="0.15">
      <c r="A47" s="76" t="s">
        <v>710</v>
      </c>
    </row>
    <row r="48" spans="1:1" x14ac:dyDescent="0.15">
      <c r="A48" s="76" t="s">
        <v>423</v>
      </c>
    </row>
    <row r="49" spans="1:1" x14ac:dyDescent="0.15">
      <c r="A49" s="76" t="s">
        <v>697</v>
      </c>
    </row>
    <row r="50" spans="1:1" x14ac:dyDescent="0.15">
      <c r="A50" s="76" t="s">
        <v>431</v>
      </c>
    </row>
    <row r="52" spans="1:1" x14ac:dyDescent="0.15">
      <c r="A52" s="76" t="s">
        <v>432</v>
      </c>
    </row>
    <row r="54" spans="1:1" x14ac:dyDescent="0.15">
      <c r="A54" s="76" t="s">
        <v>698</v>
      </c>
    </row>
    <row r="56" spans="1:1" x14ac:dyDescent="0.15">
      <c r="A56" s="76" t="s">
        <v>433</v>
      </c>
    </row>
    <row r="57" spans="1:1" x14ac:dyDescent="0.15">
      <c r="A57" s="76" t="s">
        <v>424</v>
      </c>
    </row>
    <row r="60" spans="1:1" s="77" customFormat="1" x14ac:dyDescent="0.15">
      <c r="A60" s="77" t="s">
        <v>436</v>
      </c>
    </row>
    <row r="61" spans="1:1" x14ac:dyDescent="0.15">
      <c r="A61" s="76" t="s">
        <v>434</v>
      </c>
    </row>
    <row r="62" spans="1:1" x14ac:dyDescent="0.15">
      <c r="A62" s="76" t="s">
        <v>435</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tabSelected="1" workbookViewId="0">
      <selection activeCell="F14" sqref="F14"/>
    </sheetView>
  </sheetViews>
  <sheetFormatPr defaultRowHeight="14.25" x14ac:dyDescent="0.15"/>
  <cols>
    <col min="1" max="1" width="13.875" bestFit="1" customWidth="1"/>
    <col min="2" max="3" width="8.125" bestFit="1" customWidth="1"/>
    <col min="4" max="4" width="15" bestFit="1" customWidth="1"/>
    <col min="5" max="5" width="18.625" bestFit="1" customWidth="1"/>
    <col min="6" max="6" width="32.875" bestFit="1" customWidth="1"/>
  </cols>
  <sheetData>
    <row r="1" spans="1:6" s="91" customFormat="1" x14ac:dyDescent="0.15">
      <c r="A1" s="90" t="s">
        <v>1131</v>
      </c>
      <c r="B1" s="90" t="s">
        <v>1132</v>
      </c>
      <c r="C1" s="90" t="s">
        <v>1133</v>
      </c>
      <c r="D1" s="90" t="s">
        <v>1136</v>
      </c>
      <c r="E1" s="90" t="s">
        <v>1140</v>
      </c>
      <c r="F1" s="90" t="s">
        <v>1134</v>
      </c>
    </row>
    <row r="2" spans="1:6" x14ac:dyDescent="0.15">
      <c r="A2" s="88" t="s">
        <v>1135</v>
      </c>
      <c r="B2" s="89">
        <v>0.3</v>
      </c>
      <c r="C2" s="89">
        <v>0.2</v>
      </c>
      <c r="D2" s="89">
        <v>0.3</v>
      </c>
      <c r="E2" s="89">
        <v>0.1</v>
      </c>
      <c r="F2" s="89">
        <v>0.1</v>
      </c>
    </row>
    <row r="4" spans="1:6" x14ac:dyDescent="0.15">
      <c r="A4" s="90" t="s">
        <v>1136</v>
      </c>
    </row>
    <row r="17" spans="1:1" x14ac:dyDescent="0.15">
      <c r="A17" s="90" t="s">
        <v>1141</v>
      </c>
    </row>
    <row r="25" spans="1:1" x14ac:dyDescent="0.15">
      <c r="A25" s="90" t="s">
        <v>1142</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96"/>
  <sheetViews>
    <sheetView workbookViewId="0">
      <pane ySplit="7" topLeftCell="A17" activePane="bottomLeft" state="frozen"/>
      <selection pane="bottomLeft" activeCell="O27" sqref="O2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706</v>
      </c>
      <c r="D1" s="56" t="s">
        <v>707</v>
      </c>
      <c r="H1" s="56" t="s">
        <v>708</v>
      </c>
      <c r="I1" s="25"/>
      <c r="J1" s="25"/>
      <c r="L1" s="56" t="s">
        <v>709</v>
      </c>
      <c r="U1" s="25"/>
    </row>
    <row r="2" spans="1:24" x14ac:dyDescent="0.15">
      <c r="A2" s="26" t="s">
        <v>669</v>
      </c>
      <c r="B2" s="58"/>
      <c r="C2" s="58"/>
      <c r="D2" s="58">
        <v>200</v>
      </c>
      <c r="E2" s="59"/>
      <c r="F2" s="58"/>
      <c r="G2" s="58"/>
      <c r="H2" s="72">
        <v>0.5</v>
      </c>
      <c r="I2" s="58"/>
      <c r="J2" s="58"/>
      <c r="K2" s="60"/>
      <c r="L2" s="60">
        <v>11</v>
      </c>
      <c r="M2" s="60"/>
      <c r="N2" s="59"/>
      <c r="O2" s="59"/>
      <c r="P2" s="58"/>
      <c r="Q2" s="58"/>
      <c r="R2" s="58"/>
      <c r="S2" s="58"/>
      <c r="T2" s="58"/>
    </row>
    <row r="3" spans="1:24" x14ac:dyDescent="0.15">
      <c r="A3" s="26" t="s">
        <v>670</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671</v>
      </c>
      <c r="D4" s="56" t="s">
        <v>699</v>
      </c>
      <c r="H4" s="56" t="s">
        <v>699</v>
      </c>
      <c r="I4" s="25"/>
      <c r="J4" s="25"/>
      <c r="L4" s="56" t="s">
        <v>699</v>
      </c>
      <c r="U4" s="25"/>
    </row>
    <row r="5" spans="1:24" x14ac:dyDescent="0.15">
      <c r="A5" s="26" t="s">
        <v>673</v>
      </c>
      <c r="B5" s="64"/>
      <c r="C5" s="64"/>
      <c r="D5" s="58" t="s">
        <v>702</v>
      </c>
      <c r="E5" s="68"/>
      <c r="F5" s="64"/>
      <c r="G5" s="64"/>
      <c r="H5" s="74" t="s">
        <v>701</v>
      </c>
      <c r="I5" s="64"/>
      <c r="J5" s="64"/>
      <c r="K5" s="69"/>
      <c r="L5" s="69" t="s">
        <v>700</v>
      </c>
      <c r="M5" s="69"/>
      <c r="N5" s="68"/>
      <c r="O5" s="68"/>
      <c r="P5" s="64"/>
      <c r="Q5" s="64"/>
      <c r="R5" s="64"/>
      <c r="S5" s="64"/>
      <c r="T5" s="64"/>
    </row>
    <row r="6" spans="1:24" x14ac:dyDescent="0.15">
      <c r="A6" s="26" t="s">
        <v>672</v>
      </c>
      <c r="B6" s="66"/>
      <c r="C6" s="66"/>
      <c r="D6" s="66" t="s">
        <v>703</v>
      </c>
      <c r="E6" s="70"/>
      <c r="F6" s="66"/>
      <c r="G6" s="66"/>
      <c r="H6" s="75" t="s">
        <v>704</v>
      </c>
      <c r="I6" s="66"/>
      <c r="J6" s="66"/>
      <c r="K6" s="71"/>
      <c r="L6" s="71" t="s">
        <v>705</v>
      </c>
      <c r="M6" s="71"/>
      <c r="N6" s="70"/>
      <c r="O6" s="70"/>
      <c r="P6" s="66"/>
      <c r="Q6" s="66"/>
      <c r="R6" s="66"/>
      <c r="S6" s="66"/>
      <c r="T6" s="66"/>
    </row>
    <row r="7" spans="1:24" s="52" customFormat="1" ht="36" customHeight="1" x14ac:dyDescent="0.15">
      <c r="A7" s="50"/>
      <c r="B7" s="47" t="s">
        <v>400</v>
      </c>
      <c r="C7" s="47" t="s">
        <v>401</v>
      </c>
      <c r="D7" s="48" t="s">
        <v>398</v>
      </c>
      <c r="E7" s="51" t="s">
        <v>408</v>
      </c>
      <c r="F7" s="52" t="s">
        <v>409</v>
      </c>
      <c r="G7" s="52" t="s">
        <v>410</v>
      </c>
      <c r="H7" s="52" t="s">
        <v>29</v>
      </c>
      <c r="I7" s="52" t="s">
        <v>402</v>
      </c>
      <c r="J7" s="52" t="s">
        <v>411</v>
      </c>
      <c r="K7" s="53" t="s">
        <v>412</v>
      </c>
      <c r="L7" s="54" t="s">
        <v>403</v>
      </c>
      <c r="M7" s="48" t="s">
        <v>413</v>
      </c>
      <c r="N7" s="49" t="s">
        <v>414</v>
      </c>
      <c r="O7" s="55" t="s">
        <v>415</v>
      </c>
      <c r="P7" s="48" t="s">
        <v>416</v>
      </c>
      <c r="Q7" s="48" t="s">
        <v>417</v>
      </c>
      <c r="R7" s="51" t="s">
        <v>418</v>
      </c>
      <c r="S7" s="51" t="s">
        <v>676</v>
      </c>
      <c r="T7" s="51" t="s">
        <v>677</v>
      </c>
    </row>
    <row r="8" spans="1:24" x14ac:dyDescent="0.15">
      <c r="A8" s="26">
        <v>1</v>
      </c>
      <c r="B8" s="25">
        <v>110060</v>
      </c>
      <c r="C8" s="25" t="s">
        <v>1014</v>
      </c>
      <c r="D8" s="25">
        <v>144.43199999999999</v>
      </c>
      <c r="E8" s="34">
        <v>5.4900000000000004E-2</v>
      </c>
      <c r="F8" s="25">
        <v>4.17</v>
      </c>
      <c r="G8" s="25">
        <v>146.52000000000001</v>
      </c>
      <c r="H8" s="43">
        <v>-1.43E-2</v>
      </c>
      <c r="I8" s="57">
        <v>143.00199999999998</v>
      </c>
      <c r="J8" s="32">
        <v>45958</v>
      </c>
      <c r="K8" s="33">
        <v>2.0030000000000001</v>
      </c>
      <c r="L8" s="33">
        <v>5.8559400000000004</v>
      </c>
      <c r="M8" s="33">
        <v>137745.5477</v>
      </c>
      <c r="N8" s="34">
        <v>1.6286116113015106</v>
      </c>
      <c r="O8" s="34">
        <v>-0.11611200000000001</v>
      </c>
      <c r="P8" s="25">
        <v>149.45099999999999</v>
      </c>
      <c r="Q8" s="25">
        <v>135.63</v>
      </c>
      <c r="R8" s="34">
        <v>0.10190223401902233</v>
      </c>
    </row>
    <row r="9" spans="1:24" x14ac:dyDescent="0.15">
      <c r="A9" s="26">
        <v>2</v>
      </c>
      <c r="B9" s="25">
        <v>128017</v>
      </c>
      <c r="C9" s="25" t="s">
        <v>1109</v>
      </c>
      <c r="D9" s="25">
        <v>105.9</v>
      </c>
      <c r="E9" s="34">
        <v>-5.9999999999999995E-4</v>
      </c>
      <c r="F9" s="25">
        <v>20.54</v>
      </c>
      <c r="G9" s="25">
        <v>106.13</v>
      </c>
      <c r="H9" s="43">
        <v>-2.2000000000000001E-3</v>
      </c>
      <c r="I9" s="57">
        <v>105.68</v>
      </c>
      <c r="J9" s="32">
        <v>45231</v>
      </c>
      <c r="K9" s="33">
        <v>1.0999999999999999E-2</v>
      </c>
      <c r="L9" s="33">
        <v>5.3474430000000002</v>
      </c>
      <c r="M9" s="33">
        <v>16561.967050299998</v>
      </c>
      <c r="N9" s="34">
        <v>0.29246223340494637</v>
      </c>
      <c r="O9" s="34">
        <v>7.1330000000000005E-2</v>
      </c>
      <c r="P9" s="25">
        <v>106.15</v>
      </c>
      <c r="Q9" s="25">
        <v>105.88</v>
      </c>
      <c r="R9" s="34">
        <v>2.5500566679260506E-3</v>
      </c>
      <c r="W9" s="27"/>
      <c r="X9" s="27"/>
    </row>
    <row r="10" spans="1:24" x14ac:dyDescent="0.15">
      <c r="A10" s="26">
        <v>3</v>
      </c>
      <c r="B10" s="25">
        <v>113578</v>
      </c>
      <c r="C10" s="25" t="s">
        <v>1016</v>
      </c>
      <c r="D10" s="25">
        <v>104.119</v>
      </c>
      <c r="E10" s="34">
        <v>-7.3000000000000001E-3</v>
      </c>
      <c r="F10" s="25">
        <v>3.2</v>
      </c>
      <c r="G10" s="25">
        <v>104.06</v>
      </c>
      <c r="H10" s="43">
        <v>5.9999999999999995E-4</v>
      </c>
      <c r="I10" s="57">
        <v>104.179</v>
      </c>
      <c r="J10" s="32">
        <v>46132</v>
      </c>
      <c r="K10" s="33">
        <v>2.4790000000000001</v>
      </c>
      <c r="L10" s="33">
        <v>2.9155500000000001</v>
      </c>
      <c r="M10" s="33">
        <v>9909.5282999999999</v>
      </c>
      <c r="N10" s="34">
        <v>0.32643934685008852</v>
      </c>
      <c r="O10" s="34">
        <v>4.6398999999999996E-2</v>
      </c>
      <c r="P10" s="25">
        <v>106.261</v>
      </c>
      <c r="Q10" s="25">
        <v>101.57899999999999</v>
      </c>
      <c r="R10" s="34">
        <v>4.60922040973036E-2</v>
      </c>
      <c r="W10" s="27"/>
      <c r="X10" s="27"/>
    </row>
    <row r="11" spans="1:24" x14ac:dyDescent="0.15">
      <c r="A11" s="26">
        <v>4</v>
      </c>
      <c r="B11" s="25">
        <v>113519</v>
      </c>
      <c r="C11" s="25" t="s">
        <v>1011</v>
      </c>
      <c r="D11" s="25">
        <v>129.607</v>
      </c>
      <c r="E11" s="34">
        <v>2.3E-3</v>
      </c>
      <c r="F11" s="25">
        <v>11.04</v>
      </c>
      <c r="G11" s="25">
        <v>128.99</v>
      </c>
      <c r="H11" s="43">
        <v>4.7999999999999996E-3</v>
      </c>
      <c r="I11" s="57">
        <v>130.08699999999999</v>
      </c>
      <c r="J11" s="32">
        <v>45603</v>
      </c>
      <c r="K11" s="33">
        <v>1.03</v>
      </c>
      <c r="L11" s="33">
        <v>2.9148800000000001</v>
      </c>
      <c r="M11" s="33">
        <v>9806.0396999999994</v>
      </c>
      <c r="N11" s="34">
        <v>0.2595640301171982</v>
      </c>
      <c r="O11" s="34">
        <v>-9.7139000000000003E-2</v>
      </c>
      <c r="P11" s="25">
        <v>130.19999999999999</v>
      </c>
      <c r="Q11" s="25">
        <v>129.13999999999999</v>
      </c>
      <c r="R11" s="34">
        <v>8.2081461979247507E-3</v>
      </c>
      <c r="W11" s="27"/>
      <c r="X11" s="27"/>
    </row>
    <row r="12" spans="1:24" x14ac:dyDescent="0.15">
      <c r="A12" s="26">
        <v>5</v>
      </c>
      <c r="B12" s="25">
        <v>127065</v>
      </c>
      <c r="C12" s="25" t="s">
        <v>739</v>
      </c>
      <c r="D12" s="25">
        <v>244.911</v>
      </c>
      <c r="E12" s="34">
        <v>-6.8199999999999997E-2</v>
      </c>
      <c r="F12" s="25">
        <v>17.059999999999999</v>
      </c>
      <c r="G12" s="25">
        <v>242.73</v>
      </c>
      <c r="H12" s="43">
        <v>9.0000000000000011E-3</v>
      </c>
      <c r="I12" s="57">
        <v>245.81100000000001</v>
      </c>
      <c r="J12" s="32">
        <v>46926</v>
      </c>
      <c r="K12" s="33">
        <v>4.6550000000000002</v>
      </c>
      <c r="L12" s="33">
        <v>2.101607</v>
      </c>
      <c r="M12" s="33">
        <v>141856.95319140001</v>
      </c>
      <c r="N12" s="34">
        <v>2.75607371955223</v>
      </c>
      <c r="O12" s="34">
        <v>-0.142817</v>
      </c>
      <c r="P12" s="25">
        <v>270.214</v>
      </c>
      <c r="Q12" s="25">
        <v>242.755</v>
      </c>
      <c r="R12" s="34">
        <v>0.11311404502481928</v>
      </c>
      <c r="W12" s="25" t="s">
        <v>1138</v>
      </c>
    </row>
    <row r="13" spans="1:24" x14ac:dyDescent="0.15">
      <c r="A13" s="26">
        <v>6</v>
      </c>
      <c r="B13" s="25">
        <v>123177</v>
      </c>
      <c r="C13" s="25" t="s">
        <v>774</v>
      </c>
      <c r="D13" s="25">
        <v>137.75</v>
      </c>
      <c r="E13" s="34">
        <v>-2.3399999999999997E-2</v>
      </c>
      <c r="F13" s="25">
        <v>13.28</v>
      </c>
      <c r="G13" s="25">
        <v>134.71</v>
      </c>
      <c r="H13" s="43">
        <v>2.2599999999999999E-2</v>
      </c>
      <c r="I13" s="57">
        <v>140.01</v>
      </c>
      <c r="J13" s="32">
        <v>47179</v>
      </c>
      <c r="K13" s="33">
        <v>5.3479999999999999</v>
      </c>
      <c r="L13" s="33">
        <v>2.8788290000000001</v>
      </c>
      <c r="M13" s="33">
        <v>31811.0327</v>
      </c>
      <c r="N13" s="34">
        <v>0.80217715866889339</v>
      </c>
      <c r="O13" s="34">
        <v>-2.5704999999999999E-2</v>
      </c>
      <c r="P13" s="25">
        <v>144.77500000000001</v>
      </c>
      <c r="Q13" s="25">
        <v>136.078</v>
      </c>
      <c r="R13" s="34">
        <v>6.3911874072223304E-2</v>
      </c>
    </row>
    <row r="14" spans="1:24" x14ac:dyDescent="0.15">
      <c r="A14" s="26">
        <v>7</v>
      </c>
      <c r="B14" s="25">
        <v>123092</v>
      </c>
      <c r="C14" s="25" t="s">
        <v>1049</v>
      </c>
      <c r="D14" s="25">
        <v>189.5</v>
      </c>
      <c r="E14" s="34">
        <v>2.9700000000000001E-2</v>
      </c>
      <c r="F14" s="25">
        <v>5.0599999999999996</v>
      </c>
      <c r="G14" s="25">
        <v>182.41</v>
      </c>
      <c r="H14" s="43">
        <v>3.8900000000000004E-2</v>
      </c>
      <c r="I14" s="57">
        <v>193.39</v>
      </c>
      <c r="J14" s="32">
        <v>46380</v>
      </c>
      <c r="K14" s="33">
        <v>3.1589999999999998</v>
      </c>
      <c r="L14" s="33">
        <v>3.9967389999999998</v>
      </c>
      <c r="M14" s="33">
        <v>3805.9882069999999</v>
      </c>
      <c r="N14" s="34">
        <v>5.025189407036118E-2</v>
      </c>
      <c r="O14" s="34">
        <v>-0.13641400000000001</v>
      </c>
      <c r="P14" s="25">
        <v>190.66800000000001</v>
      </c>
      <c r="Q14" s="25">
        <v>182.001</v>
      </c>
      <c r="R14" s="34">
        <v>4.7620617469134791E-2</v>
      </c>
    </row>
    <row r="15" spans="1:24" x14ac:dyDescent="0.15">
      <c r="A15" s="26">
        <v>8</v>
      </c>
      <c r="B15" s="25">
        <v>123129</v>
      </c>
      <c r="C15" s="25" t="s">
        <v>75</v>
      </c>
      <c r="D15" s="25">
        <v>131.17699999999999</v>
      </c>
      <c r="E15" s="34">
        <v>-2.3799999999999998E-2</v>
      </c>
      <c r="F15" s="25">
        <v>7.95</v>
      </c>
      <c r="G15" s="25">
        <v>125.28</v>
      </c>
      <c r="H15" s="43">
        <v>4.7100000000000003E-2</v>
      </c>
      <c r="I15" s="57">
        <v>135.887</v>
      </c>
      <c r="J15" s="32">
        <v>46695</v>
      </c>
      <c r="K15" s="33">
        <v>4.0220000000000002</v>
      </c>
      <c r="L15" s="33">
        <v>2.703605</v>
      </c>
      <c r="M15" s="33">
        <v>56628.246901900005</v>
      </c>
      <c r="N15" s="34">
        <v>1.5967325607623211</v>
      </c>
      <c r="O15" s="34">
        <v>-2.7793999999999999E-2</v>
      </c>
      <c r="P15" s="25">
        <v>135</v>
      </c>
      <c r="Q15" s="25">
        <v>128.5</v>
      </c>
      <c r="R15" s="34">
        <v>5.0583657587548639E-2</v>
      </c>
    </row>
    <row r="16" spans="1:24" x14ac:dyDescent="0.15">
      <c r="A16" s="26">
        <v>9</v>
      </c>
      <c r="B16" s="25">
        <v>110052</v>
      </c>
      <c r="C16" s="25" t="s">
        <v>767</v>
      </c>
      <c r="D16" s="25">
        <v>134.92099999999999</v>
      </c>
      <c r="E16" s="34">
        <v>8.6E-3</v>
      </c>
      <c r="F16" s="25">
        <v>7.94</v>
      </c>
      <c r="G16" s="25">
        <v>128.84</v>
      </c>
      <c r="H16" s="43">
        <v>4.7199999999999999E-2</v>
      </c>
      <c r="I16" s="57">
        <v>139.64099999999999</v>
      </c>
      <c r="J16" s="32">
        <v>45721</v>
      </c>
      <c r="K16" s="33">
        <v>1.353</v>
      </c>
      <c r="L16" s="33">
        <v>2.8803800000000002</v>
      </c>
      <c r="M16" s="33">
        <v>6835.6972999999998</v>
      </c>
      <c r="N16" s="34">
        <v>0.17589499613319542</v>
      </c>
      <c r="O16" s="34">
        <v>-0.112409</v>
      </c>
      <c r="P16" s="25">
        <v>135.09899999999999</v>
      </c>
      <c r="Q16" s="25">
        <v>133.63399999999999</v>
      </c>
      <c r="R16" s="34">
        <v>1.0962778933504972E-2</v>
      </c>
    </row>
    <row r="17" spans="1:18" x14ac:dyDescent="0.15">
      <c r="A17" s="26">
        <v>10</v>
      </c>
      <c r="B17" s="25">
        <v>113588</v>
      </c>
      <c r="C17" s="25" t="s">
        <v>1063</v>
      </c>
      <c r="D17" s="25">
        <v>143.791</v>
      </c>
      <c r="E17" s="34">
        <v>3.2300000000000002E-2</v>
      </c>
      <c r="F17" s="25">
        <v>13.1</v>
      </c>
      <c r="G17" s="25">
        <v>136.79</v>
      </c>
      <c r="H17" s="43">
        <v>5.1200000000000002E-2</v>
      </c>
      <c r="I17" s="57">
        <v>148.911</v>
      </c>
      <c r="J17" s="32">
        <v>46190</v>
      </c>
      <c r="K17" s="33">
        <v>2.6379999999999999</v>
      </c>
      <c r="L17" s="33">
        <v>5.1671199999999997</v>
      </c>
      <c r="M17" s="33">
        <v>63625.608500000002</v>
      </c>
      <c r="N17" s="34">
        <v>0.85635077913152191</v>
      </c>
      <c r="O17" s="34">
        <v>-9.0646000000000004E-2</v>
      </c>
      <c r="P17" s="25">
        <v>144.19999999999999</v>
      </c>
      <c r="Q17" s="25">
        <v>138.95699999999999</v>
      </c>
      <c r="R17" s="34">
        <v>3.77310966701929E-2</v>
      </c>
    </row>
    <row r="18" spans="1:18" x14ac:dyDescent="0.15">
      <c r="A18" s="26">
        <v>11</v>
      </c>
      <c r="B18" s="25">
        <v>128087</v>
      </c>
      <c r="C18" s="25" t="s">
        <v>60</v>
      </c>
      <c r="D18" s="25">
        <v>125.12</v>
      </c>
      <c r="E18" s="34">
        <v>1.0200000000000001E-2</v>
      </c>
      <c r="F18" s="25">
        <v>4.16</v>
      </c>
      <c r="G18" s="25">
        <v>118.03</v>
      </c>
      <c r="H18" s="43">
        <v>6.0100000000000001E-2</v>
      </c>
      <c r="I18" s="57">
        <v>131.13</v>
      </c>
      <c r="J18" s="32">
        <v>46008</v>
      </c>
      <c r="K18" s="33">
        <v>2.14</v>
      </c>
      <c r="L18" s="33">
        <v>6.4429340000000002</v>
      </c>
      <c r="M18" s="33">
        <v>4385.8145553999993</v>
      </c>
      <c r="N18" s="34">
        <v>5.440512923481064E-2</v>
      </c>
      <c r="O18" s="34">
        <v>-5.4181999999999994E-2</v>
      </c>
      <c r="P18" s="25">
        <v>125.282</v>
      </c>
      <c r="Q18" s="25">
        <v>123.407</v>
      </c>
      <c r="R18" s="34">
        <v>1.519362759000705E-2</v>
      </c>
    </row>
    <row r="19" spans="1:18" x14ac:dyDescent="0.15">
      <c r="A19" s="26">
        <v>12</v>
      </c>
      <c r="B19" s="25">
        <v>118021</v>
      </c>
      <c r="C19" s="25" t="s">
        <v>1050</v>
      </c>
      <c r="D19" s="25">
        <v>165.863</v>
      </c>
      <c r="E19" s="34">
        <v>7.8000000000000005E-3</v>
      </c>
      <c r="F19" s="25">
        <v>10.68</v>
      </c>
      <c r="G19" s="25">
        <v>156.09</v>
      </c>
      <c r="H19" s="43">
        <v>6.2600000000000003E-2</v>
      </c>
      <c r="I19" s="57">
        <v>172.12299999999999</v>
      </c>
      <c r="J19" s="32">
        <v>47023</v>
      </c>
      <c r="K19" s="33">
        <v>4.9210000000000003</v>
      </c>
      <c r="L19" s="33">
        <v>4.8390899999999997</v>
      </c>
      <c r="M19" s="33">
        <v>16426.1996</v>
      </c>
      <c r="N19" s="34">
        <v>0.20465571653219827</v>
      </c>
      <c r="O19" s="34">
        <v>-6.8519999999999998E-2</v>
      </c>
      <c r="P19" s="25">
        <v>167.393</v>
      </c>
      <c r="Q19" s="25">
        <v>162.20099999999999</v>
      </c>
      <c r="R19" s="34">
        <v>3.2009667018082548E-2</v>
      </c>
    </row>
    <row r="20" spans="1:18" x14ac:dyDescent="0.15">
      <c r="A20" s="26">
        <v>13</v>
      </c>
      <c r="B20" s="25">
        <v>113534</v>
      </c>
      <c r="C20" s="25" t="s">
        <v>1045</v>
      </c>
      <c r="D20" s="25">
        <v>196.74799999999999</v>
      </c>
      <c r="E20" s="34">
        <v>3.7599999999999995E-2</v>
      </c>
      <c r="F20" s="25">
        <v>7.84</v>
      </c>
      <c r="G20" s="25">
        <v>183.55</v>
      </c>
      <c r="H20" s="43">
        <v>7.1900000000000006E-2</v>
      </c>
      <c r="I20" s="57">
        <v>203.93799999999999</v>
      </c>
      <c r="J20" s="32">
        <v>45756</v>
      </c>
      <c r="K20" s="33">
        <v>1.4490000000000001</v>
      </c>
      <c r="L20" s="33">
        <v>3.7582499999999999</v>
      </c>
      <c r="M20" s="33">
        <v>22226.041000000001</v>
      </c>
      <c r="N20" s="34">
        <v>0.30058417939286231</v>
      </c>
      <c r="O20" s="34">
        <v>-0.324878</v>
      </c>
      <c r="P20" s="25">
        <v>199.08699999999999</v>
      </c>
      <c r="Q20" s="25">
        <v>188.20699999999999</v>
      </c>
      <c r="R20" s="34">
        <v>5.78086893686207E-2</v>
      </c>
    </row>
    <row r="21" spans="1:18" x14ac:dyDescent="0.15">
      <c r="A21" s="26">
        <v>14</v>
      </c>
      <c r="B21" s="25">
        <v>113595</v>
      </c>
      <c r="C21" s="25" t="s">
        <v>67</v>
      </c>
      <c r="D21" s="25">
        <v>99.3</v>
      </c>
      <c r="E21" s="34">
        <v>6.9999999999999993E-3</v>
      </c>
      <c r="F21" s="25">
        <v>4.4800000000000004</v>
      </c>
      <c r="G21" s="25">
        <v>92.63</v>
      </c>
      <c r="H21" s="43">
        <v>7.2000000000000008E-2</v>
      </c>
      <c r="I21" s="57">
        <v>106.5</v>
      </c>
      <c r="J21" s="32">
        <v>46224</v>
      </c>
      <c r="K21" s="33">
        <v>2.7320000000000002</v>
      </c>
      <c r="L21" s="33">
        <v>2.5596700000000001</v>
      </c>
      <c r="M21" s="33">
        <v>1299.9450999999999</v>
      </c>
      <c r="N21" s="34">
        <v>5.1143657660332763E-2</v>
      </c>
      <c r="O21" s="34">
        <v>8.2924000000000012E-2</v>
      </c>
      <c r="P21" s="25">
        <v>99.884</v>
      </c>
      <c r="Q21" s="25">
        <v>98.5</v>
      </c>
      <c r="R21" s="34">
        <v>1.40507614213198E-2</v>
      </c>
    </row>
    <row r="22" spans="1:18" x14ac:dyDescent="0.15">
      <c r="A22" s="26">
        <v>15</v>
      </c>
      <c r="B22" s="25">
        <v>128106</v>
      </c>
      <c r="C22" s="25" t="s">
        <v>1048</v>
      </c>
      <c r="D22" s="25">
        <v>202.393</v>
      </c>
      <c r="E22" s="34">
        <v>4.4600000000000001E-2</v>
      </c>
      <c r="F22" s="25">
        <v>8.82</v>
      </c>
      <c r="G22" s="25">
        <v>188.32</v>
      </c>
      <c r="H22" s="43">
        <v>7.4700000000000003E-2</v>
      </c>
      <c r="I22" s="57">
        <v>209.863</v>
      </c>
      <c r="J22" s="32">
        <v>46122</v>
      </c>
      <c r="K22" s="33">
        <v>2.452</v>
      </c>
      <c r="L22" s="33">
        <v>2.8681749999999999</v>
      </c>
      <c r="M22" s="33">
        <v>24635.8353556</v>
      </c>
      <c r="N22" s="34">
        <v>0.42439099395205199</v>
      </c>
      <c r="O22" s="34">
        <v>-0.21901399999999999</v>
      </c>
      <c r="P22" s="25">
        <v>202.88800000000001</v>
      </c>
      <c r="Q22" s="25">
        <v>192.601</v>
      </c>
      <c r="R22" s="34">
        <v>5.3410937637914685E-2</v>
      </c>
    </row>
    <row r="23" spans="1:18" x14ac:dyDescent="0.15">
      <c r="A23" s="26">
        <v>16</v>
      </c>
      <c r="B23" s="25">
        <v>123187</v>
      </c>
      <c r="C23" s="25" t="s">
        <v>1051</v>
      </c>
      <c r="D23" s="25">
        <v>134.1</v>
      </c>
      <c r="E23" s="34">
        <v>0</v>
      </c>
      <c r="F23" s="25">
        <v>32.6</v>
      </c>
      <c r="G23" s="25">
        <v>124.48</v>
      </c>
      <c r="H23" s="43">
        <v>7.7300000000000008E-2</v>
      </c>
      <c r="I23" s="57">
        <v>141.82999999999998</v>
      </c>
      <c r="J23" s="32">
        <v>47212</v>
      </c>
      <c r="K23" s="33">
        <v>5.4379999999999997</v>
      </c>
      <c r="L23" s="33">
        <v>4.6856900000000001</v>
      </c>
      <c r="M23" s="33">
        <v>16386.577846200002</v>
      </c>
      <c r="N23" s="34">
        <v>0.26078699787089871</v>
      </c>
      <c r="O23" s="34">
        <v>-1.8932000000000001E-2</v>
      </c>
      <c r="P23" s="25">
        <v>134.99</v>
      </c>
      <c r="Q23" s="25">
        <v>132.46</v>
      </c>
      <c r="R23" s="34">
        <v>1.9100105692284472E-2</v>
      </c>
    </row>
    <row r="24" spans="1:18" x14ac:dyDescent="0.15">
      <c r="A24" s="26">
        <v>17</v>
      </c>
      <c r="B24" s="25">
        <v>127037</v>
      </c>
      <c r="C24" s="25" t="s">
        <v>730</v>
      </c>
      <c r="D24" s="25">
        <v>189.55799999999999</v>
      </c>
      <c r="E24" s="34">
        <v>-2.5399999999999999E-2</v>
      </c>
      <c r="F24" s="25">
        <v>10.61</v>
      </c>
      <c r="G24" s="25">
        <v>174.74</v>
      </c>
      <c r="H24" s="43">
        <v>8.48E-2</v>
      </c>
      <c r="I24" s="57">
        <v>198.03799999999998</v>
      </c>
      <c r="J24" s="32">
        <v>46545</v>
      </c>
      <c r="K24" s="33">
        <v>3.6110000000000002</v>
      </c>
      <c r="L24" s="33">
        <v>6.99404</v>
      </c>
      <c r="M24" s="33">
        <v>13167.363103399999</v>
      </c>
      <c r="N24" s="34">
        <v>9.9318141044771657E-2</v>
      </c>
      <c r="O24" s="34">
        <v>-0.13265199999999999</v>
      </c>
      <c r="P24" s="25">
        <v>194.9</v>
      </c>
      <c r="Q24" s="25">
        <v>188.518</v>
      </c>
      <c r="R24" s="34">
        <v>3.3853531227787295E-2</v>
      </c>
    </row>
    <row r="25" spans="1:18" x14ac:dyDescent="0.15">
      <c r="A25" s="26">
        <v>18</v>
      </c>
      <c r="B25" s="25">
        <v>128091</v>
      </c>
      <c r="C25" s="25" t="s">
        <v>746</v>
      </c>
      <c r="D25" s="25">
        <v>160.80000000000001</v>
      </c>
      <c r="E25" s="34">
        <v>3.44E-2</v>
      </c>
      <c r="F25" s="25">
        <v>8.11</v>
      </c>
      <c r="G25" s="25">
        <v>148.21</v>
      </c>
      <c r="H25" s="43">
        <v>8.4900000000000003E-2</v>
      </c>
      <c r="I25" s="57">
        <v>169.29000000000002</v>
      </c>
      <c r="J25" s="32">
        <v>46021</v>
      </c>
      <c r="K25" s="33">
        <v>2.1749999999999998</v>
      </c>
      <c r="L25" s="33">
        <v>1.5232429999999999</v>
      </c>
      <c r="M25" s="33">
        <v>9533.9730935000007</v>
      </c>
      <c r="N25" s="34">
        <v>0.38924109578799521</v>
      </c>
      <c r="O25" s="34">
        <v>-0.13789400000000002</v>
      </c>
      <c r="P25" s="25">
        <v>160.9</v>
      </c>
      <c r="Q25" s="25">
        <v>153.80000000000001</v>
      </c>
      <c r="R25" s="34">
        <v>4.6163849154746382E-2</v>
      </c>
    </row>
    <row r="26" spans="1:18" x14ac:dyDescent="0.15">
      <c r="A26" s="26">
        <v>19</v>
      </c>
      <c r="B26" s="25">
        <v>128049</v>
      </c>
      <c r="C26" s="25" t="s">
        <v>754</v>
      </c>
      <c r="D26" s="25">
        <v>129.601</v>
      </c>
      <c r="E26" s="34">
        <v>1.77E-2</v>
      </c>
      <c r="F26" s="25">
        <v>7.37</v>
      </c>
      <c r="G26" s="25">
        <v>118.86</v>
      </c>
      <c r="H26" s="43">
        <v>9.0399999999999994E-2</v>
      </c>
      <c r="I26" s="57">
        <v>138.64099999999999</v>
      </c>
      <c r="J26" s="32">
        <v>45623</v>
      </c>
      <c r="K26" s="33">
        <v>1.085</v>
      </c>
      <c r="L26" s="33">
        <v>3.6079189999999999</v>
      </c>
      <c r="M26" s="33">
        <v>5967.3210600000002</v>
      </c>
      <c r="N26" s="34">
        <v>0.12761868740771085</v>
      </c>
      <c r="O26" s="34">
        <v>-0.127416</v>
      </c>
      <c r="P26" s="25">
        <v>130.63499999999999</v>
      </c>
      <c r="Q26" s="25">
        <v>127.244</v>
      </c>
      <c r="R26" s="34">
        <v>2.6649586620980093E-2</v>
      </c>
    </row>
    <row r="27" spans="1:18" x14ac:dyDescent="0.15">
      <c r="A27" s="26">
        <v>20</v>
      </c>
      <c r="B27" s="25">
        <v>113591</v>
      </c>
      <c r="C27" s="25" t="s">
        <v>35</v>
      </c>
      <c r="D27" s="25">
        <v>129.97999999999999</v>
      </c>
      <c r="E27" s="34">
        <v>1.1299999999999999E-2</v>
      </c>
      <c r="F27" s="25">
        <v>8.68</v>
      </c>
      <c r="G27" s="25">
        <v>118.89</v>
      </c>
      <c r="H27" s="43">
        <v>9.3299999999999994E-2</v>
      </c>
      <c r="I27" s="57">
        <v>139.31</v>
      </c>
      <c r="J27" s="32">
        <v>46204</v>
      </c>
      <c r="K27" s="33">
        <v>2.677</v>
      </c>
      <c r="L27" s="33">
        <v>4.7427099999999998</v>
      </c>
      <c r="M27" s="33">
        <v>2994.6102999999998</v>
      </c>
      <c r="N27" s="34">
        <v>4.8577729418350708E-2</v>
      </c>
      <c r="O27" s="34">
        <v>-2.9866999999999998E-2</v>
      </c>
      <c r="P27" s="25">
        <v>130.059</v>
      </c>
      <c r="Q27" s="25">
        <v>128.24600000000001</v>
      </c>
      <c r="R27" s="34">
        <v>1.413689315846099E-2</v>
      </c>
    </row>
    <row r="28" spans="1:18" x14ac:dyDescent="0.15">
      <c r="A28" s="26">
        <v>21</v>
      </c>
      <c r="B28" s="25">
        <v>127014</v>
      </c>
      <c r="C28" s="25" t="s">
        <v>1047</v>
      </c>
      <c r="D28" s="25">
        <v>165.8</v>
      </c>
      <c r="E28" s="34">
        <v>6.5000000000000006E-3</v>
      </c>
      <c r="F28" s="25">
        <v>7.74</v>
      </c>
      <c r="G28" s="25">
        <v>150.38999999999999</v>
      </c>
      <c r="H28" s="43">
        <v>0.10249999999999999</v>
      </c>
      <c r="I28" s="57">
        <v>176.05</v>
      </c>
      <c r="J28" s="32">
        <v>45954</v>
      </c>
      <c r="K28" s="33">
        <v>1.992</v>
      </c>
      <c r="L28" s="33">
        <v>5.3383750000000001</v>
      </c>
      <c r="M28" s="33">
        <v>6750.8758343999998</v>
      </c>
      <c r="N28" s="34">
        <v>7.627224262001496E-2</v>
      </c>
      <c r="O28" s="34">
        <v>-0.18047899999999997</v>
      </c>
      <c r="P28" s="25">
        <v>166.499</v>
      </c>
      <c r="Q28" s="25">
        <v>162.9</v>
      </c>
      <c r="R28" s="34">
        <v>2.2093308778391586E-2</v>
      </c>
    </row>
    <row r="29" spans="1:18" x14ac:dyDescent="0.15">
      <c r="A29" s="26">
        <v>22</v>
      </c>
      <c r="B29" s="25">
        <v>127078</v>
      </c>
      <c r="C29" s="25" t="s">
        <v>741</v>
      </c>
      <c r="D29" s="25">
        <v>127.5</v>
      </c>
      <c r="E29" s="34">
        <v>1.1699999999999999E-2</v>
      </c>
      <c r="F29" s="25">
        <v>7.2</v>
      </c>
      <c r="G29" s="25">
        <v>115</v>
      </c>
      <c r="H29" s="43">
        <v>0.10869999999999999</v>
      </c>
      <c r="I29" s="57">
        <v>138.37</v>
      </c>
      <c r="J29" s="32">
        <v>47101</v>
      </c>
      <c r="K29" s="33">
        <v>5.1340000000000003</v>
      </c>
      <c r="L29" s="33">
        <v>5.999746</v>
      </c>
      <c r="M29" s="33">
        <v>2907.2658646</v>
      </c>
      <c r="N29" s="34">
        <v>3.8005084236147693E-2</v>
      </c>
      <c r="O29" s="34">
        <v>-9.5519999999999997E-3</v>
      </c>
      <c r="P29" s="25">
        <v>127.8</v>
      </c>
      <c r="Q29" s="25">
        <v>124.82599999999999</v>
      </c>
      <c r="R29" s="34">
        <v>2.3825164629163828E-2</v>
      </c>
    </row>
    <row r="30" spans="1:18" x14ac:dyDescent="0.15">
      <c r="A30" s="26">
        <v>23</v>
      </c>
      <c r="B30" s="25">
        <v>113628</v>
      </c>
      <c r="C30" s="25" t="s">
        <v>1022</v>
      </c>
      <c r="D30" s="25">
        <v>126.54</v>
      </c>
      <c r="E30" s="34">
        <v>1.46E-2</v>
      </c>
      <c r="F30" s="25">
        <v>12.94</v>
      </c>
      <c r="G30" s="25">
        <v>114.06</v>
      </c>
      <c r="H30" s="43">
        <v>0.1094</v>
      </c>
      <c r="I30" s="57">
        <v>137.48000000000002</v>
      </c>
      <c r="J30" s="32">
        <v>46622</v>
      </c>
      <c r="K30" s="33">
        <v>3.8220000000000001</v>
      </c>
      <c r="L30" s="33">
        <v>4.1492800000000001</v>
      </c>
      <c r="M30" s="33">
        <v>2626.4171999999999</v>
      </c>
      <c r="N30" s="34">
        <v>5.0022240629311057E-2</v>
      </c>
      <c r="O30" s="34">
        <v>-1.2969E-2</v>
      </c>
      <c r="P30" s="25">
        <v>126.979</v>
      </c>
      <c r="Q30" s="25">
        <v>124.033</v>
      </c>
      <c r="R30" s="34">
        <v>2.3751743487620214E-2</v>
      </c>
    </row>
    <row r="31" spans="1:18" x14ac:dyDescent="0.15">
      <c r="A31" s="26">
        <v>24</v>
      </c>
      <c r="B31" s="25">
        <v>113576</v>
      </c>
      <c r="C31" s="25" t="s">
        <v>1114</v>
      </c>
      <c r="D31" s="25">
        <v>96.087999999999994</v>
      </c>
      <c r="E31" s="34">
        <v>1.61E-2</v>
      </c>
      <c r="F31" s="25">
        <v>2.6</v>
      </c>
      <c r="G31" s="25">
        <v>85</v>
      </c>
      <c r="H31" s="43">
        <v>0.13039999999999999</v>
      </c>
      <c r="I31" s="57">
        <v>109.12799999999999</v>
      </c>
      <c r="J31" s="32">
        <v>46122</v>
      </c>
      <c r="K31" s="33">
        <v>2.452</v>
      </c>
      <c r="L31" s="33">
        <v>2.6555</v>
      </c>
      <c r="M31" s="33">
        <v>1362.3976</v>
      </c>
      <c r="N31" s="34">
        <v>5.3393502450783323E-2</v>
      </c>
      <c r="O31" s="34">
        <v>9.4349000000000002E-2</v>
      </c>
      <c r="P31" s="25">
        <v>96.39</v>
      </c>
      <c r="Q31" s="25">
        <v>94.56</v>
      </c>
      <c r="R31" s="34">
        <v>1.9352791878172571E-2</v>
      </c>
    </row>
    <row r="32" spans="1:18" x14ac:dyDescent="0.15">
      <c r="A32" s="26">
        <v>25</v>
      </c>
      <c r="B32" s="25">
        <v>123127</v>
      </c>
      <c r="C32" s="25" t="s">
        <v>57</v>
      </c>
      <c r="D32" s="25">
        <v>132.851</v>
      </c>
      <c r="E32" s="34">
        <v>2.5999999999999999E-3</v>
      </c>
      <c r="F32" s="25">
        <v>24.4</v>
      </c>
      <c r="G32" s="25">
        <v>117.21</v>
      </c>
      <c r="H32" s="43">
        <v>0.13339999999999999</v>
      </c>
      <c r="I32" s="57">
        <v>146.191</v>
      </c>
      <c r="J32" s="32">
        <v>46689</v>
      </c>
      <c r="K32" s="33">
        <v>4.0049999999999999</v>
      </c>
      <c r="L32" s="33">
        <v>3.9973380000000001</v>
      </c>
      <c r="M32" s="33">
        <v>1897.3440129999999</v>
      </c>
      <c r="N32" s="34">
        <v>3.5728137844566805E-2</v>
      </c>
      <c r="O32" s="34">
        <v>-3.4502999999999999E-2</v>
      </c>
      <c r="P32" s="25">
        <v>133.899</v>
      </c>
      <c r="Q32" s="25">
        <v>131.6</v>
      </c>
      <c r="R32" s="34">
        <v>1.7469604863221935E-2</v>
      </c>
    </row>
    <row r="33" spans="1:18" x14ac:dyDescent="0.15">
      <c r="A33" s="26">
        <v>26</v>
      </c>
      <c r="B33" s="25">
        <v>123059</v>
      </c>
      <c r="C33" s="25" t="s">
        <v>742</v>
      </c>
      <c r="D33" s="25">
        <v>136.79900000000001</v>
      </c>
      <c r="E33" s="34">
        <v>0</v>
      </c>
      <c r="F33" s="25">
        <v>9.4499999999999993</v>
      </c>
      <c r="G33" s="25">
        <v>120.63</v>
      </c>
      <c r="H33" s="43">
        <v>0.13400000000000001</v>
      </c>
      <c r="I33" s="57">
        <v>150.19900000000001</v>
      </c>
      <c r="J33" s="32">
        <v>46218</v>
      </c>
      <c r="K33" s="33">
        <v>2.7149999999999999</v>
      </c>
      <c r="L33" s="33">
        <v>3.9074730000000004</v>
      </c>
      <c r="M33" s="33">
        <v>12113.093174600001</v>
      </c>
      <c r="N33" s="34">
        <v>0.22660847562897424</v>
      </c>
      <c r="O33" s="34">
        <v>-4.1910999999999997E-2</v>
      </c>
      <c r="P33" s="25">
        <v>137.27099999999999</v>
      </c>
      <c r="Q33" s="25">
        <v>134.577</v>
      </c>
      <c r="R33" s="34">
        <v>2.0018279497982482E-2</v>
      </c>
    </row>
    <row r="34" spans="1:18" x14ac:dyDescent="0.15">
      <c r="A34" s="26">
        <v>27</v>
      </c>
      <c r="B34" s="25">
        <v>128121</v>
      </c>
      <c r="C34" s="25" t="s">
        <v>722</v>
      </c>
      <c r="D34" s="25">
        <v>127.876</v>
      </c>
      <c r="E34" s="34">
        <v>6.9999999999999993E-3</v>
      </c>
      <c r="F34" s="25">
        <v>19.14</v>
      </c>
      <c r="G34" s="25">
        <v>112.7</v>
      </c>
      <c r="H34" s="43">
        <v>0.13470000000000001</v>
      </c>
      <c r="I34" s="57">
        <v>141.346</v>
      </c>
      <c r="J34" s="32">
        <v>46220</v>
      </c>
      <c r="K34" s="33">
        <v>2.7210000000000001</v>
      </c>
      <c r="L34" s="33">
        <v>6.6978809999999998</v>
      </c>
      <c r="M34" s="33">
        <v>2150.1904199999999</v>
      </c>
      <c r="N34" s="34">
        <v>2.5104435044799853E-2</v>
      </c>
      <c r="O34" s="34">
        <v>-5.0450000000000002E-2</v>
      </c>
      <c r="P34" s="25">
        <v>128.13999999999999</v>
      </c>
      <c r="Q34" s="25">
        <v>126.58199999999999</v>
      </c>
      <c r="R34" s="34">
        <v>1.2308227078099514E-2</v>
      </c>
    </row>
    <row r="35" spans="1:18" x14ac:dyDescent="0.15">
      <c r="A35" s="26">
        <v>28</v>
      </c>
      <c r="B35" s="25">
        <v>123147</v>
      </c>
      <c r="C35" s="25" t="s">
        <v>437</v>
      </c>
      <c r="D35" s="25">
        <v>130.30000000000001</v>
      </c>
      <c r="E35" s="34">
        <v>6.1999999999999998E-3</v>
      </c>
      <c r="F35" s="25">
        <v>7.78</v>
      </c>
      <c r="G35" s="25">
        <v>114.14</v>
      </c>
      <c r="H35" s="43">
        <v>0.1416</v>
      </c>
      <c r="I35" s="57">
        <v>144.46</v>
      </c>
      <c r="J35" s="32">
        <v>46904</v>
      </c>
      <c r="K35" s="33">
        <v>4.5949999999999998</v>
      </c>
      <c r="L35" s="33">
        <v>5.7046939999999999</v>
      </c>
      <c r="M35" s="33">
        <v>1128.7852782</v>
      </c>
      <c r="N35" s="34">
        <v>1.5185691299383073E-2</v>
      </c>
      <c r="O35" s="34">
        <v>-1.8414E-2</v>
      </c>
      <c r="P35" s="25">
        <v>130.91999999999999</v>
      </c>
      <c r="Q35" s="25">
        <v>128.84100000000001</v>
      </c>
      <c r="R35" s="34">
        <v>1.6136167834772931E-2</v>
      </c>
    </row>
    <row r="36" spans="1:18" x14ac:dyDescent="0.15">
      <c r="A36" s="26">
        <v>29</v>
      </c>
      <c r="B36" s="25">
        <v>128090</v>
      </c>
      <c r="C36" s="25" t="s">
        <v>61</v>
      </c>
      <c r="D36" s="25">
        <v>129.75</v>
      </c>
      <c r="E36" s="34">
        <v>1.7899999999999999E-2</v>
      </c>
      <c r="F36" s="25">
        <v>4.2300000000000004</v>
      </c>
      <c r="G36" s="25">
        <v>113.24</v>
      </c>
      <c r="H36" s="43">
        <v>0.14580000000000001</v>
      </c>
      <c r="I36" s="57">
        <v>144.33000000000001</v>
      </c>
      <c r="J36" s="32">
        <v>46018</v>
      </c>
      <c r="K36" s="33">
        <v>2.1669999999999998</v>
      </c>
      <c r="L36" s="33">
        <v>3.0986199999999999</v>
      </c>
      <c r="M36" s="33">
        <v>21794.488100400002</v>
      </c>
      <c r="N36" s="34">
        <v>0.54208948930948675</v>
      </c>
      <c r="O36" s="34">
        <v>-6.1677999999999997E-2</v>
      </c>
      <c r="P36" s="25">
        <v>131.66900000000001</v>
      </c>
      <c r="Q36" s="25">
        <v>127.107</v>
      </c>
      <c r="R36" s="34">
        <v>3.5891020950852524E-2</v>
      </c>
    </row>
    <row r="37" spans="1:18" x14ac:dyDescent="0.15">
      <c r="A37" s="26">
        <v>30</v>
      </c>
      <c r="B37" s="25">
        <v>111008</v>
      </c>
      <c r="C37" s="25" t="s">
        <v>686</v>
      </c>
      <c r="D37" s="25">
        <v>138.30099999999999</v>
      </c>
      <c r="E37" s="34">
        <v>2.0999999999999999E-3</v>
      </c>
      <c r="F37" s="25">
        <v>46.99</v>
      </c>
      <c r="G37" s="25">
        <v>120.47</v>
      </c>
      <c r="H37" s="43">
        <v>0.14800000000000002</v>
      </c>
      <c r="I37" s="57">
        <v>153.101</v>
      </c>
      <c r="J37" s="32">
        <v>47059</v>
      </c>
      <c r="K37" s="33">
        <v>5.0190000000000001</v>
      </c>
      <c r="L37" s="33">
        <v>3.8393600000000001</v>
      </c>
      <c r="M37" s="33">
        <v>3743.0408000000002</v>
      </c>
      <c r="N37" s="34">
        <v>7.0492092883080906E-2</v>
      </c>
      <c r="O37" s="34">
        <v>-2.9491E-2</v>
      </c>
      <c r="P37" s="25">
        <v>139.38</v>
      </c>
      <c r="Q37" s="25">
        <v>137.79900000000001</v>
      </c>
      <c r="R37" s="34">
        <v>1.147323275205182E-2</v>
      </c>
    </row>
    <row r="38" spans="1:18" x14ac:dyDescent="0.15">
      <c r="A38" s="26">
        <v>31</v>
      </c>
      <c r="B38" s="25">
        <v>128082</v>
      </c>
      <c r="C38" s="25" t="s">
        <v>679</v>
      </c>
      <c r="D38" s="25">
        <v>146.44499999999999</v>
      </c>
      <c r="E38" s="34">
        <v>0.01</v>
      </c>
      <c r="F38" s="25">
        <v>9.1300000000000008</v>
      </c>
      <c r="G38" s="25">
        <v>127.38</v>
      </c>
      <c r="H38" s="43">
        <v>0.1497</v>
      </c>
      <c r="I38" s="57">
        <v>161.41499999999999</v>
      </c>
      <c r="J38" s="32">
        <v>45995</v>
      </c>
      <c r="K38" s="33">
        <v>2.1040000000000001</v>
      </c>
      <c r="L38" s="33">
        <v>2.0144419999999998</v>
      </c>
      <c r="M38" s="33">
        <v>1933.8078024999998</v>
      </c>
      <c r="N38" s="34">
        <v>6.5551704998020141E-2</v>
      </c>
      <c r="O38" s="34">
        <v>-9.512000000000001E-2</v>
      </c>
      <c r="P38" s="25">
        <v>146.595</v>
      </c>
      <c r="Q38" s="25">
        <v>144.56700000000001</v>
      </c>
      <c r="R38" s="34">
        <v>1.4028097698644861E-2</v>
      </c>
    </row>
    <row r="39" spans="1:18" x14ac:dyDescent="0.15">
      <c r="A39" s="26">
        <v>32</v>
      </c>
      <c r="B39" s="25">
        <v>113027</v>
      </c>
      <c r="C39" s="25" t="s">
        <v>1115</v>
      </c>
      <c r="D39" s="25">
        <v>135.76300000000001</v>
      </c>
      <c r="E39" s="34">
        <v>1.3500000000000002E-2</v>
      </c>
      <c r="F39" s="25">
        <v>7.26</v>
      </c>
      <c r="G39" s="25">
        <v>118.04</v>
      </c>
      <c r="H39" s="43">
        <v>0.15010000000000001</v>
      </c>
      <c r="I39" s="57">
        <v>150.773</v>
      </c>
      <c r="J39" s="32">
        <v>45822</v>
      </c>
      <c r="K39" s="33">
        <v>1.63</v>
      </c>
      <c r="L39" s="33">
        <v>2.3835700000000002</v>
      </c>
      <c r="M39" s="33">
        <v>3216.9069</v>
      </c>
      <c r="N39" s="34">
        <v>9.9409789775451049E-2</v>
      </c>
      <c r="O39" s="34">
        <v>-0.11312099999999999</v>
      </c>
      <c r="P39" s="25">
        <v>136.19999999999999</v>
      </c>
      <c r="Q39" s="25">
        <v>133.32900000000001</v>
      </c>
      <c r="R39" s="34">
        <v>2.1533199828994296E-2</v>
      </c>
    </row>
    <row r="40" spans="1:18" x14ac:dyDescent="0.15">
      <c r="A40" s="26">
        <v>33</v>
      </c>
      <c r="B40" s="25">
        <v>123141</v>
      </c>
      <c r="C40" s="25" t="s">
        <v>209</v>
      </c>
      <c r="D40" s="25">
        <v>124.997</v>
      </c>
      <c r="E40" s="34">
        <v>4.7999999999999996E-3</v>
      </c>
      <c r="F40" s="25">
        <v>5.37</v>
      </c>
      <c r="G40" s="25">
        <v>108.57</v>
      </c>
      <c r="H40" s="43">
        <v>0.15130000000000002</v>
      </c>
      <c r="I40" s="57">
        <v>140.12700000000001</v>
      </c>
      <c r="J40" s="32">
        <v>46827</v>
      </c>
      <c r="K40" s="33">
        <v>4.3840000000000003</v>
      </c>
      <c r="L40" s="33">
        <v>3.209943</v>
      </c>
      <c r="M40" s="33">
        <v>1653.5721931999999</v>
      </c>
      <c r="N40" s="34">
        <v>4.1212242831355377E-2</v>
      </c>
      <c r="O40" s="34">
        <v>-7.1719999999999996E-3</v>
      </c>
      <c r="P40" s="25">
        <v>125.783</v>
      </c>
      <c r="Q40" s="25">
        <v>123.68</v>
      </c>
      <c r="R40" s="34">
        <v>1.700355756791716E-2</v>
      </c>
    </row>
    <row r="41" spans="1:18" x14ac:dyDescent="0.15">
      <c r="A41" s="26">
        <v>34</v>
      </c>
      <c r="B41" s="25">
        <v>110074</v>
      </c>
      <c r="C41" s="25" t="s">
        <v>750</v>
      </c>
      <c r="D41" s="25">
        <v>132.73400000000001</v>
      </c>
      <c r="E41" s="34">
        <v>1.5700000000000002E-2</v>
      </c>
      <c r="F41" s="25">
        <v>3.57</v>
      </c>
      <c r="G41" s="25">
        <v>114.85</v>
      </c>
      <c r="H41" s="43">
        <v>0.15570000000000001</v>
      </c>
      <c r="I41" s="57">
        <v>148.304</v>
      </c>
      <c r="J41" s="32">
        <v>46253</v>
      </c>
      <c r="K41" s="33">
        <v>2.8109999999999999</v>
      </c>
      <c r="L41" s="33">
        <v>5.0935600000000001</v>
      </c>
      <c r="M41" s="33">
        <v>4371.8486000000003</v>
      </c>
      <c r="N41" s="34">
        <v>6.4663842061617877E-2</v>
      </c>
      <c r="O41" s="34">
        <v>-4.9499000000000001E-2</v>
      </c>
      <c r="P41" s="25">
        <v>133.45099999999999</v>
      </c>
      <c r="Q41" s="25">
        <v>129.999</v>
      </c>
      <c r="R41" s="34">
        <v>2.6554050415772416E-2</v>
      </c>
    </row>
    <row r="42" spans="1:18" x14ac:dyDescent="0.15">
      <c r="A42" s="26">
        <v>35</v>
      </c>
      <c r="B42" s="25">
        <v>113561</v>
      </c>
      <c r="C42" s="25" t="s">
        <v>1015</v>
      </c>
      <c r="D42" s="25">
        <v>132.79300000000001</v>
      </c>
      <c r="E42" s="34">
        <v>1.7299999999999999E-2</v>
      </c>
      <c r="F42" s="25">
        <v>9.8800000000000008</v>
      </c>
      <c r="G42" s="25">
        <v>114.57</v>
      </c>
      <c r="H42" s="43">
        <v>0.15909999999999999</v>
      </c>
      <c r="I42" s="57">
        <v>148.703</v>
      </c>
      <c r="J42" s="32">
        <v>46022</v>
      </c>
      <c r="K42" s="33">
        <v>2.1779999999999999</v>
      </c>
      <c r="L42" s="33">
        <v>1.4984999999999999</v>
      </c>
      <c r="M42" s="33">
        <v>5658.5928999999996</v>
      </c>
      <c r="N42" s="34">
        <v>0.28436524802548113</v>
      </c>
      <c r="O42" s="34">
        <v>-6.1413000000000002E-2</v>
      </c>
      <c r="P42" s="25">
        <v>133.58799999999999</v>
      </c>
      <c r="Q42" s="25">
        <v>129.85499999999999</v>
      </c>
      <c r="R42" s="34">
        <v>2.8747449077817601E-2</v>
      </c>
    </row>
    <row r="43" spans="1:18" x14ac:dyDescent="0.15">
      <c r="A43" s="26">
        <v>36</v>
      </c>
      <c r="B43" s="25">
        <v>127028</v>
      </c>
      <c r="C43" s="25" t="s">
        <v>46</v>
      </c>
      <c r="D43" s="25">
        <v>134.09</v>
      </c>
      <c r="E43" s="34">
        <v>1.5800000000000002E-2</v>
      </c>
      <c r="F43" s="25">
        <v>9.98</v>
      </c>
      <c r="G43" s="25">
        <v>115.53</v>
      </c>
      <c r="H43" s="43">
        <v>0.16070000000000001</v>
      </c>
      <c r="I43" s="57">
        <v>150.16</v>
      </c>
      <c r="J43" s="32">
        <v>46392</v>
      </c>
      <c r="K43" s="33">
        <v>3.1920000000000002</v>
      </c>
      <c r="L43" s="33">
        <v>4.0627279999999999</v>
      </c>
      <c r="M43" s="33">
        <v>2540.0390829999997</v>
      </c>
      <c r="N43" s="34">
        <v>4.6625796197801883E-2</v>
      </c>
      <c r="O43" s="34">
        <v>-5.5099999999999996E-2</v>
      </c>
      <c r="P43" s="25">
        <v>135.012</v>
      </c>
      <c r="Q43" s="25">
        <v>131.93799999999999</v>
      </c>
      <c r="R43" s="34">
        <v>2.3298822174051544E-2</v>
      </c>
    </row>
    <row r="44" spans="1:18" x14ac:dyDescent="0.15">
      <c r="A44" s="26">
        <v>37</v>
      </c>
      <c r="B44" s="25">
        <v>123192</v>
      </c>
      <c r="C44" s="25" t="s">
        <v>1035</v>
      </c>
      <c r="D44" s="25">
        <v>147</v>
      </c>
      <c r="E44" s="34">
        <v>3.1600000000000003E-2</v>
      </c>
      <c r="F44" s="25">
        <v>52.03</v>
      </c>
      <c r="G44" s="25">
        <v>126.27</v>
      </c>
      <c r="H44" s="43">
        <v>0.16420000000000001</v>
      </c>
      <c r="I44" s="57">
        <v>163.42000000000002</v>
      </c>
      <c r="J44" s="32">
        <v>47221</v>
      </c>
      <c r="K44" s="33">
        <v>5.4630000000000001</v>
      </c>
      <c r="L44" s="33">
        <v>7.2481679999999988</v>
      </c>
      <c r="M44" s="33">
        <v>4056.3834778999999</v>
      </c>
      <c r="N44" s="34">
        <v>3.8070924167170457E-2</v>
      </c>
      <c r="O44" s="34">
        <v>-3.6607000000000001E-2</v>
      </c>
      <c r="P44" s="25">
        <v>148.77199999999999</v>
      </c>
      <c r="Q44" s="25">
        <v>142.00399999999999</v>
      </c>
      <c r="R44" s="34">
        <v>4.7660629278048511E-2</v>
      </c>
    </row>
    <row r="45" spans="1:18" x14ac:dyDescent="0.15">
      <c r="A45" s="26">
        <v>38</v>
      </c>
      <c r="B45" s="25">
        <v>111011</v>
      </c>
      <c r="C45" s="25" t="s">
        <v>753</v>
      </c>
      <c r="D45" s="25">
        <v>131.499</v>
      </c>
      <c r="E45" s="34">
        <v>3.4000000000000002E-3</v>
      </c>
      <c r="F45" s="25">
        <v>17.61</v>
      </c>
      <c r="G45" s="25">
        <v>112.72</v>
      </c>
      <c r="H45" s="43">
        <v>0.1666</v>
      </c>
      <c r="I45" s="57">
        <v>148.15899999999999</v>
      </c>
      <c r="J45" s="32">
        <v>47121</v>
      </c>
      <c r="K45" s="33">
        <v>5.1890000000000001</v>
      </c>
      <c r="L45" s="33">
        <v>6.0157800000000003</v>
      </c>
      <c r="M45" s="33">
        <v>6995.4575000000004</v>
      </c>
      <c r="N45" s="34">
        <v>8.8430427946616805E-2</v>
      </c>
      <c r="O45" s="34">
        <v>-1.7760999999999999E-2</v>
      </c>
      <c r="P45" s="25">
        <v>132.02699999999999</v>
      </c>
      <c r="Q45" s="25">
        <v>129.80000000000001</v>
      </c>
      <c r="R45" s="34">
        <v>1.7157164869029084E-2</v>
      </c>
    </row>
    <row r="46" spans="1:18" x14ac:dyDescent="0.15">
      <c r="A46" s="26">
        <v>39</v>
      </c>
      <c r="B46" s="25">
        <v>123164</v>
      </c>
      <c r="C46" s="25" t="s">
        <v>1025</v>
      </c>
      <c r="D46" s="25">
        <v>129.6</v>
      </c>
      <c r="E46" s="34">
        <v>0</v>
      </c>
      <c r="F46" s="25">
        <v>11.09</v>
      </c>
      <c r="G46" s="25">
        <v>110.91</v>
      </c>
      <c r="H46" s="43">
        <v>0.16850000000000001</v>
      </c>
      <c r="I46" s="57">
        <v>146.44999999999999</v>
      </c>
      <c r="J46" s="32">
        <v>47047</v>
      </c>
      <c r="K46" s="33">
        <v>4.9859999999999998</v>
      </c>
      <c r="L46" s="33">
        <v>5.9983240000000002</v>
      </c>
      <c r="M46" s="33">
        <v>3157.1179028000001</v>
      </c>
      <c r="N46" s="34">
        <v>4.0612140399654523E-2</v>
      </c>
      <c r="O46" s="34">
        <v>-1.3774999999999999E-2</v>
      </c>
      <c r="P46" s="25">
        <v>130.26</v>
      </c>
      <c r="Q46" s="25">
        <v>128.44499999999999</v>
      </c>
      <c r="R46" s="34">
        <v>1.4130561719023689E-2</v>
      </c>
    </row>
    <row r="47" spans="1:18" x14ac:dyDescent="0.15">
      <c r="A47" s="26">
        <v>40</v>
      </c>
      <c r="B47" s="25">
        <v>123025</v>
      </c>
      <c r="C47" s="25" t="s">
        <v>1046</v>
      </c>
      <c r="D47" s="25">
        <v>207.4</v>
      </c>
      <c r="E47" s="34">
        <v>5.7099999999999998E-2</v>
      </c>
      <c r="F47" s="25">
        <v>48.79</v>
      </c>
      <c r="G47" s="25">
        <v>177.45</v>
      </c>
      <c r="H47" s="43">
        <v>0.16879999999999998</v>
      </c>
      <c r="I47" s="57">
        <v>224.28</v>
      </c>
      <c r="J47" s="32">
        <v>45745</v>
      </c>
      <c r="K47" s="33">
        <v>1.419</v>
      </c>
      <c r="L47" s="33">
        <v>3.0842990000000001</v>
      </c>
      <c r="M47" s="33">
        <v>57104.667050399992</v>
      </c>
      <c r="N47" s="34">
        <v>0.89270173450743162</v>
      </c>
      <c r="O47" s="34">
        <v>-0.34633600000000003</v>
      </c>
      <c r="P47" s="25">
        <v>210.98599999999999</v>
      </c>
      <c r="Q47" s="25">
        <v>194</v>
      </c>
      <c r="R47" s="34">
        <v>8.7556701030927789E-2</v>
      </c>
    </row>
    <row r="48" spans="1:18" x14ac:dyDescent="0.15">
      <c r="A48" s="26">
        <v>41</v>
      </c>
      <c r="B48" s="25">
        <v>111015</v>
      </c>
      <c r="C48" s="25" t="s">
        <v>1055</v>
      </c>
      <c r="D48" s="25">
        <v>137.97900000000001</v>
      </c>
      <c r="E48" s="34">
        <v>2.3399999999999997E-2</v>
      </c>
      <c r="F48" s="25">
        <v>24.95</v>
      </c>
      <c r="G48" s="25">
        <v>117.84</v>
      </c>
      <c r="H48" s="43">
        <v>0.1709</v>
      </c>
      <c r="I48" s="57">
        <v>155.06900000000002</v>
      </c>
      <c r="J48" s="32">
        <v>47305</v>
      </c>
      <c r="K48" s="33">
        <v>5.6929999999999996</v>
      </c>
      <c r="L48" s="33">
        <v>6.9</v>
      </c>
      <c r="M48" s="33">
        <v>1848.3843999999999</v>
      </c>
      <c r="N48" s="34">
        <v>1.9414678835290095E-2</v>
      </c>
      <c r="O48" s="34">
        <v>-2.4702000000000002E-2</v>
      </c>
      <c r="P48" s="25">
        <v>138.78</v>
      </c>
      <c r="Q48" s="25">
        <v>134.39599999999999</v>
      </c>
      <c r="R48" s="34">
        <v>3.2620018452930256E-2</v>
      </c>
    </row>
    <row r="49" spans="1:18" x14ac:dyDescent="0.15">
      <c r="A49" s="26">
        <v>42</v>
      </c>
      <c r="B49" s="25">
        <v>111012</v>
      </c>
      <c r="C49" s="25" t="s">
        <v>751</v>
      </c>
      <c r="D49" s="25">
        <v>124.3</v>
      </c>
      <c r="E49" s="34">
        <v>9.300000000000001E-3</v>
      </c>
      <c r="F49" s="25">
        <v>13.74</v>
      </c>
      <c r="G49" s="25">
        <v>106.11</v>
      </c>
      <c r="H49" s="43">
        <v>0.1714</v>
      </c>
      <c r="I49" s="57">
        <v>141.44</v>
      </c>
      <c r="J49" s="32">
        <v>47122</v>
      </c>
      <c r="K49" s="33">
        <v>5.1920000000000002</v>
      </c>
      <c r="L49" s="33">
        <v>4.2877999999999998</v>
      </c>
      <c r="M49" s="33">
        <v>2783.5273000000002</v>
      </c>
      <c r="N49" s="34">
        <v>5.2226369436651592E-2</v>
      </c>
      <c r="O49" s="34">
        <v>-4.4759999999999999E-3</v>
      </c>
      <c r="P49" s="25">
        <v>124.3</v>
      </c>
      <c r="Q49" s="25">
        <v>121.83499999999999</v>
      </c>
      <c r="R49" s="34">
        <v>2.0232281364140056E-2</v>
      </c>
    </row>
    <row r="50" spans="1:18" x14ac:dyDescent="0.15">
      <c r="A50" s="26">
        <v>43</v>
      </c>
      <c r="B50" s="25">
        <v>123063</v>
      </c>
      <c r="C50" s="25" t="s">
        <v>680</v>
      </c>
      <c r="D50" s="25">
        <v>123.85899999999999</v>
      </c>
      <c r="E50" s="34">
        <v>-5.1999999999999998E-3</v>
      </c>
      <c r="F50" s="25">
        <v>4.63</v>
      </c>
      <c r="G50" s="25">
        <v>105.4</v>
      </c>
      <c r="H50" s="43">
        <v>0.17510000000000001</v>
      </c>
      <c r="I50" s="57">
        <v>141.369</v>
      </c>
      <c r="J50" s="32">
        <v>46231</v>
      </c>
      <c r="K50" s="33">
        <v>2.7509999999999999</v>
      </c>
      <c r="L50" s="33">
        <v>6.345504</v>
      </c>
      <c r="M50" s="33">
        <v>4733.6180348999997</v>
      </c>
      <c r="N50" s="34">
        <v>6.0228149448878901E-2</v>
      </c>
      <c r="O50" s="34">
        <v>1.315E-3</v>
      </c>
      <c r="P50" s="25">
        <v>124.7</v>
      </c>
      <c r="Q50" s="25">
        <v>122.81</v>
      </c>
      <c r="R50" s="34">
        <v>1.5389626251933885E-2</v>
      </c>
    </row>
    <row r="51" spans="1:18" x14ac:dyDescent="0.15">
      <c r="A51" s="26">
        <v>44</v>
      </c>
      <c r="B51" s="25">
        <v>111004</v>
      </c>
      <c r="C51" s="25" t="s">
        <v>732</v>
      </c>
      <c r="D51" s="25">
        <v>128.57</v>
      </c>
      <c r="E51" s="34">
        <v>-9.1000000000000004E-3</v>
      </c>
      <c r="F51" s="25">
        <v>24.41</v>
      </c>
      <c r="G51" s="25">
        <v>109.18</v>
      </c>
      <c r="H51" s="43">
        <v>0.17760000000000001</v>
      </c>
      <c r="I51" s="57">
        <v>146.32999999999998</v>
      </c>
      <c r="J51" s="32">
        <v>46842</v>
      </c>
      <c r="K51" s="33">
        <v>4.4249999999999998</v>
      </c>
      <c r="L51" s="33">
        <v>6.7293399999999997</v>
      </c>
      <c r="M51" s="33">
        <v>8795.8765999999996</v>
      </c>
      <c r="N51" s="34">
        <v>0.10166395768602207</v>
      </c>
      <c r="O51" s="34">
        <v>-1.4641999999999999E-2</v>
      </c>
      <c r="P51" s="25">
        <v>132.489</v>
      </c>
      <c r="Q51" s="25">
        <v>128.4</v>
      </c>
      <c r="R51" s="34">
        <v>3.1845794392523351E-2</v>
      </c>
    </row>
    <row r="52" spans="1:18" x14ac:dyDescent="0.15">
      <c r="A52" s="26">
        <v>45</v>
      </c>
      <c r="B52" s="25">
        <v>123167</v>
      </c>
      <c r="C52" s="25" t="s">
        <v>726</v>
      </c>
      <c r="D52" s="25">
        <v>133.964</v>
      </c>
      <c r="E52" s="34">
        <v>1.4000000000000002E-3</v>
      </c>
      <c r="F52" s="25">
        <v>6.91</v>
      </c>
      <c r="G52" s="25">
        <v>113.75</v>
      </c>
      <c r="H52" s="43">
        <v>0.1777</v>
      </c>
      <c r="I52" s="57">
        <v>151.73400000000001</v>
      </c>
      <c r="J52" s="32">
        <v>47074</v>
      </c>
      <c r="K52" s="33">
        <v>5.0599999999999996</v>
      </c>
      <c r="L52" s="33">
        <v>3.9367960000000002</v>
      </c>
      <c r="M52" s="33">
        <v>3322.5337386000001</v>
      </c>
      <c r="N52" s="34">
        <v>6.2999685634908834E-2</v>
      </c>
      <c r="O52" s="34">
        <v>-1.9536000000000001E-2</v>
      </c>
      <c r="P52" s="25">
        <v>134.43299999999999</v>
      </c>
      <c r="Q52" s="25">
        <v>132.501</v>
      </c>
      <c r="R52" s="34">
        <v>1.4581022030022324E-2</v>
      </c>
    </row>
    <row r="53" spans="1:18" x14ac:dyDescent="0.15">
      <c r="A53" s="26">
        <v>46</v>
      </c>
      <c r="B53" s="25">
        <v>123188</v>
      </c>
      <c r="C53" s="25" t="s">
        <v>769</v>
      </c>
      <c r="D53" s="25">
        <v>134.26</v>
      </c>
      <c r="E53" s="34">
        <v>-4.4299999999999999E-2</v>
      </c>
      <c r="F53" s="25">
        <v>13.61</v>
      </c>
      <c r="G53" s="25">
        <v>113.89</v>
      </c>
      <c r="H53" s="43">
        <v>0.1789</v>
      </c>
      <c r="I53" s="57">
        <v>152.14999999999998</v>
      </c>
      <c r="J53" s="32">
        <v>47212</v>
      </c>
      <c r="K53" s="33">
        <v>5.4379999999999997</v>
      </c>
      <c r="L53" s="33">
        <v>6.9497989999999996</v>
      </c>
      <c r="M53" s="33">
        <v>20555.647889899999</v>
      </c>
      <c r="N53" s="34">
        <v>0.22029887670091897</v>
      </c>
      <c r="O53" s="34">
        <v>-1.8568999999999999E-2</v>
      </c>
      <c r="P53" s="25">
        <v>138.22</v>
      </c>
      <c r="Q53" s="25">
        <v>129.643</v>
      </c>
      <c r="R53" s="34">
        <v>6.6158604783906561E-2</v>
      </c>
    </row>
    <row r="54" spans="1:18" x14ac:dyDescent="0.15">
      <c r="A54" s="26">
        <v>47</v>
      </c>
      <c r="B54" s="25">
        <v>113039</v>
      </c>
      <c r="C54" s="25" t="s">
        <v>1113</v>
      </c>
      <c r="D54" s="25">
        <v>134.25800000000001</v>
      </c>
      <c r="E54" s="34">
        <v>1.26E-2</v>
      </c>
      <c r="F54" s="25">
        <v>3.28</v>
      </c>
      <c r="G54" s="25">
        <v>113.41</v>
      </c>
      <c r="H54" s="43">
        <v>0.18379999999999999</v>
      </c>
      <c r="I54" s="57">
        <v>152.63800000000001</v>
      </c>
      <c r="J54" s="32">
        <v>46258</v>
      </c>
      <c r="K54" s="33">
        <v>2.8250000000000002</v>
      </c>
      <c r="L54" s="33">
        <v>2.8770699999999998</v>
      </c>
      <c r="M54" s="33">
        <v>2161.1055999999999</v>
      </c>
      <c r="N54" s="34">
        <v>5.5948105716743815E-2</v>
      </c>
      <c r="O54" s="34">
        <v>-6.5087000000000006E-2</v>
      </c>
      <c r="P54" s="25">
        <v>134.26400000000001</v>
      </c>
      <c r="Q54" s="25">
        <v>131.54</v>
      </c>
      <c r="R54" s="34">
        <v>2.0708529724798679E-2</v>
      </c>
    </row>
    <row r="55" spans="1:18" x14ac:dyDescent="0.15">
      <c r="A55" s="26">
        <v>48</v>
      </c>
      <c r="B55" s="25">
        <v>123160</v>
      </c>
      <c r="C55" s="25" t="s">
        <v>470</v>
      </c>
      <c r="D55" s="25">
        <v>123.154</v>
      </c>
      <c r="E55" s="34">
        <v>-8.6E-3</v>
      </c>
      <c r="F55" s="25">
        <v>19.82</v>
      </c>
      <c r="G55" s="25">
        <v>103.88</v>
      </c>
      <c r="H55" s="43">
        <v>0.1855</v>
      </c>
      <c r="I55" s="57">
        <v>141.70400000000001</v>
      </c>
      <c r="J55" s="32">
        <v>47024</v>
      </c>
      <c r="K55" s="33">
        <v>4.923</v>
      </c>
      <c r="L55" s="33">
        <v>3.348875</v>
      </c>
      <c r="M55" s="33">
        <v>2808.0634037</v>
      </c>
      <c r="N55" s="34">
        <v>6.8086255477113874E-2</v>
      </c>
      <c r="O55" s="34">
        <v>-3.6480000000000002E-3</v>
      </c>
      <c r="P55" s="25">
        <v>124.32899999999999</v>
      </c>
      <c r="Q55" s="25">
        <v>122.85599999999999</v>
      </c>
      <c r="R55" s="34">
        <v>1.1989646415315483E-2</v>
      </c>
    </row>
    <row r="56" spans="1:18" x14ac:dyDescent="0.15">
      <c r="A56" s="26">
        <v>49</v>
      </c>
      <c r="B56" s="25">
        <v>113664</v>
      </c>
      <c r="C56" s="25" t="s">
        <v>740</v>
      </c>
      <c r="D56" s="25">
        <v>128.25299999999999</v>
      </c>
      <c r="E56" s="34">
        <v>1.6899999999999998E-2</v>
      </c>
      <c r="F56" s="25">
        <v>22.28</v>
      </c>
      <c r="G56" s="25">
        <v>107.94</v>
      </c>
      <c r="H56" s="43">
        <v>0.18820000000000001</v>
      </c>
      <c r="I56" s="57">
        <v>147.07299999999998</v>
      </c>
      <c r="J56" s="32">
        <v>47092</v>
      </c>
      <c r="K56" s="33">
        <v>5.1100000000000003</v>
      </c>
      <c r="L56" s="33">
        <v>4.4997100000000003</v>
      </c>
      <c r="M56" s="33">
        <v>3707.0156999999999</v>
      </c>
      <c r="N56" s="34">
        <v>6.4235094556399933E-2</v>
      </c>
      <c r="O56" s="34">
        <v>-1.1559E-2</v>
      </c>
      <c r="P56" s="25">
        <v>128.47999999999999</v>
      </c>
      <c r="Q56" s="25">
        <v>125.798</v>
      </c>
      <c r="R56" s="34">
        <v>2.1319893797993511E-2</v>
      </c>
    </row>
    <row r="57" spans="1:18" x14ac:dyDescent="0.15">
      <c r="A57" s="26">
        <v>50</v>
      </c>
      <c r="B57" s="25">
        <v>123202</v>
      </c>
      <c r="C57" s="25" t="s">
        <v>1053</v>
      </c>
      <c r="D57" s="25">
        <v>126.999</v>
      </c>
      <c r="E57" s="34">
        <v>-9.300000000000001E-3</v>
      </c>
      <c r="F57" s="25">
        <v>19.489999999999998</v>
      </c>
      <c r="G57" s="25">
        <v>106.21</v>
      </c>
      <c r="H57" s="43">
        <v>0.19570000000000001</v>
      </c>
      <c r="I57" s="57">
        <v>146.56899999999999</v>
      </c>
      <c r="J57" s="32">
        <v>47302</v>
      </c>
      <c r="K57" s="33">
        <v>5.6849999999999996</v>
      </c>
      <c r="L57" s="33">
        <v>4.5999999999999996</v>
      </c>
      <c r="M57" s="33">
        <v>4606.4369560999994</v>
      </c>
      <c r="N57" s="34">
        <v>7.885096247077604E-2</v>
      </c>
      <c r="O57" s="34">
        <v>-9.9239999999999988E-3</v>
      </c>
      <c r="P57" s="25">
        <v>128.29</v>
      </c>
      <c r="Q57" s="25">
        <v>125.304</v>
      </c>
      <c r="R57" s="34">
        <v>2.3830045329757948E-2</v>
      </c>
    </row>
    <row r="58" spans="1:18" x14ac:dyDescent="0.15">
      <c r="A58" s="26">
        <v>51</v>
      </c>
      <c r="B58" s="25">
        <v>123050</v>
      </c>
      <c r="C58" s="25" t="s">
        <v>1084</v>
      </c>
      <c r="D58" s="25">
        <v>135.5</v>
      </c>
      <c r="E58" s="34">
        <v>5.1000000000000004E-3</v>
      </c>
      <c r="F58" s="25">
        <v>4.88</v>
      </c>
      <c r="G58" s="25">
        <v>113.11</v>
      </c>
      <c r="H58" s="43">
        <v>0.19789999999999999</v>
      </c>
      <c r="I58" s="57">
        <v>155.29</v>
      </c>
      <c r="J58" s="32">
        <v>46126</v>
      </c>
      <c r="K58" s="33">
        <v>2.4630000000000001</v>
      </c>
      <c r="L58" s="33">
        <v>3.7456660000000004</v>
      </c>
      <c r="M58" s="33">
        <v>2181.2703079999997</v>
      </c>
      <c r="N58" s="34">
        <v>4.2977499468448387E-2</v>
      </c>
      <c r="O58" s="34">
        <v>-4.2404999999999998E-2</v>
      </c>
      <c r="P58" s="25">
        <v>136.47</v>
      </c>
      <c r="Q58" s="25">
        <v>133.87899999999999</v>
      </c>
      <c r="R58" s="34">
        <v>1.9353296633527351E-2</v>
      </c>
    </row>
    <row r="59" spans="1:18" x14ac:dyDescent="0.15">
      <c r="A59" s="26">
        <v>52</v>
      </c>
      <c r="B59" s="25">
        <v>113524</v>
      </c>
      <c r="C59" s="25" t="s">
        <v>1012</v>
      </c>
      <c r="D59" s="25">
        <v>126.964</v>
      </c>
      <c r="E59" s="34">
        <v>2.12E-2</v>
      </c>
      <c r="F59" s="25">
        <v>13.53</v>
      </c>
      <c r="G59" s="25">
        <v>105.47</v>
      </c>
      <c r="H59" s="43">
        <v>0.20379999999999998</v>
      </c>
      <c r="I59" s="57">
        <v>147.34399999999999</v>
      </c>
      <c r="J59" s="32">
        <v>45640</v>
      </c>
      <c r="K59" s="33">
        <v>1.1319999999999999</v>
      </c>
      <c r="L59" s="33">
        <v>3.2970199999999998</v>
      </c>
      <c r="M59" s="33">
        <v>2142.6723000000002</v>
      </c>
      <c r="N59" s="34">
        <v>5.1186281075789826E-2</v>
      </c>
      <c r="O59" s="34">
        <v>-8.6056000000000007E-2</v>
      </c>
      <c r="P59" s="25">
        <v>127.024</v>
      </c>
      <c r="Q59" s="25">
        <v>123.96</v>
      </c>
      <c r="R59" s="34">
        <v>2.4717650855114612E-2</v>
      </c>
    </row>
    <row r="60" spans="1:18" x14ac:dyDescent="0.15">
      <c r="A60" s="26">
        <v>53</v>
      </c>
      <c r="B60" s="25">
        <v>111002</v>
      </c>
      <c r="C60" s="25" t="s">
        <v>678</v>
      </c>
      <c r="D60" s="25">
        <v>128.05099999999999</v>
      </c>
      <c r="E60" s="34">
        <v>4.0800000000000003E-2</v>
      </c>
      <c r="F60" s="25">
        <v>14.54</v>
      </c>
      <c r="G60" s="25">
        <v>106.33</v>
      </c>
      <c r="H60" s="43">
        <v>0.20430000000000001</v>
      </c>
      <c r="I60" s="57">
        <v>148.48099999999999</v>
      </c>
      <c r="J60" s="32">
        <v>46729</v>
      </c>
      <c r="K60" s="33">
        <v>4.1150000000000002</v>
      </c>
      <c r="L60" s="33">
        <v>6.6193900000000001</v>
      </c>
      <c r="M60" s="33">
        <v>23857.5942</v>
      </c>
      <c r="N60" s="34">
        <v>0.28146584581615763</v>
      </c>
      <c r="O60" s="34">
        <v>-2.2528000000000003E-2</v>
      </c>
      <c r="P60" s="25">
        <v>129.1</v>
      </c>
      <c r="Q60" s="25">
        <v>124.5</v>
      </c>
      <c r="R60" s="34">
        <v>3.6947791164658586E-2</v>
      </c>
    </row>
    <row r="61" spans="1:18" x14ac:dyDescent="0.15">
      <c r="A61" s="26">
        <v>54</v>
      </c>
      <c r="B61" s="25">
        <v>113598</v>
      </c>
      <c r="C61" s="25" t="s">
        <v>764</v>
      </c>
      <c r="D61" s="25">
        <v>135.96899999999999</v>
      </c>
      <c r="E61" s="34">
        <v>2E-3</v>
      </c>
      <c r="F61" s="25">
        <v>7.68</v>
      </c>
      <c r="G61" s="25">
        <v>112.76</v>
      </c>
      <c r="H61" s="43">
        <v>0.20579999999999998</v>
      </c>
      <c r="I61" s="57">
        <v>156.54899999999998</v>
      </c>
      <c r="J61" s="32">
        <v>46234</v>
      </c>
      <c r="K61" s="33">
        <v>2.7589999999999999</v>
      </c>
      <c r="L61" s="33">
        <v>2.7522899999999999</v>
      </c>
      <c r="M61" s="33">
        <v>2240.5342999999998</v>
      </c>
      <c r="N61" s="34">
        <v>5.9871136358072563E-2</v>
      </c>
      <c r="O61" s="34">
        <v>-4.7877000000000003E-2</v>
      </c>
      <c r="P61" s="25">
        <v>136.51400000000001</v>
      </c>
      <c r="Q61" s="25">
        <v>134.59100000000001</v>
      </c>
      <c r="R61" s="34">
        <v>1.4287730977554232E-2</v>
      </c>
    </row>
    <row r="62" spans="1:18" x14ac:dyDescent="0.15">
      <c r="A62" s="26">
        <v>55</v>
      </c>
      <c r="B62" s="25">
        <v>113546</v>
      </c>
      <c r="C62" s="25" t="s">
        <v>51</v>
      </c>
      <c r="D62" s="25">
        <v>126.26600000000001</v>
      </c>
      <c r="E62" s="34">
        <v>9.8999999999999991E-3</v>
      </c>
      <c r="F62" s="25">
        <v>13.72</v>
      </c>
      <c r="G62" s="25">
        <v>104.01</v>
      </c>
      <c r="H62" s="43">
        <v>0.214</v>
      </c>
      <c r="I62" s="57">
        <v>147.666</v>
      </c>
      <c r="J62" s="32">
        <v>45953</v>
      </c>
      <c r="K62" s="33">
        <v>1.9890000000000001</v>
      </c>
      <c r="L62" s="33">
        <v>2.2963</v>
      </c>
      <c r="M62" s="33">
        <v>2179.8683999999998</v>
      </c>
      <c r="N62" s="34">
        <v>7.5182234165149811E-2</v>
      </c>
      <c r="O62" s="34">
        <v>-3.7856000000000001E-2</v>
      </c>
      <c r="P62" s="25">
        <v>126.9</v>
      </c>
      <c r="Q62" s="25">
        <v>124.2</v>
      </c>
      <c r="R62" s="34">
        <v>2.1739130434782632E-2</v>
      </c>
    </row>
    <row r="63" spans="1:18" x14ac:dyDescent="0.15">
      <c r="A63" s="26">
        <v>56</v>
      </c>
      <c r="B63" s="25">
        <v>123052</v>
      </c>
      <c r="C63" s="25" t="s">
        <v>210</v>
      </c>
      <c r="D63" s="25">
        <v>144.80000000000001</v>
      </c>
      <c r="E63" s="34">
        <v>7.7000000000000002E-3</v>
      </c>
      <c r="F63" s="25">
        <v>7.09</v>
      </c>
      <c r="G63" s="25">
        <v>119.18</v>
      </c>
      <c r="H63" s="43">
        <v>0.215</v>
      </c>
      <c r="I63" s="57">
        <v>166.3</v>
      </c>
      <c r="J63" s="32">
        <v>46178</v>
      </c>
      <c r="K63" s="33">
        <v>2.605</v>
      </c>
      <c r="L63" s="33">
        <v>1.5017990000000001</v>
      </c>
      <c r="M63" s="33">
        <v>1496.268812</v>
      </c>
      <c r="N63" s="34">
        <v>6.8806465773191147E-2</v>
      </c>
      <c r="O63" s="34">
        <v>-5.7332000000000001E-2</v>
      </c>
      <c r="P63" s="25">
        <v>144.80000000000001</v>
      </c>
      <c r="Q63" s="25">
        <v>142.72900000000001</v>
      </c>
      <c r="R63" s="34">
        <v>1.4510015483889032E-2</v>
      </c>
    </row>
    <row r="64" spans="1:18" x14ac:dyDescent="0.15">
      <c r="A64" s="26">
        <v>57</v>
      </c>
      <c r="B64" s="25">
        <v>128128</v>
      </c>
      <c r="C64" s="25" t="s">
        <v>763</v>
      </c>
      <c r="D64" s="25">
        <v>124.018</v>
      </c>
      <c r="E64" s="34">
        <v>1.2199999999999999E-2</v>
      </c>
      <c r="F64" s="25">
        <v>5.53</v>
      </c>
      <c r="G64" s="25">
        <v>101.27</v>
      </c>
      <c r="H64" s="43">
        <v>0.22460000000000002</v>
      </c>
      <c r="I64" s="57">
        <v>146.47800000000001</v>
      </c>
      <c r="J64" s="32">
        <v>46254</v>
      </c>
      <c r="K64" s="33">
        <v>2.8140000000000001</v>
      </c>
      <c r="L64" s="33">
        <v>6.794696000000001</v>
      </c>
      <c r="M64" s="33">
        <v>2082.7582566000001</v>
      </c>
      <c r="N64" s="34">
        <v>2.4716337146735573E-2</v>
      </c>
      <c r="O64" s="34">
        <v>-3.1746999999999997E-2</v>
      </c>
      <c r="P64" s="25">
        <v>124.886</v>
      </c>
      <c r="Q64" s="25">
        <v>122.023</v>
      </c>
      <c r="R64" s="34">
        <v>2.3462789801922585E-2</v>
      </c>
    </row>
    <row r="65" spans="1:18" x14ac:dyDescent="0.15">
      <c r="A65" s="26">
        <v>58</v>
      </c>
      <c r="B65" s="25">
        <v>123038</v>
      </c>
      <c r="C65" s="25" t="s">
        <v>1065</v>
      </c>
      <c r="D65" s="25">
        <v>149.06100000000001</v>
      </c>
      <c r="E65" s="34">
        <v>-9.1000000000000004E-3</v>
      </c>
      <c r="F65" s="25">
        <v>23.96</v>
      </c>
      <c r="G65" s="25">
        <v>121.7</v>
      </c>
      <c r="H65" s="43">
        <v>0.2248</v>
      </c>
      <c r="I65" s="57">
        <v>171.541</v>
      </c>
      <c r="J65" s="32">
        <v>46016</v>
      </c>
      <c r="K65" s="33">
        <v>2.1619999999999999</v>
      </c>
      <c r="L65" s="33">
        <v>1.4718869999999999</v>
      </c>
      <c r="M65" s="33">
        <v>10127.361494700001</v>
      </c>
      <c r="N65" s="34">
        <v>0.46159151006772176</v>
      </c>
      <c r="O65" s="34">
        <v>-0.108612</v>
      </c>
      <c r="P65" s="25">
        <v>150.309</v>
      </c>
      <c r="Q65" s="25">
        <v>148.01</v>
      </c>
      <c r="R65" s="34">
        <v>1.5532734274711213E-2</v>
      </c>
    </row>
    <row r="66" spans="1:18" x14ac:dyDescent="0.15">
      <c r="A66" s="26">
        <v>59</v>
      </c>
      <c r="B66" s="25">
        <v>123089</v>
      </c>
      <c r="C66" s="25" t="s">
        <v>725</v>
      </c>
      <c r="D66" s="25">
        <v>122.099</v>
      </c>
      <c r="E66" s="34">
        <v>8.6E-3</v>
      </c>
      <c r="F66" s="25">
        <v>5.57</v>
      </c>
      <c r="G66" s="25">
        <v>99.64</v>
      </c>
      <c r="H66" s="43">
        <v>0.22539999999999999</v>
      </c>
      <c r="I66" s="57">
        <v>144.63900000000001</v>
      </c>
      <c r="J66" s="32">
        <v>46377</v>
      </c>
      <c r="K66" s="33">
        <v>3.1509999999999998</v>
      </c>
      <c r="L66" s="33">
        <v>3.0604269999999998</v>
      </c>
      <c r="M66" s="33">
        <v>1625.683364</v>
      </c>
      <c r="N66" s="34">
        <v>4.3505266131592515E-2</v>
      </c>
      <c r="O66" s="34">
        <v>-5.6089999999999994E-3</v>
      </c>
      <c r="P66" s="25">
        <v>122.363</v>
      </c>
      <c r="Q66" s="25">
        <v>120.73</v>
      </c>
      <c r="R66" s="34">
        <v>1.3526049863331363E-2</v>
      </c>
    </row>
    <row r="67" spans="1:18" x14ac:dyDescent="0.15">
      <c r="A67" s="26">
        <v>60</v>
      </c>
      <c r="B67" s="25">
        <v>123112</v>
      </c>
      <c r="C67" s="25" t="s">
        <v>63</v>
      </c>
      <c r="D67" s="25">
        <v>139.035</v>
      </c>
      <c r="E67" s="34">
        <v>-7.6E-3</v>
      </c>
      <c r="F67" s="25">
        <v>8.4600000000000009</v>
      </c>
      <c r="G67" s="25">
        <v>112.65</v>
      </c>
      <c r="H67" s="43">
        <v>0.23420000000000002</v>
      </c>
      <c r="I67" s="57">
        <v>162.45499999999998</v>
      </c>
      <c r="J67" s="32">
        <v>46485</v>
      </c>
      <c r="K67" s="33">
        <v>3.4470000000000001</v>
      </c>
      <c r="L67" s="33">
        <v>2.2653490000000005</v>
      </c>
      <c r="M67" s="33">
        <v>2790.9079980000001</v>
      </c>
      <c r="N67" s="34">
        <v>8.8610718910836869E-2</v>
      </c>
      <c r="O67" s="34">
        <v>-3.4929999999999996E-2</v>
      </c>
      <c r="P67" s="25">
        <v>139.97200000000001</v>
      </c>
      <c r="Q67" s="25">
        <v>136.4</v>
      </c>
      <c r="R67" s="34">
        <v>2.6187683284457496E-2</v>
      </c>
    </row>
    <row r="68" spans="1:18" x14ac:dyDescent="0.15">
      <c r="A68" s="26">
        <v>61</v>
      </c>
      <c r="B68" s="25">
        <v>128133</v>
      </c>
      <c r="C68" s="25" t="s">
        <v>681</v>
      </c>
      <c r="D68" s="25">
        <v>123.961</v>
      </c>
      <c r="E68" s="34">
        <v>-1.23E-2</v>
      </c>
      <c r="F68" s="25">
        <v>22.87</v>
      </c>
      <c r="G68" s="25">
        <v>100.17</v>
      </c>
      <c r="H68" s="43">
        <v>0.23749999999999999</v>
      </c>
      <c r="I68" s="57">
        <v>147.71100000000001</v>
      </c>
      <c r="J68" s="32">
        <v>46287</v>
      </c>
      <c r="K68" s="33">
        <v>2.9039999999999999</v>
      </c>
      <c r="L68" s="33">
        <v>7.9935359999999998</v>
      </c>
      <c r="M68" s="33">
        <v>5665.8513426</v>
      </c>
      <c r="N68" s="34">
        <v>5.7179607421955547E-2</v>
      </c>
      <c r="O68" s="34">
        <v>-2.4954999999999998E-2</v>
      </c>
      <c r="P68" s="25">
        <v>125.27</v>
      </c>
      <c r="Q68" s="25">
        <v>122.05800000000001</v>
      </c>
      <c r="R68" s="34">
        <v>2.6315358272296686E-2</v>
      </c>
    </row>
    <row r="69" spans="1:18" x14ac:dyDescent="0.15">
      <c r="A69" s="26">
        <v>62</v>
      </c>
      <c r="B69" s="25">
        <v>123166</v>
      </c>
      <c r="C69" s="25" t="s">
        <v>682</v>
      </c>
      <c r="D69" s="25">
        <v>118.855</v>
      </c>
      <c r="E69" s="34">
        <v>1.06E-2</v>
      </c>
      <c r="F69" s="25">
        <v>25.95</v>
      </c>
      <c r="G69" s="25">
        <v>95.99</v>
      </c>
      <c r="H69" s="43">
        <v>0.2382</v>
      </c>
      <c r="I69" s="57">
        <v>142.67500000000001</v>
      </c>
      <c r="J69" s="32">
        <v>47059</v>
      </c>
      <c r="K69" s="33">
        <v>5.0190000000000001</v>
      </c>
      <c r="L69" s="33">
        <v>2.9999630000000002</v>
      </c>
      <c r="M69" s="33">
        <v>2170.6480171999997</v>
      </c>
      <c r="N69" s="34">
        <v>6.087739371098478E-2</v>
      </c>
      <c r="O69" s="34">
        <v>4.4970000000000001E-3</v>
      </c>
      <c r="P69" s="25">
        <v>119.524</v>
      </c>
      <c r="Q69" s="25">
        <v>117.01600000000001</v>
      </c>
      <c r="R69" s="34">
        <v>2.1432966431940894E-2</v>
      </c>
    </row>
    <row r="70" spans="1:18" x14ac:dyDescent="0.15">
      <c r="A70" s="26">
        <v>63</v>
      </c>
      <c r="B70" s="25">
        <v>128076</v>
      </c>
      <c r="C70" s="25" t="s">
        <v>715</v>
      </c>
      <c r="D70" s="25">
        <v>130.267</v>
      </c>
      <c r="E70" s="34">
        <v>1.1299999999999999E-2</v>
      </c>
      <c r="F70" s="25">
        <v>13.76</v>
      </c>
      <c r="G70" s="25">
        <v>105.09</v>
      </c>
      <c r="H70" s="43">
        <v>0.23960000000000001</v>
      </c>
      <c r="I70" s="57">
        <v>154.227</v>
      </c>
      <c r="J70" s="32">
        <v>45944</v>
      </c>
      <c r="K70" s="33">
        <v>1.964</v>
      </c>
      <c r="L70" s="33">
        <v>2.1347200000000002</v>
      </c>
      <c r="M70" s="33">
        <v>1517.5050470000001</v>
      </c>
      <c r="N70" s="34">
        <v>5.4570108032283876E-2</v>
      </c>
      <c r="O70" s="34">
        <v>-7.5342000000000006E-2</v>
      </c>
      <c r="P70" s="25">
        <v>130.75800000000001</v>
      </c>
      <c r="Q70" s="25">
        <v>128.75899999999999</v>
      </c>
      <c r="R70" s="34">
        <v>1.552512834054337E-2</v>
      </c>
    </row>
    <row r="71" spans="1:18" x14ac:dyDescent="0.15">
      <c r="A71" s="26">
        <v>64</v>
      </c>
      <c r="B71" s="25">
        <v>113582</v>
      </c>
      <c r="C71" s="25" t="s">
        <v>735</v>
      </c>
      <c r="D71" s="25">
        <v>136.61000000000001</v>
      </c>
      <c r="E71" s="34">
        <v>1.5700000000000002E-2</v>
      </c>
      <c r="F71" s="25">
        <v>24.15</v>
      </c>
      <c r="G71" s="25">
        <v>110.1</v>
      </c>
      <c r="H71" s="43">
        <v>0.24079999999999999</v>
      </c>
      <c r="I71" s="57">
        <v>160.69</v>
      </c>
      <c r="J71" s="32">
        <v>46169</v>
      </c>
      <c r="K71" s="33">
        <v>2.581</v>
      </c>
      <c r="L71" s="33">
        <v>4.17265</v>
      </c>
      <c r="M71" s="33">
        <v>4826.701</v>
      </c>
      <c r="N71" s="34">
        <v>8.4675144652004472E-2</v>
      </c>
      <c r="O71" s="34">
        <v>-7.0915000000000006E-2</v>
      </c>
      <c r="P71" s="25">
        <v>137.75399999999999</v>
      </c>
      <c r="Q71" s="25">
        <v>133.21899999999999</v>
      </c>
      <c r="R71" s="34">
        <v>3.4041690749817943E-2</v>
      </c>
    </row>
    <row r="72" spans="1:18" x14ac:dyDescent="0.15">
      <c r="A72" s="26">
        <v>65</v>
      </c>
      <c r="B72" s="25">
        <v>118016</v>
      </c>
      <c r="C72" s="25" t="s">
        <v>467</v>
      </c>
      <c r="D72" s="25">
        <v>118.572</v>
      </c>
      <c r="E72" s="34">
        <v>1.11E-2</v>
      </c>
      <c r="F72" s="25">
        <v>9.82</v>
      </c>
      <c r="G72" s="25">
        <v>95.42</v>
      </c>
      <c r="H72" s="43">
        <v>0.24260000000000001</v>
      </c>
      <c r="I72" s="57">
        <v>142.83199999999999</v>
      </c>
      <c r="J72" s="32">
        <v>46970</v>
      </c>
      <c r="K72" s="33">
        <v>4.7750000000000004</v>
      </c>
      <c r="L72" s="33">
        <v>3.32497</v>
      </c>
      <c r="M72" s="33">
        <v>1380.6993</v>
      </c>
      <c r="N72" s="34">
        <v>3.5021055258064503E-2</v>
      </c>
      <c r="O72" s="34">
        <v>4.6990000000000001E-3</v>
      </c>
      <c r="P72" s="25">
        <v>118.937</v>
      </c>
      <c r="Q72" s="25">
        <v>117.199</v>
      </c>
      <c r="R72" s="34">
        <v>1.4829478067219E-2</v>
      </c>
    </row>
    <row r="73" spans="1:18" x14ac:dyDescent="0.15">
      <c r="A73" s="26">
        <v>66</v>
      </c>
      <c r="B73" s="25">
        <v>123204</v>
      </c>
      <c r="C73" s="25" t="s">
        <v>1056</v>
      </c>
      <c r="D73" s="25">
        <v>120.1</v>
      </c>
      <c r="E73" s="34">
        <v>3.4200000000000001E-2</v>
      </c>
      <c r="F73" s="25">
        <v>20.94</v>
      </c>
      <c r="G73" s="25">
        <v>96.51</v>
      </c>
      <c r="H73" s="43">
        <v>0.24440000000000001</v>
      </c>
      <c r="I73" s="57">
        <v>144.54</v>
      </c>
      <c r="J73" s="32">
        <v>47312</v>
      </c>
      <c r="K73" s="33">
        <v>5.7119999999999997</v>
      </c>
      <c r="L73" s="33">
        <v>7</v>
      </c>
      <c r="M73" s="33">
        <v>5517.4310384</v>
      </c>
      <c r="N73" s="34">
        <v>6.562901199476627E-2</v>
      </c>
      <c r="O73" s="34">
        <v>-2.9600000000000004E-4</v>
      </c>
      <c r="P73" s="25">
        <v>120.18</v>
      </c>
      <c r="Q73" s="25">
        <v>116.71</v>
      </c>
      <c r="R73" s="34">
        <v>2.9731813897695254E-2</v>
      </c>
    </row>
    <row r="74" spans="1:18" x14ac:dyDescent="0.15">
      <c r="A74" s="26">
        <v>67</v>
      </c>
      <c r="B74" s="25">
        <v>113594</v>
      </c>
      <c r="C74" s="25" t="s">
        <v>765</v>
      </c>
      <c r="D74" s="25">
        <v>134.88999999999999</v>
      </c>
      <c r="E74" s="34">
        <v>5.5099999999999996E-2</v>
      </c>
      <c r="F74" s="25">
        <v>17.93</v>
      </c>
      <c r="G74" s="25">
        <v>108.14</v>
      </c>
      <c r="H74" s="43">
        <v>0.24739999999999998</v>
      </c>
      <c r="I74" s="57">
        <v>159.63</v>
      </c>
      <c r="J74" s="32">
        <v>46224</v>
      </c>
      <c r="K74" s="33">
        <v>2.7320000000000002</v>
      </c>
      <c r="L74" s="33">
        <v>2.9968400000000002</v>
      </c>
      <c r="M74" s="33">
        <v>28005.201700000001</v>
      </c>
      <c r="N74" s="34">
        <v>0.69278008296398441</v>
      </c>
      <c r="O74" s="34">
        <v>-4.5570000000000006E-2</v>
      </c>
      <c r="P74" s="25">
        <v>135.16900000000001</v>
      </c>
      <c r="Q74" s="25">
        <v>127.9</v>
      </c>
      <c r="R74" s="34">
        <v>5.6833463643471499E-2</v>
      </c>
    </row>
    <row r="75" spans="1:18" x14ac:dyDescent="0.15">
      <c r="A75" s="26">
        <v>68</v>
      </c>
      <c r="B75" s="25">
        <v>110055</v>
      </c>
      <c r="C75" s="25" t="s">
        <v>1085</v>
      </c>
      <c r="D75" s="25">
        <v>176.47399999999999</v>
      </c>
      <c r="E75" s="34">
        <v>1.06E-2</v>
      </c>
      <c r="F75" s="25">
        <v>15.59</v>
      </c>
      <c r="G75" s="25">
        <v>141.05000000000001</v>
      </c>
      <c r="H75" s="43">
        <v>0.25109999999999999</v>
      </c>
      <c r="I75" s="57">
        <v>201.584</v>
      </c>
      <c r="J75" s="32">
        <v>45731</v>
      </c>
      <c r="K75" s="33">
        <v>1.381</v>
      </c>
      <c r="L75" s="33">
        <v>2.4333499999999999</v>
      </c>
      <c r="M75" s="33">
        <v>2867.3236999999999</v>
      </c>
      <c r="N75" s="34">
        <v>6.67715433791502E-2</v>
      </c>
      <c r="O75" s="34">
        <v>-0.28338999999999998</v>
      </c>
      <c r="P75" s="25">
        <v>176.8</v>
      </c>
      <c r="Q75" s="25">
        <v>174.3</v>
      </c>
      <c r="R75" s="34">
        <v>1.4343086632243257E-2</v>
      </c>
    </row>
    <row r="76" spans="1:18" x14ac:dyDescent="0.15">
      <c r="A76" s="26">
        <v>69</v>
      </c>
      <c r="B76" s="25">
        <v>127069</v>
      </c>
      <c r="C76" s="25" t="s">
        <v>760</v>
      </c>
      <c r="D76" s="25">
        <v>130.22</v>
      </c>
      <c r="E76" s="34">
        <v>3.3500000000000002E-2</v>
      </c>
      <c r="F76" s="25">
        <v>54.44</v>
      </c>
      <c r="G76" s="25">
        <v>104.08</v>
      </c>
      <c r="H76" s="43">
        <v>0.25120000000000003</v>
      </c>
      <c r="I76" s="57">
        <v>155.34</v>
      </c>
      <c r="J76" s="32">
        <v>46977</v>
      </c>
      <c r="K76" s="33">
        <v>4.7949999999999999</v>
      </c>
      <c r="L76" s="33">
        <v>5.0416439999999998</v>
      </c>
      <c r="M76" s="33">
        <v>8328.6372520999994</v>
      </c>
      <c r="N76" s="34">
        <v>0.12685981683970482</v>
      </c>
      <c r="O76" s="34">
        <v>-1.5998999999999999E-2</v>
      </c>
      <c r="P76" s="25">
        <v>130.261</v>
      </c>
      <c r="Q76" s="25">
        <v>125</v>
      </c>
      <c r="R76" s="34">
        <v>4.2087999999999966E-2</v>
      </c>
    </row>
    <row r="77" spans="1:18" x14ac:dyDescent="0.15">
      <c r="A77" s="26">
        <v>70</v>
      </c>
      <c r="B77" s="25">
        <v>123175</v>
      </c>
      <c r="C77" s="25" t="s">
        <v>758</v>
      </c>
      <c r="D77" s="25">
        <v>120.03</v>
      </c>
      <c r="E77" s="34">
        <v>2.4E-2</v>
      </c>
      <c r="F77" s="25">
        <v>24</v>
      </c>
      <c r="G77" s="25">
        <v>95.71</v>
      </c>
      <c r="H77" s="43">
        <v>0.25409999999999999</v>
      </c>
      <c r="I77" s="57">
        <v>145.44</v>
      </c>
      <c r="J77" s="32">
        <v>47171</v>
      </c>
      <c r="K77" s="33">
        <v>5.3259999999999996</v>
      </c>
      <c r="L77" s="33">
        <v>4.199923000000001</v>
      </c>
      <c r="M77" s="33">
        <v>3307.6019004999998</v>
      </c>
      <c r="N77" s="34">
        <v>6.5611822063926808E-2</v>
      </c>
      <c r="O77" s="34">
        <v>-3.0990000000000002E-3</v>
      </c>
      <c r="P77" s="25">
        <v>120.5</v>
      </c>
      <c r="Q77" s="25">
        <v>117.235</v>
      </c>
      <c r="R77" s="34">
        <v>2.7850044781848431E-2</v>
      </c>
    </row>
    <row r="78" spans="1:18" x14ac:dyDescent="0.15">
      <c r="A78" s="26">
        <v>71</v>
      </c>
      <c r="B78" s="25">
        <v>111005</v>
      </c>
      <c r="C78" s="25" t="s">
        <v>695</v>
      </c>
      <c r="D78" s="25">
        <v>122.024</v>
      </c>
      <c r="E78" s="34">
        <v>2.3599999999999999E-2</v>
      </c>
      <c r="F78" s="25">
        <v>15.85</v>
      </c>
      <c r="G78" s="25">
        <v>97.1</v>
      </c>
      <c r="H78" s="43">
        <v>0.25670000000000004</v>
      </c>
      <c r="I78" s="57">
        <v>147.69400000000002</v>
      </c>
      <c r="J78" s="32">
        <v>46927</v>
      </c>
      <c r="K78" s="33">
        <v>4.6580000000000004</v>
      </c>
      <c r="L78" s="33">
        <v>5.6994999999999996</v>
      </c>
      <c r="M78" s="33">
        <v>1469.1197</v>
      </c>
      <c r="N78" s="34">
        <v>2.1123951765808991E-2</v>
      </c>
      <c r="O78" s="34">
        <v>-1.6462000000000001E-2</v>
      </c>
      <c r="P78" s="25">
        <v>122.783</v>
      </c>
      <c r="Q78" s="25">
        <v>118.708</v>
      </c>
      <c r="R78" s="34">
        <v>3.4327930720760208E-2</v>
      </c>
    </row>
    <row r="79" spans="1:18" x14ac:dyDescent="0.15">
      <c r="A79" s="26">
        <v>72</v>
      </c>
      <c r="B79" s="25">
        <v>127054</v>
      </c>
      <c r="C79" s="25" t="s">
        <v>1064</v>
      </c>
      <c r="D79" s="25">
        <v>126</v>
      </c>
      <c r="E79" s="34">
        <v>2.4399999999999998E-2</v>
      </c>
      <c r="F79" s="25">
        <v>7.51</v>
      </c>
      <c r="G79" s="25">
        <v>100.13</v>
      </c>
      <c r="H79" s="43">
        <v>0.25840000000000002</v>
      </c>
      <c r="I79" s="57">
        <v>151.84</v>
      </c>
      <c r="J79" s="32">
        <v>46794</v>
      </c>
      <c r="K79" s="33">
        <v>4.2930000000000001</v>
      </c>
      <c r="L79" s="33">
        <v>5.1361249999999998</v>
      </c>
      <c r="M79" s="33">
        <v>2823.2708022000002</v>
      </c>
      <c r="N79" s="34">
        <v>4.3626101639994024E-2</v>
      </c>
      <c r="O79" s="34">
        <v>-1.7832000000000001E-2</v>
      </c>
      <c r="P79" s="25">
        <v>126.947</v>
      </c>
      <c r="Q79" s="25">
        <v>122.509</v>
      </c>
      <c r="R79" s="34">
        <v>3.6225909933147789E-2</v>
      </c>
    </row>
    <row r="80" spans="1:18" x14ac:dyDescent="0.15">
      <c r="A80" s="26">
        <v>73</v>
      </c>
      <c r="B80" s="25">
        <v>113649</v>
      </c>
      <c r="C80" s="25" t="s">
        <v>1020</v>
      </c>
      <c r="D80" s="25">
        <v>118.042</v>
      </c>
      <c r="E80" s="34">
        <v>1.49E-2</v>
      </c>
      <c r="F80" s="25">
        <v>13.73</v>
      </c>
      <c r="G80" s="25">
        <v>93.52</v>
      </c>
      <c r="H80" s="43">
        <v>0.26219999999999999</v>
      </c>
      <c r="I80" s="57">
        <v>144.262</v>
      </c>
      <c r="J80" s="32">
        <v>46931</v>
      </c>
      <c r="K80" s="33">
        <v>4.6680000000000001</v>
      </c>
      <c r="L80" s="33">
        <v>4.9934900000000004</v>
      </c>
      <c r="M80" s="33">
        <v>1374.1389999999999</v>
      </c>
      <c r="N80" s="34">
        <v>2.3312557589007667E-2</v>
      </c>
      <c r="O80" s="34">
        <v>3.7780000000000001E-3</v>
      </c>
      <c r="P80" s="25">
        <v>118.44499999999999</v>
      </c>
      <c r="Q80" s="25">
        <v>115.905</v>
      </c>
      <c r="R80" s="34">
        <v>2.1914498943099884E-2</v>
      </c>
    </row>
    <row r="81" spans="1:18" x14ac:dyDescent="0.15">
      <c r="A81" s="26">
        <v>74</v>
      </c>
      <c r="B81" s="25">
        <v>113639</v>
      </c>
      <c r="C81" s="25" t="s">
        <v>1108</v>
      </c>
      <c r="D81" s="25">
        <v>131.994</v>
      </c>
      <c r="E81" s="34">
        <v>3.5499999999999997E-2</v>
      </c>
      <c r="F81" s="25">
        <v>38.51</v>
      </c>
      <c r="G81" s="25">
        <v>104.44</v>
      </c>
      <c r="H81" s="43">
        <v>0.26379999999999998</v>
      </c>
      <c r="I81" s="57">
        <v>158.374</v>
      </c>
      <c r="J81" s="32">
        <v>46776</v>
      </c>
      <c r="K81" s="33">
        <v>4.2439999999999998</v>
      </c>
      <c r="L81" s="33">
        <v>5.69937</v>
      </c>
      <c r="M81" s="33">
        <v>8141.7435999999998</v>
      </c>
      <c r="N81" s="34">
        <v>0.10822718917307625</v>
      </c>
      <c r="O81" s="34">
        <v>-3.7948000000000003E-2</v>
      </c>
      <c r="P81" s="25">
        <v>132</v>
      </c>
      <c r="Q81" s="25">
        <v>127.265</v>
      </c>
      <c r="R81" s="34">
        <v>3.7205830353985773E-2</v>
      </c>
    </row>
    <row r="82" spans="1:18" x14ac:dyDescent="0.15">
      <c r="A82" s="26">
        <v>75</v>
      </c>
      <c r="B82" s="25">
        <v>123198</v>
      </c>
      <c r="C82" s="25" t="s">
        <v>1038</v>
      </c>
      <c r="D82" s="25">
        <v>117.3</v>
      </c>
      <c r="E82" s="34">
        <v>8.3999999999999995E-3</v>
      </c>
      <c r="F82" s="25">
        <v>12.21</v>
      </c>
      <c r="G82" s="25">
        <v>92.79</v>
      </c>
      <c r="H82" s="43">
        <v>0.2641</v>
      </c>
      <c r="I82" s="57">
        <v>143.71</v>
      </c>
      <c r="J82" s="32">
        <v>47277</v>
      </c>
      <c r="K82" s="33">
        <v>5.6159999999999997</v>
      </c>
      <c r="L82" s="33">
        <v>5.2</v>
      </c>
      <c r="M82" s="33">
        <v>1146.0058719000001</v>
      </c>
      <c r="N82" s="34">
        <v>1.8788213520558726E-2</v>
      </c>
      <c r="O82" s="34">
        <v>5.6499999999999996E-3</v>
      </c>
      <c r="P82" s="25">
        <v>117.45</v>
      </c>
      <c r="Q82" s="25">
        <v>115.8</v>
      </c>
      <c r="R82" s="34">
        <v>1.4248704663212484E-2</v>
      </c>
    </row>
    <row r="83" spans="1:18" x14ac:dyDescent="0.15">
      <c r="A83" s="26">
        <v>76</v>
      </c>
      <c r="B83" s="25">
        <v>123080</v>
      </c>
      <c r="C83" s="25" t="s">
        <v>770</v>
      </c>
      <c r="D83" s="25">
        <v>133.411</v>
      </c>
      <c r="E83" s="34">
        <v>1.0700000000000001E-2</v>
      </c>
      <c r="F83" s="25">
        <v>11.5</v>
      </c>
      <c r="G83" s="25">
        <v>105.22</v>
      </c>
      <c r="H83" s="43">
        <v>0.26789999999999997</v>
      </c>
      <c r="I83" s="57">
        <v>160.20099999999999</v>
      </c>
      <c r="J83" s="32">
        <v>46358</v>
      </c>
      <c r="K83" s="33">
        <v>3.0990000000000002</v>
      </c>
      <c r="L83" s="33">
        <v>1.4893400000000001</v>
      </c>
      <c r="M83" s="33">
        <v>1280.1477540999999</v>
      </c>
      <c r="N83" s="34">
        <v>6.4427993380079526E-2</v>
      </c>
      <c r="O83" s="34">
        <v>-2.0760999999999998E-2</v>
      </c>
      <c r="P83" s="25">
        <v>134.16</v>
      </c>
      <c r="Q83" s="25">
        <v>131.803</v>
      </c>
      <c r="R83" s="34">
        <v>1.7882749254569313E-2</v>
      </c>
    </row>
    <row r="84" spans="1:18" x14ac:dyDescent="0.15">
      <c r="A84" s="26">
        <v>77</v>
      </c>
      <c r="B84" s="25">
        <v>123130</v>
      </c>
      <c r="C84" s="25" t="s">
        <v>684</v>
      </c>
      <c r="D84" s="25">
        <v>125.696</v>
      </c>
      <c r="E84" s="34">
        <v>1.1200000000000002E-2</v>
      </c>
      <c r="F84" s="25">
        <v>8.9600000000000009</v>
      </c>
      <c r="G84" s="25">
        <v>99.11</v>
      </c>
      <c r="H84" s="43">
        <v>0.26819999999999999</v>
      </c>
      <c r="I84" s="57">
        <v>152.51599999999999</v>
      </c>
      <c r="J84" s="32">
        <v>46702</v>
      </c>
      <c r="K84" s="33">
        <v>4.0410000000000004</v>
      </c>
      <c r="L84" s="33">
        <v>3.7552050000000001</v>
      </c>
      <c r="M84" s="33">
        <v>1542.6532557</v>
      </c>
      <c r="N84" s="34">
        <v>3.2682345147043844E-2</v>
      </c>
      <c r="O84" s="34">
        <v>-1.8357000000000002E-2</v>
      </c>
      <c r="P84" s="25">
        <v>126</v>
      </c>
      <c r="Q84" s="25">
        <v>124.124</v>
      </c>
      <c r="R84" s="34">
        <v>1.511391833972483E-2</v>
      </c>
    </row>
    <row r="85" spans="1:18" x14ac:dyDescent="0.15">
      <c r="A85" s="26">
        <v>78</v>
      </c>
      <c r="B85" s="25">
        <v>113609</v>
      </c>
      <c r="C85" s="25" t="s">
        <v>762</v>
      </c>
      <c r="D85" s="25">
        <v>116.625</v>
      </c>
      <c r="E85" s="34">
        <v>1.32E-2</v>
      </c>
      <c r="F85" s="25">
        <v>14.8</v>
      </c>
      <c r="G85" s="25">
        <v>91.96</v>
      </c>
      <c r="H85" s="43">
        <v>0.26819999999999999</v>
      </c>
      <c r="I85" s="57">
        <v>143.44499999999999</v>
      </c>
      <c r="J85" s="32">
        <v>46350</v>
      </c>
      <c r="K85" s="33">
        <v>3.077</v>
      </c>
      <c r="L85" s="33">
        <v>7.3414200000000003</v>
      </c>
      <c r="M85" s="33">
        <v>1283.3734999999999</v>
      </c>
      <c r="N85" s="34">
        <v>1.498929959559386E-2</v>
      </c>
      <c r="O85" s="34">
        <v>8.1180000000000002E-3</v>
      </c>
      <c r="P85" s="25">
        <v>116.7</v>
      </c>
      <c r="Q85" s="25">
        <v>114.83</v>
      </c>
      <c r="R85" s="34">
        <v>1.6284942959157056E-2</v>
      </c>
    </row>
    <row r="86" spans="1:18" x14ac:dyDescent="0.15">
      <c r="A86" s="26">
        <v>79</v>
      </c>
      <c r="B86" s="25">
        <v>127087</v>
      </c>
      <c r="C86" s="25" t="s">
        <v>1040</v>
      </c>
      <c r="D86" s="25">
        <v>124.17700000000001</v>
      </c>
      <c r="E86" s="34">
        <v>9.1000000000000004E-3</v>
      </c>
      <c r="F86" s="25">
        <v>13.36</v>
      </c>
      <c r="G86" s="25">
        <v>97.75</v>
      </c>
      <c r="H86" s="43">
        <v>0.27039999999999997</v>
      </c>
      <c r="I86" s="57">
        <v>151.21700000000001</v>
      </c>
      <c r="J86" s="32">
        <v>47283</v>
      </c>
      <c r="K86" s="33">
        <v>5.633</v>
      </c>
      <c r="L86" s="33">
        <v>4.6289999999999996</v>
      </c>
      <c r="M86" s="33">
        <v>713.15102390000004</v>
      </c>
      <c r="N86" s="34">
        <v>1.2406611009800604E-2</v>
      </c>
      <c r="O86" s="34">
        <v>-4.9670000000000001E-3</v>
      </c>
      <c r="P86" s="25">
        <v>124.999</v>
      </c>
      <c r="Q86" s="25">
        <v>122.717</v>
      </c>
      <c r="R86" s="34">
        <v>1.8595630597227738E-2</v>
      </c>
    </row>
    <row r="87" spans="1:18" x14ac:dyDescent="0.15">
      <c r="A87" s="26">
        <v>80</v>
      </c>
      <c r="B87" s="25">
        <v>113637</v>
      </c>
      <c r="C87" s="25" t="s">
        <v>685</v>
      </c>
      <c r="D87" s="25">
        <v>121</v>
      </c>
      <c r="E87" s="34">
        <v>3.4000000000000002E-3</v>
      </c>
      <c r="F87" s="25">
        <v>12.57</v>
      </c>
      <c r="G87" s="25">
        <v>95.07</v>
      </c>
      <c r="H87" s="43">
        <v>0.2727</v>
      </c>
      <c r="I87" s="57">
        <v>148.27000000000001</v>
      </c>
      <c r="J87" s="32">
        <v>46743</v>
      </c>
      <c r="K87" s="33">
        <v>4.1529999999999996</v>
      </c>
      <c r="L87" s="33">
        <v>7.9978600000000002</v>
      </c>
      <c r="M87" s="33">
        <v>2331.9675999999999</v>
      </c>
      <c r="N87" s="34">
        <v>2.4097020333104395E-2</v>
      </c>
      <c r="O87" s="34">
        <v>-8.1400000000000005E-4</v>
      </c>
      <c r="P87" s="25">
        <v>121.49299999999999</v>
      </c>
      <c r="Q87" s="25">
        <v>120.399</v>
      </c>
      <c r="R87" s="34">
        <v>9.0864542064302365E-3</v>
      </c>
    </row>
    <row r="88" spans="1:18" x14ac:dyDescent="0.15">
      <c r="A88" s="26">
        <v>81</v>
      </c>
      <c r="B88" s="25">
        <v>128143</v>
      </c>
      <c r="C88" s="25" t="s">
        <v>1082</v>
      </c>
      <c r="D88" s="25">
        <v>128.70099999999999</v>
      </c>
      <c r="E88" s="34">
        <v>-3.0999999999999999E-3</v>
      </c>
      <c r="F88" s="25">
        <v>12.63</v>
      </c>
      <c r="G88" s="25">
        <v>100.87</v>
      </c>
      <c r="H88" s="43">
        <v>0.27589999999999998</v>
      </c>
      <c r="I88" s="57">
        <v>156.291</v>
      </c>
      <c r="J88" s="32">
        <v>46395</v>
      </c>
      <c r="K88" s="33">
        <v>3.2</v>
      </c>
      <c r="L88" s="33">
        <v>2.4374440000000002</v>
      </c>
      <c r="M88" s="33">
        <v>6558.6267240000006</v>
      </c>
      <c r="N88" s="34">
        <v>0.20907222748514409</v>
      </c>
      <c r="O88" s="34">
        <v>-2.0856E-2</v>
      </c>
      <c r="P88" s="25">
        <v>129.501</v>
      </c>
      <c r="Q88" s="25">
        <v>128.083</v>
      </c>
      <c r="R88" s="34">
        <v>1.1070946183334294E-2</v>
      </c>
    </row>
    <row r="89" spans="1:18" x14ac:dyDescent="0.15">
      <c r="A89" s="26">
        <v>82</v>
      </c>
      <c r="B89" s="25">
        <v>127088</v>
      </c>
      <c r="C89" s="25" t="s">
        <v>1057</v>
      </c>
      <c r="D89" s="25">
        <v>123.003</v>
      </c>
      <c r="E89" s="34">
        <v>2.35E-2</v>
      </c>
      <c r="F89" s="25">
        <v>17.399999999999999</v>
      </c>
      <c r="G89" s="25">
        <v>96.21</v>
      </c>
      <c r="H89" s="43">
        <v>0.27850000000000003</v>
      </c>
      <c r="I89" s="57">
        <v>150.85300000000001</v>
      </c>
      <c r="J89" s="32">
        <v>47302</v>
      </c>
      <c r="K89" s="33">
        <v>5.6849999999999996</v>
      </c>
      <c r="L89" s="33">
        <v>6</v>
      </c>
      <c r="M89" s="33">
        <v>1017.7678422</v>
      </c>
      <c r="N89" s="34">
        <v>1.3790555815711814E-2</v>
      </c>
      <c r="O89" s="34">
        <v>-4.1099999999999999E-3</v>
      </c>
      <c r="P89" s="25">
        <v>123.456</v>
      </c>
      <c r="Q89" s="25">
        <v>119.443</v>
      </c>
      <c r="R89" s="34">
        <v>3.3597615599072407E-2</v>
      </c>
    </row>
    <row r="90" spans="1:18" x14ac:dyDescent="0.15">
      <c r="A90" s="26">
        <v>83</v>
      </c>
      <c r="B90" s="25">
        <v>123214</v>
      </c>
      <c r="C90" s="25" t="s">
        <v>1066</v>
      </c>
      <c r="D90" s="25">
        <v>119.498</v>
      </c>
      <c r="E90" s="34">
        <v>1.3999999999999999E-2</v>
      </c>
      <c r="F90" s="25">
        <v>6.67</v>
      </c>
      <c r="G90" s="25">
        <v>93.4</v>
      </c>
      <c r="H90" s="43">
        <v>0.27940000000000004</v>
      </c>
      <c r="I90" s="57">
        <v>147.43800000000002</v>
      </c>
      <c r="J90" s="32">
        <v>47330</v>
      </c>
      <c r="K90" s="33">
        <v>5.7619999999999996</v>
      </c>
      <c r="L90" s="33">
        <v>4.55</v>
      </c>
      <c r="M90" s="33">
        <v>3235.3924225000001</v>
      </c>
      <c r="N90" s="34">
        <v>5.950520156758337E-2</v>
      </c>
      <c r="O90" s="34">
        <v>-1.776E-3</v>
      </c>
      <c r="P90" s="25">
        <v>119.852</v>
      </c>
      <c r="Q90" s="25">
        <v>116.3</v>
      </c>
      <c r="R90" s="34">
        <v>3.0541702493551218E-2</v>
      </c>
    </row>
    <row r="91" spans="1:18" x14ac:dyDescent="0.15">
      <c r="A91" s="26">
        <v>84</v>
      </c>
      <c r="B91" s="25">
        <v>113600</v>
      </c>
      <c r="C91" s="25" t="s">
        <v>1017</v>
      </c>
      <c r="D91" s="25">
        <v>120.425</v>
      </c>
      <c r="E91" s="34">
        <v>1.24E-2</v>
      </c>
      <c r="F91" s="25">
        <v>17.45</v>
      </c>
      <c r="G91" s="25">
        <v>94.1</v>
      </c>
      <c r="H91" s="43">
        <v>0.27979999999999999</v>
      </c>
      <c r="I91" s="57">
        <v>148.405</v>
      </c>
      <c r="J91" s="32">
        <v>46247</v>
      </c>
      <c r="K91" s="33">
        <v>2.7949999999999999</v>
      </c>
      <c r="L91" s="33">
        <v>4.5295399999999999</v>
      </c>
      <c r="M91" s="33">
        <v>1569.8307</v>
      </c>
      <c r="N91" s="34">
        <v>2.8779421759960892E-2</v>
      </c>
      <c r="O91" s="34">
        <v>1.0685E-2</v>
      </c>
      <c r="P91" s="25">
        <v>120.6</v>
      </c>
      <c r="Q91" s="25">
        <v>118.7</v>
      </c>
      <c r="R91" s="34">
        <v>1.6006739679865135E-2</v>
      </c>
    </row>
    <row r="92" spans="1:18" x14ac:dyDescent="0.15">
      <c r="A92" s="26">
        <v>85</v>
      </c>
      <c r="B92" s="25">
        <v>123022</v>
      </c>
      <c r="C92" s="25" t="s">
        <v>713</v>
      </c>
      <c r="D92" s="25">
        <v>135.59899999999999</v>
      </c>
      <c r="E92" s="34">
        <v>1.0200000000000001E-2</v>
      </c>
      <c r="F92" s="25">
        <v>5.9</v>
      </c>
      <c r="G92" s="25">
        <v>105.93</v>
      </c>
      <c r="H92" s="43">
        <v>0.28010000000000002</v>
      </c>
      <c r="I92" s="57">
        <v>163.60899999999998</v>
      </c>
      <c r="J92" s="32">
        <v>45734</v>
      </c>
      <c r="K92" s="33">
        <v>1.389</v>
      </c>
      <c r="L92" s="33">
        <v>2.562306</v>
      </c>
      <c r="M92" s="33">
        <v>947.71372300000007</v>
      </c>
      <c r="N92" s="34">
        <v>2.7276565707334614E-2</v>
      </c>
      <c r="O92" s="34">
        <v>-0.130797</v>
      </c>
      <c r="P92" s="25">
        <v>135.77000000000001</v>
      </c>
      <c r="Q92" s="25">
        <v>133.261</v>
      </c>
      <c r="R92" s="34">
        <v>1.8827714034864024E-2</v>
      </c>
    </row>
    <row r="93" spans="1:18" x14ac:dyDescent="0.15">
      <c r="A93" s="26">
        <v>86</v>
      </c>
      <c r="B93" s="25">
        <v>123067</v>
      </c>
      <c r="C93" s="25" t="s">
        <v>747</v>
      </c>
      <c r="D93" s="25">
        <v>129.94999999999999</v>
      </c>
      <c r="E93" s="34">
        <v>1.52E-2</v>
      </c>
      <c r="F93" s="25">
        <v>9.66</v>
      </c>
      <c r="G93" s="25">
        <v>101.45</v>
      </c>
      <c r="H93" s="43">
        <v>0.28089999999999998</v>
      </c>
      <c r="I93" s="57">
        <v>158.04</v>
      </c>
      <c r="J93" s="32">
        <v>46282</v>
      </c>
      <c r="K93" s="33">
        <v>2.89</v>
      </c>
      <c r="L93" s="33">
        <v>2.393786</v>
      </c>
      <c r="M93" s="33">
        <v>4293.1739440000001</v>
      </c>
      <c r="N93" s="34">
        <v>0.13801200917314033</v>
      </c>
      <c r="O93" s="34">
        <v>-3.0435E-2</v>
      </c>
      <c r="P93" s="25">
        <v>130.499</v>
      </c>
      <c r="Q93" s="25">
        <v>127.25</v>
      </c>
      <c r="R93" s="34">
        <v>2.5532416502946919E-2</v>
      </c>
    </row>
    <row r="94" spans="1:18" x14ac:dyDescent="0.15">
      <c r="A94" s="26">
        <v>87</v>
      </c>
      <c r="B94" s="25">
        <v>123220</v>
      </c>
      <c r="C94" s="25" t="s">
        <v>1094</v>
      </c>
      <c r="D94" s="25">
        <v>119.99</v>
      </c>
      <c r="E94" s="34">
        <v>3.0099999999999998E-2</v>
      </c>
      <c r="F94" s="25">
        <v>12.87</v>
      </c>
      <c r="G94" s="25">
        <v>93.63</v>
      </c>
      <c r="H94" s="43">
        <v>0.28149999999999997</v>
      </c>
      <c r="I94" s="57">
        <v>148.13999999999999</v>
      </c>
      <c r="J94" s="32">
        <v>47348</v>
      </c>
      <c r="K94" s="33">
        <v>5.8109999999999999</v>
      </c>
      <c r="L94" s="33">
        <v>3.2819669999999999</v>
      </c>
      <c r="M94" s="33">
        <v>5993.3881693000003</v>
      </c>
      <c r="N94" s="34">
        <v>0.15219246212048876</v>
      </c>
      <c r="O94" s="34">
        <v>-7.1299999999999998E-4</v>
      </c>
      <c r="P94" s="25">
        <v>120.12</v>
      </c>
      <c r="Q94" s="25">
        <v>115.7</v>
      </c>
      <c r="R94" s="34">
        <v>3.820224719101125E-2</v>
      </c>
    </row>
    <row r="95" spans="1:18" x14ac:dyDescent="0.15">
      <c r="A95" s="26">
        <v>88</v>
      </c>
      <c r="B95" s="25">
        <v>111007</v>
      </c>
      <c r="C95" s="25" t="s">
        <v>1092</v>
      </c>
      <c r="D95" s="25">
        <v>126.36499999999999</v>
      </c>
      <c r="E95" s="34">
        <v>2.4799999999999999E-2</v>
      </c>
      <c r="F95" s="25">
        <v>23.83</v>
      </c>
      <c r="G95" s="25">
        <v>98.45</v>
      </c>
      <c r="H95" s="43">
        <v>0.28350000000000003</v>
      </c>
      <c r="I95" s="57">
        <v>154.715</v>
      </c>
      <c r="J95" s="32">
        <v>47037</v>
      </c>
      <c r="K95" s="33">
        <v>4.9589999999999996</v>
      </c>
      <c r="L95" s="33">
        <v>7.9960599999999999</v>
      </c>
      <c r="M95" s="33">
        <v>7471.8909999999996</v>
      </c>
      <c r="N95" s="34">
        <v>7.3948212712819872E-2</v>
      </c>
      <c r="O95" s="34">
        <v>-1.0536E-2</v>
      </c>
      <c r="P95" s="25">
        <v>127.614</v>
      </c>
      <c r="Q95" s="25">
        <v>122.837</v>
      </c>
      <c r="R95" s="34">
        <v>3.888893411594227E-2</v>
      </c>
    </row>
    <row r="96" spans="1:18" x14ac:dyDescent="0.15">
      <c r="A96" s="26">
        <v>89</v>
      </c>
      <c r="B96" s="25">
        <v>123156</v>
      </c>
      <c r="C96" s="25" t="s">
        <v>768</v>
      </c>
      <c r="D96" s="25">
        <v>121.4</v>
      </c>
      <c r="E96" s="34">
        <v>1.3999999999999999E-2</v>
      </c>
      <c r="F96" s="25">
        <v>10.69</v>
      </c>
      <c r="G96" s="25">
        <v>94.57</v>
      </c>
      <c r="H96" s="43">
        <v>0.28370000000000001</v>
      </c>
      <c r="I96" s="57">
        <v>149.77000000000001</v>
      </c>
      <c r="J96" s="32">
        <v>46981</v>
      </c>
      <c r="K96" s="33">
        <v>4.8049999999999997</v>
      </c>
      <c r="L96" s="33">
        <v>3.9695390000000002</v>
      </c>
      <c r="M96" s="33">
        <v>1851.7630392000001</v>
      </c>
      <c r="N96" s="34">
        <v>3.8426130338649535E-2</v>
      </c>
      <c r="O96" s="34">
        <v>-8.7599999999999993E-4</v>
      </c>
      <c r="P96" s="25">
        <v>121.9</v>
      </c>
      <c r="Q96" s="25">
        <v>118.91</v>
      </c>
      <c r="R96" s="34">
        <v>2.5145067698259266E-2</v>
      </c>
    </row>
    <row r="97" spans="1:18" x14ac:dyDescent="0.15">
      <c r="A97" s="26">
        <v>90</v>
      </c>
      <c r="B97" s="25">
        <v>123168</v>
      </c>
      <c r="C97" s="25" t="s">
        <v>723</v>
      </c>
      <c r="D97" s="25">
        <v>116.578</v>
      </c>
      <c r="E97" s="34">
        <v>1.2E-2</v>
      </c>
      <c r="F97" s="25">
        <v>10.78</v>
      </c>
      <c r="G97" s="25">
        <v>90.72</v>
      </c>
      <c r="H97" s="43">
        <v>0.28499999999999998</v>
      </c>
      <c r="I97" s="57">
        <v>145.078</v>
      </c>
      <c r="J97" s="32">
        <v>47080</v>
      </c>
      <c r="K97" s="33">
        <v>5.077</v>
      </c>
      <c r="L97" s="33">
        <v>4.8998569999999999</v>
      </c>
      <c r="M97" s="33">
        <v>1916.4472249999999</v>
      </c>
      <c r="N97" s="34">
        <v>3.3550334795592683E-2</v>
      </c>
      <c r="O97" s="34">
        <v>7.0099999999999997E-3</v>
      </c>
      <c r="P97" s="25">
        <v>117.08799999999999</v>
      </c>
      <c r="Q97" s="25">
        <v>114.89</v>
      </c>
      <c r="R97" s="34">
        <v>1.91313430237618E-2</v>
      </c>
    </row>
    <row r="98" spans="1:18" x14ac:dyDescent="0.15">
      <c r="A98" s="26">
        <v>91</v>
      </c>
      <c r="B98" s="25">
        <v>123120</v>
      </c>
      <c r="C98" s="25" t="s">
        <v>687</v>
      </c>
      <c r="D98" s="25">
        <v>120.288</v>
      </c>
      <c r="E98" s="34">
        <v>1.0500000000000001E-2</v>
      </c>
      <c r="F98" s="25">
        <v>7.72</v>
      </c>
      <c r="G98" s="25">
        <v>93.52</v>
      </c>
      <c r="H98" s="43">
        <v>0.28620000000000001</v>
      </c>
      <c r="I98" s="57">
        <v>148.90799999999999</v>
      </c>
      <c r="J98" s="32">
        <v>46598</v>
      </c>
      <c r="K98" s="33">
        <v>3.7559999999999998</v>
      </c>
      <c r="L98" s="33">
        <v>7.981115</v>
      </c>
      <c r="M98" s="33">
        <v>1931.618555</v>
      </c>
      <c r="N98" s="34">
        <v>2.0120348367700033E-2</v>
      </c>
      <c r="O98" s="34">
        <v>-6.4999999999999997E-4</v>
      </c>
      <c r="P98" s="25">
        <v>120.35</v>
      </c>
      <c r="Q98" s="25">
        <v>118.756</v>
      </c>
      <c r="R98" s="34">
        <v>1.3422479706288475E-2</v>
      </c>
    </row>
    <row r="99" spans="1:18" x14ac:dyDescent="0.15">
      <c r="A99" s="26">
        <v>92</v>
      </c>
      <c r="B99" s="25">
        <v>110058</v>
      </c>
      <c r="C99" s="25" t="s">
        <v>1013</v>
      </c>
      <c r="D99" s="25">
        <v>138.435</v>
      </c>
      <c r="E99" s="34">
        <v>7.3000000000000001E-3</v>
      </c>
      <c r="F99" s="25">
        <v>5.04</v>
      </c>
      <c r="G99" s="25">
        <v>107.34</v>
      </c>
      <c r="H99" s="43">
        <v>0.28970000000000001</v>
      </c>
      <c r="I99" s="57">
        <v>167.405</v>
      </c>
      <c r="J99" s="32">
        <v>45763</v>
      </c>
      <c r="K99" s="33">
        <v>1.468</v>
      </c>
      <c r="L99" s="33">
        <v>2.5997699999999999</v>
      </c>
      <c r="M99" s="33">
        <v>8667.2448000000004</v>
      </c>
      <c r="N99" s="34">
        <v>0.24082425758382214</v>
      </c>
      <c r="O99" s="34">
        <v>-0.13648199999999999</v>
      </c>
      <c r="P99" s="25">
        <v>138.6</v>
      </c>
      <c r="Q99" s="25">
        <v>136.88</v>
      </c>
      <c r="R99" s="34">
        <v>1.256575102279368E-2</v>
      </c>
    </row>
    <row r="100" spans="1:18" x14ac:dyDescent="0.15">
      <c r="A100" s="26">
        <v>93</v>
      </c>
      <c r="B100" s="25">
        <v>113526</v>
      </c>
      <c r="C100" s="25" t="s">
        <v>68</v>
      </c>
      <c r="D100" s="25">
        <v>123.60599999999999</v>
      </c>
      <c r="E100" s="34">
        <v>1.3000000000000001E-2</v>
      </c>
      <c r="F100" s="25">
        <v>5.72</v>
      </c>
      <c r="G100" s="25">
        <v>95.8</v>
      </c>
      <c r="H100" s="43">
        <v>0.2903</v>
      </c>
      <c r="I100" s="57">
        <v>152.636</v>
      </c>
      <c r="J100" s="32">
        <v>45680</v>
      </c>
      <c r="K100" s="33">
        <v>1.2410000000000001</v>
      </c>
      <c r="L100" s="33">
        <v>1.9267000000000001</v>
      </c>
      <c r="M100" s="33">
        <v>1574.0159000000001</v>
      </c>
      <c r="N100" s="34">
        <v>6.6093000002273347E-2</v>
      </c>
      <c r="O100" s="34">
        <v>-0.10543699999999999</v>
      </c>
      <c r="P100" s="25">
        <v>123.998</v>
      </c>
      <c r="Q100" s="25">
        <v>121.547</v>
      </c>
      <c r="R100" s="34">
        <v>2.0165039038396733E-2</v>
      </c>
    </row>
    <row r="101" spans="1:18" x14ac:dyDescent="0.15">
      <c r="A101" s="26">
        <v>94</v>
      </c>
      <c r="B101" s="25">
        <v>123201</v>
      </c>
      <c r="C101" s="25" t="s">
        <v>1052</v>
      </c>
      <c r="D101" s="25">
        <v>154.875</v>
      </c>
      <c r="E101" s="34">
        <v>4.3E-3</v>
      </c>
      <c r="F101" s="25">
        <v>29.88</v>
      </c>
      <c r="G101" s="25">
        <v>119.58</v>
      </c>
      <c r="H101" s="43">
        <v>0.29520000000000002</v>
      </c>
      <c r="I101" s="57">
        <v>184.39500000000001</v>
      </c>
      <c r="J101" s="32">
        <v>47296</v>
      </c>
      <c r="K101" s="33">
        <v>5.6680000000000001</v>
      </c>
      <c r="L101" s="33">
        <v>3.5</v>
      </c>
      <c r="M101" s="33">
        <v>68059.670355999988</v>
      </c>
      <c r="N101" s="34">
        <v>1.2555686909904296</v>
      </c>
      <c r="O101" s="34">
        <v>-4.2716000000000004E-2</v>
      </c>
      <c r="P101" s="25">
        <v>162</v>
      </c>
      <c r="Q101" s="25">
        <v>152.68100000000001</v>
      </c>
      <c r="R101" s="34">
        <v>6.1035754285077959E-2</v>
      </c>
    </row>
    <row r="102" spans="1:18" x14ac:dyDescent="0.15">
      <c r="A102" s="26">
        <v>95</v>
      </c>
      <c r="B102" s="25">
        <v>123054</v>
      </c>
      <c r="C102" s="25" t="s">
        <v>766</v>
      </c>
      <c r="D102" s="25">
        <v>140.32300000000001</v>
      </c>
      <c r="E102" s="34">
        <v>-5.8999999999999999E-3</v>
      </c>
      <c r="F102" s="25">
        <v>9.89</v>
      </c>
      <c r="G102" s="25">
        <v>108.09</v>
      </c>
      <c r="H102" s="43">
        <v>0.29820000000000002</v>
      </c>
      <c r="I102" s="57">
        <v>170.143</v>
      </c>
      <c r="J102" s="32">
        <v>46183</v>
      </c>
      <c r="K102" s="33">
        <v>2.6190000000000002</v>
      </c>
      <c r="L102" s="33">
        <v>2.0728</v>
      </c>
      <c r="M102" s="33">
        <v>4551.9917420000002</v>
      </c>
      <c r="N102" s="34">
        <v>0.15650031085721391</v>
      </c>
      <c r="O102" s="34">
        <v>-6.1128000000000002E-2</v>
      </c>
      <c r="P102" s="25">
        <v>140.88</v>
      </c>
      <c r="Q102" s="25">
        <v>138.1</v>
      </c>
      <c r="R102" s="34">
        <v>2.0130340333091971E-2</v>
      </c>
    </row>
    <row r="103" spans="1:18" x14ac:dyDescent="0.15">
      <c r="A103" s="26">
        <v>96</v>
      </c>
      <c r="B103" s="25">
        <v>128137</v>
      </c>
      <c r="C103" s="25" t="s">
        <v>688</v>
      </c>
      <c r="D103" s="25">
        <v>129.584</v>
      </c>
      <c r="E103" s="34">
        <v>2.2000000000000002E-2</v>
      </c>
      <c r="F103" s="25">
        <v>26.95</v>
      </c>
      <c r="G103" s="25">
        <v>99.81</v>
      </c>
      <c r="H103" s="43">
        <v>0.29830000000000001</v>
      </c>
      <c r="I103" s="57">
        <v>159.41399999999999</v>
      </c>
      <c r="J103" s="32">
        <v>46330</v>
      </c>
      <c r="K103" s="33">
        <v>3.0219999999999998</v>
      </c>
      <c r="L103" s="33">
        <v>5.9936610000000003</v>
      </c>
      <c r="M103" s="33">
        <v>1449.1295166999998</v>
      </c>
      <c r="N103" s="34">
        <v>1.8657937981698264E-2</v>
      </c>
      <c r="O103" s="34">
        <v>-3.5879000000000001E-2</v>
      </c>
      <c r="P103" s="25">
        <v>130.29</v>
      </c>
      <c r="Q103" s="25">
        <v>126.569</v>
      </c>
      <c r="R103" s="34">
        <v>2.939898395341663E-2</v>
      </c>
    </row>
    <row r="104" spans="1:18" x14ac:dyDescent="0.15">
      <c r="A104" s="26">
        <v>97</v>
      </c>
      <c r="B104" s="25">
        <v>113634</v>
      </c>
      <c r="C104" s="25" t="s">
        <v>761</v>
      </c>
      <c r="D104" s="25">
        <v>132.429</v>
      </c>
      <c r="E104" s="34">
        <v>1.5900000000000001E-2</v>
      </c>
      <c r="F104" s="25">
        <v>98.24</v>
      </c>
      <c r="G104" s="25">
        <v>101.88</v>
      </c>
      <c r="H104" s="43">
        <v>0.2999</v>
      </c>
      <c r="I104" s="57">
        <v>162.41900000000001</v>
      </c>
      <c r="J104" s="32">
        <v>46729</v>
      </c>
      <c r="K104" s="33">
        <v>4.1150000000000002</v>
      </c>
      <c r="L104" s="33">
        <v>7.5079200000000004</v>
      </c>
      <c r="M104" s="33">
        <v>2325.9645</v>
      </c>
      <c r="N104" s="34">
        <v>2.3393777017809498E-2</v>
      </c>
      <c r="O104" s="34">
        <v>-2.4511999999999999E-2</v>
      </c>
      <c r="P104" s="25">
        <v>133</v>
      </c>
      <c r="Q104" s="25">
        <v>130.102</v>
      </c>
      <c r="R104" s="34">
        <v>2.2274830517593859E-2</v>
      </c>
    </row>
    <row r="105" spans="1:18" x14ac:dyDescent="0.15">
      <c r="A105" s="26">
        <v>98</v>
      </c>
      <c r="B105" s="25">
        <v>123157</v>
      </c>
      <c r="C105" s="25" t="s">
        <v>468</v>
      </c>
      <c r="D105" s="25">
        <v>125.155</v>
      </c>
      <c r="E105" s="34">
        <v>1.4000000000000002E-3</v>
      </c>
      <c r="F105" s="25">
        <v>16.010000000000002</v>
      </c>
      <c r="G105" s="25">
        <v>96.25</v>
      </c>
      <c r="H105" s="43">
        <v>0.30030000000000001</v>
      </c>
      <c r="I105" s="57">
        <v>155.185</v>
      </c>
      <c r="J105" s="32">
        <v>46995</v>
      </c>
      <c r="K105" s="33">
        <v>4.8440000000000003</v>
      </c>
      <c r="L105" s="33">
        <v>4.9452530000000001</v>
      </c>
      <c r="M105" s="33">
        <v>5514.1848998999994</v>
      </c>
      <c r="N105" s="34">
        <v>8.9093209649485985E-2</v>
      </c>
      <c r="O105" s="34">
        <v>-8.7799999999999996E-3</v>
      </c>
      <c r="P105" s="25">
        <v>125.88800000000001</v>
      </c>
      <c r="Q105" s="25">
        <v>123.75</v>
      </c>
      <c r="R105" s="34">
        <v>1.727676767676772E-2</v>
      </c>
    </row>
    <row r="106" spans="1:18" x14ac:dyDescent="0.15">
      <c r="A106" s="26">
        <v>99</v>
      </c>
      <c r="B106" s="25">
        <v>118041</v>
      </c>
      <c r="C106" s="25" t="s">
        <v>1067</v>
      </c>
      <c r="D106" s="25">
        <v>129.38</v>
      </c>
      <c r="E106" s="34">
        <v>7.9000000000000008E-3</v>
      </c>
      <c r="F106" s="25">
        <v>33.119999999999997</v>
      </c>
      <c r="G106" s="25">
        <v>99.49</v>
      </c>
      <c r="H106" s="43">
        <v>0.3004</v>
      </c>
      <c r="I106" s="57">
        <v>159.41999999999999</v>
      </c>
      <c r="J106" s="32">
        <v>47330</v>
      </c>
      <c r="K106" s="33">
        <v>5.7619999999999996</v>
      </c>
      <c r="L106" s="33">
        <v>6.2</v>
      </c>
      <c r="M106" s="33">
        <v>4159.0591000000004</v>
      </c>
      <c r="N106" s="34">
        <v>5.1848507023571487E-2</v>
      </c>
      <c r="O106" s="34">
        <v>-1.3335E-2</v>
      </c>
      <c r="P106" s="25">
        <v>130.6</v>
      </c>
      <c r="Q106" s="25">
        <v>125.249</v>
      </c>
      <c r="R106" s="34">
        <v>4.2722895991185554E-2</v>
      </c>
    </row>
    <row r="107" spans="1:18" x14ac:dyDescent="0.15">
      <c r="A107" s="26">
        <v>100</v>
      </c>
      <c r="B107" s="25">
        <v>123207</v>
      </c>
      <c r="C107" s="25" t="s">
        <v>1071</v>
      </c>
      <c r="D107" s="25">
        <v>119.176</v>
      </c>
      <c r="E107" s="34">
        <v>1.34E-2</v>
      </c>
      <c r="F107" s="25">
        <v>16.559999999999999</v>
      </c>
      <c r="G107" s="25">
        <v>91.49</v>
      </c>
      <c r="H107" s="43">
        <v>0.30260000000000004</v>
      </c>
      <c r="I107" s="57">
        <v>149.43600000000001</v>
      </c>
      <c r="J107" s="32">
        <v>47320</v>
      </c>
      <c r="K107" s="33">
        <v>5.734</v>
      </c>
      <c r="L107" s="33">
        <v>4</v>
      </c>
      <c r="M107" s="33">
        <v>2221.5752633000002</v>
      </c>
      <c r="N107" s="34">
        <v>4.6602824043851118E-2</v>
      </c>
      <c r="O107" s="34">
        <v>2.8499999999999997E-3</v>
      </c>
      <c r="P107" s="25">
        <v>119.9</v>
      </c>
      <c r="Q107" s="25">
        <v>117.502</v>
      </c>
      <c r="R107" s="34">
        <v>2.0408163265306211E-2</v>
      </c>
    </row>
    <row r="108" spans="1:18" x14ac:dyDescent="0.15">
      <c r="A108" s="26">
        <v>101</v>
      </c>
      <c r="B108" s="25">
        <v>118003</v>
      </c>
      <c r="C108" s="25" t="s">
        <v>692</v>
      </c>
      <c r="D108" s="25">
        <v>128.94999999999999</v>
      </c>
      <c r="E108" s="34">
        <v>1.55E-2</v>
      </c>
      <c r="F108" s="25">
        <v>30.43</v>
      </c>
      <c r="G108" s="25">
        <v>98.85</v>
      </c>
      <c r="H108" s="43">
        <v>0.30449999999999999</v>
      </c>
      <c r="I108" s="57">
        <v>159.39999999999998</v>
      </c>
      <c r="J108" s="32">
        <v>46720</v>
      </c>
      <c r="K108" s="33">
        <v>4.09</v>
      </c>
      <c r="L108" s="33">
        <v>7.9976900000000004</v>
      </c>
      <c r="M108" s="33">
        <v>2664.1902</v>
      </c>
      <c r="N108" s="34">
        <v>2.5833265869672641E-2</v>
      </c>
      <c r="O108" s="34">
        <v>-2.8565E-2</v>
      </c>
      <c r="P108" s="25">
        <v>129.505</v>
      </c>
      <c r="Q108" s="25">
        <v>125.74</v>
      </c>
      <c r="R108" s="34">
        <v>2.9942738985207575E-2</v>
      </c>
    </row>
    <row r="109" spans="1:18" x14ac:dyDescent="0.15">
      <c r="A109" s="26">
        <v>102</v>
      </c>
      <c r="B109" s="25">
        <v>123203</v>
      </c>
      <c r="C109" s="25" t="s">
        <v>1060</v>
      </c>
      <c r="D109" s="25">
        <v>123.214</v>
      </c>
      <c r="E109" s="34">
        <v>7.4000000000000003E-3</v>
      </c>
      <c r="F109" s="25">
        <v>14.75</v>
      </c>
      <c r="G109" s="25">
        <v>94.37</v>
      </c>
      <c r="H109" s="43">
        <v>0.30559999999999998</v>
      </c>
      <c r="I109" s="57">
        <v>153.774</v>
      </c>
      <c r="J109" s="32">
        <v>47302</v>
      </c>
      <c r="K109" s="33">
        <v>5.6849999999999996</v>
      </c>
      <c r="L109" s="33">
        <v>4.4850000000000003</v>
      </c>
      <c r="M109" s="33">
        <v>1034.1354843000001</v>
      </c>
      <c r="N109" s="34">
        <v>1.871349632716128E-2</v>
      </c>
      <c r="O109" s="34">
        <v>1.25E-4</v>
      </c>
      <c r="P109" s="25">
        <v>123.75</v>
      </c>
      <c r="Q109" s="25">
        <v>120.7</v>
      </c>
      <c r="R109" s="34">
        <v>2.5269262634631293E-2</v>
      </c>
    </row>
    <row r="110" spans="1:18" x14ac:dyDescent="0.15">
      <c r="A110" s="26">
        <v>103</v>
      </c>
      <c r="B110" s="25">
        <v>123206</v>
      </c>
      <c r="C110" s="25" t="s">
        <v>1074</v>
      </c>
      <c r="D110" s="25">
        <v>134.69999999999999</v>
      </c>
      <c r="E110" s="34">
        <v>1.8100000000000002E-2</v>
      </c>
      <c r="F110" s="25">
        <v>5.67</v>
      </c>
      <c r="G110" s="25">
        <v>102.82</v>
      </c>
      <c r="H110" s="43">
        <v>0.31010000000000004</v>
      </c>
      <c r="I110" s="57">
        <v>165.70999999999998</v>
      </c>
      <c r="J110" s="32">
        <v>47319</v>
      </c>
      <c r="K110" s="33">
        <v>5.7320000000000002</v>
      </c>
      <c r="L110" s="33">
        <v>2.5</v>
      </c>
      <c r="M110" s="33">
        <v>1788.957373</v>
      </c>
      <c r="N110" s="34">
        <v>5.3124198158871566E-2</v>
      </c>
      <c r="O110" s="34">
        <v>-1.8717999999999999E-2</v>
      </c>
      <c r="P110" s="25">
        <v>134.69999999999999</v>
      </c>
      <c r="Q110" s="25">
        <v>131.80000000000001</v>
      </c>
      <c r="R110" s="34">
        <v>2.2003034901365532E-2</v>
      </c>
    </row>
    <row r="111" spans="1:18" x14ac:dyDescent="0.15">
      <c r="A111" s="26">
        <v>104</v>
      </c>
      <c r="B111" s="25">
        <v>123163</v>
      </c>
      <c r="C111" s="25" t="s">
        <v>729</v>
      </c>
      <c r="D111" s="25">
        <v>117.211</v>
      </c>
      <c r="E111" s="34">
        <v>7.8000000000000005E-3</v>
      </c>
      <c r="F111" s="25">
        <v>27.08</v>
      </c>
      <c r="G111" s="25">
        <v>89.03</v>
      </c>
      <c r="H111" s="43">
        <v>0.3165</v>
      </c>
      <c r="I111" s="57">
        <v>148.86099999999999</v>
      </c>
      <c r="J111" s="32">
        <v>47040</v>
      </c>
      <c r="K111" s="33">
        <v>4.9669999999999996</v>
      </c>
      <c r="L111" s="33">
        <v>3.09992</v>
      </c>
      <c r="M111" s="33">
        <v>838.43483900000001</v>
      </c>
      <c r="N111" s="34">
        <v>2.3075464858838598E-2</v>
      </c>
      <c r="O111" s="34">
        <v>6.8989999999999998E-3</v>
      </c>
      <c r="P111" s="25">
        <v>117.499</v>
      </c>
      <c r="Q111" s="25">
        <v>115.821</v>
      </c>
      <c r="R111" s="34">
        <v>1.448787352898004E-2</v>
      </c>
    </row>
    <row r="112" spans="1:18" x14ac:dyDescent="0.15">
      <c r="A112" s="26">
        <v>105</v>
      </c>
      <c r="B112" s="25">
        <v>123085</v>
      </c>
      <c r="C112" s="25" t="s">
        <v>734</v>
      </c>
      <c r="D112" s="25">
        <v>123</v>
      </c>
      <c r="E112" s="34">
        <v>1.54E-2</v>
      </c>
      <c r="F112" s="25">
        <v>6.67</v>
      </c>
      <c r="G112" s="25">
        <v>93.4</v>
      </c>
      <c r="H112" s="43">
        <v>0.31690000000000002</v>
      </c>
      <c r="I112" s="57">
        <v>154.69</v>
      </c>
      <c r="J112" s="32">
        <v>46367</v>
      </c>
      <c r="K112" s="33">
        <v>3.1230000000000002</v>
      </c>
      <c r="L112" s="33">
        <v>5.7040420000000003</v>
      </c>
      <c r="M112" s="33">
        <v>2211.8140949999997</v>
      </c>
      <c r="N112" s="34">
        <v>3.152541375858408E-2</v>
      </c>
      <c r="O112" s="34">
        <v>-2.9317000000000003E-2</v>
      </c>
      <c r="P112" s="25">
        <v>123.67</v>
      </c>
      <c r="Q112" s="25">
        <v>120.80200000000001</v>
      </c>
      <c r="R112" s="34">
        <v>2.3741328785947209E-2</v>
      </c>
    </row>
    <row r="113" spans="1:18" x14ac:dyDescent="0.15">
      <c r="A113" s="26">
        <v>106</v>
      </c>
      <c r="B113" s="25">
        <v>123071</v>
      </c>
      <c r="C113" s="25" t="s">
        <v>683</v>
      </c>
      <c r="D113" s="25">
        <v>129.249</v>
      </c>
      <c r="E113" s="34">
        <v>1.52E-2</v>
      </c>
      <c r="F113" s="25">
        <v>7.54</v>
      </c>
      <c r="G113" s="25">
        <v>98.14</v>
      </c>
      <c r="H113" s="43">
        <v>0.317</v>
      </c>
      <c r="I113" s="57">
        <v>160.94899999999998</v>
      </c>
      <c r="J113" s="32">
        <v>46316</v>
      </c>
      <c r="K113" s="33">
        <v>2.984</v>
      </c>
      <c r="L113" s="33">
        <v>6.9405010000000003</v>
      </c>
      <c r="M113" s="33">
        <v>2015.59807</v>
      </c>
      <c r="N113" s="34">
        <v>2.2469112621990781E-2</v>
      </c>
      <c r="O113" s="34">
        <v>-2.7437E-2</v>
      </c>
      <c r="P113" s="25">
        <v>130.1</v>
      </c>
      <c r="Q113" s="25">
        <v>126.64</v>
      </c>
      <c r="R113" s="34">
        <v>2.732154137713198E-2</v>
      </c>
    </row>
    <row r="114" spans="1:18" x14ac:dyDescent="0.15">
      <c r="A114" s="26">
        <v>107</v>
      </c>
      <c r="B114" s="25">
        <v>113667</v>
      </c>
      <c r="C114" s="25" t="s">
        <v>1032</v>
      </c>
      <c r="D114" s="25">
        <v>126.08199999999999</v>
      </c>
      <c r="E114" s="34">
        <v>9.1000000000000004E-3</v>
      </c>
      <c r="F114" s="25">
        <v>10.3</v>
      </c>
      <c r="G114" s="25">
        <v>95.73</v>
      </c>
      <c r="H114" s="43">
        <v>0.31709999999999999</v>
      </c>
      <c r="I114" s="57">
        <v>157.792</v>
      </c>
      <c r="J114" s="32">
        <v>47194</v>
      </c>
      <c r="K114" s="33">
        <v>5.3890000000000002</v>
      </c>
      <c r="L114" s="33">
        <v>5.6999399999999998</v>
      </c>
      <c r="M114" s="33">
        <v>3857.8865000000001</v>
      </c>
      <c r="N114" s="34">
        <v>5.3681676805696917E-2</v>
      </c>
      <c r="O114" s="34">
        <v>-8.8229999999999992E-3</v>
      </c>
      <c r="P114" s="25">
        <v>126.932</v>
      </c>
      <c r="Q114" s="25">
        <v>123.38500000000001</v>
      </c>
      <c r="R114" s="34">
        <v>2.8747416622766114E-2</v>
      </c>
    </row>
    <row r="115" spans="1:18" x14ac:dyDescent="0.15">
      <c r="A115" s="26">
        <v>108</v>
      </c>
      <c r="B115" s="25">
        <v>123153</v>
      </c>
      <c r="C115" s="25" t="s">
        <v>718</v>
      </c>
      <c r="D115" s="25">
        <v>122.16</v>
      </c>
      <c r="E115" s="34">
        <v>1.2999999999999999E-3</v>
      </c>
      <c r="F115" s="25">
        <v>19.239999999999998</v>
      </c>
      <c r="G115" s="25">
        <v>92.72</v>
      </c>
      <c r="H115" s="43">
        <v>0.3175</v>
      </c>
      <c r="I115" s="57">
        <v>153.91</v>
      </c>
      <c r="J115" s="32">
        <v>46955</v>
      </c>
      <c r="K115" s="33">
        <v>4.734</v>
      </c>
      <c r="L115" s="33">
        <v>3.3998360000000001</v>
      </c>
      <c r="M115" s="33">
        <v>1381.6975543999999</v>
      </c>
      <c r="N115" s="34">
        <v>3.3267946670778703E-2</v>
      </c>
      <c r="O115" s="34">
        <v>-1.8779999999999999E-3</v>
      </c>
      <c r="P115" s="25">
        <v>122.816</v>
      </c>
      <c r="Q115" s="25">
        <v>121.09399999999999</v>
      </c>
      <c r="R115" s="34">
        <v>1.4220357738616352E-2</v>
      </c>
    </row>
    <row r="116" spans="1:18" x14ac:dyDescent="0.15">
      <c r="A116" s="26">
        <v>109</v>
      </c>
      <c r="B116" s="25">
        <v>113663</v>
      </c>
      <c r="C116" s="25" t="s">
        <v>728</v>
      </c>
      <c r="D116" s="25">
        <v>124.657</v>
      </c>
      <c r="E116" s="34">
        <v>2.4300000000000002E-2</v>
      </c>
      <c r="F116" s="25">
        <v>31.86</v>
      </c>
      <c r="G116" s="25">
        <v>94.35</v>
      </c>
      <c r="H116" s="43">
        <v>0.32119999999999999</v>
      </c>
      <c r="I116" s="57">
        <v>156.77699999999999</v>
      </c>
      <c r="J116" s="32">
        <v>47085</v>
      </c>
      <c r="K116" s="33">
        <v>5.09</v>
      </c>
      <c r="L116" s="33">
        <v>6.4989400000000002</v>
      </c>
      <c r="M116" s="33">
        <v>2346.7222000000002</v>
      </c>
      <c r="N116" s="34">
        <v>2.8966930903380983E-2</v>
      </c>
      <c r="O116" s="34">
        <v>-7.0930000000000003E-3</v>
      </c>
      <c r="P116" s="25">
        <v>125.48</v>
      </c>
      <c r="Q116" s="25">
        <v>121.19</v>
      </c>
      <c r="R116" s="34">
        <v>3.5398960310256675E-2</v>
      </c>
    </row>
    <row r="117" spans="1:18" x14ac:dyDescent="0.15">
      <c r="A117" s="26">
        <v>110</v>
      </c>
      <c r="B117" s="25">
        <v>111013</v>
      </c>
      <c r="C117" s="25" t="s">
        <v>1054</v>
      </c>
      <c r="D117" s="25">
        <v>129.14099999999999</v>
      </c>
      <c r="E117" s="34">
        <v>7.7000000000000002E-3</v>
      </c>
      <c r="F117" s="25">
        <v>9.0299999999999994</v>
      </c>
      <c r="G117" s="25">
        <v>97.56</v>
      </c>
      <c r="H117" s="43">
        <v>0.32369999999999999</v>
      </c>
      <c r="I117" s="57">
        <v>161.511</v>
      </c>
      <c r="J117" s="32">
        <v>47185</v>
      </c>
      <c r="K117" s="33">
        <v>5.3639999999999999</v>
      </c>
      <c r="L117" s="33">
        <v>3.68899</v>
      </c>
      <c r="M117" s="33">
        <v>9726.6414000000004</v>
      </c>
      <c r="N117" s="34">
        <v>0.20416969579304445</v>
      </c>
      <c r="O117" s="34">
        <v>-1.3051E-2</v>
      </c>
      <c r="P117" s="25">
        <v>129.68</v>
      </c>
      <c r="Q117" s="25">
        <v>127.60899999999999</v>
      </c>
      <c r="R117" s="34">
        <v>1.6229262826289777E-2</v>
      </c>
    </row>
    <row r="118" spans="1:18" x14ac:dyDescent="0.15">
      <c r="A118" s="26">
        <v>111</v>
      </c>
      <c r="B118" s="25">
        <v>123211</v>
      </c>
      <c r="C118" s="25" t="s">
        <v>1069</v>
      </c>
      <c r="D118" s="25">
        <v>121.2</v>
      </c>
      <c r="E118" s="34">
        <v>3.56E-2</v>
      </c>
      <c r="F118" s="25">
        <v>9.91</v>
      </c>
      <c r="G118" s="25">
        <v>91.52</v>
      </c>
      <c r="H118" s="43">
        <v>0.32429999999999998</v>
      </c>
      <c r="I118" s="57">
        <v>153.63</v>
      </c>
      <c r="J118" s="32">
        <v>47326</v>
      </c>
      <c r="K118" s="33">
        <v>5.7510000000000003</v>
      </c>
      <c r="L118" s="33">
        <v>6.5</v>
      </c>
      <c r="M118" s="33">
        <v>2100.4464198000001</v>
      </c>
      <c r="N118" s="34">
        <v>2.6662178469154609E-2</v>
      </c>
      <c r="O118" s="34">
        <v>-1.3159999999999999E-3</v>
      </c>
      <c r="P118" s="25">
        <v>122</v>
      </c>
      <c r="Q118" s="25">
        <v>116.89</v>
      </c>
      <c r="R118" s="34">
        <v>4.3716314483702619E-2</v>
      </c>
    </row>
    <row r="119" spans="1:18" x14ac:dyDescent="0.15">
      <c r="A119" s="26">
        <v>112</v>
      </c>
      <c r="B119" s="25">
        <v>127079</v>
      </c>
      <c r="C119" s="25" t="s">
        <v>749</v>
      </c>
      <c r="D119" s="25">
        <v>127.57</v>
      </c>
      <c r="E119" s="34">
        <v>2.0499999999999997E-2</v>
      </c>
      <c r="F119" s="25">
        <v>55.69</v>
      </c>
      <c r="G119" s="25">
        <v>96.28</v>
      </c>
      <c r="H119" s="43">
        <v>0.32500000000000001</v>
      </c>
      <c r="I119" s="57">
        <v>160.07</v>
      </c>
      <c r="J119" s="32">
        <v>47103</v>
      </c>
      <c r="K119" s="33">
        <v>5.14</v>
      </c>
      <c r="L119" s="33">
        <v>3.3996759999999999</v>
      </c>
      <c r="M119" s="33">
        <v>3841.0888930000001</v>
      </c>
      <c r="N119" s="34">
        <v>8.8566253384785187E-2</v>
      </c>
      <c r="O119" s="34">
        <v>-1.0125E-2</v>
      </c>
      <c r="P119" s="25">
        <v>127.6</v>
      </c>
      <c r="Q119" s="25">
        <v>124</v>
      </c>
      <c r="R119" s="34">
        <v>2.9032258064516082E-2</v>
      </c>
    </row>
    <row r="120" spans="1:18" x14ac:dyDescent="0.15">
      <c r="A120" s="26">
        <v>113</v>
      </c>
      <c r="B120" s="25">
        <v>123219</v>
      </c>
      <c r="C120" s="25" t="s">
        <v>1097</v>
      </c>
      <c r="D120" s="25">
        <v>125.187</v>
      </c>
      <c r="E120" s="34">
        <v>7.0999999999999995E-3</v>
      </c>
      <c r="F120" s="25">
        <v>15.32</v>
      </c>
      <c r="G120" s="25">
        <v>93.86</v>
      </c>
      <c r="H120" s="43">
        <v>0.33380000000000004</v>
      </c>
      <c r="I120" s="57">
        <v>158.56700000000001</v>
      </c>
      <c r="J120" s="32">
        <v>47341</v>
      </c>
      <c r="K120" s="33">
        <v>5.7919999999999998</v>
      </c>
      <c r="L120" s="33">
        <v>6</v>
      </c>
      <c r="M120" s="33">
        <v>1751.1882565999999</v>
      </c>
      <c r="N120" s="34">
        <v>2.3314298564014901E-2</v>
      </c>
      <c r="O120" s="34">
        <v>-9.1540000000000007E-3</v>
      </c>
      <c r="P120" s="25">
        <v>125.5</v>
      </c>
      <c r="Q120" s="25">
        <v>123.36199999999999</v>
      </c>
      <c r="R120" s="34">
        <v>1.7331106823819373E-2</v>
      </c>
    </row>
    <row r="121" spans="1:18" x14ac:dyDescent="0.15">
      <c r="A121" s="26">
        <v>114</v>
      </c>
      <c r="B121" s="25">
        <v>123087</v>
      </c>
      <c r="C121" s="25" t="s">
        <v>691</v>
      </c>
      <c r="D121" s="25">
        <v>119.48</v>
      </c>
      <c r="E121" s="34">
        <v>0</v>
      </c>
      <c r="F121" s="25">
        <v>15.57</v>
      </c>
      <c r="G121" s="25">
        <v>89.4</v>
      </c>
      <c r="H121" s="43">
        <v>0.33649999999999997</v>
      </c>
      <c r="I121" s="57">
        <v>153.13</v>
      </c>
      <c r="J121" s="32">
        <v>46371</v>
      </c>
      <c r="K121" s="33">
        <v>3.1339999999999999</v>
      </c>
      <c r="L121" s="33">
        <v>4.1891920000000002</v>
      </c>
      <c r="M121" s="33">
        <v>1083.9948451</v>
      </c>
      <c r="N121" s="34">
        <v>2.1657171591775024E-2</v>
      </c>
      <c r="O121" s="34">
        <v>1.4169999999999999E-3</v>
      </c>
      <c r="P121" s="25">
        <v>120.634</v>
      </c>
      <c r="Q121" s="25">
        <v>118.387</v>
      </c>
      <c r="R121" s="34">
        <v>1.8980124506913765E-2</v>
      </c>
    </row>
    <row r="122" spans="1:18" x14ac:dyDescent="0.15">
      <c r="A122" s="26">
        <v>115</v>
      </c>
      <c r="B122" s="25">
        <v>123221</v>
      </c>
      <c r="C122" s="25" t="s">
        <v>1093</v>
      </c>
      <c r="D122" s="25">
        <v>115.816</v>
      </c>
      <c r="E122" s="34">
        <v>1.2500000000000001E-2</v>
      </c>
      <c r="F122" s="25">
        <v>14.4</v>
      </c>
      <c r="G122" s="25">
        <v>86.6</v>
      </c>
      <c r="H122" s="43">
        <v>0.33740000000000003</v>
      </c>
      <c r="I122" s="57">
        <v>149.55600000000001</v>
      </c>
      <c r="J122" s="32">
        <v>47353</v>
      </c>
      <c r="K122" s="33">
        <v>5.8250000000000002</v>
      </c>
      <c r="L122" s="33">
        <v>5</v>
      </c>
      <c r="M122" s="33">
        <v>655.95240100000001</v>
      </c>
      <c r="N122" s="34">
        <v>1.1327491900946328E-2</v>
      </c>
      <c r="O122" s="34">
        <v>-4.1339999999999997E-3</v>
      </c>
      <c r="P122" s="25">
        <v>116.708</v>
      </c>
      <c r="Q122" s="25">
        <v>114.101</v>
      </c>
      <c r="R122" s="34">
        <v>2.2848178368287741E-2</v>
      </c>
    </row>
    <row r="123" spans="1:18" x14ac:dyDescent="0.15">
      <c r="A123" s="26">
        <v>116</v>
      </c>
      <c r="B123" s="25">
        <v>123200</v>
      </c>
      <c r="C123" s="25" t="s">
        <v>1042</v>
      </c>
      <c r="D123" s="25">
        <v>156.5</v>
      </c>
      <c r="E123" s="34">
        <v>2.6699999999999998E-2</v>
      </c>
      <c r="F123" s="25">
        <v>26.69</v>
      </c>
      <c r="G123" s="25">
        <v>116.9</v>
      </c>
      <c r="H123" s="43">
        <v>0.33880000000000005</v>
      </c>
      <c r="I123" s="57">
        <v>190.38</v>
      </c>
      <c r="J123" s="32">
        <v>47296</v>
      </c>
      <c r="K123" s="33">
        <v>5.6680000000000001</v>
      </c>
      <c r="L123" s="33">
        <v>3.9657160000000005</v>
      </c>
      <c r="M123" s="33">
        <v>139286.0082025</v>
      </c>
      <c r="N123" s="34">
        <v>2.2442515858132515</v>
      </c>
      <c r="O123" s="34">
        <v>-4.0293999999999996E-2</v>
      </c>
      <c r="P123" s="25">
        <v>164.85</v>
      </c>
      <c r="Q123" s="25">
        <v>150</v>
      </c>
      <c r="R123" s="34">
        <v>9.8999999999999963E-2</v>
      </c>
    </row>
    <row r="124" spans="1:18" x14ac:dyDescent="0.15">
      <c r="A124" s="26">
        <v>117</v>
      </c>
      <c r="B124" s="25">
        <v>123162</v>
      </c>
      <c r="C124" s="25" t="s">
        <v>465</v>
      </c>
      <c r="D124" s="25">
        <v>116.599</v>
      </c>
      <c r="E124" s="34">
        <v>1.0700000000000001E-2</v>
      </c>
      <c r="F124" s="25">
        <v>8.0500000000000007</v>
      </c>
      <c r="G124" s="25">
        <v>86.71</v>
      </c>
      <c r="H124" s="43">
        <v>0.34470000000000001</v>
      </c>
      <c r="I124" s="57">
        <v>151.06900000000002</v>
      </c>
      <c r="J124" s="32">
        <v>47040</v>
      </c>
      <c r="K124" s="33">
        <v>4.9669999999999996</v>
      </c>
      <c r="L124" s="33">
        <v>5.6258119999999998</v>
      </c>
      <c r="M124" s="33">
        <v>1543.6596890000001</v>
      </c>
      <c r="N124" s="34">
        <v>2.3532687210939773E-2</v>
      </c>
      <c r="O124" s="34">
        <v>7.9830000000000005E-3</v>
      </c>
      <c r="P124" s="25">
        <v>116.87</v>
      </c>
      <c r="Q124" s="25">
        <v>114.875</v>
      </c>
      <c r="R124" s="34">
        <v>1.7366702937976101E-2</v>
      </c>
    </row>
    <row r="125" spans="1:18" x14ac:dyDescent="0.15">
      <c r="A125" s="26">
        <v>118</v>
      </c>
      <c r="B125" s="25">
        <v>113621</v>
      </c>
      <c r="C125" s="25" t="s">
        <v>720</v>
      </c>
      <c r="D125" s="25">
        <v>143.155</v>
      </c>
      <c r="E125" s="34">
        <v>2.12E-2</v>
      </c>
      <c r="F125" s="25">
        <v>32.450000000000003</v>
      </c>
      <c r="G125" s="25">
        <v>106.32</v>
      </c>
      <c r="H125" s="43">
        <v>0.34649999999999997</v>
      </c>
      <c r="I125" s="57">
        <v>177.80500000000001</v>
      </c>
      <c r="J125" s="32">
        <v>46413</v>
      </c>
      <c r="K125" s="33">
        <v>3.2490000000000001</v>
      </c>
      <c r="L125" s="33">
        <v>5.3653551363999998</v>
      </c>
      <c r="M125" s="33">
        <v>9277.0957999999991</v>
      </c>
      <c r="N125" s="34">
        <v>0.12078334324436607</v>
      </c>
      <c r="O125" s="34">
        <v>-6.8162E-2</v>
      </c>
      <c r="P125" s="25">
        <v>144.56</v>
      </c>
      <c r="Q125" s="25">
        <v>139.43700000000001</v>
      </c>
      <c r="R125" s="34">
        <v>3.6740606869051902E-2</v>
      </c>
    </row>
    <row r="126" spans="1:18" x14ac:dyDescent="0.15">
      <c r="A126" s="26">
        <v>119</v>
      </c>
      <c r="B126" s="25">
        <v>113662</v>
      </c>
      <c r="C126" s="25" t="s">
        <v>1026</v>
      </c>
      <c r="D126" s="25">
        <v>123.876</v>
      </c>
      <c r="E126" s="34">
        <v>-3.4000000000000002E-3</v>
      </c>
      <c r="F126" s="25">
        <v>12.61</v>
      </c>
      <c r="G126" s="25">
        <v>91.99</v>
      </c>
      <c r="H126" s="43">
        <v>0.34659999999999996</v>
      </c>
      <c r="I126" s="57">
        <v>158.536</v>
      </c>
      <c r="J126" s="32">
        <v>47082</v>
      </c>
      <c r="K126" s="33">
        <v>5.0819999999999999</v>
      </c>
      <c r="L126" s="33">
        <v>4.9999700000000002</v>
      </c>
      <c r="M126" s="33">
        <v>2422.0399000000002</v>
      </c>
      <c r="N126" s="34">
        <v>3.9104498568352124E-2</v>
      </c>
      <c r="O126" s="34">
        <v>-9.6779999999999991E-3</v>
      </c>
      <c r="P126" s="25">
        <v>125</v>
      </c>
      <c r="Q126" s="25">
        <v>123.001</v>
      </c>
      <c r="R126" s="34">
        <v>1.6251900391053693E-2</v>
      </c>
    </row>
    <row r="127" spans="1:18" x14ac:dyDescent="0.15">
      <c r="A127" s="26">
        <v>120</v>
      </c>
      <c r="B127" s="25">
        <v>113660</v>
      </c>
      <c r="C127" s="25" t="s">
        <v>731</v>
      </c>
      <c r="D127" s="25">
        <v>131.60900000000001</v>
      </c>
      <c r="E127" s="34">
        <v>2.3099999999999999E-2</v>
      </c>
      <c r="F127" s="25">
        <v>37.65</v>
      </c>
      <c r="G127" s="25">
        <v>97.61</v>
      </c>
      <c r="H127" s="43">
        <v>0.3483</v>
      </c>
      <c r="I127" s="57">
        <v>166.43900000000002</v>
      </c>
      <c r="J127" s="32">
        <v>47074</v>
      </c>
      <c r="K127" s="33">
        <v>5.0599999999999996</v>
      </c>
      <c r="L127" s="33">
        <v>3.9769999999999999</v>
      </c>
      <c r="M127" s="33">
        <v>2683.6280999999999</v>
      </c>
      <c r="N127" s="34">
        <v>5.1272105292237496E-2</v>
      </c>
      <c r="O127" s="34">
        <v>-2.2143000000000003E-2</v>
      </c>
      <c r="P127" s="25">
        <v>132.798</v>
      </c>
      <c r="Q127" s="25">
        <v>127.252</v>
      </c>
      <c r="R127" s="34">
        <v>4.3582812057963778E-2</v>
      </c>
    </row>
    <row r="128" spans="1:18" x14ac:dyDescent="0.15">
      <c r="A128" s="26">
        <v>121</v>
      </c>
      <c r="B128" s="25">
        <v>118012</v>
      </c>
      <c r="C128" s="25" t="s">
        <v>689</v>
      </c>
      <c r="D128" s="25">
        <v>127.056</v>
      </c>
      <c r="E128" s="34">
        <v>3.1200000000000002E-2</v>
      </c>
      <c r="F128" s="25">
        <v>25.36</v>
      </c>
      <c r="G128" s="25">
        <v>94.12</v>
      </c>
      <c r="H128" s="43">
        <v>0.34990000000000004</v>
      </c>
      <c r="I128" s="57">
        <v>162.04599999999999</v>
      </c>
      <c r="J128" s="32">
        <v>46939</v>
      </c>
      <c r="K128" s="33">
        <v>4.6900000000000004</v>
      </c>
      <c r="L128" s="33">
        <v>4.9989299999999997</v>
      </c>
      <c r="M128" s="33">
        <v>2800.0093000000002</v>
      </c>
      <c r="N128" s="34">
        <v>4.4084634023530946E-2</v>
      </c>
      <c r="O128" s="34">
        <v>-1.0396000000000001E-2</v>
      </c>
      <c r="P128" s="25">
        <v>127.492</v>
      </c>
      <c r="Q128" s="25">
        <v>123.05200000000001</v>
      </c>
      <c r="R128" s="34">
        <v>3.6082306667100064E-2</v>
      </c>
    </row>
    <row r="129" spans="1:18" x14ac:dyDescent="0.15">
      <c r="A129" s="26">
        <v>122</v>
      </c>
      <c r="B129" s="25">
        <v>123143</v>
      </c>
      <c r="C129" s="25" t="s">
        <v>1019</v>
      </c>
      <c r="D129" s="25">
        <v>120.69499999999999</v>
      </c>
      <c r="E129" s="34">
        <v>2.3999999999999998E-3</v>
      </c>
      <c r="F129" s="25">
        <v>23.27</v>
      </c>
      <c r="G129" s="25">
        <v>89.34</v>
      </c>
      <c r="H129" s="43">
        <v>0.35100000000000003</v>
      </c>
      <c r="I129" s="57">
        <v>155.79499999999999</v>
      </c>
      <c r="J129" s="32">
        <v>46843</v>
      </c>
      <c r="K129" s="33">
        <v>4.4269999999999996</v>
      </c>
      <c r="L129" s="33">
        <v>3.2973519999999996</v>
      </c>
      <c r="M129" s="33">
        <v>1203.0061097999999</v>
      </c>
      <c r="N129" s="34">
        <v>3.0228266499089957E-2</v>
      </c>
      <c r="O129" s="34">
        <v>-6.9399999999999991E-3</v>
      </c>
      <c r="P129" s="25">
        <v>121.18</v>
      </c>
      <c r="Q129" s="25">
        <v>119.6</v>
      </c>
      <c r="R129" s="34">
        <v>1.3210702341137229E-2</v>
      </c>
    </row>
    <row r="130" spans="1:18" x14ac:dyDescent="0.15">
      <c r="A130" s="26">
        <v>123</v>
      </c>
      <c r="B130" s="25">
        <v>118029</v>
      </c>
      <c r="C130" s="25" t="s">
        <v>1102</v>
      </c>
      <c r="D130" s="25">
        <v>113.00700000000001</v>
      </c>
      <c r="E130" s="34">
        <v>1.8100000000000002E-2</v>
      </c>
      <c r="F130" s="25">
        <v>20.010000000000002</v>
      </c>
      <c r="G130" s="25">
        <v>83.56</v>
      </c>
      <c r="H130" s="43">
        <v>0.35240000000000005</v>
      </c>
      <c r="I130" s="57">
        <v>148.24700000000001</v>
      </c>
      <c r="J130" s="32">
        <v>47102</v>
      </c>
      <c r="K130" s="33">
        <v>5.1369999999999996</v>
      </c>
      <c r="L130" s="33">
        <v>4.4999799999999999</v>
      </c>
      <c r="M130" s="33">
        <v>3282.4591</v>
      </c>
      <c r="N130" s="34">
        <v>6.454808972053748E-2</v>
      </c>
      <c r="O130" s="34">
        <v>2.5979999999999996E-3</v>
      </c>
      <c r="P130" s="25">
        <v>113.46899999999999</v>
      </c>
      <c r="Q130" s="25">
        <v>110.5</v>
      </c>
      <c r="R130" s="34">
        <v>2.6868778280542932E-2</v>
      </c>
    </row>
    <row r="131" spans="1:18" x14ac:dyDescent="0.15">
      <c r="A131" s="26">
        <v>124</v>
      </c>
      <c r="B131" s="25">
        <v>113676</v>
      </c>
      <c r="C131" s="25" t="s">
        <v>1095</v>
      </c>
      <c r="D131" s="25">
        <v>119.001</v>
      </c>
      <c r="E131" s="34">
        <v>1.5600000000000001E-2</v>
      </c>
      <c r="F131" s="25">
        <v>15.74</v>
      </c>
      <c r="G131" s="25">
        <v>87.8</v>
      </c>
      <c r="H131" s="43">
        <v>0.35539999999999999</v>
      </c>
      <c r="I131" s="57">
        <v>154.541</v>
      </c>
      <c r="J131" s="32">
        <v>47348</v>
      </c>
      <c r="K131" s="33">
        <v>5.8109999999999999</v>
      </c>
      <c r="L131" s="33">
        <v>5.76</v>
      </c>
      <c r="M131" s="33">
        <v>2874.0720999999999</v>
      </c>
      <c r="N131" s="34">
        <v>4.1929971235068982E-2</v>
      </c>
      <c r="O131" s="34">
        <v>1.0219999999999999E-3</v>
      </c>
      <c r="P131" s="25">
        <v>119.587</v>
      </c>
      <c r="Q131" s="25">
        <v>116.901</v>
      </c>
      <c r="R131" s="34">
        <v>2.2976706786084013E-2</v>
      </c>
    </row>
    <row r="132" spans="1:18" x14ac:dyDescent="0.15">
      <c r="A132" s="26">
        <v>125</v>
      </c>
      <c r="B132" s="25">
        <v>128070</v>
      </c>
      <c r="C132" s="25" t="s">
        <v>752</v>
      </c>
      <c r="D132" s="25">
        <v>139.1</v>
      </c>
      <c r="E132" s="34">
        <v>6.8000000000000005E-3</v>
      </c>
      <c r="F132" s="25">
        <v>9.34</v>
      </c>
      <c r="G132" s="25">
        <v>102.57</v>
      </c>
      <c r="H132" s="43">
        <v>0.35609999999999997</v>
      </c>
      <c r="I132" s="57">
        <v>174.70999999999998</v>
      </c>
      <c r="J132" s="32">
        <v>45840</v>
      </c>
      <c r="K132" s="33">
        <v>1.679</v>
      </c>
      <c r="L132" s="33">
        <v>2.2913480000000002</v>
      </c>
      <c r="M132" s="33">
        <v>3099.2625717000001</v>
      </c>
      <c r="N132" s="34">
        <v>9.723893386892915E-2</v>
      </c>
      <c r="O132" s="34">
        <v>-0.11260999999999999</v>
      </c>
      <c r="P132" s="25">
        <v>139.81200000000001</v>
      </c>
      <c r="Q132" s="25">
        <v>137.36099999999999</v>
      </c>
      <c r="R132" s="34">
        <v>1.7843492694433079E-2</v>
      </c>
    </row>
    <row r="133" spans="1:18" x14ac:dyDescent="0.15">
      <c r="A133" s="26">
        <v>126</v>
      </c>
      <c r="B133" s="25">
        <v>123078</v>
      </c>
      <c r="C133" s="25" t="s">
        <v>1083</v>
      </c>
      <c r="D133" s="25">
        <v>132.499</v>
      </c>
      <c r="E133" s="34">
        <v>3.3099999999999997E-2</v>
      </c>
      <c r="F133" s="25">
        <v>15.41</v>
      </c>
      <c r="G133" s="25">
        <v>97.53</v>
      </c>
      <c r="H133" s="43">
        <v>0.35850000000000004</v>
      </c>
      <c r="I133" s="57">
        <v>168.34899999999999</v>
      </c>
      <c r="J133" s="32">
        <v>46353</v>
      </c>
      <c r="K133" s="33">
        <v>3.085</v>
      </c>
      <c r="L133" s="33">
        <v>6.1822929999999996</v>
      </c>
      <c r="M133" s="33">
        <v>6198.7763451999999</v>
      </c>
      <c r="N133" s="34">
        <v>7.56734932866749E-2</v>
      </c>
      <c r="O133" s="34">
        <v>-4.7702999999999995E-2</v>
      </c>
      <c r="P133" s="25">
        <v>132.86000000000001</v>
      </c>
      <c r="Q133" s="25">
        <v>127.55500000000001</v>
      </c>
      <c r="R133" s="34">
        <v>4.1589902395045328E-2</v>
      </c>
    </row>
    <row r="134" spans="1:18" x14ac:dyDescent="0.15">
      <c r="A134" s="26">
        <v>127</v>
      </c>
      <c r="B134" s="25">
        <v>123173</v>
      </c>
      <c r="C134" s="25" t="s">
        <v>748</v>
      </c>
      <c r="D134" s="25">
        <v>133.44999999999999</v>
      </c>
      <c r="E134" s="34">
        <v>2.8000000000000004E-3</v>
      </c>
      <c r="F134" s="25">
        <v>13.81</v>
      </c>
      <c r="G134" s="25">
        <v>98.19</v>
      </c>
      <c r="H134" s="43">
        <v>0.35909999999999997</v>
      </c>
      <c r="I134" s="57">
        <v>169.35999999999999</v>
      </c>
      <c r="J134" s="32">
        <v>47117</v>
      </c>
      <c r="K134" s="33">
        <v>5.1779999999999999</v>
      </c>
      <c r="L134" s="33">
        <v>2.4227080000000001</v>
      </c>
      <c r="M134" s="33">
        <v>1786.3279640000001</v>
      </c>
      <c r="N134" s="34">
        <v>5.5251178438338225E-2</v>
      </c>
      <c r="O134" s="34">
        <v>-1.8350999999999999E-2</v>
      </c>
      <c r="P134" s="25">
        <v>133.69999999999999</v>
      </c>
      <c r="Q134" s="25">
        <v>132.24600000000001</v>
      </c>
      <c r="R134" s="34">
        <v>1.0994661464240727E-2</v>
      </c>
    </row>
    <row r="135" spans="1:18" x14ac:dyDescent="0.15">
      <c r="A135" s="26">
        <v>128</v>
      </c>
      <c r="B135" s="25">
        <v>123209</v>
      </c>
      <c r="C135" s="25" t="s">
        <v>1068</v>
      </c>
      <c r="D135" s="25">
        <v>134.221</v>
      </c>
      <c r="E135" s="34">
        <v>5.1000000000000004E-3</v>
      </c>
      <c r="F135" s="25">
        <v>18.27</v>
      </c>
      <c r="G135" s="25">
        <v>98.69</v>
      </c>
      <c r="H135" s="43">
        <v>0.36</v>
      </c>
      <c r="I135" s="57">
        <v>170.221</v>
      </c>
      <c r="J135" s="32">
        <v>47325</v>
      </c>
      <c r="K135" s="33">
        <v>5.7480000000000002</v>
      </c>
      <c r="L135" s="33">
        <v>2.1850000000000001</v>
      </c>
      <c r="M135" s="33">
        <v>5289.6222514000001</v>
      </c>
      <c r="N135" s="34">
        <v>0.18036519985132618</v>
      </c>
      <c r="O135" s="34">
        <v>-2.1360000000000001E-2</v>
      </c>
      <c r="P135" s="25">
        <v>135.47999999999999</v>
      </c>
      <c r="Q135" s="25">
        <v>133.30000000000001</v>
      </c>
      <c r="R135" s="34">
        <v>1.6354088522130369E-2</v>
      </c>
    </row>
    <row r="136" spans="1:18" x14ac:dyDescent="0.15">
      <c r="A136" s="26">
        <v>129</v>
      </c>
      <c r="B136" s="25">
        <v>113672</v>
      </c>
      <c r="C136" s="25" t="s">
        <v>1076</v>
      </c>
      <c r="D136" s="25">
        <v>138.167</v>
      </c>
      <c r="E136" s="34">
        <v>1.55E-2</v>
      </c>
      <c r="F136" s="25">
        <v>12.25</v>
      </c>
      <c r="G136" s="25">
        <v>101.55</v>
      </c>
      <c r="H136" s="43">
        <v>0.36060000000000003</v>
      </c>
      <c r="I136" s="57">
        <v>174.227</v>
      </c>
      <c r="J136" s="32">
        <v>47317</v>
      </c>
      <c r="K136" s="33">
        <v>5.726</v>
      </c>
      <c r="L136" s="33">
        <v>6.4</v>
      </c>
      <c r="M136" s="33">
        <v>7850.1007</v>
      </c>
      <c r="N136" s="34">
        <v>8.8775050075271228E-2</v>
      </c>
      <c r="O136" s="34">
        <v>-3.4911999999999999E-2</v>
      </c>
      <c r="P136" s="25">
        <v>138.6</v>
      </c>
      <c r="Q136" s="25">
        <v>135.42599999999999</v>
      </c>
      <c r="R136" s="34">
        <v>2.343715387001024E-2</v>
      </c>
    </row>
    <row r="137" spans="1:18" x14ac:dyDescent="0.15">
      <c r="A137" s="26">
        <v>130</v>
      </c>
      <c r="B137" s="25">
        <v>123172</v>
      </c>
      <c r="C137" s="25" t="s">
        <v>1028</v>
      </c>
      <c r="D137" s="25">
        <v>118.60299999999999</v>
      </c>
      <c r="E137" s="34">
        <v>5.1000000000000004E-3</v>
      </c>
      <c r="F137" s="25">
        <v>21.16</v>
      </c>
      <c r="G137" s="25">
        <v>87.15</v>
      </c>
      <c r="H137" s="43">
        <v>0.36090000000000005</v>
      </c>
      <c r="I137" s="57">
        <v>154.69299999999998</v>
      </c>
      <c r="J137" s="32">
        <v>47102</v>
      </c>
      <c r="K137" s="33">
        <v>5.1369999999999996</v>
      </c>
      <c r="L137" s="33">
        <v>7.9999409999999997</v>
      </c>
      <c r="M137" s="33">
        <v>2209.5586493999999</v>
      </c>
      <c r="N137" s="34">
        <v>2.328751111918775E-2</v>
      </c>
      <c r="O137" s="34">
        <v>-5.0700000000000007E-4</v>
      </c>
      <c r="P137" s="25">
        <v>119.85299999999999</v>
      </c>
      <c r="Q137" s="25">
        <v>117.149</v>
      </c>
      <c r="R137" s="34">
        <v>2.3081716446576528E-2</v>
      </c>
    </row>
    <row r="138" spans="1:18" x14ac:dyDescent="0.15">
      <c r="A138" s="26">
        <v>131</v>
      </c>
      <c r="B138" s="25">
        <v>128120</v>
      </c>
      <c r="C138" s="25" t="s">
        <v>711</v>
      </c>
      <c r="D138" s="25">
        <v>130.25</v>
      </c>
      <c r="E138" s="34">
        <v>1.2E-2</v>
      </c>
      <c r="F138" s="25">
        <v>17.440000000000001</v>
      </c>
      <c r="G138" s="25">
        <v>95.47</v>
      </c>
      <c r="H138" s="43">
        <v>0.36430000000000001</v>
      </c>
      <c r="I138" s="57">
        <v>166.68</v>
      </c>
      <c r="J138" s="32">
        <v>46220</v>
      </c>
      <c r="K138" s="33">
        <v>2.7210000000000001</v>
      </c>
      <c r="L138" s="33">
        <v>2.5965020000000001</v>
      </c>
      <c r="M138" s="33">
        <v>7292.8842560000003</v>
      </c>
      <c r="N138" s="34">
        <v>0.21564178971267992</v>
      </c>
      <c r="O138" s="34">
        <v>-4.2389999999999997E-2</v>
      </c>
      <c r="P138" s="25">
        <v>130.46</v>
      </c>
      <c r="Q138" s="25">
        <v>128.352</v>
      </c>
      <c r="R138" s="34">
        <v>1.6423585140862659E-2</v>
      </c>
    </row>
    <row r="139" spans="1:18" x14ac:dyDescent="0.15">
      <c r="A139" s="26">
        <v>132</v>
      </c>
      <c r="B139" s="25">
        <v>111016</v>
      </c>
      <c r="C139" s="25" t="s">
        <v>1070</v>
      </c>
      <c r="D139" s="25">
        <v>141.005</v>
      </c>
      <c r="E139" s="34">
        <v>4.8999999999999998E-3</v>
      </c>
      <c r="F139" s="25">
        <v>11.57</v>
      </c>
      <c r="G139" s="25">
        <v>103.28</v>
      </c>
      <c r="H139" s="43">
        <v>0.36530000000000001</v>
      </c>
      <c r="I139" s="57">
        <v>177.535</v>
      </c>
      <c r="J139" s="32">
        <v>47324</v>
      </c>
      <c r="K139" s="33">
        <v>5.7450000000000001</v>
      </c>
      <c r="L139" s="33">
        <v>5.77</v>
      </c>
      <c r="M139" s="33">
        <v>6611.3163000000004</v>
      </c>
      <c r="N139" s="34">
        <v>8.1260148044702885E-2</v>
      </c>
      <c r="O139" s="34">
        <v>-2.8202999999999999E-2</v>
      </c>
      <c r="P139" s="25">
        <v>141.5</v>
      </c>
      <c r="Q139" s="25">
        <v>139.5</v>
      </c>
      <c r="R139" s="34">
        <v>1.4336917562724014E-2</v>
      </c>
    </row>
    <row r="140" spans="1:18" x14ac:dyDescent="0.15">
      <c r="A140" s="26">
        <v>133</v>
      </c>
      <c r="B140" s="25">
        <v>118039</v>
      </c>
      <c r="C140" s="25" t="s">
        <v>1075</v>
      </c>
      <c r="D140" s="25">
        <v>115.986</v>
      </c>
      <c r="E140" s="34">
        <v>1.1899999999999999E-2</v>
      </c>
      <c r="F140" s="25">
        <v>10.119999999999999</v>
      </c>
      <c r="G140" s="25">
        <v>84.88</v>
      </c>
      <c r="H140" s="43">
        <v>0.36649999999999999</v>
      </c>
      <c r="I140" s="57">
        <v>152.636</v>
      </c>
      <c r="J140" s="32">
        <v>47319</v>
      </c>
      <c r="K140" s="33">
        <v>5.7320000000000002</v>
      </c>
      <c r="L140" s="33">
        <v>4.10806</v>
      </c>
      <c r="M140" s="33">
        <v>1515.1902</v>
      </c>
      <c r="N140" s="34">
        <v>3.1799830380874305E-2</v>
      </c>
      <c r="O140" s="34">
        <v>4.5770000000000003E-3</v>
      </c>
      <c r="P140" s="25">
        <v>116.5</v>
      </c>
      <c r="Q140" s="25">
        <v>114.089</v>
      </c>
      <c r="R140" s="34">
        <v>2.1132624529972228E-2</v>
      </c>
    </row>
    <row r="141" spans="1:18" x14ac:dyDescent="0.15">
      <c r="A141" s="26">
        <v>134</v>
      </c>
      <c r="B141" s="25">
        <v>118009</v>
      </c>
      <c r="C141" s="25" t="s">
        <v>733</v>
      </c>
      <c r="D141" s="25">
        <v>127.4</v>
      </c>
      <c r="E141" s="34">
        <v>3.4999999999999996E-3</v>
      </c>
      <c r="F141" s="25">
        <v>92.65</v>
      </c>
      <c r="G141" s="25">
        <v>92.6</v>
      </c>
      <c r="H141" s="43">
        <v>0.37579999999999997</v>
      </c>
      <c r="I141" s="57">
        <v>164.98000000000002</v>
      </c>
      <c r="J141" s="32">
        <v>46928</v>
      </c>
      <c r="K141" s="33">
        <v>4.66</v>
      </c>
      <c r="L141" s="33">
        <v>3.99987</v>
      </c>
      <c r="M141" s="33">
        <v>990.67250000000001</v>
      </c>
      <c r="N141" s="34">
        <v>1.9440830021638184E-2</v>
      </c>
      <c r="O141" s="34">
        <v>-1.5173000000000001E-2</v>
      </c>
      <c r="P141" s="25">
        <v>128.66</v>
      </c>
      <c r="Q141" s="25">
        <v>125.501</v>
      </c>
      <c r="R141" s="34">
        <v>2.5171114174388984E-2</v>
      </c>
    </row>
    <row r="142" spans="1:18" x14ac:dyDescent="0.15">
      <c r="A142" s="26">
        <v>135</v>
      </c>
      <c r="B142" s="25">
        <v>118036</v>
      </c>
      <c r="C142" s="25" t="s">
        <v>1058</v>
      </c>
      <c r="D142" s="25">
        <v>126.999</v>
      </c>
      <c r="E142" s="34">
        <v>1.7500000000000002E-2</v>
      </c>
      <c r="F142" s="25">
        <v>43.72</v>
      </c>
      <c r="G142" s="25">
        <v>92.18</v>
      </c>
      <c r="H142" s="43">
        <v>0.37770000000000004</v>
      </c>
      <c r="I142" s="57">
        <v>164.76900000000001</v>
      </c>
      <c r="J142" s="32">
        <v>47297</v>
      </c>
      <c r="K142" s="33">
        <v>5.6710000000000003</v>
      </c>
      <c r="L142" s="33">
        <v>3.8</v>
      </c>
      <c r="M142" s="33">
        <v>2066.5032999999999</v>
      </c>
      <c r="N142" s="34">
        <v>4.2820546452707255E-2</v>
      </c>
      <c r="O142" s="34">
        <v>-9.951999999999999E-3</v>
      </c>
      <c r="P142" s="25">
        <v>127.949</v>
      </c>
      <c r="Q142" s="25">
        <v>123.58199999999999</v>
      </c>
      <c r="R142" s="34">
        <v>3.5336861355213578E-2</v>
      </c>
    </row>
    <row r="143" spans="1:18" x14ac:dyDescent="0.15">
      <c r="A143" s="26">
        <v>136</v>
      </c>
      <c r="B143" s="25">
        <v>123100</v>
      </c>
      <c r="C143" s="25" t="s">
        <v>1111</v>
      </c>
      <c r="D143" s="25">
        <v>116.75</v>
      </c>
      <c r="E143" s="34">
        <v>1.8799999999999997E-2</v>
      </c>
      <c r="F143" s="25">
        <v>11.54</v>
      </c>
      <c r="G143" s="25">
        <v>84.58</v>
      </c>
      <c r="H143" s="43">
        <v>0.38030000000000003</v>
      </c>
      <c r="I143" s="57">
        <v>154.78</v>
      </c>
      <c r="J143" s="32">
        <v>46427</v>
      </c>
      <c r="K143" s="33">
        <v>3.2879999999999998</v>
      </c>
      <c r="L143" s="33">
        <v>3.7971200000000001</v>
      </c>
      <c r="M143" s="33">
        <v>1996.3102423999999</v>
      </c>
      <c r="N143" s="34">
        <v>4.5031542499380114E-2</v>
      </c>
      <c r="O143" s="34">
        <v>-6.6500000000000001E-4</v>
      </c>
      <c r="P143" s="25">
        <v>116.879</v>
      </c>
      <c r="Q143" s="25">
        <v>114.09399999999999</v>
      </c>
      <c r="R143" s="34">
        <v>2.4409697267165766E-2</v>
      </c>
    </row>
    <row r="144" spans="1:18" x14ac:dyDescent="0.15">
      <c r="A144" s="26">
        <v>137</v>
      </c>
      <c r="B144" s="25">
        <v>113671</v>
      </c>
      <c r="C144" s="25" t="s">
        <v>1062</v>
      </c>
      <c r="D144" s="25">
        <v>125.88</v>
      </c>
      <c r="E144" s="34">
        <v>6.9999999999999993E-3</v>
      </c>
      <c r="F144" s="25">
        <v>8.5500000000000007</v>
      </c>
      <c r="G144" s="25">
        <v>91.11</v>
      </c>
      <c r="H144" s="43">
        <v>0.38159999999999994</v>
      </c>
      <c r="I144" s="57">
        <v>164.04</v>
      </c>
      <c r="J144" s="32">
        <v>47309</v>
      </c>
      <c r="K144" s="33">
        <v>5.7039999999999997</v>
      </c>
      <c r="L144" s="33">
        <v>3.1</v>
      </c>
      <c r="M144" s="33">
        <v>1357.3839</v>
      </c>
      <c r="N144" s="34">
        <v>3.4784379900980968E-2</v>
      </c>
      <c r="O144" s="34">
        <v>-1.583E-2</v>
      </c>
      <c r="P144" s="25">
        <v>126.4</v>
      </c>
      <c r="Q144" s="25">
        <v>123.639</v>
      </c>
      <c r="R144" s="34">
        <v>2.2331141468307007E-2</v>
      </c>
    </row>
    <row r="145" spans="1:18" x14ac:dyDescent="0.15">
      <c r="A145" s="26">
        <v>138</v>
      </c>
      <c r="B145" s="25">
        <v>118017</v>
      </c>
      <c r="C145" s="25" t="s">
        <v>1080</v>
      </c>
      <c r="D145" s="25">
        <v>127.369</v>
      </c>
      <c r="E145" s="34">
        <v>0.02</v>
      </c>
      <c r="F145" s="25">
        <v>26.68</v>
      </c>
      <c r="G145" s="25">
        <v>91.87</v>
      </c>
      <c r="H145" s="43">
        <v>0.38640000000000002</v>
      </c>
      <c r="I145" s="57">
        <v>166.00900000000001</v>
      </c>
      <c r="J145" s="32">
        <v>46973</v>
      </c>
      <c r="K145" s="33">
        <v>4.7839999999999998</v>
      </c>
      <c r="L145" s="33">
        <v>3.59998</v>
      </c>
      <c r="M145" s="33">
        <v>1331.7745</v>
      </c>
      <c r="N145" s="34">
        <v>2.9044698186379007E-2</v>
      </c>
      <c r="O145" s="34">
        <v>-1.1214E-2</v>
      </c>
      <c r="P145" s="25">
        <v>128</v>
      </c>
      <c r="Q145" s="25">
        <v>124.5</v>
      </c>
      <c r="R145" s="34">
        <v>2.8112449799196786E-2</v>
      </c>
    </row>
    <row r="146" spans="1:18" x14ac:dyDescent="0.15">
      <c r="A146" s="26">
        <v>139</v>
      </c>
      <c r="B146" s="25">
        <v>127059</v>
      </c>
      <c r="C146" s="25" t="s">
        <v>727</v>
      </c>
      <c r="D146" s="25">
        <v>112.81100000000001</v>
      </c>
      <c r="E146" s="34">
        <v>1.0500000000000001E-2</v>
      </c>
      <c r="F146" s="25">
        <v>8.6300000000000008</v>
      </c>
      <c r="G146" s="25">
        <v>81.34</v>
      </c>
      <c r="H146" s="43">
        <v>0.38689999999999997</v>
      </c>
      <c r="I146" s="57">
        <v>151.501</v>
      </c>
      <c r="J146" s="32">
        <v>46851</v>
      </c>
      <c r="K146" s="33">
        <v>4.4489999999999998</v>
      </c>
      <c r="L146" s="33">
        <v>3.7919640000000001</v>
      </c>
      <c r="M146" s="33">
        <v>1423.8753176999999</v>
      </c>
      <c r="N146" s="34">
        <v>3.3285593662182138E-2</v>
      </c>
      <c r="O146" s="34">
        <v>1.4451E-2</v>
      </c>
      <c r="P146" s="25">
        <v>113</v>
      </c>
      <c r="Q146" s="25">
        <v>111.601</v>
      </c>
      <c r="R146" s="34">
        <v>1.2535729966577369E-2</v>
      </c>
    </row>
    <row r="147" spans="1:18" x14ac:dyDescent="0.15">
      <c r="A147" s="26">
        <v>140</v>
      </c>
      <c r="B147" s="25">
        <v>113651</v>
      </c>
      <c r="C147" s="25" t="s">
        <v>690</v>
      </c>
      <c r="D147" s="25">
        <v>115.801</v>
      </c>
      <c r="E147" s="34">
        <v>1.2199999999999999E-2</v>
      </c>
      <c r="F147" s="25">
        <v>16.38</v>
      </c>
      <c r="G147" s="25">
        <v>83.46</v>
      </c>
      <c r="H147" s="43">
        <v>0.38750000000000001</v>
      </c>
      <c r="I147" s="57">
        <v>154.55099999999999</v>
      </c>
      <c r="J147" s="32">
        <v>46954</v>
      </c>
      <c r="K147" s="33">
        <v>4.7320000000000002</v>
      </c>
      <c r="L147" s="33">
        <v>6.0995100000000004</v>
      </c>
      <c r="M147" s="33">
        <v>1187.4495999999999</v>
      </c>
      <c r="N147" s="34">
        <v>1.6811556639611831E-2</v>
      </c>
      <c r="O147" s="34">
        <v>1.8490000000000002E-3</v>
      </c>
      <c r="P147" s="25">
        <v>116.178</v>
      </c>
      <c r="Q147" s="25">
        <v>114.199</v>
      </c>
      <c r="R147" s="34">
        <v>1.7329398681249393E-2</v>
      </c>
    </row>
    <row r="148" spans="1:18" x14ac:dyDescent="0.15">
      <c r="A148" s="26">
        <v>141</v>
      </c>
      <c r="B148" s="25">
        <v>123197</v>
      </c>
      <c r="C148" s="25" t="s">
        <v>1037</v>
      </c>
      <c r="D148" s="25">
        <v>123</v>
      </c>
      <c r="E148" s="34">
        <v>1.9400000000000001E-2</v>
      </c>
      <c r="F148" s="25">
        <v>21.43</v>
      </c>
      <c r="G148" s="25">
        <v>88.43</v>
      </c>
      <c r="H148" s="43">
        <v>0.39090000000000003</v>
      </c>
      <c r="I148" s="57">
        <v>162.09</v>
      </c>
      <c r="J148" s="32">
        <v>47246</v>
      </c>
      <c r="K148" s="33">
        <v>5.532</v>
      </c>
      <c r="L148" s="33">
        <v>4</v>
      </c>
      <c r="M148" s="33">
        <v>1919.0765414</v>
      </c>
      <c r="N148" s="34">
        <v>3.9005620760162597E-2</v>
      </c>
      <c r="O148" s="34">
        <v>-2.4129999999999998E-3</v>
      </c>
      <c r="P148" s="25">
        <v>123.354</v>
      </c>
      <c r="Q148" s="25">
        <v>119.767</v>
      </c>
      <c r="R148" s="34">
        <v>2.9949819232342828E-2</v>
      </c>
    </row>
    <row r="149" spans="1:18" x14ac:dyDescent="0.15">
      <c r="A149" s="26">
        <v>142</v>
      </c>
      <c r="B149" s="25">
        <v>127071</v>
      </c>
      <c r="C149" s="25" t="s">
        <v>771</v>
      </c>
      <c r="D149" s="25">
        <v>121.89</v>
      </c>
      <c r="E149" s="34">
        <v>6.6E-3</v>
      </c>
      <c r="F149" s="25">
        <v>53.02</v>
      </c>
      <c r="G149" s="25">
        <v>87.14</v>
      </c>
      <c r="H149" s="43">
        <v>0.39880000000000004</v>
      </c>
      <c r="I149" s="57">
        <v>161.77000000000001</v>
      </c>
      <c r="J149" s="32">
        <v>46987</v>
      </c>
      <c r="K149" s="33">
        <v>4.8220000000000001</v>
      </c>
      <c r="L149" s="33">
        <v>4.9495209999999998</v>
      </c>
      <c r="M149" s="33">
        <v>3725.1340776000002</v>
      </c>
      <c r="N149" s="34">
        <v>6.174626045599662E-2</v>
      </c>
      <c r="O149" s="34">
        <v>-1.7615000000000002E-2</v>
      </c>
      <c r="P149" s="25">
        <v>121.904</v>
      </c>
      <c r="Q149" s="25">
        <v>119.2</v>
      </c>
      <c r="R149" s="34">
        <v>2.2684563758389207E-2</v>
      </c>
    </row>
    <row r="150" spans="1:18" x14ac:dyDescent="0.15">
      <c r="A150" s="26">
        <v>143</v>
      </c>
      <c r="B150" s="25">
        <v>123152</v>
      </c>
      <c r="C150" s="25" t="s">
        <v>1081</v>
      </c>
      <c r="D150" s="25">
        <v>121.001</v>
      </c>
      <c r="E150" s="34">
        <v>1.4199999999999999E-2</v>
      </c>
      <c r="F150" s="25">
        <v>29.03</v>
      </c>
      <c r="G150" s="25">
        <v>86.39</v>
      </c>
      <c r="H150" s="43">
        <v>0.40060000000000001</v>
      </c>
      <c r="I150" s="57">
        <v>161.06100000000001</v>
      </c>
      <c r="J150" s="32">
        <v>46955</v>
      </c>
      <c r="K150" s="33">
        <v>4.734</v>
      </c>
      <c r="L150" s="33">
        <v>2.922593</v>
      </c>
      <c r="M150" s="33">
        <v>879.53195759999994</v>
      </c>
      <c r="N150" s="34">
        <v>2.4871061694185025E-2</v>
      </c>
      <c r="O150" s="34">
        <v>5.4669999999999996E-3</v>
      </c>
      <c r="P150" s="25">
        <v>121.9</v>
      </c>
      <c r="Q150" s="25">
        <v>119.133</v>
      </c>
      <c r="R150" s="34">
        <v>2.3226142210806495E-2</v>
      </c>
    </row>
    <row r="151" spans="1:18" x14ac:dyDescent="0.15">
      <c r="A151" s="26">
        <v>144</v>
      </c>
      <c r="B151" s="25">
        <v>123061</v>
      </c>
      <c r="C151" s="25" t="s">
        <v>714</v>
      </c>
      <c r="D151" s="25">
        <v>124.651</v>
      </c>
      <c r="E151" s="34">
        <v>3.0999999999999999E-3</v>
      </c>
      <c r="F151" s="25">
        <v>14.83</v>
      </c>
      <c r="G151" s="25">
        <v>88</v>
      </c>
      <c r="H151" s="43">
        <v>0.41649999999999998</v>
      </c>
      <c r="I151" s="57">
        <v>166.30099999999999</v>
      </c>
      <c r="J151" s="32">
        <v>46225</v>
      </c>
      <c r="K151" s="33">
        <v>2.734</v>
      </c>
      <c r="L151" s="33">
        <v>2.4958109999999998</v>
      </c>
      <c r="M151" s="33">
        <v>407.14908199999996</v>
      </c>
      <c r="N151" s="34">
        <v>1.308717767355563E-2</v>
      </c>
      <c r="O151" s="34">
        <v>-7.0599999999999994E-3</v>
      </c>
      <c r="P151" s="25">
        <v>124.776</v>
      </c>
      <c r="Q151" s="25">
        <v>123.759</v>
      </c>
      <c r="R151" s="34">
        <v>8.2175841756962804E-3</v>
      </c>
    </row>
    <row r="152" spans="1:18" x14ac:dyDescent="0.15">
      <c r="A152" s="26">
        <v>145</v>
      </c>
      <c r="B152" s="25">
        <v>123217</v>
      </c>
      <c r="C152" s="25" t="s">
        <v>1098</v>
      </c>
      <c r="D152" s="25">
        <v>126.98</v>
      </c>
      <c r="E152" s="34">
        <v>5.7999999999999996E-3</v>
      </c>
      <c r="F152" s="25">
        <v>41.77</v>
      </c>
      <c r="G152" s="25">
        <v>89.59</v>
      </c>
      <c r="H152" s="43">
        <v>0.41729999999999995</v>
      </c>
      <c r="I152" s="57">
        <v>168.71</v>
      </c>
      <c r="J152" s="32">
        <v>47338</v>
      </c>
      <c r="K152" s="33">
        <v>5.7839999999999998</v>
      </c>
      <c r="L152" s="33">
        <v>5.7</v>
      </c>
      <c r="M152" s="33">
        <v>598.43767730000002</v>
      </c>
      <c r="N152" s="34">
        <v>8.2681576778218975E-3</v>
      </c>
      <c r="O152" s="34">
        <v>-1.754E-2</v>
      </c>
      <c r="P152" s="25">
        <v>128.01</v>
      </c>
      <c r="Q152" s="25">
        <v>125.51</v>
      </c>
      <c r="R152" s="34">
        <v>1.9918731575173178E-2</v>
      </c>
    </row>
    <row r="153" spans="1:18" x14ac:dyDescent="0.15">
      <c r="A153" s="26">
        <v>146</v>
      </c>
      <c r="B153" s="25">
        <v>118043</v>
      </c>
      <c r="C153" s="25" t="s">
        <v>1096</v>
      </c>
      <c r="D153" s="25">
        <v>120.84699999999999</v>
      </c>
      <c r="E153" s="34">
        <v>6.4000000000000003E-3</v>
      </c>
      <c r="F153" s="25">
        <v>21.28</v>
      </c>
      <c r="G153" s="25">
        <v>85.1</v>
      </c>
      <c r="H153" s="43">
        <v>0.42009999999999997</v>
      </c>
      <c r="I153" s="57">
        <v>162.857</v>
      </c>
      <c r="J153" s="32">
        <v>47344</v>
      </c>
      <c r="K153" s="33">
        <v>5.8</v>
      </c>
      <c r="L153" s="33">
        <v>7</v>
      </c>
      <c r="M153" s="33">
        <v>1061.2148</v>
      </c>
      <c r="N153" s="34">
        <v>1.254496299334814E-2</v>
      </c>
      <c r="O153" s="34">
        <v>-1.085E-3</v>
      </c>
      <c r="P153" s="25">
        <v>121.565</v>
      </c>
      <c r="Q153" s="25">
        <v>119.69</v>
      </c>
      <c r="R153" s="34">
        <v>1.5665469128582171E-2</v>
      </c>
    </row>
    <row r="154" spans="1:18" x14ac:dyDescent="0.15">
      <c r="A154" s="26">
        <v>147</v>
      </c>
      <c r="B154" s="25">
        <v>113674</v>
      </c>
      <c r="C154" s="25" t="s">
        <v>1073</v>
      </c>
      <c r="D154" s="25">
        <v>123.949</v>
      </c>
      <c r="E154" s="34">
        <v>1.0700000000000001E-2</v>
      </c>
      <c r="F154" s="25">
        <v>8.86</v>
      </c>
      <c r="G154" s="25">
        <v>87.13</v>
      </c>
      <c r="H154" s="43">
        <v>0.42259999999999998</v>
      </c>
      <c r="I154" s="57">
        <v>166.209</v>
      </c>
      <c r="J154" s="32">
        <v>47320</v>
      </c>
      <c r="K154" s="33">
        <v>5.734</v>
      </c>
      <c r="L154" s="33">
        <v>4</v>
      </c>
      <c r="M154" s="33">
        <v>1195.2867000000001</v>
      </c>
      <c r="N154" s="34">
        <v>2.4108437744556233E-2</v>
      </c>
      <c r="O154" s="34">
        <v>-1.0024999999999999E-2</v>
      </c>
      <c r="P154" s="25">
        <v>124.258</v>
      </c>
      <c r="Q154" s="25">
        <v>120.84699999999999</v>
      </c>
      <c r="R154" s="34">
        <v>2.8225773084975231E-2</v>
      </c>
    </row>
    <row r="155" spans="1:18" x14ac:dyDescent="0.15">
      <c r="A155" s="26">
        <v>148</v>
      </c>
      <c r="B155" s="25">
        <v>123191</v>
      </c>
      <c r="C155" s="25" t="s">
        <v>1034</v>
      </c>
      <c r="D155" s="25">
        <v>129.05600000000001</v>
      </c>
      <c r="E155" s="34">
        <v>1.5300000000000001E-2</v>
      </c>
      <c r="F155" s="25">
        <v>12.17</v>
      </c>
      <c r="G155" s="25">
        <v>90.71</v>
      </c>
      <c r="H155" s="43">
        <v>0.42270000000000002</v>
      </c>
      <c r="I155" s="57">
        <v>171.32600000000002</v>
      </c>
      <c r="J155" s="32">
        <v>47218</v>
      </c>
      <c r="K155" s="33">
        <v>5.4550000000000001</v>
      </c>
      <c r="L155" s="33">
        <v>6.9956789999999991</v>
      </c>
      <c r="M155" s="33">
        <v>8346.0426600999999</v>
      </c>
      <c r="N155" s="34">
        <v>9.2442679757614513E-2</v>
      </c>
      <c r="O155" s="34">
        <v>-1.8844E-2</v>
      </c>
      <c r="P155" s="25">
        <v>131.18600000000001</v>
      </c>
      <c r="Q155" s="25">
        <v>127.21</v>
      </c>
      <c r="R155" s="34">
        <v>3.1255404449335847E-2</v>
      </c>
    </row>
    <row r="156" spans="1:18" x14ac:dyDescent="0.15">
      <c r="A156" s="26">
        <v>149</v>
      </c>
      <c r="B156" s="25">
        <v>123195</v>
      </c>
      <c r="C156" s="25" t="s">
        <v>1036</v>
      </c>
      <c r="D156" s="25">
        <v>127.514</v>
      </c>
      <c r="E156" s="34">
        <v>6.3E-3</v>
      </c>
      <c r="F156" s="25">
        <v>61.39</v>
      </c>
      <c r="G156" s="25">
        <v>89.56</v>
      </c>
      <c r="H156" s="43">
        <v>0.42380000000000001</v>
      </c>
      <c r="I156" s="57">
        <v>169.89400000000001</v>
      </c>
      <c r="J156" s="32">
        <v>47225</v>
      </c>
      <c r="K156" s="33">
        <v>5.4740000000000002</v>
      </c>
      <c r="L156" s="33">
        <v>5.4604569999999999</v>
      </c>
      <c r="M156" s="33">
        <v>2376.242913</v>
      </c>
      <c r="N156" s="34">
        <v>3.4127460585729595E-2</v>
      </c>
      <c r="O156" s="34">
        <v>-9.1180000000000011E-3</v>
      </c>
      <c r="P156" s="25">
        <v>128.489</v>
      </c>
      <c r="Q156" s="25">
        <v>126.7</v>
      </c>
      <c r="R156" s="34">
        <v>1.4119968429360705E-2</v>
      </c>
    </row>
    <row r="157" spans="1:18" x14ac:dyDescent="0.15">
      <c r="A157" s="26">
        <v>150</v>
      </c>
      <c r="B157" s="25">
        <v>123171</v>
      </c>
      <c r="C157" s="25" t="s">
        <v>1027</v>
      </c>
      <c r="D157" s="25">
        <v>114.633</v>
      </c>
      <c r="E157" s="34">
        <v>2.2099999999999998E-2</v>
      </c>
      <c r="F157" s="25">
        <v>27.14</v>
      </c>
      <c r="G157" s="25">
        <v>80.319999999999993</v>
      </c>
      <c r="H157" s="43">
        <v>0.42719999999999997</v>
      </c>
      <c r="I157" s="57">
        <v>157.35300000000001</v>
      </c>
      <c r="J157" s="32">
        <v>47085</v>
      </c>
      <c r="K157" s="33">
        <v>5.09</v>
      </c>
      <c r="L157" s="33">
        <v>3.799858</v>
      </c>
      <c r="M157" s="33">
        <v>1244.920253</v>
      </c>
      <c r="N157" s="34">
        <v>2.8580150187363644E-2</v>
      </c>
      <c r="O157" s="34">
        <v>1.159E-2</v>
      </c>
      <c r="P157" s="25">
        <v>114.798</v>
      </c>
      <c r="Q157" s="25">
        <v>112.12</v>
      </c>
      <c r="R157" s="34">
        <v>2.3885123082411676E-2</v>
      </c>
    </row>
    <row r="158" spans="1:18" x14ac:dyDescent="0.15">
      <c r="A158" s="26">
        <v>151</v>
      </c>
      <c r="B158" s="25">
        <v>113654</v>
      </c>
      <c r="C158" s="25" t="s">
        <v>1104</v>
      </c>
      <c r="D158" s="25">
        <v>117.384</v>
      </c>
      <c r="E158" s="34">
        <v>7.8000000000000005E-3</v>
      </c>
      <c r="F158" s="25">
        <v>13.94</v>
      </c>
      <c r="G158" s="25">
        <v>82.07</v>
      </c>
      <c r="H158" s="43">
        <v>0.43030000000000002</v>
      </c>
      <c r="I158" s="57">
        <v>160.41399999999999</v>
      </c>
      <c r="J158" s="32">
        <v>46969</v>
      </c>
      <c r="K158" s="33">
        <v>4.7729999999999997</v>
      </c>
      <c r="L158" s="33">
        <v>6.10459</v>
      </c>
      <c r="M158" s="33">
        <v>2213.3580999999999</v>
      </c>
      <c r="N158" s="34">
        <v>3.0887750376098148E-2</v>
      </c>
      <c r="O158" s="34">
        <v>9.3499999999999996E-4</v>
      </c>
      <c r="P158" s="25">
        <v>119</v>
      </c>
      <c r="Q158" s="25">
        <v>116.28100000000001</v>
      </c>
      <c r="R158" s="34">
        <v>2.3383011842003372E-2</v>
      </c>
    </row>
    <row r="159" spans="1:18" x14ac:dyDescent="0.15">
      <c r="A159" s="26">
        <v>152</v>
      </c>
      <c r="B159" s="25">
        <v>123183</v>
      </c>
      <c r="C159" s="25" t="s">
        <v>1101</v>
      </c>
      <c r="D159" s="25">
        <v>114.361</v>
      </c>
      <c r="E159" s="34">
        <v>2.3E-3</v>
      </c>
      <c r="F159" s="25">
        <v>18.149999999999999</v>
      </c>
      <c r="G159" s="25">
        <v>79.94</v>
      </c>
      <c r="H159" s="43">
        <v>0.43060000000000004</v>
      </c>
      <c r="I159" s="57">
        <v>157.42099999999999</v>
      </c>
      <c r="J159" s="32">
        <v>47200</v>
      </c>
      <c r="K159" s="33">
        <v>5.4050000000000002</v>
      </c>
      <c r="L159" s="33">
        <v>6.3299899999999996</v>
      </c>
      <c r="M159" s="33">
        <v>1198.7997283</v>
      </c>
      <c r="N159" s="34">
        <v>1.6560203436345663E-2</v>
      </c>
      <c r="O159" s="34">
        <v>9.5779999999999997E-3</v>
      </c>
      <c r="P159" s="25">
        <v>115.465</v>
      </c>
      <c r="Q159" s="25">
        <v>112.857</v>
      </c>
      <c r="R159" s="34">
        <v>2.3108890011253214E-2</v>
      </c>
    </row>
    <row r="160" spans="1:18" x14ac:dyDescent="0.15">
      <c r="A160" s="26">
        <v>153</v>
      </c>
      <c r="B160" s="25">
        <v>113646</v>
      </c>
      <c r="C160" s="25" t="s">
        <v>696</v>
      </c>
      <c r="D160" s="25">
        <v>138.74</v>
      </c>
      <c r="E160" s="34">
        <v>1.6399999999999998E-2</v>
      </c>
      <c r="F160" s="25">
        <v>8.26</v>
      </c>
      <c r="G160" s="25">
        <v>96.85</v>
      </c>
      <c r="H160" s="43">
        <v>0.4325</v>
      </c>
      <c r="I160" s="57">
        <v>181.99</v>
      </c>
      <c r="J160" s="32">
        <v>46857</v>
      </c>
      <c r="K160" s="33">
        <v>4.4660000000000002</v>
      </c>
      <c r="L160" s="33">
        <v>1.38229</v>
      </c>
      <c r="M160" s="33">
        <v>1755.3905999999999</v>
      </c>
      <c r="N160" s="34">
        <v>9.1531991598830312E-2</v>
      </c>
      <c r="O160" s="34">
        <v>-4.5513000000000005E-2</v>
      </c>
      <c r="P160" s="25">
        <v>139.13900000000001</v>
      </c>
      <c r="Q160" s="25">
        <v>136.10499999999999</v>
      </c>
      <c r="R160" s="34">
        <v>2.2291613092832889E-2</v>
      </c>
    </row>
    <row r="161" spans="1:18" x14ac:dyDescent="0.15">
      <c r="A161" s="26">
        <v>154</v>
      </c>
      <c r="B161" s="25">
        <v>127081</v>
      </c>
      <c r="C161" s="25" t="s">
        <v>1030</v>
      </c>
      <c r="D161" s="25">
        <v>114</v>
      </c>
      <c r="E161" s="34">
        <v>1.8799999999999997E-2</v>
      </c>
      <c r="F161" s="25">
        <v>30.17</v>
      </c>
      <c r="G161" s="25">
        <v>79.55</v>
      </c>
      <c r="H161" s="43">
        <v>0.43310000000000004</v>
      </c>
      <c r="I161" s="57">
        <v>157.31</v>
      </c>
      <c r="J161" s="32">
        <v>47180</v>
      </c>
      <c r="K161" s="33">
        <v>5.351</v>
      </c>
      <c r="L161" s="33">
        <v>5.3999600000000001</v>
      </c>
      <c r="M161" s="33">
        <v>1506.3753991999999</v>
      </c>
      <c r="N161" s="34">
        <v>2.4470216985362985E-2</v>
      </c>
      <c r="O161" s="34">
        <v>3.9750000000000002E-3</v>
      </c>
      <c r="P161" s="25">
        <v>114.369</v>
      </c>
      <c r="Q161" s="25">
        <v>111.84</v>
      </c>
      <c r="R161" s="34">
        <v>2.2612660944205977E-2</v>
      </c>
    </row>
    <row r="162" spans="1:18" x14ac:dyDescent="0.15">
      <c r="A162" s="26">
        <v>155</v>
      </c>
      <c r="B162" s="25">
        <v>113665</v>
      </c>
      <c r="C162" s="25" t="s">
        <v>1029</v>
      </c>
      <c r="D162" s="25">
        <v>111.217</v>
      </c>
      <c r="E162" s="34">
        <v>1.6299999999999999E-2</v>
      </c>
      <c r="F162" s="25">
        <v>8.2100000000000009</v>
      </c>
      <c r="G162" s="25">
        <v>77.22</v>
      </c>
      <c r="H162" s="43">
        <v>0.44030000000000002</v>
      </c>
      <c r="I162" s="57">
        <v>155.24700000000001</v>
      </c>
      <c r="J162" s="32">
        <v>47102</v>
      </c>
      <c r="K162" s="33">
        <v>5.1369999999999996</v>
      </c>
      <c r="L162" s="33">
        <v>3.5999400000000001</v>
      </c>
      <c r="M162" s="33">
        <v>3306.6419000000001</v>
      </c>
      <c r="N162" s="34">
        <v>8.2588718241936948E-2</v>
      </c>
      <c r="O162" s="34">
        <v>1.5691999999999998E-2</v>
      </c>
      <c r="P162" s="25">
        <v>111.3</v>
      </c>
      <c r="Q162" s="25">
        <v>108.726</v>
      </c>
      <c r="R162" s="34">
        <v>2.3674190166105606E-2</v>
      </c>
    </row>
    <row r="163" spans="1:18" x14ac:dyDescent="0.15">
      <c r="A163" s="26">
        <v>156</v>
      </c>
      <c r="B163" s="25">
        <v>123131</v>
      </c>
      <c r="C163" s="25" t="s">
        <v>717</v>
      </c>
      <c r="D163" s="25">
        <v>122.714</v>
      </c>
      <c r="E163" s="34">
        <v>7.4999999999999997E-3</v>
      </c>
      <c r="F163" s="25">
        <v>10.09</v>
      </c>
      <c r="G163" s="25">
        <v>85.13</v>
      </c>
      <c r="H163" s="43">
        <v>0.4415</v>
      </c>
      <c r="I163" s="57">
        <v>166.864</v>
      </c>
      <c r="J163" s="32">
        <v>46724</v>
      </c>
      <c r="K163" s="33">
        <v>4.101</v>
      </c>
      <c r="L163" s="33">
        <v>6.3476889999999999</v>
      </c>
      <c r="M163" s="33">
        <v>1251.804369</v>
      </c>
      <c r="N163" s="34">
        <v>1.6070400848814868E-2</v>
      </c>
      <c r="O163" s="34">
        <v>-3.0980000000000001E-3</v>
      </c>
      <c r="P163" s="25">
        <v>122.983</v>
      </c>
      <c r="Q163" s="25">
        <v>120.892</v>
      </c>
      <c r="R163" s="34">
        <v>1.7296429871290146E-2</v>
      </c>
    </row>
    <row r="164" spans="1:18" x14ac:dyDescent="0.15">
      <c r="A164" s="26">
        <v>157</v>
      </c>
      <c r="B164" s="25">
        <v>123082</v>
      </c>
      <c r="C164" s="25" t="s">
        <v>1112</v>
      </c>
      <c r="D164" s="25">
        <v>115.33</v>
      </c>
      <c r="E164" s="34">
        <v>3.7000000000000002E-3</v>
      </c>
      <c r="F164" s="25">
        <v>8.68</v>
      </c>
      <c r="G164" s="25">
        <v>79.95</v>
      </c>
      <c r="H164" s="43">
        <v>0.4425</v>
      </c>
      <c r="I164" s="57">
        <v>159.57999999999998</v>
      </c>
      <c r="J164" s="32">
        <v>46363</v>
      </c>
      <c r="K164" s="33">
        <v>3.1120000000000001</v>
      </c>
      <c r="L164" s="33">
        <v>4.9928850000000002</v>
      </c>
      <c r="M164" s="33">
        <v>1437.9445682</v>
      </c>
      <c r="N164" s="34">
        <v>2.4971710382476534E-2</v>
      </c>
      <c r="O164" s="34">
        <v>1.4561999999999999E-2</v>
      </c>
      <c r="P164" s="25">
        <v>116.1</v>
      </c>
      <c r="Q164" s="25">
        <v>113.3</v>
      </c>
      <c r="R164" s="34">
        <v>2.4713150926743137E-2</v>
      </c>
    </row>
    <row r="165" spans="1:18" x14ac:dyDescent="0.15">
      <c r="A165" s="26">
        <v>158</v>
      </c>
      <c r="B165" s="25">
        <v>123151</v>
      </c>
      <c r="C165" s="25" t="s">
        <v>1021</v>
      </c>
      <c r="D165" s="25">
        <v>110.212</v>
      </c>
      <c r="E165" s="34">
        <v>1.5700000000000002E-2</v>
      </c>
      <c r="F165" s="25">
        <v>28.1</v>
      </c>
      <c r="G165" s="25">
        <v>76.05</v>
      </c>
      <c r="H165" s="43">
        <v>0.44920000000000004</v>
      </c>
      <c r="I165" s="57">
        <v>155.13200000000001</v>
      </c>
      <c r="J165" s="32">
        <v>46935</v>
      </c>
      <c r="K165" s="33">
        <v>4.6790000000000003</v>
      </c>
      <c r="L165" s="33">
        <v>6.9983310000000003</v>
      </c>
      <c r="M165" s="33">
        <v>1255.5532803999999</v>
      </c>
      <c r="N165" s="34">
        <v>1.6278402553623193E-2</v>
      </c>
      <c r="O165" s="34">
        <v>2.0983999999999999E-2</v>
      </c>
      <c r="P165" s="25">
        <v>110.45399999999999</v>
      </c>
      <c r="Q165" s="25">
        <v>108.34099999999999</v>
      </c>
      <c r="R165" s="34">
        <v>1.9503235155665904E-2</v>
      </c>
    </row>
    <row r="166" spans="1:18" x14ac:dyDescent="0.15">
      <c r="A166" s="26">
        <v>159</v>
      </c>
      <c r="B166" s="25">
        <v>123199</v>
      </c>
      <c r="C166" s="25" t="s">
        <v>1059</v>
      </c>
      <c r="D166" s="25">
        <v>117.9</v>
      </c>
      <c r="E166" s="34">
        <v>1.46E-2</v>
      </c>
      <c r="F166" s="25">
        <v>18.25</v>
      </c>
      <c r="G166" s="25">
        <v>81.319999999999993</v>
      </c>
      <c r="H166" s="43">
        <v>0.44979999999999998</v>
      </c>
      <c r="I166" s="57">
        <v>162.88</v>
      </c>
      <c r="J166" s="32">
        <v>47281</v>
      </c>
      <c r="K166" s="33">
        <v>5.6269999999999998</v>
      </c>
      <c r="L166" s="33">
        <v>3.2</v>
      </c>
      <c r="M166" s="33">
        <v>1973.1128631000001</v>
      </c>
      <c r="N166" s="34">
        <v>5.2298368932888036E-2</v>
      </c>
      <c r="O166" s="34">
        <v>-7.3240000000000006E-3</v>
      </c>
      <c r="P166" s="25">
        <v>118.67</v>
      </c>
      <c r="Q166" s="25">
        <v>115.505</v>
      </c>
      <c r="R166" s="34">
        <v>2.7401411194320647E-2</v>
      </c>
    </row>
    <row r="167" spans="1:18" x14ac:dyDescent="0.15">
      <c r="A167" s="26">
        <v>160</v>
      </c>
      <c r="B167" s="25">
        <v>113627</v>
      </c>
      <c r="C167" s="25" t="s">
        <v>1110</v>
      </c>
      <c r="D167" s="25">
        <v>112.008</v>
      </c>
      <c r="E167" s="34">
        <v>5.3E-3</v>
      </c>
      <c r="F167" s="25">
        <v>21.81</v>
      </c>
      <c r="G167" s="25">
        <v>76.89</v>
      </c>
      <c r="H167" s="43">
        <v>0.45669999999999999</v>
      </c>
      <c r="I167" s="57">
        <v>157.678</v>
      </c>
      <c r="J167" s="32">
        <v>46583</v>
      </c>
      <c r="K167" s="33">
        <v>3.7149999999999999</v>
      </c>
      <c r="L167" s="33">
        <v>7.9997499999999997</v>
      </c>
      <c r="M167" s="33">
        <v>1357.1655000000001</v>
      </c>
      <c r="N167" s="34">
        <v>1.5146327859921541E-2</v>
      </c>
      <c r="O167" s="34">
        <v>5.5659999999999998E-3</v>
      </c>
      <c r="P167" s="25">
        <v>112.3</v>
      </c>
      <c r="Q167" s="25">
        <v>110.6</v>
      </c>
      <c r="R167" s="34">
        <v>1.5370705244122993E-2</v>
      </c>
    </row>
    <row r="168" spans="1:18" x14ac:dyDescent="0.15">
      <c r="A168" s="26">
        <v>161</v>
      </c>
      <c r="B168" s="25">
        <v>123159</v>
      </c>
      <c r="C168" s="25" t="s">
        <v>1023</v>
      </c>
      <c r="D168" s="25">
        <v>114.53</v>
      </c>
      <c r="E168" s="34">
        <v>1.47E-2</v>
      </c>
      <c r="F168" s="25">
        <v>24.45</v>
      </c>
      <c r="G168" s="25">
        <v>78.53</v>
      </c>
      <c r="H168" s="43">
        <v>0.45840000000000003</v>
      </c>
      <c r="I168" s="57">
        <v>160.37</v>
      </c>
      <c r="J168" s="32">
        <v>47023</v>
      </c>
      <c r="K168" s="33">
        <v>4.9210000000000003</v>
      </c>
      <c r="L168" s="33">
        <v>2.9434429999999998</v>
      </c>
      <c r="M168" s="33">
        <v>706.47677640000006</v>
      </c>
      <c r="N168" s="34">
        <v>2.0956704965167043E-2</v>
      </c>
      <c r="O168" s="34">
        <v>7.9450000000000007E-3</v>
      </c>
      <c r="P168" s="25">
        <v>114.7</v>
      </c>
      <c r="Q168" s="25">
        <v>112.64700000000001</v>
      </c>
      <c r="R168" s="34">
        <v>1.8225074791161745E-2</v>
      </c>
    </row>
    <row r="169" spans="1:18" x14ac:dyDescent="0.15">
      <c r="A169" s="26">
        <v>162</v>
      </c>
      <c r="B169" s="25">
        <v>127055</v>
      </c>
      <c r="C169" s="25" t="s">
        <v>1107</v>
      </c>
      <c r="D169" s="25">
        <v>112.2</v>
      </c>
      <c r="E169" s="34">
        <v>1.0700000000000001E-2</v>
      </c>
      <c r="F169" s="25">
        <v>18.5</v>
      </c>
      <c r="G169" s="25">
        <v>76.650000000000006</v>
      </c>
      <c r="H169" s="43">
        <v>0.46380000000000005</v>
      </c>
      <c r="I169" s="57">
        <v>158.58000000000001</v>
      </c>
      <c r="J169" s="32">
        <v>46805</v>
      </c>
      <c r="K169" s="33">
        <v>4.3230000000000004</v>
      </c>
      <c r="L169" s="33">
        <v>5.7662269999999998</v>
      </c>
      <c r="M169" s="33">
        <v>817.76194650000002</v>
      </c>
      <c r="N169" s="34">
        <v>1.2639861205120657E-2</v>
      </c>
      <c r="O169" s="34">
        <v>1.5973000000000001E-2</v>
      </c>
      <c r="P169" s="25">
        <v>112.259</v>
      </c>
      <c r="Q169" s="25">
        <v>110.651</v>
      </c>
      <c r="R169" s="34">
        <v>1.4532177748054731E-2</v>
      </c>
    </row>
    <row r="170" spans="1:18" x14ac:dyDescent="0.15">
      <c r="A170" s="26">
        <v>163</v>
      </c>
      <c r="B170" s="25">
        <v>118011</v>
      </c>
      <c r="C170" s="25" t="s">
        <v>719</v>
      </c>
      <c r="D170" s="25">
        <v>117.134</v>
      </c>
      <c r="E170" s="34">
        <v>1.34E-2</v>
      </c>
      <c r="F170" s="25">
        <v>31.73</v>
      </c>
      <c r="G170" s="25">
        <v>79.42</v>
      </c>
      <c r="H170" s="43">
        <v>0.47490000000000004</v>
      </c>
      <c r="I170" s="57">
        <v>164.624</v>
      </c>
      <c r="J170" s="32">
        <v>46938</v>
      </c>
      <c r="K170" s="33">
        <v>4.6879999999999997</v>
      </c>
      <c r="L170" s="33">
        <v>4.9974699999999999</v>
      </c>
      <c r="M170" s="33">
        <v>601.62869999999998</v>
      </c>
      <c r="N170" s="34">
        <v>1.0277686721853413E-2</v>
      </c>
      <c r="O170" s="34">
        <v>7.0989999999999994E-3</v>
      </c>
      <c r="P170" s="25">
        <v>117.199</v>
      </c>
      <c r="Q170" s="25">
        <v>115.467</v>
      </c>
      <c r="R170" s="34">
        <v>1.4999956697584586E-2</v>
      </c>
    </row>
    <row r="171" spans="1:18" x14ac:dyDescent="0.15">
      <c r="A171" s="26">
        <v>164</v>
      </c>
      <c r="B171" s="25">
        <v>113657</v>
      </c>
      <c r="C171" s="25" t="s">
        <v>1024</v>
      </c>
      <c r="D171" s="25">
        <v>109.801</v>
      </c>
      <c r="E171" s="34">
        <v>2.2000000000000002E-2</v>
      </c>
      <c r="F171" s="25">
        <v>6</v>
      </c>
      <c r="G171" s="25">
        <v>74.17</v>
      </c>
      <c r="H171" s="43">
        <v>0.48039999999999999</v>
      </c>
      <c r="I171" s="57">
        <v>157.84100000000001</v>
      </c>
      <c r="J171" s="32">
        <v>47025</v>
      </c>
      <c r="K171" s="33">
        <v>4.9260000000000002</v>
      </c>
      <c r="L171" s="33">
        <v>5.09985</v>
      </c>
      <c r="M171" s="33">
        <v>1342.1896999999999</v>
      </c>
      <c r="N171" s="34">
        <v>2.3969015913615287E-2</v>
      </c>
      <c r="O171" s="34">
        <v>9.2370000000000004E-3</v>
      </c>
      <c r="P171" s="25">
        <v>110.05</v>
      </c>
      <c r="Q171" s="25">
        <v>107.18899999999999</v>
      </c>
      <c r="R171" s="34">
        <v>2.6691171668734706E-2</v>
      </c>
    </row>
    <row r="172" spans="1:18" x14ac:dyDescent="0.15">
      <c r="A172" s="26">
        <v>165</v>
      </c>
      <c r="B172" s="25">
        <v>123193</v>
      </c>
      <c r="C172" s="25" t="s">
        <v>1077</v>
      </c>
      <c r="D172" s="25">
        <v>115.61799999999999</v>
      </c>
      <c r="E172" s="34">
        <v>2.5999999999999999E-3</v>
      </c>
      <c r="F172" s="25">
        <v>21.74</v>
      </c>
      <c r="G172" s="25">
        <v>78.06</v>
      </c>
      <c r="H172" s="43">
        <v>0.48109999999999997</v>
      </c>
      <c r="I172" s="57">
        <v>163.72800000000001</v>
      </c>
      <c r="J172" s="32">
        <v>47221</v>
      </c>
      <c r="K172" s="33">
        <v>5.4630000000000001</v>
      </c>
      <c r="L172" s="33">
        <v>5.9999250000000002</v>
      </c>
      <c r="M172" s="33">
        <v>191.39454699999999</v>
      </c>
      <c r="N172" s="34">
        <v>2.7590418369363373E-3</v>
      </c>
      <c r="O172" s="34">
        <v>7.4209999999999996E-3</v>
      </c>
      <c r="P172" s="25">
        <v>115.879</v>
      </c>
      <c r="Q172" s="25">
        <v>114.71599999999999</v>
      </c>
      <c r="R172" s="34">
        <v>1.0138080128316983E-2</v>
      </c>
    </row>
    <row r="173" spans="1:18" x14ac:dyDescent="0.15">
      <c r="A173" s="26">
        <v>166</v>
      </c>
      <c r="B173" s="25">
        <v>127060</v>
      </c>
      <c r="C173" s="25" t="s">
        <v>1105</v>
      </c>
      <c r="D173" s="25">
        <v>105.655</v>
      </c>
      <c r="E173" s="34">
        <v>1.03E-2</v>
      </c>
      <c r="F173" s="25">
        <v>30.26</v>
      </c>
      <c r="G173" s="25">
        <v>71.25</v>
      </c>
      <c r="H173" s="43">
        <v>0.4829</v>
      </c>
      <c r="I173" s="57">
        <v>153.94499999999999</v>
      </c>
      <c r="J173" s="32">
        <v>46862</v>
      </c>
      <c r="K173" s="33">
        <v>4.4790000000000001</v>
      </c>
      <c r="L173" s="33">
        <v>6.3992190000000004</v>
      </c>
      <c r="M173" s="33">
        <v>1282.6093665999999</v>
      </c>
      <c r="N173" s="34">
        <v>1.8970438930462616E-2</v>
      </c>
      <c r="O173" s="34">
        <v>1.7385999999999999E-2</v>
      </c>
      <c r="P173" s="25">
        <v>106.15</v>
      </c>
      <c r="Q173" s="25">
        <v>104.5</v>
      </c>
      <c r="R173" s="34">
        <v>1.5789473684210582E-2</v>
      </c>
    </row>
    <row r="174" spans="1:18" x14ac:dyDescent="0.15">
      <c r="A174" s="26">
        <v>167</v>
      </c>
      <c r="B174" s="25">
        <v>127076</v>
      </c>
      <c r="C174" s="25" t="s">
        <v>1091</v>
      </c>
      <c r="D174" s="25">
        <v>118.5</v>
      </c>
      <c r="E174" s="34">
        <v>2.1600000000000001E-2</v>
      </c>
      <c r="F174" s="25">
        <v>28.3</v>
      </c>
      <c r="G174" s="25">
        <v>79.680000000000007</v>
      </c>
      <c r="H174" s="43">
        <v>0.48719999999999997</v>
      </c>
      <c r="I174" s="57">
        <v>167.22</v>
      </c>
      <c r="J174" s="32">
        <v>47051</v>
      </c>
      <c r="K174" s="33">
        <v>4.9969999999999999</v>
      </c>
      <c r="L174" s="33">
        <v>7.6900810000000002</v>
      </c>
      <c r="M174" s="33">
        <v>945.78546410000013</v>
      </c>
      <c r="N174" s="34">
        <v>1.0378709838470277E-2</v>
      </c>
      <c r="O174" s="34">
        <v>-3.7940000000000001E-3</v>
      </c>
      <c r="P174" s="25">
        <v>118.8</v>
      </c>
      <c r="Q174" s="25">
        <v>115.767</v>
      </c>
      <c r="R174" s="34">
        <v>2.6199175930964793E-2</v>
      </c>
    </row>
    <row r="175" spans="1:18" x14ac:dyDescent="0.15">
      <c r="A175" s="26">
        <v>168</v>
      </c>
      <c r="B175" s="25">
        <v>111014</v>
      </c>
      <c r="C175" s="25" t="s">
        <v>1041</v>
      </c>
      <c r="D175" s="25">
        <v>119.38200000000001</v>
      </c>
      <c r="E175" s="34">
        <v>2.2099999999999998E-2</v>
      </c>
      <c r="F175" s="25">
        <v>19.47</v>
      </c>
      <c r="G175" s="25">
        <v>79.97</v>
      </c>
      <c r="H175" s="43">
        <v>0.49280000000000002</v>
      </c>
      <c r="I175" s="57">
        <v>168.66200000000001</v>
      </c>
      <c r="J175" s="32">
        <v>47289</v>
      </c>
      <c r="K175" s="33">
        <v>5.649</v>
      </c>
      <c r="L175" s="33">
        <v>6</v>
      </c>
      <c r="M175" s="33">
        <v>1307.3107</v>
      </c>
      <c r="N175" s="34">
        <v>1.825108614922406E-2</v>
      </c>
      <c r="O175" s="34">
        <v>-3.4680000000000002E-3</v>
      </c>
      <c r="P175" s="25">
        <v>119.7</v>
      </c>
      <c r="Q175" s="25">
        <v>116.83</v>
      </c>
      <c r="R175" s="34">
        <v>2.4565608148592009E-2</v>
      </c>
    </row>
    <row r="176" spans="1:18" x14ac:dyDescent="0.15">
      <c r="A176" s="26">
        <v>169</v>
      </c>
      <c r="B176" s="25">
        <v>123182</v>
      </c>
      <c r="C176" s="25" t="s">
        <v>1079</v>
      </c>
      <c r="D176" s="25">
        <v>114</v>
      </c>
      <c r="E176" s="34">
        <v>1.8799999999999997E-2</v>
      </c>
      <c r="F176" s="25">
        <v>32.1</v>
      </c>
      <c r="G176" s="25">
        <v>75.61</v>
      </c>
      <c r="H176" s="43">
        <v>0.50770000000000004</v>
      </c>
      <c r="I176" s="57">
        <v>164.77</v>
      </c>
      <c r="J176" s="32">
        <v>47199</v>
      </c>
      <c r="K176" s="33">
        <v>5.4029999999999996</v>
      </c>
      <c r="L176" s="33">
        <v>6.9999440000000002</v>
      </c>
      <c r="M176" s="33">
        <v>2285.8552348000003</v>
      </c>
      <c r="N176" s="34">
        <v>2.8645031601355574E-2</v>
      </c>
      <c r="O176" s="34">
        <v>1.1465000000000001E-2</v>
      </c>
      <c r="P176" s="25">
        <v>114.467</v>
      </c>
      <c r="Q176" s="25">
        <v>111.32899999999999</v>
      </c>
      <c r="R176" s="34">
        <v>2.8186725830646152E-2</v>
      </c>
    </row>
    <row r="177" spans="1:18" x14ac:dyDescent="0.15">
      <c r="A177" s="26">
        <v>170</v>
      </c>
      <c r="B177" s="25">
        <v>123138</v>
      </c>
      <c r="C177" s="25" t="s">
        <v>712</v>
      </c>
      <c r="D177" s="25">
        <v>125.83</v>
      </c>
      <c r="E177" s="34">
        <v>-1.5E-3</v>
      </c>
      <c r="F177" s="25">
        <v>26.56</v>
      </c>
      <c r="G177" s="25">
        <v>83.36</v>
      </c>
      <c r="H177" s="43">
        <v>0.50950000000000006</v>
      </c>
      <c r="I177" s="57">
        <v>176.78</v>
      </c>
      <c r="J177" s="32">
        <v>46814</v>
      </c>
      <c r="K177" s="33">
        <v>4.3479999999999999</v>
      </c>
      <c r="L177" s="33">
        <v>2.3970349999999998</v>
      </c>
      <c r="M177" s="33">
        <v>1235.9734518999999</v>
      </c>
      <c r="N177" s="34">
        <v>4.0977982292420501E-2</v>
      </c>
      <c r="O177" s="34">
        <v>-8.7849999999999994E-3</v>
      </c>
      <c r="P177" s="25">
        <v>126.37</v>
      </c>
      <c r="Q177" s="25">
        <v>124.623</v>
      </c>
      <c r="R177" s="34">
        <v>1.4018279129855643E-2</v>
      </c>
    </row>
    <row r="178" spans="1:18" x14ac:dyDescent="0.15">
      <c r="A178" s="26">
        <v>171</v>
      </c>
      <c r="B178" s="25">
        <v>127072</v>
      </c>
      <c r="C178" s="25" t="s">
        <v>693</v>
      </c>
      <c r="D178" s="25">
        <v>128.36000000000001</v>
      </c>
      <c r="E178" s="34">
        <v>1.3899999999999999E-2</v>
      </c>
      <c r="F178" s="25">
        <v>15.56</v>
      </c>
      <c r="G178" s="25">
        <v>84.77</v>
      </c>
      <c r="H178" s="43">
        <v>0.51419999999999999</v>
      </c>
      <c r="I178" s="57">
        <v>179.78000000000003</v>
      </c>
      <c r="J178" s="32">
        <v>47018</v>
      </c>
      <c r="K178" s="33">
        <v>4.907</v>
      </c>
      <c r="L178" s="33">
        <v>4.4990069999999998</v>
      </c>
      <c r="M178" s="33">
        <v>533.97784899999999</v>
      </c>
      <c r="N178" s="34">
        <v>9.2464891471754837E-3</v>
      </c>
      <c r="O178" s="34">
        <v>-1.9359999999999999E-2</v>
      </c>
      <c r="P178" s="25">
        <v>128.55199999999999</v>
      </c>
      <c r="Q178" s="25">
        <v>125.5</v>
      </c>
      <c r="R178" s="34">
        <v>2.4318725099601535E-2</v>
      </c>
    </row>
    <row r="179" spans="1:18" x14ac:dyDescent="0.15">
      <c r="A179" s="26">
        <v>172</v>
      </c>
      <c r="B179" s="25">
        <v>113643</v>
      </c>
      <c r="C179" s="25" t="s">
        <v>772</v>
      </c>
      <c r="D179" s="25">
        <v>116.5</v>
      </c>
      <c r="E179" s="34">
        <v>1.1000000000000001E-2</v>
      </c>
      <c r="F179" s="25">
        <v>15.23</v>
      </c>
      <c r="G179" s="25">
        <v>76.63</v>
      </c>
      <c r="H179" s="43">
        <v>0.52029999999999998</v>
      </c>
      <c r="I179" s="57">
        <v>168.53</v>
      </c>
      <c r="J179" s="32">
        <v>46837</v>
      </c>
      <c r="K179" s="33">
        <v>4.4109999999999996</v>
      </c>
      <c r="L179" s="33">
        <v>4.9995099999999999</v>
      </c>
      <c r="M179" s="33">
        <v>3902.9965000000002</v>
      </c>
      <c r="N179" s="34">
        <v>6.7010798817940809E-2</v>
      </c>
      <c r="O179" s="34">
        <v>6.8600000000000006E-3</v>
      </c>
      <c r="P179" s="25">
        <v>116.92</v>
      </c>
      <c r="Q179" s="25">
        <v>114.86</v>
      </c>
      <c r="R179" s="34">
        <v>1.7934877241859676E-2</v>
      </c>
    </row>
    <row r="180" spans="1:18" x14ac:dyDescent="0.15">
      <c r="A180" s="26">
        <v>173</v>
      </c>
      <c r="B180" s="25">
        <v>118040</v>
      </c>
      <c r="C180" s="25" t="s">
        <v>1099</v>
      </c>
      <c r="D180" s="25">
        <v>116.113</v>
      </c>
      <c r="E180" s="34">
        <v>1.46E-2</v>
      </c>
      <c r="F180" s="25">
        <v>62.45</v>
      </c>
      <c r="G180" s="25">
        <v>76.37</v>
      </c>
      <c r="H180" s="43">
        <v>0.52039999999999997</v>
      </c>
      <c r="I180" s="57">
        <v>168.15299999999999</v>
      </c>
      <c r="J180" s="32">
        <v>47324</v>
      </c>
      <c r="K180" s="33">
        <v>5.7450000000000001</v>
      </c>
      <c r="L180" s="33">
        <v>4.3</v>
      </c>
      <c r="M180" s="33">
        <v>1657.8127999999999</v>
      </c>
      <c r="N180" s="34">
        <v>3.3203677492194356E-2</v>
      </c>
      <c r="O180" s="34">
        <v>8.091000000000001E-3</v>
      </c>
      <c r="P180" s="25">
        <v>116.38200000000001</v>
      </c>
      <c r="Q180" s="25">
        <v>114.001</v>
      </c>
      <c r="R180" s="34">
        <v>2.0885781703669268E-2</v>
      </c>
    </row>
    <row r="181" spans="1:18" x14ac:dyDescent="0.15">
      <c r="A181" s="26">
        <v>174</v>
      </c>
      <c r="B181" s="25">
        <v>118033</v>
      </c>
      <c r="C181" s="25" t="s">
        <v>773</v>
      </c>
      <c r="D181" s="25">
        <v>121.06</v>
      </c>
      <c r="E181" s="34">
        <v>3.3000000000000002E-2</v>
      </c>
      <c r="F181" s="25">
        <v>83.75</v>
      </c>
      <c r="G181" s="25">
        <v>78.75</v>
      </c>
      <c r="H181" s="43">
        <v>0.5373</v>
      </c>
      <c r="I181" s="57">
        <v>174.79</v>
      </c>
      <c r="J181" s="32">
        <v>47198</v>
      </c>
      <c r="K181" s="33">
        <v>5.4</v>
      </c>
      <c r="L181" s="33">
        <v>6.4599500000000001</v>
      </c>
      <c r="M181" s="33">
        <v>4708.9875000000002</v>
      </c>
      <c r="N181" s="34">
        <v>6.0214032337082467E-2</v>
      </c>
      <c r="O181" s="34">
        <v>-1.186E-3</v>
      </c>
      <c r="P181" s="25">
        <v>121.68</v>
      </c>
      <c r="Q181" s="25">
        <v>116.5</v>
      </c>
      <c r="R181" s="34">
        <v>4.4463519313304778E-2</v>
      </c>
    </row>
    <row r="182" spans="1:18" x14ac:dyDescent="0.15">
      <c r="A182" s="26">
        <v>175</v>
      </c>
      <c r="B182" s="25">
        <v>118035</v>
      </c>
      <c r="C182" s="25" t="s">
        <v>1039</v>
      </c>
      <c r="D182" s="25">
        <v>124.39400000000001</v>
      </c>
      <c r="E182" s="34">
        <v>4.5599999999999995E-2</v>
      </c>
      <c r="F182" s="25">
        <v>62.83</v>
      </c>
      <c r="G182" s="25">
        <v>80.849999999999994</v>
      </c>
      <c r="H182" s="43">
        <v>0.53859999999999997</v>
      </c>
      <c r="I182" s="57">
        <v>178.25400000000002</v>
      </c>
      <c r="J182" s="32">
        <v>47281</v>
      </c>
      <c r="K182" s="33">
        <v>5.6269999999999998</v>
      </c>
      <c r="L182" s="33">
        <v>4.8</v>
      </c>
      <c r="M182" s="33">
        <v>8450.3657000000003</v>
      </c>
      <c r="N182" s="34">
        <v>0.14152554417147664</v>
      </c>
      <c r="O182" s="34">
        <v>-6.3249999999999999E-3</v>
      </c>
      <c r="P182" s="25">
        <v>126</v>
      </c>
      <c r="Q182" s="25">
        <v>118.724</v>
      </c>
      <c r="R182" s="34">
        <v>6.1284997136215054E-2</v>
      </c>
    </row>
    <row r="183" spans="1:18" x14ac:dyDescent="0.15">
      <c r="A183" s="26">
        <v>176</v>
      </c>
      <c r="B183" s="25">
        <v>118014</v>
      </c>
      <c r="C183" s="25" t="s">
        <v>1061</v>
      </c>
      <c r="D183" s="25">
        <v>121.506</v>
      </c>
      <c r="E183" s="34">
        <v>2.2200000000000001E-2</v>
      </c>
      <c r="F183" s="25">
        <v>59.51</v>
      </c>
      <c r="G183" s="25">
        <v>78.89</v>
      </c>
      <c r="H183" s="43">
        <v>0.54020000000000001</v>
      </c>
      <c r="I183" s="57">
        <v>175.52600000000001</v>
      </c>
      <c r="J183" s="32">
        <v>46952</v>
      </c>
      <c r="K183" s="33">
        <v>4.726</v>
      </c>
      <c r="L183" s="33">
        <v>4.83249</v>
      </c>
      <c r="M183" s="33">
        <v>2364.8407000000002</v>
      </c>
      <c r="N183" s="34">
        <v>4.0274782444755568E-2</v>
      </c>
      <c r="O183" s="34">
        <v>-1.3590999999999999E-2</v>
      </c>
      <c r="P183" s="25">
        <v>122.345</v>
      </c>
      <c r="Q183" s="25">
        <v>118.749</v>
      </c>
      <c r="R183" s="34">
        <v>3.0282360272507591E-2</v>
      </c>
    </row>
    <row r="184" spans="1:18" x14ac:dyDescent="0.15">
      <c r="A184" s="26">
        <v>177</v>
      </c>
      <c r="B184" s="25">
        <v>123144</v>
      </c>
      <c r="C184" s="25" t="s">
        <v>724</v>
      </c>
      <c r="D184" s="25">
        <v>110.7</v>
      </c>
      <c r="E184" s="34">
        <v>1.5700000000000002E-2</v>
      </c>
      <c r="F184" s="25">
        <v>13.85</v>
      </c>
      <c r="G184" s="25">
        <v>70.97</v>
      </c>
      <c r="H184" s="43">
        <v>0.55979999999999996</v>
      </c>
      <c r="I184" s="57">
        <v>166.68</v>
      </c>
      <c r="J184" s="32">
        <v>46854</v>
      </c>
      <c r="K184" s="33">
        <v>4.4580000000000002</v>
      </c>
      <c r="L184" s="33">
        <v>5.999066</v>
      </c>
      <c r="M184" s="33">
        <v>2842.0348677000002</v>
      </c>
      <c r="N184" s="34">
        <v>4.279550356328865E-2</v>
      </c>
      <c r="O184" s="34">
        <v>1.8610000000000002E-2</v>
      </c>
      <c r="P184" s="25">
        <v>111.708</v>
      </c>
      <c r="Q184" s="25">
        <v>108.301</v>
      </c>
      <c r="R184" s="34">
        <v>3.1458619957341082E-2</v>
      </c>
    </row>
    <row r="185" spans="1:18" x14ac:dyDescent="0.15">
      <c r="A185" s="26">
        <v>178</v>
      </c>
      <c r="B185" s="25">
        <v>113656</v>
      </c>
      <c r="C185" s="25" t="s">
        <v>716</v>
      </c>
      <c r="D185" s="25">
        <v>114.77200000000001</v>
      </c>
      <c r="E185" s="34">
        <v>2.1600000000000001E-2</v>
      </c>
      <c r="F185" s="25">
        <v>22.9</v>
      </c>
      <c r="G185" s="25">
        <v>73.41</v>
      </c>
      <c r="H185" s="43">
        <v>0.56340000000000001</v>
      </c>
      <c r="I185" s="57">
        <v>171.11200000000002</v>
      </c>
      <c r="J185" s="32">
        <v>46997</v>
      </c>
      <c r="K185" s="33">
        <v>4.8490000000000002</v>
      </c>
      <c r="L185" s="33">
        <v>7.9998699999999996</v>
      </c>
      <c r="M185" s="33">
        <v>491.36189999999999</v>
      </c>
      <c r="N185" s="34">
        <v>5.3515871114103112E-3</v>
      </c>
      <c r="O185" s="34">
        <v>8.8409999999999999E-3</v>
      </c>
      <c r="P185" s="25">
        <v>114.88</v>
      </c>
      <c r="Q185" s="25">
        <v>112.34699999999999</v>
      </c>
      <c r="R185" s="34">
        <v>2.25462184125967E-2</v>
      </c>
    </row>
    <row r="186" spans="1:18" x14ac:dyDescent="0.15">
      <c r="A186" s="26">
        <v>179</v>
      </c>
      <c r="B186" s="25">
        <v>127090</v>
      </c>
      <c r="C186" s="25" t="s">
        <v>1072</v>
      </c>
      <c r="D186" s="25">
        <v>124</v>
      </c>
      <c r="E186" s="34">
        <v>4.5499999999999999E-2</v>
      </c>
      <c r="F186" s="25">
        <v>26.3</v>
      </c>
      <c r="G186" s="25">
        <v>78.819999999999993</v>
      </c>
      <c r="H186" s="43">
        <v>0.57320000000000004</v>
      </c>
      <c r="I186" s="57">
        <v>181.32</v>
      </c>
      <c r="J186" s="32">
        <v>47323</v>
      </c>
      <c r="K186" s="33">
        <v>5.742</v>
      </c>
      <c r="L186" s="33">
        <v>4.62</v>
      </c>
      <c r="M186" s="33">
        <v>16513.483986700001</v>
      </c>
      <c r="N186" s="34">
        <v>0.28825380510229021</v>
      </c>
      <c r="O186" s="34">
        <v>-7.3899999999999999E-3</v>
      </c>
      <c r="P186" s="25">
        <v>124</v>
      </c>
      <c r="Q186" s="25">
        <v>117.73</v>
      </c>
      <c r="R186" s="34">
        <v>5.3257453495285788E-2</v>
      </c>
    </row>
    <row r="187" spans="1:18" x14ac:dyDescent="0.15">
      <c r="A187" s="26">
        <v>180</v>
      </c>
      <c r="B187" s="25">
        <v>123189</v>
      </c>
      <c r="C187" s="25" t="s">
        <v>1033</v>
      </c>
      <c r="D187" s="25">
        <v>113.02</v>
      </c>
      <c r="E187" s="34">
        <v>9.4999999999999998E-3</v>
      </c>
      <c r="F187" s="25">
        <v>19.46</v>
      </c>
      <c r="G187" s="25">
        <v>71.53</v>
      </c>
      <c r="H187" s="43">
        <v>0.57999999999999996</v>
      </c>
      <c r="I187" s="57">
        <v>171.01999999999998</v>
      </c>
      <c r="J187" s="32">
        <v>47214</v>
      </c>
      <c r="K187" s="33">
        <v>5.444</v>
      </c>
      <c r="L187" s="33">
        <v>3.2899759999999998</v>
      </c>
      <c r="M187" s="33">
        <v>265.8939499</v>
      </c>
      <c r="N187" s="34">
        <v>7.1508953566618303E-3</v>
      </c>
      <c r="O187" s="34">
        <v>1.0024999999999999E-2</v>
      </c>
      <c r="P187" s="25">
        <v>113.4</v>
      </c>
      <c r="Q187" s="25">
        <v>111.934</v>
      </c>
      <c r="R187" s="34">
        <v>1.3097003591402149E-2</v>
      </c>
    </row>
    <row r="188" spans="1:18" x14ac:dyDescent="0.15">
      <c r="A188" s="26">
        <v>181</v>
      </c>
      <c r="B188" s="25">
        <v>127077</v>
      </c>
      <c r="C188" s="25" t="s">
        <v>1103</v>
      </c>
      <c r="D188" s="25">
        <v>109</v>
      </c>
      <c r="E188" s="34">
        <v>2.4199999999999999E-2</v>
      </c>
      <c r="F188" s="25">
        <v>13.92</v>
      </c>
      <c r="G188" s="25">
        <v>68.75</v>
      </c>
      <c r="H188" s="43">
        <v>0.58550000000000002</v>
      </c>
      <c r="I188" s="57">
        <v>167.55</v>
      </c>
      <c r="J188" s="32">
        <v>47089</v>
      </c>
      <c r="K188" s="33">
        <v>5.101</v>
      </c>
      <c r="L188" s="33">
        <v>5.1495100000000003</v>
      </c>
      <c r="M188" s="33">
        <v>3093.0913570000002</v>
      </c>
      <c r="N188" s="34">
        <v>5.5106184717779949E-2</v>
      </c>
      <c r="O188" s="34">
        <v>2.0937999999999998E-2</v>
      </c>
      <c r="P188" s="25">
        <v>109</v>
      </c>
      <c r="Q188" s="25">
        <v>106.809</v>
      </c>
      <c r="R188" s="34">
        <v>2.0513252628523836E-2</v>
      </c>
    </row>
    <row r="189" spans="1:18" x14ac:dyDescent="0.15">
      <c r="A189" s="26">
        <v>182</v>
      </c>
      <c r="B189" s="25">
        <v>118006</v>
      </c>
      <c r="C189" s="25" t="s">
        <v>1018</v>
      </c>
      <c r="D189" s="25">
        <v>115.474</v>
      </c>
      <c r="E189" s="34">
        <v>3.7699999999999997E-2</v>
      </c>
      <c r="F189" s="25">
        <v>28.29</v>
      </c>
      <c r="G189" s="25">
        <v>72.819999999999993</v>
      </c>
      <c r="H189" s="43">
        <v>0.5857</v>
      </c>
      <c r="I189" s="57">
        <v>174.04400000000001</v>
      </c>
      <c r="J189" s="32">
        <v>46827</v>
      </c>
      <c r="K189" s="33">
        <v>4.3840000000000003</v>
      </c>
      <c r="L189" s="33">
        <v>3.8703699999999999</v>
      </c>
      <c r="M189" s="33">
        <v>20142.8969</v>
      </c>
      <c r="N189" s="34">
        <v>0.45069758932776049</v>
      </c>
      <c r="O189" s="34">
        <v>1.1368E-2</v>
      </c>
      <c r="P189" s="25">
        <v>116.5</v>
      </c>
      <c r="Q189" s="25">
        <v>112</v>
      </c>
      <c r="R189" s="34">
        <v>4.0178571428571432E-2</v>
      </c>
    </row>
    <row r="190" spans="1:18" x14ac:dyDescent="0.15">
      <c r="A190" s="26">
        <v>183</v>
      </c>
      <c r="B190" s="25">
        <v>118007</v>
      </c>
      <c r="C190" s="25" t="s">
        <v>694</v>
      </c>
      <c r="D190" s="25">
        <v>123.017</v>
      </c>
      <c r="E190" s="34">
        <v>2.5000000000000001E-3</v>
      </c>
      <c r="F190" s="25">
        <v>24.52</v>
      </c>
      <c r="G190" s="25">
        <v>76.709999999999994</v>
      </c>
      <c r="H190" s="43">
        <v>0.60370000000000001</v>
      </c>
      <c r="I190" s="57">
        <v>183.387</v>
      </c>
      <c r="J190" s="32">
        <v>46834</v>
      </c>
      <c r="K190" s="33">
        <v>4.4029999999999996</v>
      </c>
      <c r="L190" s="33">
        <v>2.6729699999999998</v>
      </c>
      <c r="M190" s="33">
        <v>668.88900000000001</v>
      </c>
      <c r="N190" s="34">
        <v>2.0342055633753017E-2</v>
      </c>
      <c r="O190" s="34">
        <v>-5.3700000000000006E-3</v>
      </c>
      <c r="P190" s="25">
        <v>123.09099999999999</v>
      </c>
      <c r="Q190" s="25">
        <v>121.65</v>
      </c>
      <c r="R190" s="34">
        <v>1.1845458281956336E-2</v>
      </c>
    </row>
    <row r="191" spans="1:18" x14ac:dyDescent="0.15">
      <c r="A191" s="26">
        <v>184</v>
      </c>
      <c r="B191" s="25">
        <v>123142</v>
      </c>
      <c r="C191" s="25" t="s">
        <v>1106</v>
      </c>
      <c r="D191" s="25">
        <v>113.852</v>
      </c>
      <c r="E191" s="34">
        <v>1.3100000000000001E-2</v>
      </c>
      <c r="F191" s="25">
        <v>33.909999999999997</v>
      </c>
      <c r="G191" s="25">
        <v>70.22</v>
      </c>
      <c r="H191" s="43">
        <v>0.62139999999999995</v>
      </c>
      <c r="I191" s="57">
        <v>175.99200000000002</v>
      </c>
      <c r="J191" s="32">
        <v>46830</v>
      </c>
      <c r="K191" s="33">
        <v>4.3920000000000003</v>
      </c>
      <c r="L191" s="33">
        <v>5.4964310000000003</v>
      </c>
      <c r="M191" s="33">
        <v>1036.3925160000001</v>
      </c>
      <c r="N191" s="34">
        <v>1.6561620304766211E-2</v>
      </c>
      <c r="O191" s="34">
        <v>3.7519999999999997E-3</v>
      </c>
      <c r="P191" s="25">
        <v>114.309</v>
      </c>
      <c r="Q191" s="25">
        <v>112.456</v>
      </c>
      <c r="R191" s="34">
        <v>1.647755566621607E-2</v>
      </c>
    </row>
    <row r="192" spans="1:18" x14ac:dyDescent="0.15">
      <c r="A192" s="26">
        <v>185</v>
      </c>
      <c r="B192" s="25">
        <v>123196</v>
      </c>
      <c r="C192" s="25" t="s">
        <v>1100</v>
      </c>
      <c r="D192" s="25">
        <v>120.485</v>
      </c>
      <c r="E192" s="34">
        <v>-1E-3</v>
      </c>
      <c r="F192" s="25">
        <v>32.799999999999997</v>
      </c>
      <c r="G192" s="25">
        <v>74.05</v>
      </c>
      <c r="H192" s="43">
        <v>0.62709999999999999</v>
      </c>
      <c r="I192" s="57">
        <v>183.19499999999999</v>
      </c>
      <c r="J192" s="32">
        <v>47226</v>
      </c>
      <c r="K192" s="33">
        <v>5.4770000000000003</v>
      </c>
      <c r="L192" s="33">
        <v>3.5072450000000002</v>
      </c>
      <c r="M192" s="33">
        <v>1567.0069630999999</v>
      </c>
      <c r="N192" s="34">
        <v>3.7082741995963488E-2</v>
      </c>
      <c r="O192" s="34">
        <v>-1.5179999999999998E-3</v>
      </c>
      <c r="P192" s="25">
        <v>120.699</v>
      </c>
      <c r="Q192" s="25">
        <v>119.64100000000001</v>
      </c>
      <c r="R192" s="34">
        <v>8.8431223410034409E-3</v>
      </c>
    </row>
    <row r="193" spans="1:18" x14ac:dyDescent="0.15">
      <c r="A193" s="26">
        <v>186</v>
      </c>
      <c r="B193" s="25">
        <v>123185</v>
      </c>
      <c r="C193" s="25" t="s">
        <v>1078</v>
      </c>
      <c r="D193" s="25">
        <v>117.40600000000001</v>
      </c>
      <c r="E193" s="34">
        <v>5.6999999999999993E-3</v>
      </c>
      <c r="F193" s="25">
        <v>37.71</v>
      </c>
      <c r="G193" s="25">
        <v>67.2</v>
      </c>
      <c r="H193" s="43">
        <v>0.74709999999999999</v>
      </c>
      <c r="I193" s="57">
        <v>192.11599999999999</v>
      </c>
      <c r="J193" s="32">
        <v>47208</v>
      </c>
      <c r="K193" s="33">
        <v>5.4269999999999996</v>
      </c>
      <c r="L193" s="33">
        <v>3.4788929999999998</v>
      </c>
      <c r="M193" s="33">
        <v>1154.3370758999999</v>
      </c>
      <c r="N193" s="34">
        <v>2.8261895193548513E-2</v>
      </c>
      <c r="O193" s="34">
        <v>7.9200000000000006E-4</v>
      </c>
      <c r="P193" s="25">
        <v>117.8</v>
      </c>
      <c r="Q193" s="25">
        <v>116.501</v>
      </c>
      <c r="R193" s="34">
        <v>1.1150118883099649E-2</v>
      </c>
    </row>
    <row r="194" spans="1:18" x14ac:dyDescent="0.15">
      <c r="A194" s="26">
        <v>187</v>
      </c>
      <c r="B194" s="25">
        <v>118018</v>
      </c>
      <c r="C194" s="25" t="s">
        <v>721</v>
      </c>
      <c r="D194" s="25">
        <v>112.202</v>
      </c>
      <c r="E194" s="34">
        <v>6.7000000000000002E-3</v>
      </c>
      <c r="F194" s="25">
        <v>30.91</v>
      </c>
      <c r="G194" s="25">
        <v>63.96</v>
      </c>
      <c r="H194" s="43">
        <v>0.75430000000000008</v>
      </c>
      <c r="I194" s="57">
        <v>187.63200000000001</v>
      </c>
      <c r="J194" s="32">
        <v>46983</v>
      </c>
      <c r="K194" s="33">
        <v>4.8109999999999999</v>
      </c>
      <c r="L194" s="33">
        <v>4.2999499999999999</v>
      </c>
      <c r="M194" s="33">
        <v>447.5335</v>
      </c>
      <c r="N194" s="34">
        <v>9.2760172151807995E-3</v>
      </c>
      <c r="O194" s="34">
        <v>3.9150000000000001E-3</v>
      </c>
      <c r="P194" s="25">
        <v>112.89</v>
      </c>
      <c r="Q194" s="25">
        <v>111.122</v>
      </c>
      <c r="R194" s="34">
        <v>1.591044077680388E-2</v>
      </c>
    </row>
    <row r="195" spans="1:18" x14ac:dyDescent="0.15">
      <c r="A195" s="26">
        <v>188</v>
      </c>
      <c r="B195" s="25">
        <v>127080</v>
      </c>
      <c r="C195" s="25" t="s">
        <v>759</v>
      </c>
      <c r="D195" s="25">
        <v>163.554</v>
      </c>
      <c r="E195" s="34">
        <v>1.8000000000000002E-2</v>
      </c>
      <c r="F195" s="25">
        <v>29.14</v>
      </c>
      <c r="G195" s="25">
        <v>93</v>
      </c>
      <c r="H195" s="43">
        <v>0.75859999999999994</v>
      </c>
      <c r="I195" s="57">
        <v>239.41399999999999</v>
      </c>
      <c r="J195" s="32">
        <v>47117</v>
      </c>
      <c r="K195" s="33">
        <v>5.1779999999999999</v>
      </c>
      <c r="L195" s="33">
        <v>2.798934</v>
      </c>
      <c r="M195" s="33">
        <v>12495.950973000001</v>
      </c>
      <c r="N195" s="34">
        <v>0.27297035518072738</v>
      </c>
      <c r="O195" s="34">
        <v>-5.7572999999999999E-2</v>
      </c>
      <c r="P195" s="25">
        <v>164.55500000000001</v>
      </c>
      <c r="Q195" s="25">
        <v>161.1</v>
      </c>
      <c r="R195" s="34">
        <v>2.1446306641837446E-2</v>
      </c>
    </row>
    <row r="196" spans="1:18" x14ac:dyDescent="0.15">
      <c r="A196" s="26">
        <v>189</v>
      </c>
      <c r="B196" s="25">
        <v>123180</v>
      </c>
      <c r="C196" s="25" t="s">
        <v>1031</v>
      </c>
      <c r="D196" s="25">
        <v>109.7</v>
      </c>
      <c r="E196" s="34">
        <v>8.6E-3</v>
      </c>
      <c r="F196" s="25">
        <v>48.49</v>
      </c>
      <c r="G196" s="25">
        <v>58.78</v>
      </c>
      <c r="H196" s="43">
        <v>0.86629999999999996</v>
      </c>
      <c r="I196" s="57">
        <v>196.32999999999998</v>
      </c>
      <c r="J196" s="32">
        <v>47186</v>
      </c>
      <c r="K196" s="33">
        <v>5.367</v>
      </c>
      <c r="L196" s="33">
        <v>3.1996600000000002</v>
      </c>
      <c r="M196" s="33">
        <v>506.79887750000006</v>
      </c>
      <c r="N196" s="34">
        <v>1.4438603310238907E-2</v>
      </c>
      <c r="O196" s="34">
        <v>1.7310000000000002E-2</v>
      </c>
      <c r="P196" s="25">
        <v>109.85</v>
      </c>
      <c r="Q196" s="25">
        <v>108.542</v>
      </c>
      <c r="R196" s="34">
        <v>1.2050634777321155E-2</v>
      </c>
    </row>
  </sheetData>
  <autoFilter ref="A7:T94">
    <sortState ref="A8:T19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T10" sqref="T10"/>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80</v>
      </c>
      <c r="B1" s="8"/>
      <c r="C1" s="35" t="s">
        <v>438</v>
      </c>
      <c r="D1" s="12"/>
      <c r="E1" s="12"/>
      <c r="I1" s="8" t="s">
        <v>404</v>
      </c>
      <c r="J1" s="8"/>
      <c r="K1" s="30" t="s">
        <v>405</v>
      </c>
      <c r="L1" s="37"/>
      <c r="M1" s="31"/>
      <c r="N1" s="30"/>
      <c r="O1" s="30"/>
      <c r="P1" s="30"/>
      <c r="R1" s="8" t="s">
        <v>674</v>
      </c>
      <c r="S1" s="8"/>
      <c r="U1" s="7"/>
      <c r="V1" s="7"/>
    </row>
    <row r="2" spans="1:23" s="6" customFormat="1" x14ac:dyDescent="0.15">
      <c r="A2" s="6" t="s">
        <v>45</v>
      </c>
      <c r="B2" s="6" t="s">
        <v>44</v>
      </c>
      <c r="C2" s="6" t="s">
        <v>398</v>
      </c>
      <c r="D2" s="4" t="s">
        <v>78</v>
      </c>
      <c r="E2" s="4" t="s">
        <v>215</v>
      </c>
      <c r="H2" s="15"/>
      <c r="I2" s="6" t="s">
        <v>400</v>
      </c>
      <c r="J2" s="6" t="s">
        <v>401</v>
      </c>
      <c r="K2" s="6" t="s">
        <v>398</v>
      </c>
      <c r="L2" s="38" t="s">
        <v>29</v>
      </c>
      <c r="M2" s="28" t="s">
        <v>403</v>
      </c>
      <c r="N2" s="4" t="s">
        <v>76</v>
      </c>
      <c r="Q2" s="15"/>
      <c r="R2" s="6" t="s">
        <v>400</v>
      </c>
      <c r="S2" s="6" t="s">
        <v>401</v>
      </c>
      <c r="T2" s="6" t="s">
        <v>398</v>
      </c>
      <c r="U2" s="38" t="s">
        <v>29</v>
      </c>
      <c r="V2" s="28" t="s">
        <v>403</v>
      </c>
      <c r="W2" s="4" t="s">
        <v>76</v>
      </c>
    </row>
    <row r="3" spans="1:23" x14ac:dyDescent="0.15">
      <c r="A3" s="1">
        <v>110052</v>
      </c>
      <c r="B3" s="1" t="s">
        <v>660</v>
      </c>
      <c r="C3" s="7">
        <f>VLOOKUP(A3,可转债实时数据!$B$7:$D$196,3,FALSE)</f>
        <v>134.92099999999999</v>
      </c>
      <c r="D3" s="5">
        <f t="shared" ref="D3:D34" si="0">MATCH(A3,$I$1:$I$130,0)-2</f>
        <v>8</v>
      </c>
      <c r="E3" s="5">
        <f t="shared" ref="E3:E34" si="1">MATCH(A3,$R$1:$R$43,0)-2</f>
        <v>9</v>
      </c>
      <c r="H3" s="14">
        <v>1</v>
      </c>
      <c r="I3">
        <v>110060</v>
      </c>
      <c r="J3" t="s">
        <v>1014</v>
      </c>
      <c r="K3">
        <v>144.43199999999999</v>
      </c>
      <c r="L3" s="39">
        <v>-1.43E-2</v>
      </c>
      <c r="M3" s="17">
        <v>5.8559400000000004</v>
      </c>
      <c r="N3" s="5" t="str">
        <f>IF(ISNA(MATCH(I3,$A$3:$A$130,0)),"未买","Yes")</f>
        <v>未买</v>
      </c>
      <c r="Q3" s="14">
        <v>1</v>
      </c>
      <c r="R3" s="7">
        <v>110060</v>
      </c>
      <c r="S3" s="7" t="s">
        <v>1014</v>
      </c>
      <c r="T3" s="7">
        <v>144.43199999999999</v>
      </c>
      <c r="U3" s="39">
        <v>-1.43E-2</v>
      </c>
      <c r="V3" s="17">
        <v>5.8559400000000004</v>
      </c>
      <c r="W3" s="5" t="str">
        <f t="shared" ref="W3:W52" si="2">IF(ISNA(MATCH(R3,$A$2:$A$43,0)),"未买","Yes")</f>
        <v>未买</v>
      </c>
    </row>
    <row r="4" spans="1:23" x14ac:dyDescent="0.15">
      <c r="A4" s="1">
        <v>110061</v>
      </c>
      <c r="B4" s="1" t="s">
        <v>464</v>
      </c>
      <c r="C4" s="7" t="e">
        <f>VLOOKUP(A4,可转债实时数据!$B$7:$D$196,3,FALSE)</f>
        <v>#N/A</v>
      </c>
      <c r="D4" s="5" t="e">
        <f t="shared" si="0"/>
        <v>#N/A</v>
      </c>
      <c r="E4" s="5" t="e">
        <f t="shared" si="1"/>
        <v>#N/A</v>
      </c>
      <c r="H4" s="14">
        <v>2</v>
      </c>
      <c r="I4">
        <v>128017</v>
      </c>
      <c r="J4" t="s">
        <v>1109</v>
      </c>
      <c r="K4">
        <v>105.9</v>
      </c>
      <c r="L4" s="39">
        <v>-2.2000000000000001E-3</v>
      </c>
      <c r="M4" s="17">
        <v>5.3474430000000002</v>
      </c>
      <c r="N4" s="5" t="str">
        <f>IF(ISNA(MATCH(I4,$A$3:$A$130,0)),"未买","Yes")</f>
        <v>Yes</v>
      </c>
      <c r="Q4" s="14">
        <v>2</v>
      </c>
      <c r="R4" s="7">
        <v>128017</v>
      </c>
      <c r="S4" s="7" t="s">
        <v>1109</v>
      </c>
      <c r="T4" s="7">
        <v>105.9</v>
      </c>
      <c r="U4" s="39">
        <v>-2.2000000000000001E-3</v>
      </c>
      <c r="V4" s="17">
        <v>5.3474430000000002</v>
      </c>
      <c r="W4" s="5" t="str">
        <f t="shared" si="2"/>
        <v>Yes</v>
      </c>
    </row>
    <row r="5" spans="1:23" x14ac:dyDescent="0.15">
      <c r="A5" s="1">
        <v>110074</v>
      </c>
      <c r="B5" s="1" t="s">
        <v>661</v>
      </c>
      <c r="C5" s="7">
        <f>VLOOKUP(A5,可转债实时数据!$B$7:$D$196,3,FALSE)</f>
        <v>132.73400000000001</v>
      </c>
      <c r="D5" s="5">
        <f t="shared" si="0"/>
        <v>32</v>
      </c>
      <c r="E5" s="5">
        <f t="shared" si="1"/>
        <v>34</v>
      </c>
      <c r="H5" s="14">
        <v>3</v>
      </c>
      <c r="I5">
        <v>113578</v>
      </c>
      <c r="J5" t="s">
        <v>1016</v>
      </c>
      <c r="K5">
        <v>104.119</v>
      </c>
      <c r="L5" s="39">
        <v>5.9999999999999995E-4</v>
      </c>
      <c r="M5" s="17">
        <v>2.9155500000000001</v>
      </c>
      <c r="N5" s="5" t="str">
        <f>IF(ISNA(MATCH(I5,$A$3:$A$130,0)),"未买","Yes")</f>
        <v>未买</v>
      </c>
      <c r="Q5" s="14">
        <v>3</v>
      </c>
      <c r="R5" s="7">
        <v>113578</v>
      </c>
      <c r="S5" s="7" t="s">
        <v>1016</v>
      </c>
      <c r="T5" s="7">
        <v>104.119</v>
      </c>
      <c r="U5" s="39">
        <v>5.9999999999999995E-4</v>
      </c>
      <c r="V5" s="17">
        <v>2.9155500000000001</v>
      </c>
      <c r="W5" s="5" t="str">
        <f t="shared" si="2"/>
        <v>未买</v>
      </c>
    </row>
    <row r="6" spans="1:23" x14ac:dyDescent="0.15">
      <c r="A6" s="1">
        <v>110084</v>
      </c>
      <c r="B6" s="1" t="s">
        <v>79</v>
      </c>
      <c r="C6" s="7" t="e">
        <f>VLOOKUP(A6,可转债实时数据!$B$7:$D$196,3,FALSE)</f>
        <v>#N/A</v>
      </c>
      <c r="D6" s="5" t="e">
        <f t="shared" si="0"/>
        <v>#N/A</v>
      </c>
      <c r="E6" s="5" t="e">
        <f t="shared" si="1"/>
        <v>#N/A</v>
      </c>
      <c r="H6" s="14">
        <v>4</v>
      </c>
      <c r="I6">
        <v>113519</v>
      </c>
      <c r="J6" t="s">
        <v>1011</v>
      </c>
      <c r="K6">
        <v>129.607</v>
      </c>
      <c r="L6" s="39">
        <v>4.7999999999999996E-3</v>
      </c>
      <c r="M6" s="17">
        <v>2.9148800000000001</v>
      </c>
      <c r="N6" s="5" t="str">
        <f>IF(ISNA(MATCH(I6,$A$3:$A$130,0)),"未买","Yes")</f>
        <v>未买</v>
      </c>
      <c r="Q6" s="14">
        <v>4</v>
      </c>
      <c r="R6" s="7">
        <v>113519</v>
      </c>
      <c r="S6" s="7" t="s">
        <v>1011</v>
      </c>
      <c r="T6" s="7">
        <v>129.607</v>
      </c>
      <c r="U6" s="39">
        <v>4.7999999999999996E-3</v>
      </c>
      <c r="V6" s="17">
        <v>2.9148800000000001</v>
      </c>
      <c r="W6" s="5" t="str">
        <f t="shared" si="2"/>
        <v>未买</v>
      </c>
    </row>
    <row r="7" spans="1:23" x14ac:dyDescent="0.15">
      <c r="A7" s="1">
        <v>113027</v>
      </c>
      <c r="B7" s="1" t="s">
        <v>38</v>
      </c>
      <c r="C7" s="7">
        <f>VLOOKUP(A7,可转债实时数据!$B$7:$D$196,3,FALSE)</f>
        <v>135.76300000000001</v>
      </c>
      <c r="D7" s="5">
        <f t="shared" si="0"/>
        <v>30</v>
      </c>
      <c r="E7" s="5">
        <f t="shared" si="1"/>
        <v>32</v>
      </c>
      <c r="H7" s="14">
        <v>5</v>
      </c>
      <c r="I7">
        <v>123177</v>
      </c>
      <c r="J7" t="s">
        <v>774</v>
      </c>
      <c r="K7">
        <v>137.75</v>
      </c>
      <c r="L7" s="39">
        <v>2.2599999999999999E-2</v>
      </c>
      <c r="M7" s="17">
        <v>2.8788290000000001</v>
      </c>
      <c r="N7" s="5" t="str">
        <f t="shared" ref="N7:N52" si="3">IF(ISNA(MATCH(I7,$A$3:$A$130,0)),"未买","Yes")</f>
        <v>未买</v>
      </c>
      <c r="Q7" s="14">
        <v>5</v>
      </c>
      <c r="R7" s="7">
        <v>127065</v>
      </c>
      <c r="S7" s="7" t="s">
        <v>739</v>
      </c>
      <c r="T7" s="7">
        <v>244.911</v>
      </c>
      <c r="U7" s="39">
        <v>9.0000000000000011E-3</v>
      </c>
      <c r="V7" s="17">
        <v>2.101607</v>
      </c>
      <c r="W7" s="5" t="str">
        <f t="shared" si="2"/>
        <v>未买</v>
      </c>
    </row>
    <row r="8" spans="1:23" x14ac:dyDescent="0.15">
      <c r="A8" s="1">
        <v>113039</v>
      </c>
      <c r="B8" s="1" t="s">
        <v>37</v>
      </c>
      <c r="C8" s="7">
        <f>VLOOKUP(A8,可转债实时数据!$B$7:$D$196,3,FALSE)</f>
        <v>134.25800000000001</v>
      </c>
      <c r="D8" s="5">
        <f t="shared" si="0"/>
        <v>44</v>
      </c>
      <c r="E8" s="5" t="e">
        <f t="shared" si="1"/>
        <v>#N/A</v>
      </c>
      <c r="H8" s="14">
        <v>6</v>
      </c>
      <c r="I8">
        <v>123092</v>
      </c>
      <c r="J8" t="s">
        <v>1049</v>
      </c>
      <c r="K8">
        <v>189.5</v>
      </c>
      <c r="L8" s="39">
        <v>3.8900000000000004E-2</v>
      </c>
      <c r="M8" s="17">
        <v>3.9967389999999998</v>
      </c>
      <c r="N8" s="5" t="str">
        <f t="shared" si="3"/>
        <v>未买</v>
      </c>
      <c r="Q8" s="14">
        <v>6</v>
      </c>
      <c r="R8" s="7">
        <v>123177</v>
      </c>
      <c r="S8" s="7" t="s">
        <v>774</v>
      </c>
      <c r="T8" s="7">
        <v>137.75</v>
      </c>
      <c r="U8" s="39">
        <v>2.2599999999999999E-2</v>
      </c>
      <c r="V8" s="17">
        <v>2.8788290000000001</v>
      </c>
      <c r="W8" s="5" t="str">
        <f t="shared" si="2"/>
        <v>未买</v>
      </c>
    </row>
    <row r="9" spans="1:23" x14ac:dyDescent="0.15">
      <c r="A9" s="1">
        <v>113504</v>
      </c>
      <c r="B9" s="1" t="s">
        <v>64</v>
      </c>
      <c r="C9" s="7" t="e">
        <f>VLOOKUP(A9,可转债实时数据!$B$7:$D$196,3,FALSE)</f>
        <v>#N/A</v>
      </c>
      <c r="D9" s="5" t="e">
        <f t="shared" si="0"/>
        <v>#N/A</v>
      </c>
      <c r="E9" s="5" t="e">
        <f t="shared" si="1"/>
        <v>#N/A</v>
      </c>
      <c r="H9" s="14">
        <v>7</v>
      </c>
      <c r="I9">
        <v>123129</v>
      </c>
      <c r="J9" t="s">
        <v>75</v>
      </c>
      <c r="K9">
        <v>131.17699999999999</v>
      </c>
      <c r="L9" s="39">
        <v>4.7100000000000003E-2</v>
      </c>
      <c r="M9" s="17">
        <v>2.703605</v>
      </c>
      <c r="N9" s="5" t="str">
        <f t="shared" si="3"/>
        <v>未买</v>
      </c>
      <c r="Q9" s="14">
        <v>7</v>
      </c>
      <c r="R9" s="7">
        <v>123092</v>
      </c>
      <c r="S9" s="7" t="s">
        <v>1049</v>
      </c>
      <c r="T9" s="7">
        <v>189.5</v>
      </c>
      <c r="U9" s="39">
        <v>3.8900000000000004E-2</v>
      </c>
      <c r="V9" s="17">
        <v>3.9967389999999998</v>
      </c>
      <c r="W9" s="5" t="str">
        <f t="shared" si="2"/>
        <v>未买</v>
      </c>
    </row>
    <row r="10" spans="1:23" x14ac:dyDescent="0.15">
      <c r="A10" s="1">
        <v>113525</v>
      </c>
      <c r="B10" s="1" t="s">
        <v>66</v>
      </c>
      <c r="C10" s="7" t="e">
        <f>VLOOKUP(A10,可转债实时数据!$B$7:$D$196,3,FALSE)</f>
        <v>#N/A</v>
      </c>
      <c r="D10" s="5" t="e">
        <f t="shared" si="0"/>
        <v>#N/A</v>
      </c>
      <c r="E10" s="5" t="e">
        <f t="shared" si="1"/>
        <v>#N/A</v>
      </c>
      <c r="H10" s="14">
        <v>8</v>
      </c>
      <c r="I10">
        <v>110052</v>
      </c>
      <c r="J10" t="s">
        <v>767</v>
      </c>
      <c r="K10">
        <v>134.92099999999999</v>
      </c>
      <c r="L10" s="39">
        <v>4.7199999999999999E-2</v>
      </c>
      <c r="M10" s="17">
        <v>2.8803800000000002</v>
      </c>
      <c r="N10" s="5" t="str">
        <f t="shared" si="3"/>
        <v>Yes</v>
      </c>
      <c r="Q10" s="14">
        <v>8</v>
      </c>
      <c r="R10" s="7">
        <v>123129</v>
      </c>
      <c r="S10" s="7" t="s">
        <v>75</v>
      </c>
      <c r="T10" s="7">
        <v>131.17699999999999</v>
      </c>
      <c r="U10" s="39">
        <v>4.7100000000000003E-2</v>
      </c>
      <c r="V10" s="17">
        <v>2.703605</v>
      </c>
      <c r="W10" s="5" t="str">
        <f t="shared" si="2"/>
        <v>未买</v>
      </c>
    </row>
    <row r="11" spans="1:23" x14ac:dyDescent="0.15">
      <c r="A11" s="1">
        <v>113526</v>
      </c>
      <c r="B11" s="1" t="s">
        <v>68</v>
      </c>
      <c r="C11" s="7">
        <f>VLOOKUP(A11,可转债实时数据!$B$7:$D$196,3,FALSE)</f>
        <v>123.60599999999999</v>
      </c>
      <c r="D11" s="5" t="e">
        <f t="shared" si="0"/>
        <v>#N/A</v>
      </c>
      <c r="E11" s="5" t="e">
        <f t="shared" si="1"/>
        <v>#N/A</v>
      </c>
      <c r="H11" s="14">
        <v>9</v>
      </c>
      <c r="I11">
        <v>113588</v>
      </c>
      <c r="J11" t="s">
        <v>1063</v>
      </c>
      <c r="K11">
        <v>143.791</v>
      </c>
      <c r="L11" s="39">
        <v>5.1200000000000002E-2</v>
      </c>
      <c r="M11" s="17">
        <v>5.1671199999999997</v>
      </c>
      <c r="N11" s="5" t="str">
        <f t="shared" si="3"/>
        <v>未买</v>
      </c>
      <c r="Q11" s="14">
        <v>9</v>
      </c>
      <c r="R11" s="7">
        <v>110052</v>
      </c>
      <c r="S11" s="7" t="s">
        <v>767</v>
      </c>
      <c r="T11" s="7">
        <v>134.92099999999999</v>
      </c>
      <c r="U11" s="39">
        <v>4.7199999999999999E-2</v>
      </c>
      <c r="V11" s="17">
        <v>2.8803800000000002</v>
      </c>
      <c r="W11" s="5" t="str">
        <f t="shared" si="2"/>
        <v>Yes</v>
      </c>
    </row>
    <row r="12" spans="1:23" x14ac:dyDescent="0.15">
      <c r="A12" s="1">
        <v>113546</v>
      </c>
      <c r="B12" s="1" t="s">
        <v>51</v>
      </c>
      <c r="C12" s="7">
        <f>VLOOKUP(A12,可转债实时数据!$B$7:$D$196,3,FALSE)</f>
        <v>126.26600000000001</v>
      </c>
      <c r="D12" s="5" t="e">
        <f t="shared" si="0"/>
        <v>#N/A</v>
      </c>
      <c r="E12" s="5" t="e">
        <f t="shared" si="1"/>
        <v>#N/A</v>
      </c>
      <c r="H12" s="14">
        <v>10</v>
      </c>
      <c r="I12">
        <v>128087</v>
      </c>
      <c r="J12" t="s">
        <v>60</v>
      </c>
      <c r="K12">
        <v>125.12</v>
      </c>
      <c r="L12" s="39">
        <v>6.0100000000000001E-2</v>
      </c>
      <c r="M12" s="17">
        <v>6.4429340000000002</v>
      </c>
      <c r="N12" s="5" t="str">
        <f t="shared" si="3"/>
        <v>Yes</v>
      </c>
      <c r="Q12" s="14">
        <v>10</v>
      </c>
      <c r="R12" s="7">
        <v>113588</v>
      </c>
      <c r="S12" s="7" t="s">
        <v>1063</v>
      </c>
      <c r="T12" s="7">
        <v>143.791</v>
      </c>
      <c r="U12" s="39">
        <v>5.1200000000000002E-2</v>
      </c>
      <c r="V12" s="17">
        <v>5.1671199999999997</v>
      </c>
      <c r="W12" s="5" t="str">
        <f t="shared" si="2"/>
        <v>未买</v>
      </c>
    </row>
    <row r="13" spans="1:23" x14ac:dyDescent="0.15">
      <c r="A13" s="1">
        <v>113567</v>
      </c>
      <c r="B13" s="1" t="s">
        <v>36</v>
      </c>
      <c r="C13" s="7" t="e">
        <f>VLOOKUP(A13,可转债实时数据!$B$7:$D$196,3,FALSE)</f>
        <v>#N/A</v>
      </c>
      <c r="D13" s="5" t="e">
        <f t="shared" si="0"/>
        <v>#N/A</v>
      </c>
      <c r="E13" s="5" t="e">
        <f t="shared" si="1"/>
        <v>#N/A</v>
      </c>
      <c r="H13" s="14">
        <v>11</v>
      </c>
      <c r="I13">
        <v>118021</v>
      </c>
      <c r="J13" t="s">
        <v>1050</v>
      </c>
      <c r="K13">
        <v>165.863</v>
      </c>
      <c r="L13" s="39">
        <v>6.2600000000000003E-2</v>
      </c>
      <c r="M13" s="17">
        <v>4.8390899999999997</v>
      </c>
      <c r="N13" s="5" t="str">
        <f t="shared" si="3"/>
        <v>未买</v>
      </c>
      <c r="Q13" s="14">
        <v>11</v>
      </c>
      <c r="R13" s="7">
        <v>128087</v>
      </c>
      <c r="S13" s="7" t="s">
        <v>60</v>
      </c>
      <c r="T13" s="7">
        <v>125.12</v>
      </c>
      <c r="U13" s="39">
        <v>6.0100000000000001E-2</v>
      </c>
      <c r="V13" s="17">
        <v>6.4429340000000002</v>
      </c>
      <c r="W13" s="5" t="str">
        <f t="shared" si="2"/>
        <v>未买</v>
      </c>
    </row>
    <row r="14" spans="1:23" x14ac:dyDescent="0.15">
      <c r="A14" s="1">
        <v>113577</v>
      </c>
      <c r="B14" s="1" t="s">
        <v>58</v>
      </c>
      <c r="C14" s="7" t="e">
        <f>VLOOKUP(A14,可转债实时数据!$B$7:$D$196,3,FALSE)</f>
        <v>#N/A</v>
      </c>
      <c r="D14" s="5" t="e">
        <f t="shared" si="0"/>
        <v>#N/A</v>
      </c>
      <c r="E14" s="5" t="e">
        <f t="shared" si="1"/>
        <v>#N/A</v>
      </c>
      <c r="H14" s="14">
        <v>12</v>
      </c>
      <c r="I14">
        <v>113534</v>
      </c>
      <c r="J14" t="s">
        <v>1045</v>
      </c>
      <c r="K14">
        <v>196.74799999999999</v>
      </c>
      <c r="L14" s="39">
        <v>7.1900000000000006E-2</v>
      </c>
      <c r="M14" s="17">
        <v>3.7582499999999999</v>
      </c>
      <c r="N14" s="5" t="str">
        <f t="shared" si="3"/>
        <v>未买</v>
      </c>
      <c r="Q14" s="14">
        <v>12</v>
      </c>
      <c r="R14" s="7">
        <v>118021</v>
      </c>
      <c r="S14" s="7" t="s">
        <v>1050</v>
      </c>
      <c r="T14" s="7">
        <v>165.863</v>
      </c>
      <c r="U14" s="39">
        <v>6.2600000000000003E-2</v>
      </c>
      <c r="V14" s="17">
        <v>4.8390899999999997</v>
      </c>
      <c r="W14" s="5" t="str">
        <f t="shared" si="2"/>
        <v>未买</v>
      </c>
    </row>
    <row r="15" spans="1:23" x14ac:dyDescent="0.15">
      <c r="A15" s="1">
        <v>113582</v>
      </c>
      <c r="B15" s="1" t="s">
        <v>662</v>
      </c>
      <c r="C15" s="7">
        <f>VLOOKUP(A15,可转债实时数据!$B$7:$D$196,3,FALSE)</f>
        <v>136.61000000000001</v>
      </c>
      <c r="D15" s="5" t="e">
        <f t="shared" si="0"/>
        <v>#N/A</v>
      </c>
      <c r="E15" s="5" t="e">
        <f t="shared" si="1"/>
        <v>#N/A</v>
      </c>
      <c r="H15" s="14">
        <v>13</v>
      </c>
      <c r="I15">
        <v>113595</v>
      </c>
      <c r="J15" t="s">
        <v>67</v>
      </c>
      <c r="K15">
        <v>99.3</v>
      </c>
      <c r="L15" s="39">
        <v>7.2000000000000008E-2</v>
      </c>
      <c r="M15" s="17">
        <v>2.5596700000000001</v>
      </c>
      <c r="N15" s="5" t="str">
        <f t="shared" si="3"/>
        <v>Yes</v>
      </c>
      <c r="Q15" s="14">
        <v>13</v>
      </c>
      <c r="R15" s="7">
        <v>113534</v>
      </c>
      <c r="S15" s="7" t="s">
        <v>1045</v>
      </c>
      <c r="T15" s="7">
        <v>196.74799999999999</v>
      </c>
      <c r="U15" s="39">
        <v>7.1900000000000006E-2</v>
      </c>
      <c r="V15" s="17">
        <v>3.7582499999999999</v>
      </c>
      <c r="W15" s="5" t="str">
        <f t="shared" si="2"/>
        <v>未买</v>
      </c>
    </row>
    <row r="16" spans="1:23" x14ac:dyDescent="0.15">
      <c r="A16" s="1">
        <v>113585</v>
      </c>
      <c r="B16" s="1" t="s">
        <v>217</v>
      </c>
      <c r="C16" s="7" t="e">
        <f>VLOOKUP(A16,可转债实时数据!$B$7:$D$196,3,FALSE)</f>
        <v>#N/A</v>
      </c>
      <c r="D16" s="5" t="e">
        <f t="shared" si="0"/>
        <v>#N/A</v>
      </c>
      <c r="E16" s="5" t="e">
        <f t="shared" si="1"/>
        <v>#N/A</v>
      </c>
      <c r="H16" s="14">
        <v>14</v>
      </c>
      <c r="I16">
        <v>123187</v>
      </c>
      <c r="J16" t="s">
        <v>1051</v>
      </c>
      <c r="K16">
        <v>134.1</v>
      </c>
      <c r="L16" s="39">
        <v>7.7300000000000008E-2</v>
      </c>
      <c r="M16" s="17">
        <v>4.6856900000000001</v>
      </c>
      <c r="N16" s="5" t="str">
        <f t="shared" si="3"/>
        <v>未买</v>
      </c>
      <c r="Q16" s="14">
        <v>14</v>
      </c>
      <c r="R16" s="7">
        <v>113595</v>
      </c>
      <c r="S16" s="7" t="s">
        <v>67</v>
      </c>
      <c r="T16" s="7">
        <v>99.3</v>
      </c>
      <c r="U16" s="39">
        <v>7.2000000000000008E-2</v>
      </c>
      <c r="V16" s="17">
        <v>2.5596700000000001</v>
      </c>
      <c r="W16" s="5" t="str">
        <f t="shared" si="2"/>
        <v>Yes</v>
      </c>
    </row>
    <row r="17" spans="1:23" x14ac:dyDescent="0.15">
      <c r="A17" s="1">
        <v>113591</v>
      </c>
      <c r="B17" s="1" t="s">
        <v>35</v>
      </c>
      <c r="C17" s="7">
        <f>VLOOKUP(A17,可转债实时数据!$B$7:$D$196,3,FALSE)</f>
        <v>129.97999999999999</v>
      </c>
      <c r="D17" s="5">
        <f t="shared" si="0"/>
        <v>18</v>
      </c>
      <c r="E17" s="5">
        <f t="shared" si="1"/>
        <v>20</v>
      </c>
      <c r="H17" s="14">
        <v>15</v>
      </c>
      <c r="I17">
        <v>127037</v>
      </c>
      <c r="J17" t="s">
        <v>730</v>
      </c>
      <c r="K17">
        <v>189.55799999999999</v>
      </c>
      <c r="L17" s="39">
        <v>8.48E-2</v>
      </c>
      <c r="M17" s="17">
        <v>6.99404</v>
      </c>
      <c r="N17" s="5" t="str">
        <f t="shared" si="3"/>
        <v>未买</v>
      </c>
      <c r="Q17" s="14">
        <v>15</v>
      </c>
      <c r="R17" s="7">
        <v>128106</v>
      </c>
      <c r="S17" s="7" t="s">
        <v>1048</v>
      </c>
      <c r="T17" s="7">
        <v>202.393</v>
      </c>
      <c r="U17" s="39">
        <v>7.4700000000000003E-2</v>
      </c>
      <c r="V17" s="17">
        <v>2.8681749999999999</v>
      </c>
      <c r="W17" s="5" t="str">
        <f t="shared" si="2"/>
        <v>未买</v>
      </c>
    </row>
    <row r="18" spans="1:23" x14ac:dyDescent="0.15">
      <c r="A18" s="1">
        <v>113595</v>
      </c>
      <c r="B18" s="1" t="s">
        <v>67</v>
      </c>
      <c r="C18" s="7">
        <f>VLOOKUP(A18,可转债实时数据!$B$7:$D$196,3,FALSE)</f>
        <v>99.3</v>
      </c>
      <c r="D18" s="5">
        <f t="shared" si="0"/>
        <v>13</v>
      </c>
      <c r="E18" s="5">
        <f t="shared" si="1"/>
        <v>14</v>
      </c>
      <c r="H18" s="14">
        <v>16</v>
      </c>
      <c r="I18">
        <v>128091</v>
      </c>
      <c r="J18" t="s">
        <v>746</v>
      </c>
      <c r="K18">
        <v>160.80000000000001</v>
      </c>
      <c r="L18" s="39">
        <v>8.4900000000000003E-2</v>
      </c>
      <c r="M18" s="17">
        <v>1.5232429999999999</v>
      </c>
      <c r="N18" s="5" t="str">
        <f t="shared" si="3"/>
        <v>Yes</v>
      </c>
      <c r="Q18" s="14">
        <v>16</v>
      </c>
      <c r="R18" s="7">
        <v>123187</v>
      </c>
      <c r="S18" s="7" t="s">
        <v>1051</v>
      </c>
      <c r="T18" s="7">
        <v>134.1</v>
      </c>
      <c r="U18" s="39">
        <v>7.7300000000000008E-2</v>
      </c>
      <c r="V18" s="17">
        <v>4.6856900000000001</v>
      </c>
      <c r="W18" s="5" t="str">
        <f t="shared" si="2"/>
        <v>未买</v>
      </c>
    </row>
    <row r="19" spans="1:23" x14ac:dyDescent="0.15">
      <c r="A19" s="1">
        <v>113598</v>
      </c>
      <c r="B19" s="1" t="s">
        <v>55</v>
      </c>
      <c r="C19" s="7">
        <f>VLOOKUP(A19,可转债实时数据!$B$7:$D$196,3,FALSE)</f>
        <v>135.96899999999999</v>
      </c>
      <c r="D19" s="5" t="e">
        <f t="shared" si="0"/>
        <v>#N/A</v>
      </c>
      <c r="E19" s="5" t="e">
        <f t="shared" si="1"/>
        <v>#N/A</v>
      </c>
      <c r="H19" s="14">
        <v>17</v>
      </c>
      <c r="I19">
        <v>128049</v>
      </c>
      <c r="J19" t="s">
        <v>754</v>
      </c>
      <c r="K19">
        <v>129.601</v>
      </c>
      <c r="L19" s="39">
        <v>9.0399999999999994E-2</v>
      </c>
      <c r="M19" s="17">
        <v>3.6079189999999999</v>
      </c>
      <c r="N19" s="5" t="str">
        <f t="shared" si="3"/>
        <v>Yes</v>
      </c>
      <c r="Q19" s="14">
        <v>17</v>
      </c>
      <c r="R19" s="7">
        <v>127037</v>
      </c>
      <c r="S19" s="7" t="s">
        <v>730</v>
      </c>
      <c r="T19" s="7">
        <v>189.55799999999999</v>
      </c>
      <c r="U19" s="39">
        <v>8.48E-2</v>
      </c>
      <c r="V19" s="17">
        <v>6.99404</v>
      </c>
      <c r="W19" s="5" t="str">
        <f t="shared" si="2"/>
        <v>未买</v>
      </c>
    </row>
    <row r="20" spans="1:23" x14ac:dyDescent="0.15">
      <c r="A20" s="1">
        <v>113657</v>
      </c>
      <c r="B20" s="1" t="s">
        <v>469</v>
      </c>
      <c r="C20" s="7">
        <f>VLOOKUP(A20,可转债实时数据!$B$7:$D$196,3,FALSE)</f>
        <v>109.801</v>
      </c>
      <c r="D20" s="5" t="e">
        <f t="shared" si="0"/>
        <v>#N/A</v>
      </c>
      <c r="E20" s="5" t="e">
        <f t="shared" si="1"/>
        <v>#N/A</v>
      </c>
      <c r="H20" s="14">
        <v>18</v>
      </c>
      <c r="I20">
        <v>113591</v>
      </c>
      <c r="J20" t="s">
        <v>35</v>
      </c>
      <c r="K20">
        <v>129.97999999999999</v>
      </c>
      <c r="L20" s="39">
        <v>9.3299999999999994E-2</v>
      </c>
      <c r="M20" s="17">
        <v>4.7427099999999998</v>
      </c>
      <c r="N20" s="5" t="str">
        <f t="shared" si="3"/>
        <v>Yes</v>
      </c>
      <c r="Q20" s="14">
        <v>18</v>
      </c>
      <c r="R20" s="7">
        <v>128091</v>
      </c>
      <c r="S20" s="7" t="s">
        <v>746</v>
      </c>
      <c r="T20" s="7">
        <v>160.80000000000001</v>
      </c>
      <c r="U20" s="39">
        <v>8.4900000000000003E-2</v>
      </c>
      <c r="V20" s="17">
        <v>1.5232429999999999</v>
      </c>
      <c r="W20" s="5" t="str">
        <f t="shared" si="2"/>
        <v>未买</v>
      </c>
    </row>
    <row r="21" spans="1:23" x14ac:dyDescent="0.15">
      <c r="A21" s="1">
        <v>118016</v>
      </c>
      <c r="B21" s="1" t="s">
        <v>467</v>
      </c>
      <c r="C21" s="7">
        <f>VLOOKUP(A21,可转债实时数据!$B$7:$D$196,3,FALSE)</f>
        <v>118.572</v>
      </c>
      <c r="D21" s="5" t="e">
        <f t="shared" si="0"/>
        <v>#N/A</v>
      </c>
      <c r="E21" s="5" t="e">
        <f t="shared" si="1"/>
        <v>#N/A</v>
      </c>
      <c r="H21" s="14">
        <v>19</v>
      </c>
      <c r="I21">
        <v>127014</v>
      </c>
      <c r="J21" t="s">
        <v>1047</v>
      </c>
      <c r="K21">
        <v>165.8</v>
      </c>
      <c r="L21" s="39">
        <v>0.10249999999999999</v>
      </c>
      <c r="M21" s="17">
        <v>5.3383750000000001</v>
      </c>
      <c r="N21" s="5" t="str">
        <f t="shared" si="3"/>
        <v>未买</v>
      </c>
      <c r="Q21" s="14">
        <v>19</v>
      </c>
      <c r="R21" s="7">
        <v>128049</v>
      </c>
      <c r="S21" s="7" t="s">
        <v>754</v>
      </c>
      <c r="T21" s="7">
        <v>129.601</v>
      </c>
      <c r="U21" s="39">
        <v>9.0399999999999994E-2</v>
      </c>
      <c r="V21" s="17">
        <v>3.6079189999999999</v>
      </c>
      <c r="W21" s="5" t="str">
        <f t="shared" si="2"/>
        <v>未买</v>
      </c>
    </row>
    <row r="22" spans="1:23" x14ac:dyDescent="0.15">
      <c r="A22" s="1">
        <v>123012</v>
      </c>
      <c r="B22" s="1" t="s">
        <v>43</v>
      </c>
      <c r="C22" s="7" t="e">
        <f>VLOOKUP(A22,可转债实时数据!$B$7:$D$196,3,FALSE)</f>
        <v>#N/A</v>
      </c>
      <c r="D22" s="5" t="e">
        <f t="shared" si="0"/>
        <v>#N/A</v>
      </c>
      <c r="E22" s="5" t="e">
        <f t="shared" si="1"/>
        <v>#N/A</v>
      </c>
      <c r="H22" s="14">
        <v>20</v>
      </c>
      <c r="I22">
        <v>127078</v>
      </c>
      <c r="J22" t="s">
        <v>741</v>
      </c>
      <c r="K22">
        <v>127.5</v>
      </c>
      <c r="L22" s="39">
        <v>0.10869999999999999</v>
      </c>
      <c r="M22" s="17">
        <v>5.999746</v>
      </c>
      <c r="N22" s="5" t="str">
        <f t="shared" si="3"/>
        <v>未买</v>
      </c>
      <c r="Q22" s="14">
        <v>20</v>
      </c>
      <c r="R22" s="7">
        <v>113591</v>
      </c>
      <c r="S22" s="7" t="s">
        <v>35</v>
      </c>
      <c r="T22" s="7">
        <v>129.97999999999999</v>
      </c>
      <c r="U22" s="39">
        <v>9.3299999999999994E-2</v>
      </c>
      <c r="V22" s="17">
        <v>4.7427099999999998</v>
      </c>
      <c r="W22" s="5" t="str">
        <f t="shared" si="2"/>
        <v>Yes</v>
      </c>
    </row>
    <row r="23" spans="1:23" x14ac:dyDescent="0.15">
      <c r="A23" s="1">
        <v>123014</v>
      </c>
      <c r="B23" s="1" t="s">
        <v>42</v>
      </c>
      <c r="C23" s="7" t="e">
        <f>VLOOKUP(A23,可转债实时数据!$B$7:$D$196,3,FALSE)</f>
        <v>#N/A</v>
      </c>
      <c r="D23" s="5" t="e">
        <f t="shared" si="0"/>
        <v>#N/A</v>
      </c>
      <c r="E23" s="5" t="e">
        <f t="shared" si="1"/>
        <v>#N/A</v>
      </c>
      <c r="H23" s="14">
        <v>21</v>
      </c>
      <c r="I23">
        <v>113628</v>
      </c>
      <c r="J23" t="s">
        <v>1022</v>
      </c>
      <c r="K23">
        <v>126.54</v>
      </c>
      <c r="L23" s="39">
        <v>0.1094</v>
      </c>
      <c r="M23" s="17">
        <v>4.1492800000000001</v>
      </c>
      <c r="N23" s="5" t="str">
        <f t="shared" si="3"/>
        <v>未买</v>
      </c>
      <c r="Q23" s="14">
        <v>21</v>
      </c>
      <c r="R23" s="7">
        <v>127014</v>
      </c>
      <c r="S23" s="7" t="s">
        <v>1047</v>
      </c>
      <c r="T23" s="7">
        <v>165.8</v>
      </c>
      <c r="U23" s="39">
        <v>0.10249999999999999</v>
      </c>
      <c r="V23" s="17">
        <v>5.3383750000000001</v>
      </c>
      <c r="W23" s="5" t="str">
        <f t="shared" si="2"/>
        <v>未买</v>
      </c>
    </row>
    <row r="24" spans="1:23" x14ac:dyDescent="0.15">
      <c r="A24" s="1">
        <v>123025</v>
      </c>
      <c r="B24" s="1" t="s">
        <v>47</v>
      </c>
      <c r="C24" s="7">
        <f>VLOOKUP(A24,可转债实时数据!$B$7:$D$196,3,FALSE)</f>
        <v>207.4</v>
      </c>
      <c r="D24" s="5" t="e">
        <f t="shared" si="0"/>
        <v>#N/A</v>
      </c>
      <c r="E24" s="5">
        <f t="shared" si="1"/>
        <v>39</v>
      </c>
      <c r="H24" s="14">
        <v>22</v>
      </c>
      <c r="I24">
        <v>113576</v>
      </c>
      <c r="J24" t="s">
        <v>1114</v>
      </c>
      <c r="K24">
        <v>96.087999999999994</v>
      </c>
      <c r="L24" s="39">
        <v>0.13039999999999999</v>
      </c>
      <c r="M24" s="17">
        <v>2.6555</v>
      </c>
      <c r="N24" s="5" t="str">
        <f t="shared" si="3"/>
        <v>未买</v>
      </c>
      <c r="Q24" s="14">
        <v>22</v>
      </c>
      <c r="R24" s="7">
        <v>127078</v>
      </c>
      <c r="S24" s="7" t="s">
        <v>741</v>
      </c>
      <c r="T24" s="7">
        <v>127.5</v>
      </c>
      <c r="U24" s="39">
        <v>0.10869999999999999</v>
      </c>
      <c r="V24" s="17">
        <v>5.999746</v>
      </c>
      <c r="W24" s="5" t="str">
        <f t="shared" si="2"/>
        <v>未买</v>
      </c>
    </row>
    <row r="25" spans="1:23" x14ac:dyDescent="0.15">
      <c r="A25" s="1">
        <v>123052</v>
      </c>
      <c r="B25" s="1" t="s">
        <v>210</v>
      </c>
      <c r="C25" s="7">
        <f>VLOOKUP(A25,可转债实时数据!$B$7:$D$196,3,FALSE)</f>
        <v>144.80000000000001</v>
      </c>
      <c r="D25" s="5" t="e">
        <f t="shared" si="0"/>
        <v>#N/A</v>
      </c>
      <c r="E25" s="5" t="e">
        <f t="shared" si="1"/>
        <v>#N/A</v>
      </c>
      <c r="H25" s="14">
        <v>23</v>
      </c>
      <c r="I25">
        <v>123127</v>
      </c>
      <c r="J25" t="s">
        <v>57</v>
      </c>
      <c r="K25">
        <v>132.851</v>
      </c>
      <c r="L25" s="39">
        <v>0.13339999999999999</v>
      </c>
      <c r="M25" s="17">
        <v>3.9973380000000001</v>
      </c>
      <c r="N25" s="5" t="str">
        <f t="shared" si="3"/>
        <v>未买</v>
      </c>
      <c r="Q25" s="14">
        <v>23</v>
      </c>
      <c r="R25" s="7">
        <v>113628</v>
      </c>
      <c r="S25" s="7" t="s">
        <v>1022</v>
      </c>
      <c r="T25" s="7">
        <v>126.54</v>
      </c>
      <c r="U25" s="39">
        <v>0.1094</v>
      </c>
      <c r="V25" s="17">
        <v>4.1492800000000001</v>
      </c>
      <c r="W25" s="5" t="str">
        <f t="shared" si="2"/>
        <v>未买</v>
      </c>
    </row>
    <row r="26" spans="1:23" x14ac:dyDescent="0.15">
      <c r="A26" s="1">
        <v>123057</v>
      </c>
      <c r="B26" s="1" t="s">
        <v>211</v>
      </c>
      <c r="C26" s="7" t="e">
        <f>VLOOKUP(A26,可转债实时数据!$B$7:$D$196,3,FALSE)</f>
        <v>#N/A</v>
      </c>
      <c r="D26" s="5" t="e">
        <f t="shared" si="0"/>
        <v>#N/A</v>
      </c>
      <c r="E26" s="5" t="e">
        <f t="shared" si="1"/>
        <v>#N/A</v>
      </c>
      <c r="H26" s="14">
        <v>24</v>
      </c>
      <c r="I26">
        <v>123059</v>
      </c>
      <c r="J26" t="s">
        <v>742</v>
      </c>
      <c r="K26">
        <v>136.79900000000001</v>
      </c>
      <c r="L26" s="39">
        <v>0.13400000000000001</v>
      </c>
      <c r="M26" s="17">
        <v>3.9074730000000004</v>
      </c>
      <c r="N26" s="5" t="str">
        <f t="shared" si="3"/>
        <v>未买</v>
      </c>
      <c r="Q26" s="14">
        <v>24</v>
      </c>
      <c r="R26" s="7">
        <v>113576</v>
      </c>
      <c r="S26" s="7" t="s">
        <v>1114</v>
      </c>
      <c r="T26" s="7">
        <v>96.087999999999994</v>
      </c>
      <c r="U26" s="39">
        <v>0.13039999999999999</v>
      </c>
      <c r="V26" s="17">
        <v>2.6555</v>
      </c>
      <c r="W26" s="5" t="str">
        <f t="shared" si="2"/>
        <v>未买</v>
      </c>
    </row>
    <row r="27" spans="1:23" x14ac:dyDescent="0.15">
      <c r="A27" s="1">
        <v>123060</v>
      </c>
      <c r="B27" s="1" t="s">
        <v>223</v>
      </c>
      <c r="C27" s="7" t="e">
        <f>VLOOKUP(A27,可转债实时数据!$B$7:$D$196,3,FALSE)</f>
        <v>#N/A</v>
      </c>
      <c r="D27" s="5" t="e">
        <f t="shared" si="0"/>
        <v>#N/A</v>
      </c>
      <c r="E27" s="5" t="e">
        <f t="shared" si="1"/>
        <v>#N/A</v>
      </c>
      <c r="H27" s="14">
        <v>25</v>
      </c>
      <c r="I27">
        <v>128121</v>
      </c>
      <c r="J27" t="s">
        <v>722</v>
      </c>
      <c r="K27">
        <v>127.876</v>
      </c>
      <c r="L27" s="39">
        <v>0.13470000000000001</v>
      </c>
      <c r="M27" s="17">
        <v>6.6978809999999998</v>
      </c>
      <c r="N27" s="5" t="str">
        <f t="shared" si="3"/>
        <v>未买</v>
      </c>
      <c r="Q27" s="14">
        <v>25</v>
      </c>
      <c r="R27" s="7">
        <v>123127</v>
      </c>
      <c r="S27" s="7" t="s">
        <v>57</v>
      </c>
      <c r="T27" s="7">
        <v>132.851</v>
      </c>
      <c r="U27" s="39">
        <v>0.13339999999999999</v>
      </c>
      <c r="V27" s="17">
        <v>3.9973380000000001</v>
      </c>
      <c r="W27" s="5" t="str">
        <f t="shared" si="2"/>
        <v>未买</v>
      </c>
    </row>
    <row r="28" spans="1:23" x14ac:dyDescent="0.15">
      <c r="A28" s="1">
        <v>123080</v>
      </c>
      <c r="B28" s="1" t="s">
        <v>41</v>
      </c>
      <c r="C28" s="7">
        <f>VLOOKUP(A28,可转债实时数据!$B$7:$D$196,3,FALSE)</f>
        <v>133.411</v>
      </c>
      <c r="D28" s="5" t="e">
        <f t="shared" si="0"/>
        <v>#N/A</v>
      </c>
      <c r="E28" s="5" t="e">
        <f t="shared" si="1"/>
        <v>#N/A</v>
      </c>
      <c r="H28" s="14">
        <v>26</v>
      </c>
      <c r="I28">
        <v>123147</v>
      </c>
      <c r="J28" t="s">
        <v>437</v>
      </c>
      <c r="K28">
        <v>130.30000000000001</v>
      </c>
      <c r="L28" s="39">
        <v>0.1416</v>
      </c>
      <c r="M28" s="17">
        <v>5.7046939999999999</v>
      </c>
      <c r="N28" s="5" t="str">
        <f t="shared" si="3"/>
        <v>Yes</v>
      </c>
      <c r="Q28" s="14">
        <v>26</v>
      </c>
      <c r="R28" s="7">
        <v>123059</v>
      </c>
      <c r="S28" s="7" t="s">
        <v>742</v>
      </c>
      <c r="T28" s="7">
        <v>136.79900000000001</v>
      </c>
      <c r="U28" s="39">
        <v>0.13400000000000001</v>
      </c>
      <c r="V28" s="17">
        <v>3.9074730000000004</v>
      </c>
      <c r="W28" s="5" t="str">
        <f t="shared" si="2"/>
        <v>未买</v>
      </c>
    </row>
    <row r="29" spans="1:23" x14ac:dyDescent="0.15">
      <c r="A29" s="1">
        <v>123085</v>
      </c>
      <c r="B29" s="1" t="s">
        <v>663</v>
      </c>
      <c r="C29" s="7">
        <f>VLOOKUP(A29,可转债实时数据!$B$7:$D$196,3,FALSE)</f>
        <v>123</v>
      </c>
      <c r="D29" s="5" t="e">
        <f t="shared" si="0"/>
        <v>#N/A</v>
      </c>
      <c r="E29" s="5" t="e">
        <f t="shared" si="1"/>
        <v>#N/A</v>
      </c>
      <c r="H29" s="14">
        <v>27</v>
      </c>
      <c r="I29">
        <v>128090</v>
      </c>
      <c r="J29" t="s">
        <v>61</v>
      </c>
      <c r="K29">
        <v>129.75</v>
      </c>
      <c r="L29" s="39">
        <v>0.14580000000000001</v>
      </c>
      <c r="M29" s="17">
        <v>3.0986199999999999</v>
      </c>
      <c r="N29" s="5" t="str">
        <f t="shared" si="3"/>
        <v>Yes</v>
      </c>
      <c r="Q29" s="14">
        <v>27</v>
      </c>
      <c r="R29" s="7">
        <v>128121</v>
      </c>
      <c r="S29" s="7" t="s">
        <v>722</v>
      </c>
      <c r="T29" s="7">
        <v>127.876</v>
      </c>
      <c r="U29" s="39">
        <v>0.13470000000000001</v>
      </c>
      <c r="V29" s="17">
        <v>6.6978809999999998</v>
      </c>
      <c r="W29" s="5" t="str">
        <f t="shared" si="2"/>
        <v>未买</v>
      </c>
    </row>
    <row r="30" spans="1:23" x14ac:dyDescent="0.15">
      <c r="A30" s="1">
        <v>123089</v>
      </c>
      <c r="B30" s="1" t="s">
        <v>212</v>
      </c>
      <c r="C30" s="7">
        <f>VLOOKUP(A30,可转债实时数据!$B$7:$D$196,3,FALSE)</f>
        <v>122.099</v>
      </c>
      <c r="D30" s="5" t="e">
        <f t="shared" si="0"/>
        <v>#N/A</v>
      </c>
      <c r="E30" s="5" t="e">
        <f t="shared" si="1"/>
        <v>#N/A</v>
      </c>
      <c r="H30" s="14">
        <v>28</v>
      </c>
      <c r="I30">
        <v>111008</v>
      </c>
      <c r="J30" t="s">
        <v>686</v>
      </c>
      <c r="K30">
        <v>138.30099999999999</v>
      </c>
      <c r="L30" s="39">
        <v>0.14800000000000002</v>
      </c>
      <c r="M30" s="17">
        <v>3.8393600000000001</v>
      </c>
      <c r="N30" s="5" t="str">
        <f t="shared" si="3"/>
        <v>未买</v>
      </c>
      <c r="Q30" s="14">
        <v>28</v>
      </c>
      <c r="R30" s="7">
        <v>123147</v>
      </c>
      <c r="S30" s="7" t="s">
        <v>437</v>
      </c>
      <c r="T30" s="7">
        <v>130.30000000000001</v>
      </c>
      <c r="U30" s="39">
        <v>0.1416</v>
      </c>
      <c r="V30" s="17">
        <v>5.7046939999999999</v>
      </c>
      <c r="W30" s="5" t="str">
        <f t="shared" si="2"/>
        <v>Yes</v>
      </c>
    </row>
    <row r="31" spans="1:23" x14ac:dyDescent="0.15">
      <c r="A31" s="1">
        <v>123098</v>
      </c>
      <c r="B31" s="1" t="s">
        <v>439</v>
      </c>
      <c r="C31" s="7" t="e">
        <f>VLOOKUP(A31,可转债实时数据!$B$7:$D$196,3,FALSE)</f>
        <v>#N/A</v>
      </c>
      <c r="D31" s="5" t="e">
        <f t="shared" si="0"/>
        <v>#N/A</v>
      </c>
      <c r="E31" s="5" t="e">
        <f t="shared" si="1"/>
        <v>#N/A</v>
      </c>
      <c r="H31" s="14">
        <v>29</v>
      </c>
      <c r="I31">
        <v>128082</v>
      </c>
      <c r="J31" t="s">
        <v>679</v>
      </c>
      <c r="K31">
        <v>146.44499999999999</v>
      </c>
      <c r="L31" s="39">
        <v>0.1497</v>
      </c>
      <c r="M31" s="17">
        <v>2.0144419999999998</v>
      </c>
      <c r="N31" s="5" t="str">
        <f t="shared" si="3"/>
        <v>Yes</v>
      </c>
      <c r="Q31" s="14">
        <v>29</v>
      </c>
      <c r="R31" s="7">
        <v>128090</v>
      </c>
      <c r="S31" s="7" t="s">
        <v>61</v>
      </c>
      <c r="T31" s="7">
        <v>129.75</v>
      </c>
      <c r="U31" s="39">
        <v>0.14580000000000001</v>
      </c>
      <c r="V31" s="17">
        <v>3.0986199999999999</v>
      </c>
      <c r="W31" s="5" t="str">
        <f t="shared" si="2"/>
        <v>未买</v>
      </c>
    </row>
    <row r="32" spans="1:23" x14ac:dyDescent="0.15">
      <c r="A32" s="1">
        <v>123112</v>
      </c>
      <c r="B32" s="1" t="s">
        <v>63</v>
      </c>
      <c r="C32" s="7">
        <f>VLOOKUP(A32,可转债实时数据!$B$7:$D$196,3,FALSE)</f>
        <v>139.035</v>
      </c>
      <c r="D32" s="5" t="e">
        <f t="shared" si="0"/>
        <v>#N/A</v>
      </c>
      <c r="E32" s="5" t="e">
        <f t="shared" si="1"/>
        <v>#N/A</v>
      </c>
      <c r="H32" s="14">
        <v>30</v>
      </c>
      <c r="I32">
        <v>113027</v>
      </c>
      <c r="J32" t="s">
        <v>1115</v>
      </c>
      <c r="K32">
        <v>135.76300000000001</v>
      </c>
      <c r="L32" s="39">
        <v>0.15010000000000001</v>
      </c>
      <c r="M32" s="17">
        <v>2.3835700000000002</v>
      </c>
      <c r="N32" s="5" t="str">
        <f t="shared" si="3"/>
        <v>Yes</v>
      </c>
      <c r="Q32" s="14">
        <v>30</v>
      </c>
      <c r="R32" s="7">
        <v>111008</v>
      </c>
      <c r="S32" s="7" t="s">
        <v>686</v>
      </c>
      <c r="T32" s="7">
        <v>138.30099999999999</v>
      </c>
      <c r="U32" s="39">
        <v>0.14800000000000002</v>
      </c>
      <c r="V32" s="17">
        <v>3.8393600000000001</v>
      </c>
      <c r="W32" s="5" t="str">
        <f t="shared" si="2"/>
        <v>未买</v>
      </c>
    </row>
    <row r="33" spans="1:23" x14ac:dyDescent="0.15">
      <c r="A33" s="1">
        <v>123141</v>
      </c>
      <c r="B33" s="1" t="s">
        <v>209</v>
      </c>
      <c r="C33" s="7">
        <f>VLOOKUP(A33,可转债实时数据!$B$7:$D$196,3,FALSE)</f>
        <v>124.997</v>
      </c>
      <c r="D33" s="5">
        <f t="shared" si="0"/>
        <v>31</v>
      </c>
      <c r="E33" s="5">
        <f t="shared" si="1"/>
        <v>33</v>
      </c>
      <c r="H33" s="14">
        <v>31</v>
      </c>
      <c r="I33">
        <v>123141</v>
      </c>
      <c r="J33" t="s">
        <v>209</v>
      </c>
      <c r="K33">
        <v>124.997</v>
      </c>
      <c r="L33" s="39">
        <v>0.15130000000000002</v>
      </c>
      <c r="M33" s="17">
        <v>3.209943</v>
      </c>
      <c r="N33" s="5" t="str">
        <f t="shared" si="3"/>
        <v>Yes</v>
      </c>
      <c r="Q33" s="14">
        <v>31</v>
      </c>
      <c r="R33" s="7">
        <v>128082</v>
      </c>
      <c r="S33" s="7" t="s">
        <v>679</v>
      </c>
      <c r="T33" s="7">
        <v>146.44499999999999</v>
      </c>
      <c r="U33" s="39">
        <v>0.1497</v>
      </c>
      <c r="V33" s="17">
        <v>2.0144419999999998</v>
      </c>
      <c r="W33" s="5" t="str">
        <f t="shared" si="2"/>
        <v>未买</v>
      </c>
    </row>
    <row r="34" spans="1:23" x14ac:dyDescent="0.15">
      <c r="A34" s="1">
        <v>123147</v>
      </c>
      <c r="B34" s="1" t="s">
        <v>437</v>
      </c>
      <c r="C34" s="7">
        <f>VLOOKUP(A34,可转债实时数据!$B$7:$D$196,3,FALSE)</f>
        <v>130.30000000000001</v>
      </c>
      <c r="D34" s="5">
        <f t="shared" si="0"/>
        <v>26</v>
      </c>
      <c r="E34" s="5">
        <f t="shared" si="1"/>
        <v>28</v>
      </c>
      <c r="H34" s="14">
        <v>32</v>
      </c>
      <c r="I34">
        <v>110074</v>
      </c>
      <c r="J34" t="s">
        <v>750</v>
      </c>
      <c r="K34">
        <v>132.73400000000001</v>
      </c>
      <c r="L34" s="39">
        <v>0.15570000000000001</v>
      </c>
      <c r="M34" s="17">
        <v>5.0935600000000001</v>
      </c>
      <c r="N34" s="5" t="str">
        <f t="shared" si="3"/>
        <v>Yes</v>
      </c>
      <c r="Q34" s="14">
        <v>32</v>
      </c>
      <c r="R34" s="7">
        <v>113027</v>
      </c>
      <c r="S34" s="7" t="s">
        <v>1115</v>
      </c>
      <c r="T34" s="7">
        <v>135.76300000000001</v>
      </c>
      <c r="U34" s="39">
        <v>0.15010000000000001</v>
      </c>
      <c r="V34" s="17">
        <v>2.3835700000000002</v>
      </c>
      <c r="W34" s="5" t="str">
        <f t="shared" si="2"/>
        <v>Yes</v>
      </c>
    </row>
    <row r="35" spans="1:23" x14ac:dyDescent="0.15">
      <c r="A35" s="1">
        <v>127007</v>
      </c>
      <c r="B35" s="1" t="s">
        <v>216</v>
      </c>
      <c r="C35" s="7" t="e">
        <f>VLOOKUP(A35,可转债实时数据!$B$7:$D$196,3,FALSE)</f>
        <v>#N/A</v>
      </c>
      <c r="D35" s="5" t="e">
        <f t="shared" ref="D35:D56" si="4">MATCH(A35,$I$1:$I$130,0)-2</f>
        <v>#N/A</v>
      </c>
      <c r="E35" s="5" t="e">
        <f t="shared" ref="E35:E56" si="5">MATCH(A35,$R$1:$R$43,0)-2</f>
        <v>#N/A</v>
      </c>
      <c r="H35" s="14">
        <v>33</v>
      </c>
      <c r="I35">
        <v>113561</v>
      </c>
      <c r="J35" t="s">
        <v>1015</v>
      </c>
      <c r="K35">
        <v>132.79300000000001</v>
      </c>
      <c r="L35" s="39">
        <v>0.15909999999999999</v>
      </c>
      <c r="M35" s="17">
        <v>1.4984999999999999</v>
      </c>
      <c r="N35" s="5" t="str">
        <f t="shared" si="3"/>
        <v>未买</v>
      </c>
      <c r="Q35" s="14">
        <v>33</v>
      </c>
      <c r="R35" s="7">
        <v>123141</v>
      </c>
      <c r="S35" s="7" t="s">
        <v>209</v>
      </c>
      <c r="T35" s="7">
        <v>124.997</v>
      </c>
      <c r="U35" s="39">
        <v>0.15130000000000002</v>
      </c>
      <c r="V35" s="17">
        <v>3.209943</v>
      </c>
      <c r="W35" s="5" t="str">
        <f t="shared" si="2"/>
        <v>Yes</v>
      </c>
    </row>
    <row r="36" spans="1:23" x14ac:dyDescent="0.15">
      <c r="A36" s="1">
        <v>127028</v>
      </c>
      <c r="B36" s="1" t="s">
        <v>46</v>
      </c>
      <c r="C36" s="7">
        <f>VLOOKUP(A36,可转债实时数据!$B$7:$D$196,3,FALSE)</f>
        <v>134.09</v>
      </c>
      <c r="D36" s="5">
        <f t="shared" si="4"/>
        <v>34</v>
      </c>
      <c r="E36" s="5">
        <f t="shared" si="5"/>
        <v>36</v>
      </c>
      <c r="H36" s="14">
        <v>34</v>
      </c>
      <c r="I36">
        <v>127028</v>
      </c>
      <c r="J36" t="s">
        <v>46</v>
      </c>
      <c r="K36">
        <v>134.09</v>
      </c>
      <c r="L36" s="39">
        <v>0.16070000000000001</v>
      </c>
      <c r="M36" s="17">
        <v>4.0627279999999999</v>
      </c>
      <c r="N36" s="5" t="str">
        <f t="shared" si="3"/>
        <v>Yes</v>
      </c>
      <c r="Q36" s="14">
        <v>34</v>
      </c>
      <c r="R36" s="7">
        <v>110074</v>
      </c>
      <c r="S36" s="7" t="s">
        <v>750</v>
      </c>
      <c r="T36" s="7">
        <v>132.73400000000001</v>
      </c>
      <c r="U36" s="39">
        <v>0.15570000000000001</v>
      </c>
      <c r="V36" s="17">
        <v>5.0935600000000001</v>
      </c>
      <c r="W36" s="5" t="str">
        <f t="shared" si="2"/>
        <v>Yes</v>
      </c>
    </row>
    <row r="37" spans="1:23" x14ac:dyDescent="0.15">
      <c r="A37" s="1">
        <v>128017</v>
      </c>
      <c r="B37" s="1" t="s">
        <v>222</v>
      </c>
      <c r="C37" s="7">
        <f>VLOOKUP(A37,可转债实时数据!$B$7:$D$196,3,FALSE)</f>
        <v>105.9</v>
      </c>
      <c r="D37" s="5">
        <f t="shared" si="4"/>
        <v>2</v>
      </c>
      <c r="E37" s="5">
        <f t="shared" si="5"/>
        <v>2</v>
      </c>
      <c r="H37" s="14">
        <v>35</v>
      </c>
      <c r="I37">
        <v>123192</v>
      </c>
      <c r="J37" t="s">
        <v>1035</v>
      </c>
      <c r="K37">
        <v>147</v>
      </c>
      <c r="L37" s="39">
        <v>0.16420000000000001</v>
      </c>
      <c r="M37" s="17">
        <v>7.2481679999999988</v>
      </c>
      <c r="N37" s="5" t="str">
        <f t="shared" si="3"/>
        <v>未买</v>
      </c>
      <c r="Q37" s="14">
        <v>35</v>
      </c>
      <c r="R37" s="7">
        <v>113561</v>
      </c>
      <c r="S37" s="7" t="s">
        <v>1015</v>
      </c>
      <c r="T37" s="7">
        <v>132.79300000000001</v>
      </c>
      <c r="U37" s="39">
        <v>0.15909999999999999</v>
      </c>
      <c r="V37" s="17">
        <v>1.4984999999999999</v>
      </c>
      <c r="W37" s="5" t="str">
        <f t="shared" si="2"/>
        <v>未买</v>
      </c>
    </row>
    <row r="38" spans="1:23" x14ac:dyDescent="0.15">
      <c r="A38" s="1">
        <v>128021</v>
      </c>
      <c r="B38" s="1" t="s">
        <v>40</v>
      </c>
      <c r="C38" s="7" t="e">
        <f>VLOOKUP(A38,可转债实时数据!$B$7:$D$196,3,FALSE)</f>
        <v>#N/A</v>
      </c>
      <c r="D38" s="5" t="e">
        <f t="shared" si="4"/>
        <v>#N/A</v>
      </c>
      <c r="E38" s="5" t="e">
        <f t="shared" si="5"/>
        <v>#N/A</v>
      </c>
      <c r="H38" s="14">
        <v>36</v>
      </c>
      <c r="I38">
        <v>111011</v>
      </c>
      <c r="J38" t="s">
        <v>753</v>
      </c>
      <c r="K38">
        <v>131.499</v>
      </c>
      <c r="L38" s="39">
        <v>0.1666</v>
      </c>
      <c r="M38" s="17">
        <v>6.0157800000000003</v>
      </c>
      <c r="N38" s="5" t="str">
        <f t="shared" si="3"/>
        <v>未买</v>
      </c>
      <c r="Q38" s="14">
        <v>36</v>
      </c>
      <c r="R38" s="7">
        <v>127028</v>
      </c>
      <c r="S38" s="7" t="s">
        <v>46</v>
      </c>
      <c r="T38" s="7">
        <v>134.09</v>
      </c>
      <c r="U38" s="39">
        <v>0.16070000000000001</v>
      </c>
      <c r="V38" s="17">
        <v>4.0627279999999999</v>
      </c>
      <c r="W38" s="5" t="str">
        <f t="shared" si="2"/>
        <v>Yes</v>
      </c>
    </row>
    <row r="39" spans="1:23" x14ac:dyDescent="0.15">
      <c r="A39" s="1">
        <v>128022</v>
      </c>
      <c r="B39" s="1" t="s">
        <v>69</v>
      </c>
      <c r="C39" s="7" t="e">
        <f>VLOOKUP(A39,可转债实时数据!$B$7:$D$196,3,FALSE)</f>
        <v>#N/A</v>
      </c>
      <c r="D39" s="5" t="e">
        <f t="shared" si="4"/>
        <v>#N/A</v>
      </c>
      <c r="E39" s="5" t="e">
        <f t="shared" si="5"/>
        <v>#N/A</v>
      </c>
      <c r="H39" s="14">
        <v>37</v>
      </c>
      <c r="I39">
        <v>123164</v>
      </c>
      <c r="J39" t="s">
        <v>1025</v>
      </c>
      <c r="K39">
        <v>129.6</v>
      </c>
      <c r="L39" s="39">
        <v>0.16850000000000001</v>
      </c>
      <c r="M39" s="17">
        <v>5.9983240000000002</v>
      </c>
      <c r="N39" s="5" t="str">
        <f t="shared" si="3"/>
        <v>未买</v>
      </c>
      <c r="Q39" s="14">
        <v>37</v>
      </c>
      <c r="R39" s="7">
        <v>111011</v>
      </c>
      <c r="S39" s="7" t="s">
        <v>753</v>
      </c>
      <c r="T39" s="7">
        <v>131.499</v>
      </c>
      <c r="U39" s="39">
        <v>0.1666</v>
      </c>
      <c r="V39" s="17">
        <v>6.0157800000000003</v>
      </c>
      <c r="W39" s="5" t="str">
        <f t="shared" si="2"/>
        <v>未买</v>
      </c>
    </row>
    <row r="40" spans="1:23" x14ac:dyDescent="0.15">
      <c r="A40" s="1">
        <v>128033</v>
      </c>
      <c r="B40" s="1" t="s">
        <v>48</v>
      </c>
      <c r="C40" s="7" t="e">
        <f>VLOOKUP(A40,可转债实时数据!$B$7:$D$196,3,FALSE)</f>
        <v>#N/A</v>
      </c>
      <c r="D40" s="5" t="e">
        <f t="shared" si="4"/>
        <v>#N/A</v>
      </c>
      <c r="E40" s="5" t="e">
        <f t="shared" si="5"/>
        <v>#N/A</v>
      </c>
      <c r="H40" s="14">
        <v>38</v>
      </c>
      <c r="I40">
        <v>111015</v>
      </c>
      <c r="J40" t="s">
        <v>1055</v>
      </c>
      <c r="K40">
        <v>137.97900000000001</v>
      </c>
      <c r="L40" s="39">
        <v>0.1709</v>
      </c>
      <c r="M40" s="17">
        <v>6.9</v>
      </c>
      <c r="N40" s="5" t="str">
        <f t="shared" si="3"/>
        <v>未买</v>
      </c>
      <c r="Q40" s="14">
        <v>38</v>
      </c>
      <c r="R40" s="7">
        <v>123164</v>
      </c>
      <c r="S40" s="7" t="s">
        <v>1025</v>
      </c>
      <c r="T40" s="7">
        <v>129.6</v>
      </c>
      <c r="U40" s="39">
        <v>0.16850000000000001</v>
      </c>
      <c r="V40" s="17">
        <v>5.9983240000000002</v>
      </c>
      <c r="W40" s="5" t="str">
        <f t="shared" si="2"/>
        <v>未买</v>
      </c>
    </row>
    <row r="41" spans="1:23" x14ac:dyDescent="0.15">
      <c r="A41" s="7">
        <v>128037</v>
      </c>
      <c r="B41" s="7" t="s">
        <v>49</v>
      </c>
      <c r="C41" s="7" t="e">
        <f>VLOOKUP(A41,可转债实时数据!$B$7:$D$196,3,FALSE)</f>
        <v>#N/A</v>
      </c>
      <c r="D41" s="5" t="e">
        <f t="shared" si="4"/>
        <v>#N/A</v>
      </c>
      <c r="E41" s="5" t="e">
        <f t="shared" si="5"/>
        <v>#N/A</v>
      </c>
      <c r="H41" s="14">
        <v>39</v>
      </c>
      <c r="I41">
        <v>111012</v>
      </c>
      <c r="J41" t="s">
        <v>751</v>
      </c>
      <c r="K41">
        <v>124.3</v>
      </c>
      <c r="L41" s="39">
        <v>0.1714</v>
      </c>
      <c r="M41" s="17">
        <v>4.2877999999999998</v>
      </c>
      <c r="N41" s="5" t="str">
        <f t="shared" si="3"/>
        <v>未买</v>
      </c>
      <c r="Q41" s="14">
        <v>39</v>
      </c>
      <c r="R41" s="7">
        <v>123025</v>
      </c>
      <c r="S41" s="7" t="s">
        <v>1046</v>
      </c>
      <c r="T41" s="7">
        <v>207.4</v>
      </c>
      <c r="U41" s="39">
        <v>0.16879999999999998</v>
      </c>
      <c r="V41" s="17">
        <v>3.0842990000000001</v>
      </c>
      <c r="W41" s="5" t="str">
        <f t="shared" si="2"/>
        <v>Yes</v>
      </c>
    </row>
    <row r="42" spans="1:23" x14ac:dyDescent="0.15">
      <c r="A42" s="7">
        <v>128040</v>
      </c>
      <c r="B42" s="7" t="s">
        <v>39</v>
      </c>
      <c r="C42" s="7" t="e">
        <f>VLOOKUP(A42,可转债实时数据!$B$7:$D$196,3,FALSE)</f>
        <v>#N/A</v>
      </c>
      <c r="D42" s="5" t="e">
        <f t="shared" si="4"/>
        <v>#N/A</v>
      </c>
      <c r="E42" s="5" t="e">
        <f t="shared" si="5"/>
        <v>#N/A</v>
      </c>
      <c r="H42" s="14">
        <v>40</v>
      </c>
      <c r="I42">
        <v>123063</v>
      </c>
      <c r="J42" t="s">
        <v>680</v>
      </c>
      <c r="K42">
        <v>123.85899999999999</v>
      </c>
      <c r="L42" s="39">
        <v>0.17510000000000001</v>
      </c>
      <c r="M42" s="17">
        <v>6.345504</v>
      </c>
      <c r="N42" s="5" t="str">
        <f t="shared" si="3"/>
        <v>未买</v>
      </c>
      <c r="Q42" s="14">
        <v>40</v>
      </c>
      <c r="R42" s="7">
        <v>111015</v>
      </c>
      <c r="S42" s="7" t="s">
        <v>1055</v>
      </c>
      <c r="T42" s="7">
        <v>137.97900000000001</v>
      </c>
      <c r="U42" s="39">
        <v>0.1709</v>
      </c>
      <c r="V42" s="17">
        <v>6.9</v>
      </c>
      <c r="W42" s="5" t="str">
        <f t="shared" si="2"/>
        <v>未买</v>
      </c>
    </row>
    <row r="43" spans="1:23" x14ac:dyDescent="0.15">
      <c r="A43" s="7">
        <v>128042</v>
      </c>
      <c r="B43" s="7" t="s">
        <v>72</v>
      </c>
      <c r="C43" s="7" t="e">
        <f>VLOOKUP(A43,可转债实时数据!$B$7:$D$196,3,FALSE)</f>
        <v>#N/A</v>
      </c>
      <c r="D43" s="5" t="e">
        <f t="shared" si="4"/>
        <v>#N/A</v>
      </c>
      <c r="E43" s="5" t="e">
        <f t="shared" si="5"/>
        <v>#N/A</v>
      </c>
      <c r="H43" s="14">
        <v>41</v>
      </c>
      <c r="I43">
        <v>111004</v>
      </c>
      <c r="J43" t="s">
        <v>732</v>
      </c>
      <c r="K43">
        <v>128.57</v>
      </c>
      <c r="L43" s="39">
        <v>0.17760000000000001</v>
      </c>
      <c r="M43" s="17">
        <v>6.7293399999999997</v>
      </c>
      <c r="N43" s="5" t="str">
        <f t="shared" si="3"/>
        <v>未买</v>
      </c>
      <c r="Q43" s="14">
        <v>41</v>
      </c>
      <c r="R43" s="7">
        <v>111012</v>
      </c>
      <c r="S43" s="7" t="s">
        <v>751</v>
      </c>
      <c r="T43" s="7">
        <v>124.3</v>
      </c>
      <c r="U43" s="39">
        <v>0.1714</v>
      </c>
      <c r="V43" s="17">
        <v>4.2877999999999998</v>
      </c>
      <c r="W43" s="5" t="str">
        <f t="shared" si="2"/>
        <v>未买</v>
      </c>
    </row>
    <row r="44" spans="1:23" x14ac:dyDescent="0.15">
      <c r="A44" s="7">
        <v>128049</v>
      </c>
      <c r="B44" s="7" t="s">
        <v>71</v>
      </c>
      <c r="C44" s="7">
        <f>VLOOKUP(A44,可转债实时数据!$B$7:$D$196,3,FALSE)</f>
        <v>129.601</v>
      </c>
      <c r="D44" s="5">
        <f t="shared" si="4"/>
        <v>17</v>
      </c>
      <c r="E44" s="5">
        <f t="shared" si="5"/>
        <v>19</v>
      </c>
      <c r="H44" s="14">
        <v>42</v>
      </c>
      <c r="I44" s="7">
        <v>123167</v>
      </c>
      <c r="J44" s="7" t="s">
        <v>726</v>
      </c>
      <c r="K44" s="7">
        <v>133.964</v>
      </c>
      <c r="L44" s="40">
        <v>0.1777</v>
      </c>
      <c r="M44" s="29">
        <v>3.9367960000000002</v>
      </c>
      <c r="N44" s="5" t="str">
        <f>IF(ISNA(MATCH(I44,$A$3:$A$130,0)),"未买","Yes")</f>
        <v>未买</v>
      </c>
      <c r="Q44" s="14">
        <v>42</v>
      </c>
      <c r="R44" s="7">
        <v>123063</v>
      </c>
      <c r="S44" s="7" t="s">
        <v>680</v>
      </c>
      <c r="T44" s="7">
        <v>123.85899999999999</v>
      </c>
      <c r="U44" s="40">
        <v>0.17510000000000001</v>
      </c>
      <c r="V44" s="29">
        <v>6.345504</v>
      </c>
      <c r="W44" s="5" t="str">
        <f t="shared" si="2"/>
        <v>未买</v>
      </c>
    </row>
    <row r="45" spans="1:23" x14ac:dyDescent="0.15">
      <c r="A45" s="7">
        <v>128075</v>
      </c>
      <c r="B45" s="7" t="s">
        <v>62</v>
      </c>
      <c r="C45" s="7" t="e">
        <f>VLOOKUP(A45,可转债实时数据!$B$7:$D$196,3,FALSE)</f>
        <v>#N/A</v>
      </c>
      <c r="D45" s="5" t="e">
        <f t="shared" si="4"/>
        <v>#N/A</v>
      </c>
      <c r="E45" s="5" t="e">
        <f t="shared" si="5"/>
        <v>#N/A</v>
      </c>
      <c r="H45" s="14">
        <v>43</v>
      </c>
      <c r="I45" s="7">
        <v>123188</v>
      </c>
      <c r="J45" s="7" t="s">
        <v>769</v>
      </c>
      <c r="K45" s="7">
        <v>134.26</v>
      </c>
      <c r="L45" s="40">
        <v>0.1789</v>
      </c>
      <c r="M45" s="29">
        <v>6.9497989999999996</v>
      </c>
      <c r="N45" s="5" t="str">
        <f t="shared" si="3"/>
        <v>未买</v>
      </c>
      <c r="Q45" s="14">
        <v>43</v>
      </c>
      <c r="R45" s="7">
        <v>111004</v>
      </c>
      <c r="S45" s="7" t="s">
        <v>732</v>
      </c>
      <c r="T45" s="7">
        <v>128.57</v>
      </c>
      <c r="U45" s="40">
        <v>0.17760000000000001</v>
      </c>
      <c r="V45" s="29">
        <v>6.7293399999999997</v>
      </c>
      <c r="W45" s="5" t="str">
        <f t="shared" si="2"/>
        <v>未买</v>
      </c>
    </row>
    <row r="46" spans="1:23" x14ac:dyDescent="0.15">
      <c r="A46" s="7">
        <v>128076</v>
      </c>
      <c r="B46" s="7" t="s">
        <v>65</v>
      </c>
      <c r="C46" s="7">
        <f>VLOOKUP(A46,可转债实时数据!$B$7:$D$196,3,FALSE)</f>
        <v>130.267</v>
      </c>
      <c r="D46" s="5" t="e">
        <f t="shared" si="4"/>
        <v>#N/A</v>
      </c>
      <c r="E46" s="5" t="e">
        <f t="shared" si="5"/>
        <v>#N/A</v>
      </c>
      <c r="H46" s="14">
        <v>44</v>
      </c>
      <c r="I46" s="7">
        <v>113039</v>
      </c>
      <c r="J46" s="7" t="s">
        <v>1113</v>
      </c>
      <c r="K46" s="7">
        <v>134.25800000000001</v>
      </c>
      <c r="L46" s="40">
        <v>0.18379999999999999</v>
      </c>
      <c r="M46" s="29">
        <v>2.8770699999999998</v>
      </c>
      <c r="N46" s="5" t="str">
        <f t="shared" si="3"/>
        <v>Yes</v>
      </c>
      <c r="Q46" s="14">
        <v>44</v>
      </c>
      <c r="R46" s="7">
        <v>123167</v>
      </c>
      <c r="S46" s="7" t="s">
        <v>726</v>
      </c>
      <c r="T46" s="7">
        <v>133.964</v>
      </c>
      <c r="U46" s="40">
        <v>0.1777</v>
      </c>
      <c r="V46" s="29">
        <v>3.9367960000000002</v>
      </c>
      <c r="W46" s="5" t="str">
        <f t="shared" si="2"/>
        <v>未买</v>
      </c>
    </row>
    <row r="47" spans="1:23" x14ac:dyDescent="0.15">
      <c r="A47" s="7">
        <v>128078</v>
      </c>
      <c r="B47" s="7" t="s">
        <v>440</v>
      </c>
      <c r="C47" s="7" t="e">
        <f>VLOOKUP(A47,可转债实时数据!$B$7:$D$196,3,FALSE)</f>
        <v>#N/A</v>
      </c>
      <c r="D47" s="5" t="e">
        <f t="shared" si="4"/>
        <v>#N/A</v>
      </c>
      <c r="E47" s="5" t="e">
        <f t="shared" si="5"/>
        <v>#N/A</v>
      </c>
      <c r="H47" s="14">
        <v>45</v>
      </c>
      <c r="I47" s="7">
        <v>123160</v>
      </c>
      <c r="J47" s="7" t="s">
        <v>470</v>
      </c>
      <c r="K47" s="7">
        <v>123.154</v>
      </c>
      <c r="L47" s="40">
        <v>0.1855</v>
      </c>
      <c r="M47" s="29">
        <v>3.348875</v>
      </c>
      <c r="N47" s="5" t="str">
        <f t="shared" si="3"/>
        <v>未买</v>
      </c>
      <c r="Q47" s="14">
        <v>45</v>
      </c>
      <c r="R47" s="7">
        <v>123188</v>
      </c>
      <c r="S47" s="7" t="s">
        <v>769</v>
      </c>
      <c r="T47" s="7">
        <v>134.26</v>
      </c>
      <c r="U47" s="40">
        <v>0.1789</v>
      </c>
      <c r="V47" s="29">
        <v>6.9497989999999996</v>
      </c>
      <c r="W47" s="5" t="str">
        <f t="shared" si="2"/>
        <v>未买</v>
      </c>
    </row>
    <row r="48" spans="1:23" x14ac:dyDescent="0.15">
      <c r="A48" s="7">
        <v>128079</v>
      </c>
      <c r="B48" s="7" t="s">
        <v>53</v>
      </c>
      <c r="C48" s="7" t="e">
        <f>VLOOKUP(A48,可转债实时数据!$B$7:$D$196,3,FALSE)</f>
        <v>#N/A</v>
      </c>
      <c r="D48" s="5" t="e">
        <f t="shared" si="4"/>
        <v>#N/A</v>
      </c>
      <c r="E48" s="5" t="e">
        <f t="shared" si="5"/>
        <v>#N/A</v>
      </c>
      <c r="H48" s="14">
        <v>46</v>
      </c>
      <c r="I48" s="7">
        <v>113664</v>
      </c>
      <c r="J48" s="7" t="s">
        <v>740</v>
      </c>
      <c r="K48" s="7">
        <v>128.25299999999999</v>
      </c>
      <c r="L48" s="40">
        <v>0.18820000000000001</v>
      </c>
      <c r="M48" s="29">
        <v>4.4997100000000003</v>
      </c>
      <c r="N48" s="5" t="str">
        <f t="shared" si="3"/>
        <v>未买</v>
      </c>
      <c r="Q48" s="14">
        <v>46</v>
      </c>
      <c r="R48" s="7">
        <v>113039</v>
      </c>
      <c r="S48" s="7" t="s">
        <v>1113</v>
      </c>
      <c r="T48" s="7">
        <v>134.25800000000001</v>
      </c>
      <c r="U48" s="40">
        <v>0.18379999999999999</v>
      </c>
      <c r="V48" s="29">
        <v>2.8770699999999998</v>
      </c>
      <c r="W48" s="5" t="str">
        <f t="shared" si="2"/>
        <v>Yes</v>
      </c>
    </row>
    <row r="49" spans="1:23" x14ac:dyDescent="0.15">
      <c r="A49" s="7">
        <v>128082</v>
      </c>
      <c r="B49" s="7" t="s">
        <v>664</v>
      </c>
      <c r="C49" s="7">
        <f>VLOOKUP(A49,可转债实时数据!$B$7:$D$196,3,FALSE)</f>
        <v>146.44499999999999</v>
      </c>
      <c r="D49" s="5">
        <f t="shared" si="4"/>
        <v>29</v>
      </c>
      <c r="E49" s="5">
        <f t="shared" si="5"/>
        <v>31</v>
      </c>
      <c r="H49" s="14">
        <v>47</v>
      </c>
      <c r="I49" s="7">
        <v>123202</v>
      </c>
      <c r="J49" s="7" t="s">
        <v>1053</v>
      </c>
      <c r="K49" s="7">
        <v>126.999</v>
      </c>
      <c r="L49" s="40">
        <v>0.19570000000000001</v>
      </c>
      <c r="M49" s="29">
        <v>4.5999999999999996</v>
      </c>
      <c r="N49" s="5" t="str">
        <f t="shared" si="3"/>
        <v>未买</v>
      </c>
      <c r="Q49" s="14">
        <v>47</v>
      </c>
      <c r="R49" s="7">
        <v>123160</v>
      </c>
      <c r="S49" s="7" t="s">
        <v>470</v>
      </c>
      <c r="T49" s="7">
        <v>123.154</v>
      </c>
      <c r="U49" s="40">
        <v>0.1855</v>
      </c>
      <c r="V49" s="29">
        <v>3.348875</v>
      </c>
      <c r="W49" s="5" t="str">
        <f t="shared" si="2"/>
        <v>未买</v>
      </c>
    </row>
    <row r="50" spans="1:23" x14ac:dyDescent="0.15">
      <c r="A50" s="7">
        <v>128083</v>
      </c>
      <c r="B50" s="7" t="s">
        <v>70</v>
      </c>
      <c r="C50" s="7" t="e">
        <f>VLOOKUP(A50,可转债实时数据!$B$7:$D$196,3,FALSE)</f>
        <v>#N/A</v>
      </c>
      <c r="D50" s="5" t="e">
        <f t="shared" si="4"/>
        <v>#N/A</v>
      </c>
      <c r="E50" s="5" t="e">
        <f t="shared" si="5"/>
        <v>#N/A</v>
      </c>
      <c r="H50" s="14">
        <v>48</v>
      </c>
      <c r="I50" s="7">
        <v>123050</v>
      </c>
      <c r="J50" s="7" t="s">
        <v>1084</v>
      </c>
      <c r="K50" s="7">
        <v>135.5</v>
      </c>
      <c r="L50" s="40">
        <v>0.19789999999999999</v>
      </c>
      <c r="M50" s="29">
        <v>3.7456660000000004</v>
      </c>
      <c r="N50" s="5" t="str">
        <f t="shared" si="3"/>
        <v>未买</v>
      </c>
      <c r="Q50" s="14">
        <v>48</v>
      </c>
      <c r="R50" s="7">
        <v>113664</v>
      </c>
      <c r="S50" s="7" t="s">
        <v>740</v>
      </c>
      <c r="T50" s="7">
        <v>128.25299999999999</v>
      </c>
      <c r="U50" s="40">
        <v>0.18820000000000001</v>
      </c>
      <c r="V50" s="29">
        <v>4.4997100000000003</v>
      </c>
      <c r="W50" s="5" t="str">
        <f t="shared" si="2"/>
        <v>未买</v>
      </c>
    </row>
    <row r="51" spans="1:23" x14ac:dyDescent="0.15">
      <c r="A51" s="7">
        <v>128085</v>
      </c>
      <c r="B51" s="7" t="s">
        <v>213</v>
      </c>
      <c r="C51" s="7" t="e">
        <f>VLOOKUP(A51,可转债实时数据!$B$7:$D$196,3,FALSE)</f>
        <v>#N/A</v>
      </c>
      <c r="D51" s="5" t="e">
        <f t="shared" si="4"/>
        <v>#N/A</v>
      </c>
      <c r="E51" s="5" t="e">
        <f t="shared" si="5"/>
        <v>#N/A</v>
      </c>
      <c r="H51" s="14">
        <v>49</v>
      </c>
      <c r="I51" s="7">
        <v>113524</v>
      </c>
      <c r="J51" s="7" t="s">
        <v>1012</v>
      </c>
      <c r="K51" s="7">
        <v>126.964</v>
      </c>
      <c r="L51" s="40">
        <v>0.20379999999999998</v>
      </c>
      <c r="M51" s="29">
        <v>3.2970199999999998</v>
      </c>
      <c r="N51" s="5" t="str">
        <f t="shared" si="3"/>
        <v>未买</v>
      </c>
      <c r="Q51" s="14">
        <v>49</v>
      </c>
      <c r="R51" s="7">
        <v>123202</v>
      </c>
      <c r="S51" s="7" t="s">
        <v>1053</v>
      </c>
      <c r="T51" s="7">
        <v>126.999</v>
      </c>
      <c r="U51" s="40">
        <v>0.19570000000000001</v>
      </c>
      <c r="V51" s="29">
        <v>4.5999999999999996</v>
      </c>
      <c r="W51" s="5" t="str">
        <f t="shared" si="2"/>
        <v>未买</v>
      </c>
    </row>
    <row r="52" spans="1:23" x14ac:dyDescent="0.15">
      <c r="A52" s="7">
        <v>128087</v>
      </c>
      <c r="B52" s="7" t="s">
        <v>60</v>
      </c>
      <c r="C52" s="7">
        <f>VLOOKUP(A52,可转债实时数据!$B$7:$D$196,3,FALSE)</f>
        <v>125.12</v>
      </c>
      <c r="D52" s="5">
        <f t="shared" si="4"/>
        <v>10</v>
      </c>
      <c r="E52" s="5">
        <f t="shared" si="5"/>
        <v>11</v>
      </c>
      <c r="H52" s="14">
        <v>50</v>
      </c>
      <c r="I52" s="7">
        <v>111002</v>
      </c>
      <c r="J52" s="7" t="s">
        <v>678</v>
      </c>
      <c r="K52" s="7">
        <v>128.05099999999999</v>
      </c>
      <c r="L52" s="40">
        <v>0.20430000000000001</v>
      </c>
      <c r="M52" s="29">
        <v>6.6193900000000001</v>
      </c>
      <c r="N52" s="5" t="str">
        <f t="shared" si="3"/>
        <v>未买</v>
      </c>
      <c r="Q52" s="14">
        <v>50</v>
      </c>
      <c r="R52" s="7">
        <v>123050</v>
      </c>
      <c r="S52" s="7" t="s">
        <v>1084</v>
      </c>
      <c r="T52" s="7">
        <v>135.5</v>
      </c>
      <c r="U52" s="40">
        <v>0.19789999999999999</v>
      </c>
      <c r="V52" s="29">
        <v>3.7456660000000004</v>
      </c>
      <c r="W52" s="5" t="str">
        <f t="shared" si="2"/>
        <v>未买</v>
      </c>
    </row>
    <row r="53" spans="1:23" x14ac:dyDescent="0.15">
      <c r="A53" s="7">
        <v>128090</v>
      </c>
      <c r="B53" s="7" t="s">
        <v>61</v>
      </c>
      <c r="C53" s="7">
        <f>VLOOKUP(A53,可转债实时数据!$B$7:$D$196,3,FALSE)</f>
        <v>129.75</v>
      </c>
      <c r="D53" s="5">
        <f t="shared" si="4"/>
        <v>27</v>
      </c>
      <c r="E53" s="5">
        <f t="shared" si="5"/>
        <v>29</v>
      </c>
    </row>
    <row r="54" spans="1:23" x14ac:dyDescent="0.15">
      <c r="A54" s="7">
        <v>128091</v>
      </c>
      <c r="B54" s="7" t="s">
        <v>214</v>
      </c>
      <c r="C54" s="7">
        <f>VLOOKUP(A54,可转债实时数据!$B$7:$D$196,3,FALSE)</f>
        <v>160.80000000000001</v>
      </c>
      <c r="D54" s="5">
        <f t="shared" si="4"/>
        <v>16</v>
      </c>
      <c r="E54" s="5">
        <f t="shared" si="5"/>
        <v>18</v>
      </c>
    </row>
    <row r="55" spans="1:23" x14ac:dyDescent="0.15">
      <c r="A55" s="7">
        <v>128119</v>
      </c>
      <c r="B55" s="7" t="s">
        <v>74</v>
      </c>
      <c r="C55" s="7" t="e">
        <f>VLOOKUP(A55,可转债实时数据!$B$7:$D$196,3,FALSE)</f>
        <v>#N/A</v>
      </c>
      <c r="D55" s="5" t="e">
        <f t="shared" si="4"/>
        <v>#N/A</v>
      </c>
      <c r="E55" s="5" t="e">
        <f t="shared" si="5"/>
        <v>#N/A</v>
      </c>
    </row>
    <row r="56" spans="1:23" x14ac:dyDescent="0.15">
      <c r="A56" s="7">
        <v>128145</v>
      </c>
      <c r="B56" s="7" t="s">
        <v>466</v>
      </c>
      <c r="C56" s="7" t="e">
        <f>VLOOKUP(A56,可转债实时数据!$B$7:$D$196,3,FALSE)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U8" sqref="U8"/>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81</v>
      </c>
      <c r="B1" s="8"/>
      <c r="C1" s="35" t="s">
        <v>421</v>
      </c>
      <c r="D1" s="12"/>
      <c r="E1" s="12"/>
      <c r="I1" s="8" t="s">
        <v>406</v>
      </c>
      <c r="J1" s="8"/>
      <c r="K1" s="30" t="s">
        <v>407</v>
      </c>
      <c r="L1" s="37"/>
      <c r="M1" s="30"/>
      <c r="N1" s="30"/>
      <c r="O1" s="30"/>
      <c r="P1" s="30"/>
      <c r="S1" s="8" t="s">
        <v>675</v>
      </c>
      <c r="V1" s="7"/>
      <c r="W1" s="7"/>
    </row>
    <row r="2" spans="1:24" s="6" customFormat="1" x14ac:dyDescent="0.15">
      <c r="A2" s="6" t="s">
        <v>45</v>
      </c>
      <c r="B2" s="6" t="s">
        <v>44</v>
      </c>
      <c r="C2" s="6" t="s">
        <v>398</v>
      </c>
      <c r="D2" s="4" t="s">
        <v>667</v>
      </c>
      <c r="E2" s="4" t="s">
        <v>668</v>
      </c>
      <c r="H2" s="15"/>
      <c r="I2" s="6" t="s">
        <v>400</v>
      </c>
      <c r="J2" s="6" t="s">
        <v>401</v>
      </c>
      <c r="K2" s="6" t="s">
        <v>398</v>
      </c>
      <c r="L2" s="38" t="s">
        <v>29</v>
      </c>
      <c r="M2" s="6" t="s">
        <v>402</v>
      </c>
      <c r="N2" s="28" t="s">
        <v>403</v>
      </c>
      <c r="O2" s="4" t="s">
        <v>76</v>
      </c>
      <c r="R2" s="15"/>
      <c r="S2" s="6" t="s">
        <v>400</v>
      </c>
      <c r="T2" s="6" t="s">
        <v>401</v>
      </c>
      <c r="U2" s="6" t="s">
        <v>398</v>
      </c>
      <c r="V2" s="38" t="s">
        <v>29</v>
      </c>
      <c r="W2" s="28" t="s">
        <v>403</v>
      </c>
      <c r="X2" s="4" t="s">
        <v>76</v>
      </c>
    </row>
    <row r="3" spans="1:24" s="3" customFormat="1" x14ac:dyDescent="0.15">
      <c r="A3" s="3">
        <v>123014</v>
      </c>
      <c r="B3" s="3" t="s">
        <v>42</v>
      </c>
      <c r="C3" s="3" t="e">
        <f>VLOOKUP(A3,可转债实时数据!$B$7:$D$196,3,FALSE)</f>
        <v>#N/A</v>
      </c>
      <c r="D3" s="5" t="e">
        <f t="shared" ref="D3:D16" si="0">MATCH(A3,$I$1:$I$290,0)-2</f>
        <v>#N/A</v>
      </c>
      <c r="E3" s="5" t="e">
        <f t="shared" ref="E3:E16" si="1">MATCH(A3,$S$1:$S$44,0)-2</f>
        <v>#N/A</v>
      </c>
      <c r="H3" s="16">
        <v>1</v>
      </c>
      <c r="I3">
        <v>113578</v>
      </c>
      <c r="J3" t="s">
        <v>1016</v>
      </c>
      <c r="K3">
        <v>104.119</v>
      </c>
      <c r="L3" s="39">
        <v>5.9999999999999995E-4</v>
      </c>
      <c r="M3">
        <v>104.179</v>
      </c>
      <c r="N3" s="17">
        <v>2.9155500000000001</v>
      </c>
      <c r="O3" s="5" t="str">
        <f t="shared" ref="O3:O30" si="2">IF(ISNA(MATCH(I3,$A$3:$A$290,0)),"未买","Yes")</f>
        <v>未买</v>
      </c>
      <c r="R3" s="16">
        <v>1</v>
      </c>
      <c r="S3" s="7">
        <v>110060</v>
      </c>
      <c r="T3" s="7" t="s">
        <v>1014</v>
      </c>
      <c r="U3" s="7">
        <v>144.43199999999999</v>
      </c>
      <c r="V3" s="39">
        <v>-1.43E-2</v>
      </c>
      <c r="W3" s="17">
        <v>5.8559400000000004</v>
      </c>
      <c r="X3" s="5" t="str">
        <f t="shared" ref="X3:X28" si="3">IF(ISNA(MATCH(S3,$A$3:$A$290,0)),"未买","Yes")</f>
        <v>未买</v>
      </c>
    </row>
    <row r="4" spans="1:24" s="3" customFormat="1" x14ac:dyDescent="0.15">
      <c r="A4" s="3">
        <v>123025</v>
      </c>
      <c r="B4" s="3" t="s">
        <v>47</v>
      </c>
      <c r="C4" s="3">
        <f>VLOOKUP(A4,可转债实时数据!$B$7:$D$196,3,FALSE)</f>
        <v>207.4</v>
      </c>
      <c r="D4" s="5" t="e">
        <f t="shared" si="0"/>
        <v>#N/A</v>
      </c>
      <c r="E4" s="5" t="e">
        <f t="shared" si="1"/>
        <v>#N/A</v>
      </c>
      <c r="H4" s="16">
        <v>2</v>
      </c>
      <c r="I4">
        <v>113595</v>
      </c>
      <c r="J4" t="s">
        <v>67</v>
      </c>
      <c r="K4">
        <v>99.3</v>
      </c>
      <c r="L4" s="39">
        <v>7.2000000000000008E-2</v>
      </c>
      <c r="M4">
        <v>106.5</v>
      </c>
      <c r="N4" s="17">
        <v>2.5596700000000001</v>
      </c>
      <c r="O4" s="5" t="str">
        <f t="shared" si="2"/>
        <v>未买</v>
      </c>
      <c r="R4" s="16">
        <v>2</v>
      </c>
      <c r="S4" s="7">
        <v>128017</v>
      </c>
      <c r="T4" s="7" t="s">
        <v>1109</v>
      </c>
      <c r="U4" s="7">
        <v>105.9</v>
      </c>
      <c r="V4" s="39">
        <v>-2.2000000000000001E-3</v>
      </c>
      <c r="W4" s="17">
        <v>5.3474430000000002</v>
      </c>
      <c r="X4" s="5" t="str">
        <f t="shared" si="3"/>
        <v>未买</v>
      </c>
    </row>
    <row r="5" spans="1:24" x14ac:dyDescent="0.15">
      <c r="A5" s="7">
        <v>123052</v>
      </c>
      <c r="B5" s="7" t="s">
        <v>210</v>
      </c>
      <c r="C5" s="3">
        <f>VLOOKUP(A5,可转债实时数据!$B$7:$D$196,3,FALSE)</f>
        <v>144.80000000000001</v>
      </c>
      <c r="D5" s="5" t="e">
        <f t="shared" si="0"/>
        <v>#N/A</v>
      </c>
      <c r="E5" s="5" t="e">
        <f t="shared" si="1"/>
        <v>#N/A</v>
      </c>
      <c r="H5" s="16">
        <v>3</v>
      </c>
      <c r="I5">
        <v>113576</v>
      </c>
      <c r="J5" t="s">
        <v>1114</v>
      </c>
      <c r="K5">
        <v>96.087999999999994</v>
      </c>
      <c r="L5" s="39">
        <v>0.13039999999999999</v>
      </c>
      <c r="M5">
        <v>109.12799999999999</v>
      </c>
      <c r="N5" s="17">
        <v>2.6555</v>
      </c>
      <c r="O5" s="5" t="str">
        <f t="shared" si="2"/>
        <v>未买</v>
      </c>
      <c r="R5" s="16">
        <v>3</v>
      </c>
      <c r="S5" s="7">
        <v>113578</v>
      </c>
      <c r="T5" s="7" t="s">
        <v>1016</v>
      </c>
      <c r="U5" s="7">
        <v>104.119</v>
      </c>
      <c r="V5" s="39">
        <v>5.9999999999999995E-4</v>
      </c>
      <c r="W5" s="17">
        <v>2.9155500000000001</v>
      </c>
      <c r="X5" s="5" t="str">
        <f t="shared" si="3"/>
        <v>未买</v>
      </c>
    </row>
    <row r="6" spans="1:24" x14ac:dyDescent="0.15">
      <c r="A6" s="7">
        <v>123061</v>
      </c>
      <c r="B6" s="7" t="s">
        <v>54</v>
      </c>
      <c r="C6" s="3">
        <f>VLOOKUP(A6,可转债实时数据!$B$7:$D$196,3,FALSE)</f>
        <v>124.651</v>
      </c>
      <c r="D6" s="5" t="e">
        <f t="shared" si="0"/>
        <v>#N/A</v>
      </c>
      <c r="E6" s="5" t="e">
        <f t="shared" si="1"/>
        <v>#N/A</v>
      </c>
      <c r="H6" s="16">
        <v>4</v>
      </c>
      <c r="I6">
        <v>113519</v>
      </c>
      <c r="J6" t="s">
        <v>1011</v>
      </c>
      <c r="K6">
        <v>129.607</v>
      </c>
      <c r="L6" s="39">
        <v>4.7999999999999996E-3</v>
      </c>
      <c r="M6">
        <v>130.08699999999999</v>
      </c>
      <c r="N6" s="17">
        <v>2.9148800000000001</v>
      </c>
      <c r="O6" s="5" t="str">
        <f t="shared" si="2"/>
        <v>未买</v>
      </c>
      <c r="R6" s="16">
        <v>4</v>
      </c>
      <c r="S6" s="7">
        <v>113519</v>
      </c>
      <c r="T6" s="7" t="s">
        <v>1011</v>
      </c>
      <c r="U6" s="7">
        <v>129.607</v>
      </c>
      <c r="V6" s="39">
        <v>4.7999999999999996E-3</v>
      </c>
      <c r="W6" s="17">
        <v>2.9148800000000001</v>
      </c>
      <c r="X6" s="5" t="str">
        <f t="shared" si="3"/>
        <v>未买</v>
      </c>
    </row>
    <row r="7" spans="1:24" x14ac:dyDescent="0.15">
      <c r="A7" s="7">
        <v>123080</v>
      </c>
      <c r="B7" s="7" t="s">
        <v>41</v>
      </c>
      <c r="C7" s="3">
        <f>VLOOKUP(A7,可转债实时数据!$B$7:$D$196,3,FALSE)</f>
        <v>133.411</v>
      </c>
      <c r="D7" s="5">
        <f t="shared" si="0"/>
        <v>42</v>
      </c>
      <c r="E7" s="5" t="e">
        <f t="shared" si="1"/>
        <v>#N/A</v>
      </c>
      <c r="H7" s="16">
        <v>5</v>
      </c>
      <c r="I7">
        <v>123129</v>
      </c>
      <c r="J7" t="s">
        <v>75</v>
      </c>
      <c r="K7">
        <v>131.17699999999999</v>
      </c>
      <c r="L7" s="39">
        <v>4.7100000000000003E-2</v>
      </c>
      <c r="M7">
        <v>135.887</v>
      </c>
      <c r="N7" s="17">
        <v>2.703605</v>
      </c>
      <c r="O7" s="5" t="str">
        <f t="shared" si="2"/>
        <v>Yes</v>
      </c>
      <c r="R7" s="16">
        <v>5</v>
      </c>
      <c r="S7" s="7">
        <v>123177</v>
      </c>
      <c r="T7" s="7" t="s">
        <v>774</v>
      </c>
      <c r="U7" s="7">
        <v>137.75</v>
      </c>
      <c r="V7" s="39">
        <v>2.2599999999999999E-2</v>
      </c>
      <c r="W7" s="17">
        <v>2.8788290000000001</v>
      </c>
      <c r="X7" s="5" t="str">
        <f t="shared" si="3"/>
        <v>未买</v>
      </c>
    </row>
    <row r="8" spans="1:24" x14ac:dyDescent="0.15">
      <c r="A8" s="7">
        <v>123082</v>
      </c>
      <c r="B8" s="7" t="s">
        <v>50</v>
      </c>
      <c r="C8" s="3">
        <f>VLOOKUP(A8,可转债实时数据!$B$7:$D$196,3,FALSE)</f>
        <v>115.33</v>
      </c>
      <c r="D8" s="5" t="e">
        <f t="shared" si="0"/>
        <v>#N/A</v>
      </c>
      <c r="E8" s="5" t="e">
        <f t="shared" si="1"/>
        <v>#N/A</v>
      </c>
      <c r="H8" s="16">
        <v>6</v>
      </c>
      <c r="I8">
        <v>128049</v>
      </c>
      <c r="J8" t="s">
        <v>754</v>
      </c>
      <c r="K8">
        <v>129.601</v>
      </c>
      <c r="L8" s="39">
        <v>9.0399999999999994E-2</v>
      </c>
      <c r="M8">
        <v>138.64099999999999</v>
      </c>
      <c r="N8" s="17">
        <v>3.6079189999999999</v>
      </c>
      <c r="O8" s="5" t="str">
        <f t="shared" si="2"/>
        <v>Yes</v>
      </c>
      <c r="R8" s="16">
        <v>6</v>
      </c>
      <c r="S8" s="7">
        <v>123129</v>
      </c>
      <c r="T8" s="7" t="s">
        <v>75</v>
      </c>
      <c r="U8" s="7">
        <v>131.17699999999999</v>
      </c>
      <c r="V8" s="39">
        <v>4.7100000000000003E-2</v>
      </c>
      <c r="W8" s="17">
        <v>2.703605</v>
      </c>
      <c r="X8" s="5" t="str">
        <f t="shared" si="3"/>
        <v>Yes</v>
      </c>
    </row>
    <row r="9" spans="1:24" s="3" customFormat="1" x14ac:dyDescent="0.15">
      <c r="A9" s="7">
        <v>123089</v>
      </c>
      <c r="B9" s="7" t="s">
        <v>212</v>
      </c>
      <c r="C9" s="3">
        <f>VLOOKUP(A9,可转债实时数据!$B$7:$D$196,3,FALSE)</f>
        <v>122.099</v>
      </c>
      <c r="D9" s="5">
        <f t="shared" si="0"/>
        <v>14</v>
      </c>
      <c r="E9" s="5" t="e">
        <f t="shared" si="1"/>
        <v>#N/A</v>
      </c>
      <c r="H9" s="16">
        <v>7</v>
      </c>
      <c r="I9">
        <v>110052</v>
      </c>
      <c r="J9" t="s">
        <v>767</v>
      </c>
      <c r="K9">
        <v>134.92099999999999</v>
      </c>
      <c r="L9" s="39">
        <v>4.7199999999999999E-2</v>
      </c>
      <c r="M9">
        <v>139.64099999999999</v>
      </c>
      <c r="N9" s="17">
        <v>2.8803800000000002</v>
      </c>
      <c r="O9" s="5" t="str">
        <f t="shared" si="2"/>
        <v>未买</v>
      </c>
      <c r="R9" s="16">
        <v>7</v>
      </c>
      <c r="S9" s="7">
        <v>110052</v>
      </c>
      <c r="T9" s="7" t="s">
        <v>767</v>
      </c>
      <c r="U9" s="7">
        <v>134.92099999999999</v>
      </c>
      <c r="V9" s="39">
        <v>4.7199999999999999E-2</v>
      </c>
      <c r="W9" s="17">
        <v>2.8803800000000002</v>
      </c>
      <c r="X9" s="5" t="str">
        <f t="shared" si="3"/>
        <v>未买</v>
      </c>
    </row>
    <row r="10" spans="1:24" x14ac:dyDescent="0.15">
      <c r="A10" s="7">
        <v>123098</v>
      </c>
      <c r="B10" s="7" t="s">
        <v>439</v>
      </c>
      <c r="C10" s="3" t="e">
        <f>VLOOKUP(A10,可转债实时数据!$B$7:$D$196,3,FALSE)</f>
        <v>#N/A</v>
      </c>
      <c r="D10" s="5" t="e">
        <f t="shared" si="0"/>
        <v>#N/A</v>
      </c>
      <c r="E10" s="5" t="e">
        <f t="shared" si="1"/>
        <v>#N/A</v>
      </c>
      <c r="H10" s="16">
        <v>8</v>
      </c>
      <c r="I10">
        <v>123177</v>
      </c>
      <c r="J10" t="s">
        <v>774</v>
      </c>
      <c r="K10">
        <v>137.75</v>
      </c>
      <c r="L10" s="39">
        <v>2.2599999999999999E-2</v>
      </c>
      <c r="M10">
        <v>140.01</v>
      </c>
      <c r="N10" s="17">
        <v>2.8788290000000001</v>
      </c>
      <c r="O10" s="5" t="str">
        <f t="shared" si="2"/>
        <v>未买</v>
      </c>
      <c r="R10" s="16">
        <v>8</v>
      </c>
      <c r="S10" s="7">
        <v>113588</v>
      </c>
      <c r="T10" s="7" t="s">
        <v>1063</v>
      </c>
      <c r="U10" s="7">
        <v>143.791</v>
      </c>
      <c r="V10" s="39">
        <v>5.1200000000000002E-2</v>
      </c>
      <c r="W10" s="17">
        <v>5.1671199999999997</v>
      </c>
      <c r="X10" s="5" t="str">
        <f t="shared" si="3"/>
        <v>未买</v>
      </c>
    </row>
    <row r="11" spans="1:24" x14ac:dyDescent="0.15">
      <c r="A11" s="7">
        <v>123100</v>
      </c>
      <c r="B11" s="7" t="s">
        <v>56</v>
      </c>
      <c r="C11" s="3">
        <f>VLOOKUP(A11,可转债实时数据!$B$7:$D$196,3,FALSE)</f>
        <v>116.75</v>
      </c>
      <c r="D11" s="5">
        <f t="shared" si="0"/>
        <v>32</v>
      </c>
      <c r="E11" s="5" t="e">
        <f t="shared" si="1"/>
        <v>#N/A</v>
      </c>
      <c r="H11" s="16">
        <v>9</v>
      </c>
      <c r="I11">
        <v>123141</v>
      </c>
      <c r="J11" t="s">
        <v>209</v>
      </c>
      <c r="K11">
        <v>124.997</v>
      </c>
      <c r="L11" s="39">
        <v>0.15130000000000002</v>
      </c>
      <c r="M11">
        <v>140.12700000000001</v>
      </c>
      <c r="N11" s="17">
        <v>3.209943</v>
      </c>
      <c r="O11" s="5" t="str">
        <f t="shared" si="2"/>
        <v>Yes</v>
      </c>
      <c r="R11" s="16">
        <v>9</v>
      </c>
      <c r="S11" s="7">
        <v>128087</v>
      </c>
      <c r="T11" s="7" t="s">
        <v>60</v>
      </c>
      <c r="U11" s="7">
        <v>125.12</v>
      </c>
      <c r="V11" s="39">
        <v>6.0100000000000001E-2</v>
      </c>
      <c r="W11" s="17">
        <v>6.4429340000000002</v>
      </c>
      <c r="X11" s="5" t="str">
        <f t="shared" si="3"/>
        <v>Yes</v>
      </c>
    </row>
    <row r="12" spans="1:24" x14ac:dyDescent="0.15">
      <c r="A12" s="7">
        <v>123112</v>
      </c>
      <c r="B12" s="7" t="s">
        <v>63</v>
      </c>
      <c r="C12" s="3">
        <f>VLOOKUP(A12,可转债实时数据!$B$7:$D$196,3,FALSE)</f>
        <v>139.035</v>
      </c>
      <c r="D12" s="5">
        <f t="shared" si="0"/>
        <v>47</v>
      </c>
      <c r="E12" s="5" t="e">
        <f t="shared" si="1"/>
        <v>#N/A</v>
      </c>
      <c r="H12" s="16">
        <v>10</v>
      </c>
      <c r="I12">
        <v>123160</v>
      </c>
      <c r="J12" t="s">
        <v>470</v>
      </c>
      <c r="K12">
        <v>123.154</v>
      </c>
      <c r="L12" s="39">
        <v>0.1855</v>
      </c>
      <c r="M12">
        <v>141.70400000000001</v>
      </c>
      <c r="N12" s="17">
        <v>3.348875</v>
      </c>
      <c r="O12" s="5" t="str">
        <f t="shared" si="2"/>
        <v>Yes</v>
      </c>
      <c r="R12" s="16">
        <v>10</v>
      </c>
      <c r="S12" s="7">
        <v>113595</v>
      </c>
      <c r="T12" s="7" t="s">
        <v>67</v>
      </c>
      <c r="U12" s="7">
        <v>99.3</v>
      </c>
      <c r="V12" s="39">
        <v>7.2000000000000008E-2</v>
      </c>
      <c r="W12" s="17">
        <v>2.5596700000000001</v>
      </c>
      <c r="X12" s="5" t="str">
        <f t="shared" si="3"/>
        <v>未买</v>
      </c>
    </row>
    <row r="13" spans="1:24" x14ac:dyDescent="0.15">
      <c r="A13" s="7">
        <v>123127</v>
      </c>
      <c r="B13" s="7" t="s">
        <v>57</v>
      </c>
      <c r="C13" s="3">
        <f>VLOOKUP(A13,可转债实时数据!$B$7:$D$196,3,FALSE)</f>
        <v>132.851</v>
      </c>
      <c r="D13" s="5">
        <f t="shared" si="0"/>
        <v>15</v>
      </c>
      <c r="E13" s="5">
        <f t="shared" si="1"/>
        <v>17</v>
      </c>
      <c r="H13" s="16">
        <v>11</v>
      </c>
      <c r="I13">
        <v>123166</v>
      </c>
      <c r="J13" t="s">
        <v>682</v>
      </c>
      <c r="K13">
        <v>118.855</v>
      </c>
      <c r="L13" s="39">
        <v>0.2382</v>
      </c>
      <c r="M13">
        <v>142.67500000000001</v>
      </c>
      <c r="N13" s="17">
        <v>2.9999630000000002</v>
      </c>
      <c r="O13" s="5" t="str">
        <f t="shared" si="2"/>
        <v>Yes</v>
      </c>
      <c r="R13" s="16">
        <v>11</v>
      </c>
      <c r="S13" s="7">
        <v>123187</v>
      </c>
      <c r="T13" s="7" t="s">
        <v>1051</v>
      </c>
      <c r="U13" s="7">
        <v>134.1</v>
      </c>
      <c r="V13" s="39">
        <v>7.7300000000000008E-2</v>
      </c>
      <c r="W13" s="17">
        <v>4.6856900000000001</v>
      </c>
      <c r="X13" s="5" t="str">
        <f t="shared" si="3"/>
        <v>未买</v>
      </c>
    </row>
    <row r="14" spans="1:24" x14ac:dyDescent="0.15">
      <c r="A14" s="7">
        <v>123129</v>
      </c>
      <c r="B14" s="7" t="s">
        <v>75</v>
      </c>
      <c r="C14" s="3">
        <f>VLOOKUP(A14,可转债实时数据!$B$7:$D$196,3,FALSE)</f>
        <v>131.17699999999999</v>
      </c>
      <c r="D14" s="5">
        <f t="shared" si="0"/>
        <v>5</v>
      </c>
      <c r="E14" s="5">
        <f t="shared" si="1"/>
        <v>6</v>
      </c>
      <c r="H14" s="16">
        <v>12</v>
      </c>
      <c r="I14">
        <v>118016</v>
      </c>
      <c r="J14" t="s">
        <v>467</v>
      </c>
      <c r="K14">
        <v>118.572</v>
      </c>
      <c r="L14" s="39">
        <v>0.24260000000000001</v>
      </c>
      <c r="M14">
        <v>142.83199999999999</v>
      </c>
      <c r="N14" s="17">
        <v>3.32497</v>
      </c>
      <c r="O14" s="5" t="str">
        <f t="shared" si="2"/>
        <v>未买</v>
      </c>
      <c r="R14" s="16">
        <v>12</v>
      </c>
      <c r="S14" s="7">
        <v>128049</v>
      </c>
      <c r="T14" s="7" t="s">
        <v>754</v>
      </c>
      <c r="U14" s="7">
        <v>129.601</v>
      </c>
      <c r="V14" s="39">
        <v>9.0399999999999994E-2</v>
      </c>
      <c r="W14" s="17">
        <v>3.6079189999999999</v>
      </c>
      <c r="X14" s="5" t="str">
        <f t="shared" si="3"/>
        <v>Yes</v>
      </c>
    </row>
    <row r="15" spans="1:24" x14ac:dyDescent="0.15">
      <c r="A15" s="7">
        <v>123141</v>
      </c>
      <c r="B15" s="7" t="s">
        <v>209</v>
      </c>
      <c r="C15" s="3">
        <f>VLOOKUP(A15,可转债实时数据!$B$7:$D$196,3,FALSE)</f>
        <v>124.997</v>
      </c>
      <c r="D15" s="5">
        <f t="shared" si="0"/>
        <v>9</v>
      </c>
      <c r="E15" s="5">
        <f t="shared" si="1"/>
        <v>25</v>
      </c>
      <c r="H15" s="16">
        <v>13</v>
      </c>
      <c r="I15">
        <v>128090</v>
      </c>
      <c r="J15" t="s">
        <v>61</v>
      </c>
      <c r="K15">
        <v>129.75</v>
      </c>
      <c r="L15" s="39">
        <v>0.14580000000000001</v>
      </c>
      <c r="M15">
        <v>144.33000000000001</v>
      </c>
      <c r="N15" s="17">
        <v>3.0986199999999999</v>
      </c>
      <c r="O15" s="5" t="str">
        <f t="shared" si="2"/>
        <v>Yes</v>
      </c>
      <c r="R15" s="16">
        <v>13</v>
      </c>
      <c r="S15" s="7">
        <v>113591</v>
      </c>
      <c r="T15" s="7" t="s">
        <v>35</v>
      </c>
      <c r="U15" s="7">
        <v>129.97999999999999</v>
      </c>
      <c r="V15" s="39">
        <v>9.3299999999999994E-2</v>
      </c>
      <c r="W15" s="17">
        <v>4.7427099999999998</v>
      </c>
      <c r="X15" s="5" t="str">
        <f t="shared" si="3"/>
        <v>未买</v>
      </c>
    </row>
    <row r="16" spans="1:24" x14ac:dyDescent="0.15">
      <c r="A16" s="7">
        <v>123146</v>
      </c>
      <c r="B16" s="7" t="s">
        <v>399</v>
      </c>
      <c r="C16" s="3" t="e">
        <f>VLOOKUP(A16,可转债实时数据!$B$7:$D$196,3,FALSE)</f>
        <v>#N/A</v>
      </c>
      <c r="D16" s="5" t="e">
        <f t="shared" si="0"/>
        <v>#N/A</v>
      </c>
      <c r="E16" s="5" t="e">
        <f t="shared" si="1"/>
        <v>#N/A</v>
      </c>
      <c r="H16" s="16">
        <v>14</v>
      </c>
      <c r="I16">
        <v>123089</v>
      </c>
      <c r="J16" t="s">
        <v>725</v>
      </c>
      <c r="K16">
        <v>122.099</v>
      </c>
      <c r="L16" s="39">
        <v>0.22539999999999999</v>
      </c>
      <c r="M16">
        <v>144.63900000000001</v>
      </c>
      <c r="N16" s="17">
        <v>3.0604269999999998</v>
      </c>
      <c r="O16" s="5" t="str">
        <f t="shared" si="2"/>
        <v>Yes</v>
      </c>
      <c r="R16" s="16">
        <v>14</v>
      </c>
      <c r="S16" s="7">
        <v>127078</v>
      </c>
      <c r="T16" s="7" t="s">
        <v>741</v>
      </c>
      <c r="U16" s="7">
        <v>127.5</v>
      </c>
      <c r="V16" s="39">
        <v>0.10869999999999999</v>
      </c>
      <c r="W16" s="17">
        <v>5.999746</v>
      </c>
      <c r="X16" s="5" t="str">
        <f t="shared" si="3"/>
        <v>未买</v>
      </c>
    </row>
    <row r="17" spans="1:24" x14ac:dyDescent="0.15">
      <c r="A17" s="7">
        <v>123147</v>
      </c>
      <c r="B17" s="7" t="s">
        <v>437</v>
      </c>
      <c r="C17" s="3">
        <f>VLOOKUP(A17,可转债实时数据!$B$7:$D$196,3,FALSE)</f>
        <v>130.30000000000001</v>
      </c>
      <c r="D17" s="5" t="e">
        <f t="shared" ref="D17:D44" si="4">MATCH(A17,$I$1:$I$290,0)-2</f>
        <v>#N/A</v>
      </c>
      <c r="E17" s="5">
        <f t="shared" ref="E17:E44" si="5">MATCH(A17,$S$1:$S$44,0)-2</f>
        <v>20</v>
      </c>
      <c r="H17" s="16">
        <v>15</v>
      </c>
      <c r="I17">
        <v>123127</v>
      </c>
      <c r="J17" t="s">
        <v>57</v>
      </c>
      <c r="K17">
        <v>132.851</v>
      </c>
      <c r="L17" s="39">
        <v>0.13339999999999999</v>
      </c>
      <c r="M17">
        <v>146.191</v>
      </c>
      <c r="N17" s="17">
        <v>3.9973380000000001</v>
      </c>
      <c r="O17" s="5" t="str">
        <f t="shared" si="2"/>
        <v>Yes</v>
      </c>
      <c r="R17" s="16">
        <v>15</v>
      </c>
      <c r="S17" s="7">
        <v>113628</v>
      </c>
      <c r="T17" s="7" t="s">
        <v>1022</v>
      </c>
      <c r="U17" s="7">
        <v>126.54</v>
      </c>
      <c r="V17" s="39">
        <v>0.1094</v>
      </c>
      <c r="W17" s="17">
        <v>4.1492800000000001</v>
      </c>
      <c r="X17" s="5" t="str">
        <f t="shared" si="3"/>
        <v>未买</v>
      </c>
    </row>
    <row r="18" spans="1:24" x14ac:dyDescent="0.15">
      <c r="A18" s="7">
        <v>123153</v>
      </c>
      <c r="B18" s="7" t="s">
        <v>441</v>
      </c>
      <c r="C18" s="3">
        <f>VLOOKUP(A18,可转债实时数据!$B$7:$D$196,3,FALSE)</f>
        <v>122.16</v>
      </c>
      <c r="D18" s="5">
        <f t="shared" si="4"/>
        <v>30</v>
      </c>
      <c r="E18" s="5" t="e">
        <f t="shared" si="5"/>
        <v>#N/A</v>
      </c>
      <c r="H18" s="16">
        <v>16</v>
      </c>
      <c r="I18">
        <v>113524</v>
      </c>
      <c r="J18" t="s">
        <v>1012</v>
      </c>
      <c r="K18">
        <v>126.964</v>
      </c>
      <c r="L18" s="39">
        <v>0.20379999999999998</v>
      </c>
      <c r="M18">
        <v>147.34399999999999</v>
      </c>
      <c r="N18" s="17">
        <v>3.2970199999999998</v>
      </c>
      <c r="O18" s="5" t="str">
        <f t="shared" si="2"/>
        <v>未买</v>
      </c>
      <c r="R18" s="16">
        <v>16</v>
      </c>
      <c r="S18" s="7">
        <v>113576</v>
      </c>
      <c r="T18" s="7" t="s">
        <v>1114</v>
      </c>
      <c r="U18" s="7">
        <v>96.087999999999994</v>
      </c>
      <c r="V18" s="39">
        <v>0.13039999999999999</v>
      </c>
      <c r="W18" s="17">
        <v>2.6555</v>
      </c>
      <c r="X18" s="5" t="str">
        <f t="shared" si="3"/>
        <v>未买</v>
      </c>
    </row>
    <row r="19" spans="1:24" x14ac:dyDescent="0.15">
      <c r="A19" s="7">
        <v>123157</v>
      </c>
      <c r="B19" s="7" t="s">
        <v>468</v>
      </c>
      <c r="C19" s="3">
        <f>VLOOKUP(A19,可转债实时数据!$B$7:$D$196,3,FALSE)</f>
        <v>125.155</v>
      </c>
      <c r="D19" s="5" t="e">
        <f t="shared" si="4"/>
        <v>#N/A</v>
      </c>
      <c r="E19" s="5" t="e">
        <f t="shared" si="5"/>
        <v>#N/A</v>
      </c>
      <c r="H19" s="16">
        <v>17</v>
      </c>
      <c r="I19">
        <v>113546</v>
      </c>
      <c r="J19" t="s">
        <v>51</v>
      </c>
      <c r="K19">
        <v>126.26600000000001</v>
      </c>
      <c r="L19" s="39">
        <v>0.214</v>
      </c>
      <c r="M19">
        <v>147.666</v>
      </c>
      <c r="N19" s="17">
        <v>2.2963</v>
      </c>
      <c r="O19" s="5" t="str">
        <f t="shared" si="2"/>
        <v>未买</v>
      </c>
      <c r="R19" s="16">
        <v>17</v>
      </c>
      <c r="S19" s="7">
        <v>123127</v>
      </c>
      <c r="T19" s="7" t="s">
        <v>57</v>
      </c>
      <c r="U19" s="7">
        <v>132.851</v>
      </c>
      <c r="V19" s="39">
        <v>0.13339999999999999</v>
      </c>
      <c r="W19" s="17">
        <v>3.9973380000000001</v>
      </c>
      <c r="X19" s="5" t="str">
        <f t="shared" si="3"/>
        <v>Yes</v>
      </c>
    </row>
    <row r="20" spans="1:24" x14ac:dyDescent="0.15">
      <c r="A20" s="7">
        <v>123159</v>
      </c>
      <c r="B20" s="7" t="s">
        <v>471</v>
      </c>
      <c r="C20" s="3">
        <f>VLOOKUP(A20,可转债实时数据!$B$7:$D$196,3,FALSE)</f>
        <v>114.53</v>
      </c>
      <c r="D20" s="5">
        <f t="shared" si="4"/>
        <v>43</v>
      </c>
      <c r="E20" s="5" t="e">
        <f t="shared" si="5"/>
        <v>#N/A</v>
      </c>
      <c r="H20" s="16">
        <v>18</v>
      </c>
      <c r="I20">
        <v>123220</v>
      </c>
      <c r="J20" t="s">
        <v>1094</v>
      </c>
      <c r="K20">
        <v>119.99</v>
      </c>
      <c r="L20" s="39">
        <v>0.28149999999999997</v>
      </c>
      <c r="M20">
        <v>148.13999999999999</v>
      </c>
      <c r="N20" s="17">
        <v>3.2819669999999999</v>
      </c>
      <c r="O20" s="5" t="str">
        <f t="shared" si="2"/>
        <v>未买</v>
      </c>
      <c r="R20" s="16">
        <v>18</v>
      </c>
      <c r="S20" s="7">
        <v>123059</v>
      </c>
      <c r="T20" s="7" t="s">
        <v>742</v>
      </c>
      <c r="U20" s="7">
        <v>136.79900000000001</v>
      </c>
      <c r="V20" s="39">
        <v>0.13400000000000001</v>
      </c>
      <c r="W20" s="17">
        <v>3.9074730000000004</v>
      </c>
      <c r="X20" s="5" t="str">
        <f t="shared" si="3"/>
        <v>未买</v>
      </c>
    </row>
    <row r="21" spans="1:24" x14ac:dyDescent="0.15">
      <c r="A21" s="7">
        <v>123160</v>
      </c>
      <c r="B21" s="7" t="s">
        <v>470</v>
      </c>
      <c r="C21" s="3">
        <f>VLOOKUP(A21,可转债实时数据!$B$7:$D$196,3,FALSE)</f>
        <v>123.154</v>
      </c>
      <c r="D21" s="5">
        <f t="shared" si="4"/>
        <v>10</v>
      </c>
      <c r="E21" s="5">
        <f t="shared" si="5"/>
        <v>38</v>
      </c>
      <c r="H21" s="16">
        <v>19</v>
      </c>
      <c r="I21">
        <v>113561</v>
      </c>
      <c r="J21" t="s">
        <v>1015</v>
      </c>
      <c r="K21">
        <v>132.79300000000001</v>
      </c>
      <c r="L21" s="39">
        <v>0.15909999999999999</v>
      </c>
      <c r="M21">
        <v>148.703</v>
      </c>
      <c r="N21" s="17">
        <v>1.4984999999999999</v>
      </c>
      <c r="O21" s="5" t="str">
        <f t="shared" si="2"/>
        <v>未买</v>
      </c>
      <c r="R21" s="16">
        <v>19</v>
      </c>
      <c r="S21" s="7">
        <v>128121</v>
      </c>
      <c r="T21" s="7" t="s">
        <v>722</v>
      </c>
      <c r="U21" s="7">
        <v>127.876</v>
      </c>
      <c r="V21" s="39">
        <v>0.13470000000000001</v>
      </c>
      <c r="W21" s="17">
        <v>6.6978809999999998</v>
      </c>
      <c r="X21" s="5" t="str">
        <f t="shared" si="3"/>
        <v>未买</v>
      </c>
    </row>
    <row r="22" spans="1:24" x14ac:dyDescent="0.15">
      <c r="A22" s="7">
        <v>123162</v>
      </c>
      <c r="B22" s="7" t="s">
        <v>465</v>
      </c>
      <c r="C22" s="3">
        <f>VLOOKUP(A22,可转债实时数据!$B$7:$D$196,3,FALSE)</f>
        <v>116.599</v>
      </c>
      <c r="D22" s="5" t="e">
        <f t="shared" si="4"/>
        <v>#N/A</v>
      </c>
      <c r="E22" s="5" t="e">
        <f t="shared" si="5"/>
        <v>#N/A</v>
      </c>
      <c r="H22" s="16">
        <v>20</v>
      </c>
      <c r="I22">
        <v>123163</v>
      </c>
      <c r="J22" t="s">
        <v>729</v>
      </c>
      <c r="K22">
        <v>117.211</v>
      </c>
      <c r="L22" s="39">
        <v>0.3165</v>
      </c>
      <c r="M22">
        <v>148.86099999999999</v>
      </c>
      <c r="N22" s="17">
        <v>3.09992</v>
      </c>
      <c r="O22" s="5" t="str">
        <f t="shared" si="2"/>
        <v>未买</v>
      </c>
      <c r="R22" s="16">
        <v>20</v>
      </c>
      <c r="S22" s="7">
        <v>123147</v>
      </c>
      <c r="T22" s="7" t="s">
        <v>437</v>
      </c>
      <c r="U22" s="7">
        <v>130.30000000000001</v>
      </c>
      <c r="V22" s="39">
        <v>0.1416</v>
      </c>
      <c r="W22" s="17">
        <v>5.7046939999999999</v>
      </c>
      <c r="X22" s="5" t="str">
        <f t="shared" si="3"/>
        <v>Yes</v>
      </c>
    </row>
    <row r="23" spans="1:24" x14ac:dyDescent="0.15">
      <c r="A23" s="7">
        <v>123164</v>
      </c>
      <c r="B23" s="7" t="s">
        <v>665</v>
      </c>
      <c r="C23" s="3">
        <f>VLOOKUP(A23,可转债实时数据!$B$7:$D$196,3,FALSE)</f>
        <v>129.6</v>
      </c>
      <c r="D23" s="5" t="e">
        <f t="shared" si="4"/>
        <v>#N/A</v>
      </c>
      <c r="E23" s="5">
        <f t="shared" si="5"/>
        <v>30</v>
      </c>
      <c r="H23" s="16">
        <v>21</v>
      </c>
      <c r="I23">
        <v>123156</v>
      </c>
      <c r="J23" t="s">
        <v>768</v>
      </c>
      <c r="K23">
        <v>121.4</v>
      </c>
      <c r="L23" s="39">
        <v>0.28370000000000001</v>
      </c>
      <c r="M23">
        <v>149.77000000000001</v>
      </c>
      <c r="N23" s="17">
        <v>3.9695390000000002</v>
      </c>
      <c r="O23" s="5" t="str">
        <f t="shared" si="2"/>
        <v>未买</v>
      </c>
      <c r="R23" s="16">
        <v>21</v>
      </c>
      <c r="S23" s="7">
        <v>128090</v>
      </c>
      <c r="T23" s="7" t="s">
        <v>61</v>
      </c>
      <c r="U23" s="7">
        <v>129.75</v>
      </c>
      <c r="V23" s="39">
        <v>0.14580000000000001</v>
      </c>
      <c r="W23" s="17">
        <v>3.0986199999999999</v>
      </c>
      <c r="X23" s="5" t="str">
        <f t="shared" si="3"/>
        <v>Yes</v>
      </c>
    </row>
    <row r="24" spans="1:24" x14ac:dyDescent="0.15">
      <c r="A24" s="7">
        <v>123166</v>
      </c>
      <c r="B24" s="7" t="s">
        <v>666</v>
      </c>
      <c r="C24" s="3">
        <f>VLOOKUP(A24,可转债实时数据!$B$7:$D$196,3,FALSE)</f>
        <v>118.855</v>
      </c>
      <c r="D24" s="5">
        <f t="shared" si="4"/>
        <v>11</v>
      </c>
      <c r="E24" s="5" t="e">
        <f t="shared" si="5"/>
        <v>#N/A</v>
      </c>
      <c r="H24" s="16">
        <v>22</v>
      </c>
      <c r="I24">
        <v>123059</v>
      </c>
      <c r="J24" t="s">
        <v>742</v>
      </c>
      <c r="K24">
        <v>136.79900000000001</v>
      </c>
      <c r="L24" s="39">
        <v>0.13400000000000001</v>
      </c>
      <c r="M24">
        <v>150.19900000000001</v>
      </c>
      <c r="N24" s="17">
        <v>3.9074730000000004</v>
      </c>
      <c r="O24" s="5" t="str">
        <f t="shared" si="2"/>
        <v>未买</v>
      </c>
      <c r="R24" s="16">
        <v>22</v>
      </c>
      <c r="S24" s="7">
        <v>111008</v>
      </c>
      <c r="T24" s="7" t="s">
        <v>686</v>
      </c>
      <c r="U24" s="7">
        <v>138.30099999999999</v>
      </c>
      <c r="V24" s="39">
        <v>0.14800000000000002</v>
      </c>
      <c r="W24" s="17">
        <v>3.8393600000000001</v>
      </c>
      <c r="X24" s="5" t="str">
        <f t="shared" si="3"/>
        <v>未买</v>
      </c>
    </row>
    <row r="25" spans="1:24" x14ac:dyDescent="0.15">
      <c r="A25" s="7">
        <v>127007</v>
      </c>
      <c r="B25" s="7" t="s">
        <v>216</v>
      </c>
      <c r="C25" s="3" t="e">
        <f>VLOOKUP(A25,可转债实时数据!$B$7:$D$196,3,FALSE)</f>
        <v>#N/A</v>
      </c>
      <c r="D25" s="5" t="e">
        <f t="shared" si="4"/>
        <v>#N/A</v>
      </c>
      <c r="E25" s="5" t="e">
        <f t="shared" si="5"/>
        <v>#N/A</v>
      </c>
      <c r="H25" s="16">
        <v>23</v>
      </c>
      <c r="I25">
        <v>113027</v>
      </c>
      <c r="J25" t="s">
        <v>1115</v>
      </c>
      <c r="K25">
        <v>135.76300000000001</v>
      </c>
      <c r="L25" s="39">
        <v>0.15010000000000001</v>
      </c>
      <c r="M25">
        <v>150.773</v>
      </c>
      <c r="N25" s="17">
        <v>2.3835700000000002</v>
      </c>
      <c r="O25" s="5" t="str">
        <f t="shared" si="2"/>
        <v>未买</v>
      </c>
      <c r="R25" s="16">
        <v>23</v>
      </c>
      <c r="S25" s="7">
        <v>128082</v>
      </c>
      <c r="T25" s="7" t="s">
        <v>679</v>
      </c>
      <c r="U25" s="7">
        <v>146.44499999999999</v>
      </c>
      <c r="V25" s="39">
        <v>0.1497</v>
      </c>
      <c r="W25" s="17">
        <v>2.0144419999999998</v>
      </c>
      <c r="X25" s="5" t="str">
        <f t="shared" si="3"/>
        <v>Yes</v>
      </c>
    </row>
    <row r="26" spans="1:24" x14ac:dyDescent="0.15">
      <c r="A26" s="7">
        <v>127028</v>
      </c>
      <c r="B26" s="7" t="s">
        <v>46</v>
      </c>
      <c r="C26" s="3">
        <f>VLOOKUP(A26,可转债实时数据!$B$7:$D$196,3,FALSE)</f>
        <v>134.09</v>
      </c>
      <c r="D26" s="5" t="e">
        <f t="shared" si="4"/>
        <v>#N/A</v>
      </c>
      <c r="E26" s="5">
        <f t="shared" si="5"/>
        <v>28</v>
      </c>
      <c r="H26" s="16">
        <v>24</v>
      </c>
      <c r="I26">
        <v>127059</v>
      </c>
      <c r="J26" t="s">
        <v>727</v>
      </c>
      <c r="K26">
        <v>112.81100000000001</v>
      </c>
      <c r="L26" s="39">
        <v>0.38689999999999997</v>
      </c>
      <c r="M26">
        <v>151.501</v>
      </c>
      <c r="N26" s="17">
        <v>3.7919640000000001</v>
      </c>
      <c r="O26" s="5" t="str">
        <f t="shared" si="2"/>
        <v>未买</v>
      </c>
      <c r="R26" s="16">
        <v>24</v>
      </c>
      <c r="S26" s="7">
        <v>113027</v>
      </c>
      <c r="T26" s="7" t="s">
        <v>1115</v>
      </c>
      <c r="U26" s="7">
        <v>135.76300000000001</v>
      </c>
      <c r="V26" s="39">
        <v>0.15010000000000001</v>
      </c>
      <c r="W26" s="17">
        <v>2.3835700000000002</v>
      </c>
      <c r="X26" s="5" t="str">
        <f t="shared" si="3"/>
        <v>未买</v>
      </c>
    </row>
    <row r="27" spans="1:24" x14ac:dyDescent="0.15">
      <c r="A27" s="7">
        <v>128021</v>
      </c>
      <c r="B27" s="7" t="s">
        <v>40</v>
      </c>
      <c r="C27" s="3" t="e">
        <f>VLOOKUP(A27,可转债实时数据!$B$7:$D$196,3,FALSE)</f>
        <v>#N/A</v>
      </c>
      <c r="D27" s="5" t="e">
        <f t="shared" si="4"/>
        <v>#N/A</v>
      </c>
      <c r="E27" s="5" t="e">
        <f t="shared" si="5"/>
        <v>#N/A</v>
      </c>
      <c r="H27" s="16">
        <v>25</v>
      </c>
      <c r="I27">
        <v>123167</v>
      </c>
      <c r="J27" t="s">
        <v>726</v>
      </c>
      <c r="K27">
        <v>133.964</v>
      </c>
      <c r="L27" s="39">
        <v>0.1777</v>
      </c>
      <c r="M27">
        <v>151.73400000000001</v>
      </c>
      <c r="N27" s="17">
        <v>3.9367960000000002</v>
      </c>
      <c r="O27" s="5" t="str">
        <f t="shared" si="2"/>
        <v>未买</v>
      </c>
      <c r="R27" s="16">
        <v>25</v>
      </c>
      <c r="S27" s="7">
        <v>123141</v>
      </c>
      <c r="T27" s="7" t="s">
        <v>209</v>
      </c>
      <c r="U27" s="7">
        <v>124.997</v>
      </c>
      <c r="V27" s="39">
        <v>0.15130000000000002</v>
      </c>
      <c r="W27" s="17">
        <v>3.209943</v>
      </c>
      <c r="X27" s="5" t="str">
        <f t="shared" si="3"/>
        <v>Yes</v>
      </c>
    </row>
    <row r="28" spans="1:24" x14ac:dyDescent="0.15">
      <c r="A28" s="7">
        <v>128022</v>
      </c>
      <c r="B28" s="7" t="s">
        <v>69</v>
      </c>
      <c r="C28" s="3" t="e">
        <f>VLOOKUP(A28,可转债实时数据!$B$7:$D$196,3,FALSE)</f>
        <v>#N/A</v>
      </c>
      <c r="D28" s="5" t="e">
        <f t="shared" si="4"/>
        <v>#N/A</v>
      </c>
      <c r="E28" s="5" t="e">
        <f t="shared" si="5"/>
        <v>#N/A</v>
      </c>
      <c r="H28" s="16">
        <v>26</v>
      </c>
      <c r="I28">
        <v>123130</v>
      </c>
      <c r="J28" t="s">
        <v>684</v>
      </c>
      <c r="K28">
        <v>125.696</v>
      </c>
      <c r="L28" s="39">
        <v>0.26819999999999999</v>
      </c>
      <c r="M28">
        <v>152.51599999999999</v>
      </c>
      <c r="N28" s="17">
        <v>3.7552050000000001</v>
      </c>
      <c r="O28" s="5" t="str">
        <f t="shared" si="2"/>
        <v>未买</v>
      </c>
      <c r="R28" s="16">
        <v>26</v>
      </c>
      <c r="S28" s="7">
        <v>110074</v>
      </c>
      <c r="T28" s="7" t="s">
        <v>750</v>
      </c>
      <c r="U28" s="7">
        <v>132.73400000000001</v>
      </c>
      <c r="V28" s="39">
        <v>0.15570000000000001</v>
      </c>
      <c r="W28" s="17">
        <v>5.0935600000000001</v>
      </c>
      <c r="X28" s="5" t="str">
        <f t="shared" si="3"/>
        <v>未买</v>
      </c>
    </row>
    <row r="29" spans="1:24" x14ac:dyDescent="0.15">
      <c r="A29" s="7">
        <v>128033</v>
      </c>
      <c r="B29" s="7" t="s">
        <v>48</v>
      </c>
      <c r="C29" s="3" t="e">
        <f>VLOOKUP(A29,可转债实时数据!$B$7:$D$196,3,FALSE)</f>
        <v>#N/A</v>
      </c>
      <c r="D29" s="5" t="e">
        <f t="shared" si="4"/>
        <v>#N/A</v>
      </c>
      <c r="E29" s="5" t="e">
        <f t="shared" si="5"/>
        <v>#N/A</v>
      </c>
      <c r="H29" s="16">
        <v>27</v>
      </c>
      <c r="I29">
        <v>113526</v>
      </c>
      <c r="J29" t="s">
        <v>68</v>
      </c>
      <c r="K29">
        <v>123.60599999999999</v>
      </c>
      <c r="L29" s="39">
        <v>0.2903</v>
      </c>
      <c r="M29">
        <v>152.636</v>
      </c>
      <c r="N29" s="17">
        <v>1.9267000000000001</v>
      </c>
      <c r="O29" s="5" t="str">
        <f t="shared" si="2"/>
        <v>未买</v>
      </c>
      <c r="R29" s="16">
        <v>27</v>
      </c>
      <c r="S29" s="7">
        <v>113561</v>
      </c>
      <c r="T29" s="7" t="s">
        <v>1015</v>
      </c>
      <c r="U29" s="7">
        <v>132.79300000000001</v>
      </c>
      <c r="V29" s="39">
        <v>0.15909999999999999</v>
      </c>
      <c r="W29" s="17">
        <v>1.4984999999999999</v>
      </c>
      <c r="X29" s="5" t="str">
        <f t="shared" ref="X29:X52" si="6">IF(ISNA(MATCH(S29,$A$3:$A$290,0)),"未买","Yes")</f>
        <v>未买</v>
      </c>
    </row>
    <row r="30" spans="1:24" x14ac:dyDescent="0.15">
      <c r="A30" s="7">
        <v>128037</v>
      </c>
      <c r="B30" s="7" t="s">
        <v>49</v>
      </c>
      <c r="C30" s="3" t="e">
        <f>VLOOKUP(A30,可转债实时数据!$B$7:$D$196,3,FALSE)</f>
        <v>#N/A</v>
      </c>
      <c r="D30" s="5" t="e">
        <f t="shared" si="4"/>
        <v>#N/A</v>
      </c>
      <c r="E30" s="5" t="e">
        <f t="shared" si="5"/>
        <v>#N/A</v>
      </c>
      <c r="H30" s="16">
        <v>28</v>
      </c>
      <c r="I30">
        <v>113039</v>
      </c>
      <c r="J30" t="s">
        <v>1113</v>
      </c>
      <c r="K30">
        <v>134.25800000000001</v>
      </c>
      <c r="L30" s="39">
        <v>0.18379999999999999</v>
      </c>
      <c r="M30">
        <v>152.63800000000001</v>
      </c>
      <c r="N30" s="17">
        <v>2.8770699999999998</v>
      </c>
      <c r="O30" s="5" t="str">
        <f t="shared" si="2"/>
        <v>未买</v>
      </c>
      <c r="R30" s="16">
        <v>28</v>
      </c>
      <c r="S30" s="7">
        <v>127028</v>
      </c>
      <c r="T30" s="7" t="s">
        <v>46</v>
      </c>
      <c r="U30" s="7">
        <v>134.09</v>
      </c>
      <c r="V30" s="39">
        <v>0.16070000000000001</v>
      </c>
      <c r="W30" s="17">
        <v>4.0627279999999999</v>
      </c>
      <c r="X30" s="5" t="str">
        <f t="shared" si="6"/>
        <v>Yes</v>
      </c>
    </row>
    <row r="31" spans="1:24" x14ac:dyDescent="0.15">
      <c r="A31" s="7">
        <v>128042</v>
      </c>
      <c r="B31" s="7" t="s">
        <v>72</v>
      </c>
      <c r="C31" s="3" t="e">
        <f>VLOOKUP(A31,可转债实时数据!$B$7:$D$196,3,FALSE)</f>
        <v>#N/A</v>
      </c>
      <c r="D31" s="5" t="e">
        <f t="shared" si="4"/>
        <v>#N/A</v>
      </c>
      <c r="E31" s="5" t="e">
        <f t="shared" si="5"/>
        <v>#N/A</v>
      </c>
      <c r="H31" s="16">
        <v>29</v>
      </c>
      <c r="I31">
        <v>111008</v>
      </c>
      <c r="J31" t="s">
        <v>686</v>
      </c>
      <c r="K31">
        <v>138.30099999999999</v>
      </c>
      <c r="L31" s="39">
        <v>0.14800000000000002</v>
      </c>
      <c r="M31">
        <v>153.101</v>
      </c>
      <c r="N31" s="17">
        <v>3.8393600000000001</v>
      </c>
      <c r="O31" s="5" t="str">
        <f t="shared" ref="O31:O52" si="7">IF(ISNA(MATCH(I31,$A$3:$A$290,0)),"未买","Yes")</f>
        <v>未买</v>
      </c>
      <c r="R31" s="16">
        <v>29</v>
      </c>
      <c r="S31" s="7">
        <v>111011</v>
      </c>
      <c r="T31" s="7" t="s">
        <v>753</v>
      </c>
      <c r="U31" s="7">
        <v>131.499</v>
      </c>
      <c r="V31" s="39">
        <v>0.1666</v>
      </c>
      <c r="W31" s="17">
        <v>6.0157800000000003</v>
      </c>
      <c r="X31" s="5" t="str">
        <f t="shared" si="6"/>
        <v>未买</v>
      </c>
    </row>
    <row r="32" spans="1:24" x14ac:dyDescent="0.15">
      <c r="A32" s="7">
        <v>128049</v>
      </c>
      <c r="B32" s="7" t="s">
        <v>71</v>
      </c>
      <c r="C32" s="3">
        <f>VLOOKUP(A32,可转债实时数据!$B$7:$D$196,3,FALSE)</f>
        <v>129.601</v>
      </c>
      <c r="D32" s="5">
        <f t="shared" si="4"/>
        <v>6</v>
      </c>
      <c r="E32" s="5">
        <f t="shared" si="5"/>
        <v>12</v>
      </c>
      <c r="H32" s="16">
        <v>30</v>
      </c>
      <c r="I32">
        <v>123153</v>
      </c>
      <c r="J32" t="s">
        <v>718</v>
      </c>
      <c r="K32">
        <v>122.16</v>
      </c>
      <c r="L32" s="39">
        <v>0.3175</v>
      </c>
      <c r="M32">
        <v>153.91</v>
      </c>
      <c r="N32" s="17">
        <v>3.3998360000000001</v>
      </c>
      <c r="O32" s="5" t="str">
        <f t="shared" si="7"/>
        <v>Yes</v>
      </c>
      <c r="R32" s="16">
        <v>30</v>
      </c>
      <c r="S32" s="7">
        <v>123164</v>
      </c>
      <c r="T32" s="7" t="s">
        <v>1025</v>
      </c>
      <c r="U32" s="7">
        <v>129.6</v>
      </c>
      <c r="V32" s="39">
        <v>0.16850000000000001</v>
      </c>
      <c r="W32" s="17">
        <v>5.9983240000000002</v>
      </c>
      <c r="X32" s="5" t="str">
        <f t="shared" si="6"/>
        <v>Yes</v>
      </c>
    </row>
    <row r="33" spans="1:24" x14ac:dyDescent="0.15">
      <c r="A33" s="7">
        <v>128071</v>
      </c>
      <c r="B33" s="7" t="s">
        <v>52</v>
      </c>
      <c r="C33" s="3" t="e">
        <f>VLOOKUP(A33,可转债实时数据!$B$7:$D$196,3,FALSE)</f>
        <v>#N/A</v>
      </c>
      <c r="D33" s="5" t="e">
        <f t="shared" si="4"/>
        <v>#N/A</v>
      </c>
      <c r="E33" s="5" t="e">
        <f t="shared" si="5"/>
        <v>#N/A</v>
      </c>
      <c r="H33" s="16">
        <v>31</v>
      </c>
      <c r="I33">
        <v>128076</v>
      </c>
      <c r="J33" t="s">
        <v>715</v>
      </c>
      <c r="K33">
        <v>130.267</v>
      </c>
      <c r="L33" s="39">
        <v>0.23960000000000001</v>
      </c>
      <c r="M33">
        <v>154.227</v>
      </c>
      <c r="N33" s="17">
        <v>2.1347200000000002</v>
      </c>
      <c r="O33" s="5" t="str">
        <f t="shared" si="7"/>
        <v>Yes</v>
      </c>
      <c r="R33" s="16">
        <v>31</v>
      </c>
      <c r="S33" s="7">
        <v>111015</v>
      </c>
      <c r="T33" s="7" t="s">
        <v>1055</v>
      </c>
      <c r="U33" s="7">
        <v>137.97900000000001</v>
      </c>
      <c r="V33" s="39">
        <v>0.1709</v>
      </c>
      <c r="W33" s="17">
        <v>6.9</v>
      </c>
      <c r="X33" s="5" t="str">
        <f t="shared" si="6"/>
        <v>未买</v>
      </c>
    </row>
    <row r="34" spans="1:24" x14ac:dyDescent="0.15">
      <c r="A34" s="7">
        <v>128076</v>
      </c>
      <c r="B34" s="7" t="s">
        <v>65</v>
      </c>
      <c r="C34" s="3">
        <f>VLOOKUP(A34,可转债实时数据!$B$7:$D$196,3,FALSE)</f>
        <v>130.267</v>
      </c>
      <c r="D34" s="5">
        <f t="shared" si="4"/>
        <v>31</v>
      </c>
      <c r="E34" s="5" t="e">
        <f t="shared" si="5"/>
        <v>#N/A</v>
      </c>
      <c r="H34" s="16">
        <v>32</v>
      </c>
      <c r="I34">
        <v>123100</v>
      </c>
      <c r="J34" t="s">
        <v>1111</v>
      </c>
      <c r="K34">
        <v>116.75</v>
      </c>
      <c r="L34" s="39">
        <v>0.38030000000000003</v>
      </c>
      <c r="M34">
        <v>154.78</v>
      </c>
      <c r="N34" s="17">
        <v>3.7971200000000001</v>
      </c>
      <c r="O34" s="5" t="str">
        <f t="shared" si="7"/>
        <v>Yes</v>
      </c>
      <c r="R34" s="16">
        <v>32</v>
      </c>
      <c r="S34" s="7">
        <v>111012</v>
      </c>
      <c r="T34" s="7" t="s">
        <v>751</v>
      </c>
      <c r="U34" s="7">
        <v>124.3</v>
      </c>
      <c r="V34" s="39">
        <v>0.1714</v>
      </c>
      <c r="W34" s="17">
        <v>4.2877999999999998</v>
      </c>
      <c r="X34" s="5" t="str">
        <f t="shared" si="6"/>
        <v>未买</v>
      </c>
    </row>
    <row r="35" spans="1:24" x14ac:dyDescent="0.15">
      <c r="A35" s="7">
        <v>128078</v>
      </c>
      <c r="B35" s="7" t="s">
        <v>440</v>
      </c>
      <c r="C35" s="3" t="e">
        <f>VLOOKUP(A35,可转债实时数据!$B$7:$D$196,3,FALSE)</f>
        <v>#N/A</v>
      </c>
      <c r="D35" s="5" t="e">
        <f t="shared" si="4"/>
        <v>#N/A</v>
      </c>
      <c r="E35" s="5" t="e">
        <f t="shared" si="5"/>
        <v>#N/A</v>
      </c>
      <c r="H35" s="16">
        <v>33</v>
      </c>
      <c r="I35">
        <v>113665</v>
      </c>
      <c r="J35" t="s">
        <v>1029</v>
      </c>
      <c r="K35">
        <v>111.217</v>
      </c>
      <c r="L35" s="39">
        <v>0.44030000000000002</v>
      </c>
      <c r="M35">
        <v>155.24700000000001</v>
      </c>
      <c r="N35" s="17">
        <v>3.5999400000000001</v>
      </c>
      <c r="O35" s="5" t="str">
        <f t="shared" si="7"/>
        <v>未买</v>
      </c>
      <c r="R35" s="16">
        <v>33</v>
      </c>
      <c r="S35" s="7">
        <v>123063</v>
      </c>
      <c r="T35" s="7" t="s">
        <v>680</v>
      </c>
      <c r="U35" s="7">
        <v>123.85899999999999</v>
      </c>
      <c r="V35" s="39">
        <v>0.17510000000000001</v>
      </c>
      <c r="W35" s="17">
        <v>6.345504</v>
      </c>
      <c r="X35" s="5" t="str">
        <f t="shared" si="6"/>
        <v>未买</v>
      </c>
    </row>
    <row r="36" spans="1:24" x14ac:dyDescent="0.15">
      <c r="A36" s="7">
        <v>128079</v>
      </c>
      <c r="B36" s="7" t="s">
        <v>53</v>
      </c>
      <c r="C36" s="3" t="e">
        <f>VLOOKUP(A36,可转债实时数据!$B$7:$D$196,3,FALSE)</f>
        <v>#N/A</v>
      </c>
      <c r="D36" s="5" t="e">
        <f t="shared" si="4"/>
        <v>#N/A</v>
      </c>
      <c r="E36" s="5" t="e">
        <f t="shared" si="5"/>
        <v>#N/A</v>
      </c>
      <c r="H36" s="16">
        <v>34</v>
      </c>
      <c r="I36">
        <v>123050</v>
      </c>
      <c r="J36" t="s">
        <v>1084</v>
      </c>
      <c r="K36">
        <v>135.5</v>
      </c>
      <c r="L36" s="39">
        <v>0.19789999999999999</v>
      </c>
      <c r="M36">
        <v>155.29</v>
      </c>
      <c r="N36" s="17">
        <v>3.7456660000000004</v>
      </c>
      <c r="O36" s="5" t="str">
        <f t="shared" si="7"/>
        <v>未买</v>
      </c>
      <c r="R36" s="16">
        <v>34</v>
      </c>
      <c r="S36" s="7">
        <v>111004</v>
      </c>
      <c r="T36" s="7" t="s">
        <v>732</v>
      </c>
      <c r="U36" s="7">
        <v>128.57</v>
      </c>
      <c r="V36" s="39">
        <v>0.17760000000000001</v>
      </c>
      <c r="W36" s="17">
        <v>6.7293399999999997</v>
      </c>
      <c r="X36" s="5" t="str">
        <f t="shared" si="6"/>
        <v>未买</v>
      </c>
    </row>
    <row r="37" spans="1:24" x14ac:dyDescent="0.15">
      <c r="A37" s="7">
        <v>128082</v>
      </c>
      <c r="B37" s="7" t="s">
        <v>664</v>
      </c>
      <c r="C37" s="3">
        <f>VLOOKUP(A37,可转债实时数据!$B$7:$D$196,3,FALSE)</f>
        <v>146.44499999999999</v>
      </c>
      <c r="D37" s="5">
        <f t="shared" si="4"/>
        <v>45</v>
      </c>
      <c r="E37" s="5">
        <f t="shared" si="5"/>
        <v>23</v>
      </c>
      <c r="H37" s="16">
        <v>35</v>
      </c>
      <c r="I37">
        <v>123143</v>
      </c>
      <c r="J37" t="s">
        <v>1019</v>
      </c>
      <c r="K37">
        <v>120.69499999999999</v>
      </c>
      <c r="L37" s="39">
        <v>0.35100000000000003</v>
      </c>
      <c r="M37">
        <v>155.79499999999999</v>
      </c>
      <c r="N37" s="17">
        <v>3.2973519999999996</v>
      </c>
      <c r="O37" s="5" t="str">
        <f t="shared" si="7"/>
        <v>未买</v>
      </c>
      <c r="R37" s="16">
        <v>35</v>
      </c>
      <c r="S37" s="7">
        <v>123167</v>
      </c>
      <c r="T37" s="7" t="s">
        <v>726</v>
      </c>
      <c r="U37" s="7">
        <v>133.964</v>
      </c>
      <c r="V37" s="39">
        <v>0.1777</v>
      </c>
      <c r="W37" s="17">
        <v>3.9367960000000002</v>
      </c>
      <c r="X37" s="5" t="str">
        <f t="shared" si="6"/>
        <v>未买</v>
      </c>
    </row>
    <row r="38" spans="1:24" x14ac:dyDescent="0.15">
      <c r="A38" s="7">
        <v>128083</v>
      </c>
      <c r="B38" s="7" t="s">
        <v>70</v>
      </c>
      <c r="C38" s="3" t="e">
        <f>VLOOKUP(A38,可转债实时数据!$B$7:$D$196,3,FALSE)</f>
        <v>#N/A</v>
      </c>
      <c r="D38" s="5" t="e">
        <f t="shared" si="4"/>
        <v>#N/A</v>
      </c>
      <c r="E38" s="5" t="e">
        <f t="shared" si="5"/>
        <v>#N/A</v>
      </c>
      <c r="H38" s="16">
        <v>36</v>
      </c>
      <c r="I38">
        <v>128143</v>
      </c>
      <c r="J38" t="s">
        <v>1082</v>
      </c>
      <c r="K38">
        <v>128.70099999999999</v>
      </c>
      <c r="L38" s="39">
        <v>0.27589999999999998</v>
      </c>
      <c r="M38">
        <v>156.291</v>
      </c>
      <c r="N38" s="17">
        <v>2.4374440000000002</v>
      </c>
      <c r="O38" s="5" t="str">
        <f t="shared" si="7"/>
        <v>未买</v>
      </c>
      <c r="R38" s="16">
        <v>36</v>
      </c>
      <c r="S38" s="7">
        <v>123188</v>
      </c>
      <c r="T38" s="7" t="s">
        <v>769</v>
      </c>
      <c r="U38" s="7">
        <v>134.26</v>
      </c>
      <c r="V38" s="39">
        <v>0.1789</v>
      </c>
      <c r="W38" s="17">
        <v>6.9497989999999996</v>
      </c>
      <c r="X38" s="5" t="str">
        <f t="shared" si="6"/>
        <v>未买</v>
      </c>
    </row>
    <row r="39" spans="1:24" x14ac:dyDescent="0.15">
      <c r="A39" s="7">
        <v>128085</v>
      </c>
      <c r="B39" s="7" t="s">
        <v>213</v>
      </c>
      <c r="C39" s="3" t="e">
        <f>VLOOKUP(A39,可转债实时数据!$B$7:$D$196,3,FALSE)</f>
        <v>#N/A</v>
      </c>
      <c r="D39" s="5" t="e">
        <f t="shared" si="4"/>
        <v>#N/A</v>
      </c>
      <c r="E39" s="5" t="e">
        <f t="shared" si="5"/>
        <v>#N/A</v>
      </c>
      <c r="H39" s="16">
        <v>37</v>
      </c>
      <c r="I39">
        <v>113598</v>
      </c>
      <c r="J39" t="s">
        <v>764</v>
      </c>
      <c r="K39">
        <v>135.96899999999999</v>
      </c>
      <c r="L39" s="39">
        <v>0.20579999999999998</v>
      </c>
      <c r="M39">
        <v>156.54899999999998</v>
      </c>
      <c r="N39" s="17">
        <v>2.7522899999999999</v>
      </c>
      <c r="O39" s="5" t="str">
        <f t="shared" si="7"/>
        <v>未买</v>
      </c>
      <c r="R39" s="16">
        <v>37</v>
      </c>
      <c r="S39" s="7">
        <v>113039</v>
      </c>
      <c r="T39" s="7" t="s">
        <v>1113</v>
      </c>
      <c r="U39" s="7">
        <v>134.25800000000001</v>
      </c>
      <c r="V39" s="39">
        <v>0.18379999999999999</v>
      </c>
      <c r="W39" s="17">
        <v>2.8770699999999998</v>
      </c>
      <c r="X39" s="5" t="str">
        <f t="shared" si="6"/>
        <v>未买</v>
      </c>
    </row>
    <row r="40" spans="1:24" x14ac:dyDescent="0.15">
      <c r="A40" s="7">
        <v>128087</v>
      </c>
      <c r="B40" s="7" t="s">
        <v>60</v>
      </c>
      <c r="C40" s="3">
        <f>VLOOKUP(A40,可转债实时数据!$B$7:$D$196,3,FALSE)</f>
        <v>125.12</v>
      </c>
      <c r="D40" s="5" t="e">
        <f t="shared" si="4"/>
        <v>#N/A</v>
      </c>
      <c r="E40" s="5">
        <f t="shared" si="5"/>
        <v>9</v>
      </c>
      <c r="H40" s="16">
        <v>38</v>
      </c>
      <c r="I40">
        <v>123171</v>
      </c>
      <c r="J40" t="s">
        <v>1027</v>
      </c>
      <c r="K40">
        <v>114.633</v>
      </c>
      <c r="L40" s="39">
        <v>0.42719999999999997</v>
      </c>
      <c r="M40">
        <v>157.35300000000001</v>
      </c>
      <c r="N40" s="17">
        <v>3.799858</v>
      </c>
      <c r="O40" s="5" t="str">
        <f t="shared" si="7"/>
        <v>未买</v>
      </c>
      <c r="R40" s="16">
        <v>38</v>
      </c>
      <c r="S40" s="7">
        <v>123160</v>
      </c>
      <c r="T40" s="7" t="s">
        <v>470</v>
      </c>
      <c r="U40" s="7">
        <v>123.154</v>
      </c>
      <c r="V40" s="39">
        <v>0.1855</v>
      </c>
      <c r="W40" s="17">
        <v>3.348875</v>
      </c>
      <c r="X40" s="5" t="str">
        <f t="shared" si="6"/>
        <v>Yes</v>
      </c>
    </row>
    <row r="41" spans="1:24" x14ac:dyDescent="0.15">
      <c r="A41" s="7">
        <v>128090</v>
      </c>
      <c r="B41" s="7" t="s">
        <v>61</v>
      </c>
      <c r="C41" s="3">
        <f>VLOOKUP(A41,可转债实时数据!$B$7:$D$196,3,FALSE)</f>
        <v>129.75</v>
      </c>
      <c r="D41" s="5">
        <f t="shared" si="4"/>
        <v>13</v>
      </c>
      <c r="E41" s="5">
        <f t="shared" si="5"/>
        <v>21</v>
      </c>
      <c r="H41" s="16">
        <v>39</v>
      </c>
      <c r="I41">
        <v>123067</v>
      </c>
      <c r="J41" t="s">
        <v>747</v>
      </c>
      <c r="K41">
        <v>129.94999999999999</v>
      </c>
      <c r="L41" s="39">
        <v>0.28089999999999998</v>
      </c>
      <c r="M41">
        <v>158.04</v>
      </c>
      <c r="N41" s="17">
        <v>2.393786</v>
      </c>
      <c r="O41" s="5" t="str">
        <f t="shared" si="7"/>
        <v>未买</v>
      </c>
      <c r="R41" s="16">
        <v>39</v>
      </c>
      <c r="S41" s="7">
        <v>113664</v>
      </c>
      <c r="T41" s="7" t="s">
        <v>740</v>
      </c>
      <c r="U41" s="7">
        <v>128.25299999999999</v>
      </c>
      <c r="V41" s="39">
        <v>0.18820000000000001</v>
      </c>
      <c r="W41" s="17">
        <v>4.4997100000000003</v>
      </c>
      <c r="X41" s="5" t="str">
        <f t="shared" si="6"/>
        <v>未买</v>
      </c>
    </row>
    <row r="42" spans="1:24" x14ac:dyDescent="0.15">
      <c r="A42" s="7">
        <v>128119</v>
      </c>
      <c r="B42" s="7" t="s">
        <v>74</v>
      </c>
      <c r="C42" s="3" t="e">
        <f>VLOOKUP(A42,可转债实时数据!$B$7:$D$196,3,FALSE)</f>
        <v>#N/A</v>
      </c>
      <c r="D42" s="5" t="e">
        <f t="shared" si="4"/>
        <v>#N/A</v>
      </c>
      <c r="E42" s="5" t="e">
        <f t="shared" si="5"/>
        <v>#N/A</v>
      </c>
      <c r="H42" s="16">
        <v>40</v>
      </c>
      <c r="I42">
        <v>113594</v>
      </c>
      <c r="J42" t="s">
        <v>765</v>
      </c>
      <c r="K42">
        <v>134.88999999999999</v>
      </c>
      <c r="L42" s="39">
        <v>0.24739999999999998</v>
      </c>
      <c r="M42">
        <v>159.63</v>
      </c>
      <c r="N42" s="17">
        <v>2.9968400000000002</v>
      </c>
      <c r="O42" s="5" t="str">
        <f t="shared" si="7"/>
        <v>未买</v>
      </c>
      <c r="R42" s="16">
        <v>40</v>
      </c>
      <c r="S42" s="7">
        <v>123202</v>
      </c>
      <c r="T42" s="7" t="s">
        <v>1053</v>
      </c>
      <c r="U42" s="7">
        <v>126.999</v>
      </c>
      <c r="V42" s="39">
        <v>0.19570000000000001</v>
      </c>
      <c r="W42" s="17">
        <v>4.5999999999999996</v>
      </c>
      <c r="X42" s="5" t="str">
        <f t="shared" si="6"/>
        <v>未买</v>
      </c>
    </row>
    <row r="43" spans="1:24" x14ac:dyDescent="0.15">
      <c r="A43" s="7">
        <v>128120</v>
      </c>
      <c r="B43" s="7" t="s">
        <v>59</v>
      </c>
      <c r="C43" s="3">
        <f>VLOOKUP(A43,可转债实时数据!$B$7:$D$196,3,FALSE)</f>
        <v>130.25</v>
      </c>
      <c r="D43" s="5" t="e">
        <f t="shared" si="4"/>
        <v>#N/A</v>
      </c>
      <c r="E43" s="5" t="e">
        <f t="shared" si="5"/>
        <v>#N/A</v>
      </c>
      <c r="H43" s="16">
        <v>41</v>
      </c>
      <c r="I43">
        <v>127079</v>
      </c>
      <c r="J43" t="s">
        <v>749</v>
      </c>
      <c r="K43">
        <v>127.57</v>
      </c>
      <c r="L43" s="39">
        <v>0.32500000000000001</v>
      </c>
      <c r="M43">
        <v>160.07</v>
      </c>
      <c r="N43" s="17">
        <v>3.3996759999999999</v>
      </c>
      <c r="O43" s="5" t="str">
        <f t="shared" si="7"/>
        <v>未买</v>
      </c>
      <c r="R43" s="16">
        <v>41</v>
      </c>
      <c r="S43" s="7">
        <v>123050</v>
      </c>
      <c r="T43" s="7" t="s">
        <v>1084</v>
      </c>
      <c r="U43" s="7">
        <v>135.5</v>
      </c>
      <c r="V43" s="39">
        <v>0.19789999999999999</v>
      </c>
      <c r="W43" s="17">
        <v>3.7456660000000004</v>
      </c>
      <c r="X43" s="5" t="str">
        <f t="shared" si="6"/>
        <v>未买</v>
      </c>
    </row>
    <row r="44" spans="1:24" x14ac:dyDescent="0.15">
      <c r="A44" s="7">
        <v>128127</v>
      </c>
      <c r="B44" s="7" t="s">
        <v>73</v>
      </c>
      <c r="C44" s="3" t="e">
        <f>VLOOKUP(A44,可转债实时数据!$B$7:$D$196,3,FALSE)</f>
        <v>#N/A</v>
      </c>
      <c r="D44" s="5" t="e">
        <f t="shared" si="4"/>
        <v>#N/A</v>
      </c>
      <c r="E44" s="5" t="e">
        <f t="shared" si="5"/>
        <v>#N/A</v>
      </c>
      <c r="H44" s="16">
        <v>42</v>
      </c>
      <c r="I44">
        <v>123080</v>
      </c>
      <c r="J44" t="s">
        <v>770</v>
      </c>
      <c r="K44">
        <v>133.411</v>
      </c>
      <c r="L44" s="39">
        <v>0.26789999999999997</v>
      </c>
      <c r="M44">
        <v>160.20099999999999</v>
      </c>
      <c r="N44" s="17">
        <v>1.4893400000000001</v>
      </c>
      <c r="O44" s="5" t="str">
        <f t="shared" si="7"/>
        <v>Yes</v>
      </c>
      <c r="R44" s="16">
        <v>42</v>
      </c>
      <c r="S44" s="7">
        <v>113524</v>
      </c>
      <c r="T44" s="7" t="s">
        <v>1012</v>
      </c>
      <c r="U44" s="7">
        <v>126.964</v>
      </c>
      <c r="V44" s="39">
        <v>0.20379999999999998</v>
      </c>
      <c r="W44" s="17">
        <v>3.2970199999999998</v>
      </c>
      <c r="X44" s="5" t="str">
        <f t="shared" si="6"/>
        <v>未买</v>
      </c>
    </row>
    <row r="45" spans="1:24" x14ac:dyDescent="0.15">
      <c r="H45" s="14">
        <v>43</v>
      </c>
      <c r="I45" s="7">
        <v>123159</v>
      </c>
      <c r="J45" s="7" t="s">
        <v>1023</v>
      </c>
      <c r="K45" s="7">
        <v>114.53</v>
      </c>
      <c r="L45" s="40">
        <v>0.45840000000000003</v>
      </c>
      <c r="M45" s="7">
        <v>160.37</v>
      </c>
      <c r="N45" s="29">
        <v>2.9434429999999998</v>
      </c>
      <c r="O45" s="5" t="str">
        <f t="shared" si="7"/>
        <v>Yes</v>
      </c>
      <c r="R45" s="14">
        <v>43</v>
      </c>
      <c r="S45" s="7">
        <v>111002</v>
      </c>
      <c r="T45" s="7" t="s">
        <v>678</v>
      </c>
      <c r="U45" s="7">
        <v>128.05099999999999</v>
      </c>
      <c r="V45" s="40">
        <v>0.20430000000000001</v>
      </c>
      <c r="W45" s="29">
        <v>6.6193900000000001</v>
      </c>
      <c r="X45" s="5" t="str">
        <f t="shared" si="6"/>
        <v>未买</v>
      </c>
    </row>
    <row r="46" spans="1:24" x14ac:dyDescent="0.15">
      <c r="H46" s="14">
        <v>44</v>
      </c>
      <c r="I46" s="7">
        <v>123152</v>
      </c>
      <c r="J46" s="7" t="s">
        <v>1081</v>
      </c>
      <c r="K46" s="7">
        <v>121.001</v>
      </c>
      <c r="L46" s="40">
        <v>0.40060000000000001</v>
      </c>
      <c r="M46" s="7">
        <v>161.06100000000001</v>
      </c>
      <c r="N46" s="29">
        <v>2.922593</v>
      </c>
      <c r="O46" s="5" t="str">
        <f t="shared" si="7"/>
        <v>未买</v>
      </c>
      <c r="R46" s="14">
        <v>44</v>
      </c>
      <c r="S46" s="7">
        <v>113598</v>
      </c>
      <c r="T46" s="7" t="s">
        <v>764</v>
      </c>
      <c r="U46" s="7">
        <v>135.96899999999999</v>
      </c>
      <c r="V46" s="40">
        <v>0.20579999999999998</v>
      </c>
      <c r="W46" s="29">
        <v>2.7522899999999999</v>
      </c>
      <c r="X46" s="5" t="str">
        <f t="shared" si="6"/>
        <v>未买</v>
      </c>
    </row>
    <row r="47" spans="1:24" x14ac:dyDescent="0.15">
      <c r="H47" s="14">
        <v>45</v>
      </c>
      <c r="I47" s="7">
        <v>128082</v>
      </c>
      <c r="J47" s="7" t="s">
        <v>679</v>
      </c>
      <c r="K47" s="7">
        <v>146.44499999999999</v>
      </c>
      <c r="L47" s="40">
        <v>0.1497</v>
      </c>
      <c r="M47" s="7">
        <v>161.41499999999999</v>
      </c>
      <c r="N47" s="29">
        <v>2.0144419999999998</v>
      </c>
      <c r="O47" s="5" t="str">
        <f t="shared" si="7"/>
        <v>Yes</v>
      </c>
      <c r="R47" s="14">
        <v>45</v>
      </c>
      <c r="S47" s="7">
        <v>113546</v>
      </c>
      <c r="T47" s="7" t="s">
        <v>51</v>
      </c>
      <c r="U47" s="7">
        <v>126.26600000000001</v>
      </c>
      <c r="V47" s="40">
        <v>0.214</v>
      </c>
      <c r="W47" s="29">
        <v>2.2963</v>
      </c>
      <c r="X47" s="5" t="str">
        <f t="shared" si="6"/>
        <v>未买</v>
      </c>
    </row>
    <row r="48" spans="1:24" x14ac:dyDescent="0.15">
      <c r="H48" s="14">
        <v>46</v>
      </c>
      <c r="I48" s="7">
        <v>111013</v>
      </c>
      <c r="J48" s="7" t="s">
        <v>1054</v>
      </c>
      <c r="K48" s="7">
        <v>129.14099999999999</v>
      </c>
      <c r="L48" s="40">
        <v>0.32369999999999999</v>
      </c>
      <c r="M48" s="7">
        <v>161.511</v>
      </c>
      <c r="N48" s="29">
        <v>3.68899</v>
      </c>
      <c r="O48" s="5" t="str">
        <f t="shared" si="7"/>
        <v>未买</v>
      </c>
      <c r="R48" s="14">
        <v>46</v>
      </c>
      <c r="S48" s="7">
        <v>123052</v>
      </c>
      <c r="T48" s="7" t="s">
        <v>210</v>
      </c>
      <c r="U48" s="7">
        <v>144.80000000000001</v>
      </c>
      <c r="V48" s="40">
        <v>0.215</v>
      </c>
      <c r="W48" s="29">
        <v>1.5017990000000001</v>
      </c>
      <c r="X48" s="5" t="str">
        <f t="shared" si="6"/>
        <v>Yes</v>
      </c>
    </row>
    <row r="49" spans="8:24" x14ac:dyDescent="0.15">
      <c r="H49" s="14">
        <v>47</v>
      </c>
      <c r="I49" s="7">
        <v>123112</v>
      </c>
      <c r="J49" s="7" t="s">
        <v>63</v>
      </c>
      <c r="K49" s="7">
        <v>139.035</v>
      </c>
      <c r="L49" s="40">
        <v>0.23420000000000002</v>
      </c>
      <c r="M49" s="7">
        <v>162.45499999999998</v>
      </c>
      <c r="N49" s="29">
        <v>2.2653490000000005</v>
      </c>
      <c r="O49" s="5" t="str">
        <f t="shared" si="7"/>
        <v>Yes</v>
      </c>
      <c r="R49" s="14">
        <v>47</v>
      </c>
      <c r="S49" s="7">
        <v>128128</v>
      </c>
      <c r="T49" s="7" t="s">
        <v>763</v>
      </c>
      <c r="U49" s="7">
        <v>124.018</v>
      </c>
      <c r="V49" s="40">
        <v>0.22460000000000002</v>
      </c>
      <c r="W49" s="29">
        <v>6.794696000000001</v>
      </c>
      <c r="X49" s="5" t="str">
        <f t="shared" si="6"/>
        <v>未买</v>
      </c>
    </row>
    <row r="50" spans="8:24" x14ac:dyDescent="0.15">
      <c r="H50" s="14">
        <v>48</v>
      </c>
      <c r="I50" s="7">
        <v>123199</v>
      </c>
      <c r="J50" s="7" t="s">
        <v>1059</v>
      </c>
      <c r="K50" s="7">
        <v>117.9</v>
      </c>
      <c r="L50" s="40">
        <v>0.44979999999999998</v>
      </c>
      <c r="M50" s="7">
        <v>162.88</v>
      </c>
      <c r="N50" s="29">
        <v>3.2</v>
      </c>
      <c r="O50" s="5" t="str">
        <f t="shared" si="7"/>
        <v>未买</v>
      </c>
      <c r="R50" s="14">
        <v>48</v>
      </c>
      <c r="S50" s="7">
        <v>123038</v>
      </c>
      <c r="T50" s="7" t="s">
        <v>1065</v>
      </c>
      <c r="U50" s="7">
        <v>149.06100000000001</v>
      </c>
      <c r="V50" s="40">
        <v>0.2248</v>
      </c>
      <c r="W50" s="29">
        <v>1.4718869999999999</v>
      </c>
      <c r="X50" s="5" t="str">
        <f t="shared" si="6"/>
        <v>未买</v>
      </c>
    </row>
    <row r="51" spans="8:24" x14ac:dyDescent="0.15">
      <c r="H51" s="14">
        <v>49</v>
      </c>
      <c r="I51" s="7">
        <v>123022</v>
      </c>
      <c r="J51" s="7" t="s">
        <v>713</v>
      </c>
      <c r="K51" s="7">
        <v>135.59899999999999</v>
      </c>
      <c r="L51" s="40">
        <v>0.28010000000000002</v>
      </c>
      <c r="M51" s="7">
        <v>163.60899999999998</v>
      </c>
      <c r="N51" s="29">
        <v>2.562306</v>
      </c>
      <c r="O51" s="5" t="str">
        <f t="shared" si="7"/>
        <v>未买</v>
      </c>
      <c r="R51" s="14">
        <v>49</v>
      </c>
      <c r="S51" s="7">
        <v>123089</v>
      </c>
      <c r="T51" s="7" t="s">
        <v>725</v>
      </c>
      <c r="U51" s="7">
        <v>122.099</v>
      </c>
      <c r="V51" s="40">
        <v>0.22539999999999999</v>
      </c>
      <c r="W51" s="29">
        <v>3.0604269999999998</v>
      </c>
      <c r="X51" s="5" t="str">
        <f t="shared" si="6"/>
        <v>Yes</v>
      </c>
    </row>
    <row r="52" spans="8:24" x14ac:dyDescent="0.15">
      <c r="H52" s="14">
        <v>50</v>
      </c>
      <c r="I52" s="7">
        <v>113671</v>
      </c>
      <c r="J52" s="7" t="s">
        <v>1062</v>
      </c>
      <c r="K52" s="7">
        <v>125.88</v>
      </c>
      <c r="L52" s="40">
        <v>0.38159999999999994</v>
      </c>
      <c r="M52" s="7">
        <v>164.04</v>
      </c>
      <c r="N52" s="29">
        <v>3.1</v>
      </c>
      <c r="O52" s="5" t="str">
        <f t="shared" si="7"/>
        <v>未买</v>
      </c>
      <c r="R52" s="14">
        <v>50</v>
      </c>
      <c r="S52" s="7">
        <v>123112</v>
      </c>
      <c r="T52" s="7" t="s">
        <v>63</v>
      </c>
      <c r="U52" s="7">
        <v>139.035</v>
      </c>
      <c r="V52" s="40">
        <v>0.23420000000000002</v>
      </c>
      <c r="W52" s="29">
        <v>2.2653490000000005</v>
      </c>
      <c r="X52" s="5" t="str">
        <f t="shared" si="6"/>
        <v>Yes</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48"/>
  <sheetViews>
    <sheetView topLeftCell="G1" workbookViewId="0">
      <pane ySplit="1" topLeftCell="A2" activePane="bottomLeft" state="frozen"/>
      <selection pane="bottomLeft" activeCell="U6" sqref="U6"/>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82</v>
      </c>
      <c r="B1" s="19" t="s">
        <v>33</v>
      </c>
      <c r="C1" s="19" t="s">
        <v>32</v>
      </c>
      <c r="D1" s="19" t="s">
        <v>366</v>
      </c>
      <c r="E1" s="22"/>
      <c r="F1" s="24" t="s">
        <v>208</v>
      </c>
      <c r="G1" s="20"/>
      <c r="H1" s="19" t="s">
        <v>33</v>
      </c>
      <c r="I1" s="19" t="s">
        <v>32</v>
      </c>
      <c r="J1" s="19" t="s">
        <v>31</v>
      </c>
      <c r="K1" s="42" t="s">
        <v>29</v>
      </c>
      <c r="L1" s="41" t="s">
        <v>425</v>
      </c>
      <c r="M1" s="41" t="s">
        <v>426</v>
      </c>
      <c r="N1" s="42" t="s">
        <v>30</v>
      </c>
      <c r="O1" s="41" t="s">
        <v>446</v>
      </c>
      <c r="P1" s="41" t="s">
        <v>447</v>
      </c>
      <c r="Q1" s="41" t="s">
        <v>448</v>
      </c>
      <c r="R1" s="41" t="s">
        <v>449</v>
      </c>
      <c r="S1" s="41" t="s">
        <v>472</v>
      </c>
      <c r="T1" s="19" t="s">
        <v>28</v>
      </c>
      <c r="U1" s="19" t="s">
        <v>360</v>
      </c>
      <c r="V1" s="19" t="s">
        <v>361</v>
      </c>
      <c r="W1" s="21" t="s">
        <v>362</v>
      </c>
      <c r="X1" s="82" t="s">
        <v>736</v>
      </c>
      <c r="Y1" s="80" t="s">
        <v>781</v>
      </c>
      <c r="AA1" s="36" t="s">
        <v>419</v>
      </c>
    </row>
    <row r="2" spans="1:28" x14ac:dyDescent="0.15">
      <c r="A2">
        <v>1</v>
      </c>
      <c r="B2">
        <v>159981</v>
      </c>
      <c r="C2" t="s">
        <v>27</v>
      </c>
      <c r="D2">
        <f t="shared" ref="D2:D10" si="0">MATCH(IF(B2&lt;499999,"SZ"&amp;B2,"SH"&amp;B2),$H$2:$H$1668,0)</f>
        <v>140</v>
      </c>
      <c r="G2" s="11">
        <v>1</v>
      </c>
      <c r="H2" t="s">
        <v>116</v>
      </c>
      <c r="I2" t="s">
        <v>293</v>
      </c>
      <c r="J2" t="s">
        <v>224</v>
      </c>
      <c r="K2" s="43">
        <v>-2E-3</v>
      </c>
      <c r="L2" s="39">
        <v>1.7399999999999999E-2</v>
      </c>
      <c r="M2" s="39">
        <v>-2.5600000000000001E-2</v>
      </c>
      <c r="N2" s="43">
        <v>2.5899999999999999E-2</v>
      </c>
      <c r="O2" s="39">
        <v>-6.3200000000000006E-2</v>
      </c>
      <c r="P2" s="39">
        <v>-0.1333</v>
      </c>
      <c r="Q2" s="39">
        <v>2.63E-2</v>
      </c>
      <c r="R2" s="39">
        <v>-0.33800000000000002</v>
      </c>
      <c r="S2" s="39">
        <v>-0.18459999999999999</v>
      </c>
      <c r="T2">
        <v>100</v>
      </c>
      <c r="U2">
        <v>95.24</v>
      </c>
      <c r="V2">
        <v>90.48</v>
      </c>
      <c r="W2" s="17">
        <v>126823.32460000001</v>
      </c>
      <c r="AA2" s="9"/>
      <c r="AB2" s="9"/>
    </row>
    <row r="3" spans="1:28" x14ac:dyDescent="0.15">
      <c r="A3">
        <v>2</v>
      </c>
      <c r="B3">
        <v>160416</v>
      </c>
      <c r="C3" t="s">
        <v>26</v>
      </c>
      <c r="D3" t="e">
        <f t="shared" si="0"/>
        <v>#N/A</v>
      </c>
      <c r="G3" s="11">
        <v>2</v>
      </c>
      <c r="H3" t="s">
        <v>111</v>
      </c>
      <c r="I3" t="s">
        <v>252</v>
      </c>
      <c r="J3" t="s">
        <v>224</v>
      </c>
      <c r="K3" s="43">
        <v>-1.6000000000000001E-3</v>
      </c>
      <c r="L3" s="39">
        <v>4.8399999999999999E-2</v>
      </c>
      <c r="M3" s="39">
        <v>-2.0899999999999998E-2</v>
      </c>
      <c r="N3" s="43">
        <v>3.0200000000000001E-2</v>
      </c>
      <c r="O3" s="39">
        <v>-3.44E-2</v>
      </c>
      <c r="P3" s="39">
        <v>-7.1999999999999995E-2</v>
      </c>
      <c r="Q3" s="39">
        <v>-9.9000000000000005E-2</v>
      </c>
      <c r="R3" s="39">
        <v>-0.38419999999999999</v>
      </c>
      <c r="S3" s="39">
        <v>-0.34789999999999999</v>
      </c>
      <c r="T3">
        <v>99.32</v>
      </c>
      <c r="U3">
        <v>95.92</v>
      </c>
      <c r="V3">
        <v>85.03</v>
      </c>
      <c r="W3" s="17">
        <v>118151.1076</v>
      </c>
      <c r="X3" s="83" t="s">
        <v>737</v>
      </c>
      <c r="AA3" s="9"/>
      <c r="AB3" s="9"/>
    </row>
    <row r="4" spans="1:28" x14ac:dyDescent="0.15">
      <c r="A4">
        <v>3</v>
      </c>
      <c r="B4">
        <v>164906</v>
      </c>
      <c r="C4" t="s">
        <v>25</v>
      </c>
      <c r="D4">
        <f t="shared" si="0"/>
        <v>130</v>
      </c>
      <c r="G4" s="11">
        <v>3</v>
      </c>
      <c r="H4" s="10" t="s">
        <v>133</v>
      </c>
      <c r="I4" t="s">
        <v>232</v>
      </c>
      <c r="J4" t="s">
        <v>224</v>
      </c>
      <c r="K4" s="43">
        <v>-1.6000000000000001E-3</v>
      </c>
      <c r="L4" s="39">
        <v>2.1899999999999999E-2</v>
      </c>
      <c r="M4" s="39">
        <v>-3.6700000000000003E-2</v>
      </c>
      <c r="N4" s="43">
        <v>2.0799999999999999E-2</v>
      </c>
      <c r="O4" s="39">
        <v>-6.7500000000000004E-2</v>
      </c>
      <c r="P4" s="39">
        <v>-6.5799999999999997E-2</v>
      </c>
      <c r="Q4" s="39">
        <v>5.6500000000000002E-2</v>
      </c>
      <c r="R4" s="39">
        <v>-0.29980000000000001</v>
      </c>
      <c r="S4" s="39">
        <v>-0.26829999999999998</v>
      </c>
      <c r="T4">
        <v>98.64</v>
      </c>
      <c r="U4">
        <v>93.2</v>
      </c>
      <c r="V4">
        <v>85.71</v>
      </c>
      <c r="W4" s="17">
        <v>1210.4100000000001</v>
      </c>
      <c r="AA4" s="9"/>
      <c r="AB4" s="9"/>
    </row>
    <row r="5" spans="1:28" x14ac:dyDescent="0.15">
      <c r="A5">
        <v>4</v>
      </c>
      <c r="B5">
        <v>159985</v>
      </c>
      <c r="C5" t="s">
        <v>24</v>
      </c>
      <c r="D5">
        <f t="shared" si="0"/>
        <v>79</v>
      </c>
      <c r="G5" s="11">
        <v>4</v>
      </c>
      <c r="H5" s="10" t="s">
        <v>122</v>
      </c>
      <c r="I5" t="s">
        <v>261</v>
      </c>
      <c r="J5" t="s">
        <v>224</v>
      </c>
      <c r="K5" s="43">
        <v>-1.6999999999999999E-3</v>
      </c>
      <c r="L5" s="39">
        <v>2.9000000000000001E-2</v>
      </c>
      <c r="M5" s="39">
        <v>-4.07E-2</v>
      </c>
      <c r="N5" s="43">
        <v>1.67E-2</v>
      </c>
      <c r="O5" s="39">
        <v>-4.5900000000000003E-2</v>
      </c>
      <c r="P5" s="39">
        <v>-0.1353</v>
      </c>
      <c r="Q5" s="39">
        <v>-0.19850000000000001</v>
      </c>
      <c r="R5" s="39">
        <v>-0.46860000000000002</v>
      </c>
      <c r="S5" s="39">
        <v>-0.39439999999999997</v>
      </c>
      <c r="T5">
        <v>97.96</v>
      </c>
      <c r="U5">
        <v>90.48</v>
      </c>
      <c r="V5">
        <v>87.76</v>
      </c>
      <c r="W5" s="17">
        <v>108365.7424</v>
      </c>
      <c r="AA5" s="9"/>
      <c r="AB5" s="9"/>
    </row>
    <row r="6" spans="1:28" x14ac:dyDescent="0.15">
      <c r="A6">
        <v>5</v>
      </c>
      <c r="B6">
        <v>501046</v>
      </c>
      <c r="C6" t="s">
        <v>34</v>
      </c>
      <c r="D6" t="e">
        <f t="shared" si="0"/>
        <v>#N/A</v>
      </c>
      <c r="G6" s="11">
        <v>5</v>
      </c>
      <c r="H6" t="s">
        <v>92</v>
      </c>
      <c r="I6" t="s">
        <v>1089</v>
      </c>
      <c r="J6" t="s">
        <v>780</v>
      </c>
      <c r="K6" s="43">
        <v>-5.3E-3</v>
      </c>
      <c r="L6" s="39">
        <v>1E-4</v>
      </c>
      <c r="M6" s="39">
        <v>-1.1999999999999999E-3</v>
      </c>
      <c r="N6" s="43">
        <v>-1.9E-3</v>
      </c>
      <c r="O6" s="39">
        <v>-2E-3</v>
      </c>
      <c r="P6" s="39">
        <v>1.2999999999999999E-2</v>
      </c>
      <c r="Q6" s="39">
        <v>1.7899999999999999E-2</v>
      </c>
      <c r="R6" s="39">
        <v>6.25E-2</v>
      </c>
      <c r="S6" s="39">
        <v>0.10639999999999999</v>
      </c>
      <c r="T6">
        <v>97.28</v>
      </c>
      <c r="U6">
        <v>77.55</v>
      </c>
      <c r="V6">
        <v>99.32</v>
      </c>
      <c r="W6" s="17">
        <v>26549.728800000001</v>
      </c>
      <c r="AA6" t="s">
        <v>1137</v>
      </c>
    </row>
    <row r="7" spans="1:28" x14ac:dyDescent="0.15">
      <c r="A7">
        <v>6</v>
      </c>
      <c r="B7">
        <v>160216</v>
      </c>
      <c r="C7" t="s">
        <v>22</v>
      </c>
      <c r="D7" t="e">
        <f t="shared" si="0"/>
        <v>#N/A</v>
      </c>
      <c r="G7" s="11">
        <v>6</v>
      </c>
      <c r="H7" s="10" t="s">
        <v>87</v>
      </c>
      <c r="I7" t="s">
        <v>324</v>
      </c>
      <c r="J7" t="s">
        <v>363</v>
      </c>
      <c r="K7" s="43">
        <v>-3.0000000000000001E-3</v>
      </c>
      <c r="L7" s="39">
        <v>4.0000000000000002E-4</v>
      </c>
      <c r="M7" s="39">
        <v>-6.9999999999999999E-4</v>
      </c>
      <c r="N7" s="43">
        <v>0</v>
      </c>
      <c r="O7" s="39">
        <v>1.4E-3</v>
      </c>
      <c r="P7" s="39">
        <v>1.38E-2</v>
      </c>
      <c r="Q7" s="39">
        <v>2.2200000000000001E-2</v>
      </c>
      <c r="R7" s="39">
        <v>5.4899999999999997E-2</v>
      </c>
      <c r="S7" s="39">
        <v>9.2200000000000004E-2</v>
      </c>
      <c r="T7">
        <v>96.6</v>
      </c>
      <c r="U7">
        <v>79.59</v>
      </c>
      <c r="V7">
        <v>97.28</v>
      </c>
      <c r="W7" s="17">
        <v>5165.7810020000006</v>
      </c>
    </row>
    <row r="8" spans="1:28" x14ac:dyDescent="0.15">
      <c r="A8">
        <v>7</v>
      </c>
      <c r="B8">
        <v>513680</v>
      </c>
      <c r="C8" t="s">
        <v>77</v>
      </c>
      <c r="D8" t="e">
        <f t="shared" si="0"/>
        <v>#N/A</v>
      </c>
      <c r="G8" s="11">
        <v>7</v>
      </c>
      <c r="H8" s="10" t="s">
        <v>89</v>
      </c>
      <c r="I8" t="s">
        <v>1088</v>
      </c>
      <c r="J8" t="s">
        <v>780</v>
      </c>
      <c r="K8" s="43">
        <v>-9.2999999999999992E-3</v>
      </c>
      <c r="L8" s="39">
        <v>-5.0000000000000001E-4</v>
      </c>
      <c r="M8" s="39">
        <v>-2E-3</v>
      </c>
      <c r="N8" s="43">
        <v>-4.3E-3</v>
      </c>
      <c r="O8" s="39">
        <v>-1.6999999999999999E-3</v>
      </c>
      <c r="P8" s="39">
        <v>1.2500000000000001E-2</v>
      </c>
      <c r="Q8" s="39">
        <v>2.2800000000000001E-2</v>
      </c>
      <c r="R8" s="39">
        <v>7.46E-2</v>
      </c>
      <c r="S8" s="39">
        <v>0.1244</v>
      </c>
      <c r="T8">
        <v>95.92</v>
      </c>
      <c r="U8">
        <v>74.150000000000006</v>
      </c>
      <c r="V8">
        <v>100</v>
      </c>
      <c r="W8" s="17">
        <v>17881.145</v>
      </c>
    </row>
    <row r="9" spans="1:28" x14ac:dyDescent="0.15">
      <c r="A9">
        <v>8</v>
      </c>
      <c r="B9">
        <v>160717</v>
      </c>
      <c r="C9" t="s">
        <v>19</v>
      </c>
      <c r="D9" t="e">
        <f t="shared" si="0"/>
        <v>#N/A</v>
      </c>
      <c r="G9" s="11">
        <v>8</v>
      </c>
      <c r="H9" s="10" t="s">
        <v>102</v>
      </c>
      <c r="I9" t="s">
        <v>307</v>
      </c>
      <c r="J9" t="s">
        <v>307</v>
      </c>
      <c r="K9" s="43">
        <v>-1.5E-3</v>
      </c>
      <c r="L9" s="39">
        <v>1.6999999999999999E-3</v>
      </c>
      <c r="M9" s="39">
        <v>4.8000000000000001E-2</v>
      </c>
      <c r="N9" s="43">
        <v>5.7999999999999996E-3</v>
      </c>
      <c r="O9" s="39">
        <v>3.5499999999999997E-2</v>
      </c>
      <c r="P9" s="39">
        <v>6.2100000000000002E-2</v>
      </c>
      <c r="Q9" s="39">
        <v>0.21379999999999999</v>
      </c>
      <c r="R9" s="39">
        <v>0.28639999999999999</v>
      </c>
      <c r="S9" s="39">
        <v>0.15409999999999999</v>
      </c>
      <c r="T9">
        <v>95.24</v>
      </c>
      <c r="U9">
        <v>87.76</v>
      </c>
      <c r="V9">
        <v>83.67</v>
      </c>
      <c r="W9" s="17">
        <v>13242.69341</v>
      </c>
      <c r="X9" s="83" t="s">
        <v>737</v>
      </c>
      <c r="Y9" s="81" t="s">
        <v>782</v>
      </c>
    </row>
    <row r="10" spans="1:28" x14ac:dyDescent="0.15">
      <c r="A10">
        <v>9</v>
      </c>
      <c r="B10">
        <v>162411</v>
      </c>
      <c r="C10" t="s">
        <v>21</v>
      </c>
      <c r="D10">
        <f t="shared" si="0"/>
        <v>86</v>
      </c>
      <c r="G10" s="11">
        <v>9</v>
      </c>
      <c r="H10" s="10" t="s">
        <v>387</v>
      </c>
      <c r="I10" t="s">
        <v>775</v>
      </c>
      <c r="J10" t="s">
        <v>780</v>
      </c>
      <c r="K10" s="43">
        <v>-1.9E-3</v>
      </c>
      <c r="L10" s="39">
        <v>6.9999999999999999E-4</v>
      </c>
      <c r="M10" s="39">
        <v>-5.0000000000000001E-4</v>
      </c>
      <c r="N10" s="43">
        <v>1E-4</v>
      </c>
      <c r="O10" s="39">
        <v>2.3999999999999998E-3</v>
      </c>
      <c r="P10" s="39">
        <v>1.4200000000000001E-2</v>
      </c>
      <c r="Q10" s="39">
        <v>2.3099999999999999E-2</v>
      </c>
      <c r="R10" s="39">
        <v>6.9900000000000004E-2</v>
      </c>
      <c r="S10" s="39">
        <v>0.1212</v>
      </c>
      <c r="T10">
        <v>94.56</v>
      </c>
      <c r="U10">
        <v>80.27</v>
      </c>
      <c r="V10">
        <v>89.8</v>
      </c>
      <c r="W10" s="17">
        <v>2336.6349500000001</v>
      </c>
      <c r="Y10" s="81" t="s">
        <v>782</v>
      </c>
    </row>
    <row r="11" spans="1:28" x14ac:dyDescent="0.15">
      <c r="G11" s="11">
        <v>10</v>
      </c>
      <c r="H11" t="s">
        <v>347</v>
      </c>
      <c r="I11" t="s">
        <v>348</v>
      </c>
      <c r="J11" t="s">
        <v>363</v>
      </c>
      <c r="K11" s="43">
        <v>-2.8E-3</v>
      </c>
      <c r="L11" s="39">
        <v>2.1899999999999999E-2</v>
      </c>
      <c r="M11" s="39">
        <v>-2.7000000000000001E-3</v>
      </c>
      <c r="N11" s="43">
        <v>-7.6E-3</v>
      </c>
      <c r="O11" s="39">
        <v>-3.5200000000000002E-2</v>
      </c>
      <c r="P11" s="39">
        <v>-3.8E-3</v>
      </c>
      <c r="Q11" s="39">
        <v>0.1173</v>
      </c>
      <c r="R11" s="39">
        <v>-4.4299999999999999E-2</v>
      </c>
      <c r="S11" s="39">
        <v>-4.4299999999999999E-2</v>
      </c>
      <c r="T11">
        <v>93.88</v>
      </c>
      <c r="U11">
        <v>72.790000000000006</v>
      </c>
      <c r="V11">
        <v>96.6</v>
      </c>
      <c r="W11" s="17">
        <v>2918.6911</v>
      </c>
    </row>
    <row r="12" spans="1:28" x14ac:dyDescent="0.15">
      <c r="G12" s="11">
        <v>11</v>
      </c>
      <c r="H12" t="s">
        <v>127</v>
      </c>
      <c r="I12" t="s">
        <v>261</v>
      </c>
      <c r="J12" t="s">
        <v>224</v>
      </c>
      <c r="K12" s="43">
        <v>-1E-3</v>
      </c>
      <c r="L12" s="39">
        <v>2.92E-2</v>
      </c>
      <c r="M12" s="39">
        <v>-4.1000000000000002E-2</v>
      </c>
      <c r="N12" s="43">
        <v>1.6799999999999999E-2</v>
      </c>
      <c r="O12" s="39">
        <v>-4.7800000000000002E-2</v>
      </c>
      <c r="P12" s="39">
        <v>-0.13969999999999999</v>
      </c>
      <c r="Q12" s="39">
        <v>-0.1971</v>
      </c>
      <c r="R12" s="39">
        <v>-0.4632</v>
      </c>
      <c r="S12" s="39">
        <v>-0.49249999999999999</v>
      </c>
      <c r="T12">
        <v>93.2</v>
      </c>
      <c r="U12">
        <v>91.16</v>
      </c>
      <c r="V12">
        <v>75.510000000000005</v>
      </c>
      <c r="W12" s="17">
        <v>15539.942180199998</v>
      </c>
    </row>
    <row r="13" spans="1:28" x14ac:dyDescent="0.15">
      <c r="G13" s="11">
        <v>12</v>
      </c>
      <c r="H13" s="10" t="s">
        <v>151</v>
      </c>
      <c r="I13" t="s">
        <v>241</v>
      </c>
      <c r="J13" t="s">
        <v>224</v>
      </c>
      <c r="K13" s="43">
        <v>-8.9999999999999998E-4</v>
      </c>
      <c r="L13" s="39">
        <v>2.1700000000000001E-2</v>
      </c>
      <c r="M13" s="39">
        <v>-3.7100000000000001E-2</v>
      </c>
      <c r="N13" s="43">
        <v>1.9900000000000001E-2</v>
      </c>
      <c r="O13" s="39">
        <v>-7.3400000000000007E-2</v>
      </c>
      <c r="P13" s="39">
        <v>-7.5899999999999995E-2</v>
      </c>
      <c r="Q13" s="39">
        <v>3.6799999999999999E-2</v>
      </c>
      <c r="R13" s="39">
        <v>-0.3125</v>
      </c>
      <c r="S13" s="39">
        <v>-0.33739999999999998</v>
      </c>
      <c r="T13">
        <v>92.52</v>
      </c>
      <c r="U13">
        <v>91.84</v>
      </c>
      <c r="V13">
        <v>74.150000000000006</v>
      </c>
      <c r="W13" s="17">
        <v>1840.7039</v>
      </c>
    </row>
    <row r="14" spans="1:28" x14ac:dyDescent="0.15">
      <c r="G14" s="11">
        <v>13</v>
      </c>
      <c r="H14" s="10" t="s">
        <v>173</v>
      </c>
      <c r="I14" t="s">
        <v>281</v>
      </c>
      <c r="J14" t="s">
        <v>224</v>
      </c>
      <c r="K14" s="43">
        <v>-2.0999999999999999E-3</v>
      </c>
      <c r="L14" s="39">
        <v>2.1999999999999999E-2</v>
      </c>
      <c r="M14" s="39">
        <v>-3.0999999999999999E-3</v>
      </c>
      <c r="N14" s="43">
        <v>-7.7000000000000002E-3</v>
      </c>
      <c r="O14" s="39">
        <v>-0.04</v>
      </c>
      <c r="P14" s="39">
        <v>-1.1599999999999999E-2</v>
      </c>
      <c r="Q14" s="39">
        <v>0.1061</v>
      </c>
      <c r="R14" s="39">
        <v>-0.10009999999999999</v>
      </c>
      <c r="S14" s="39">
        <v>-0.1086</v>
      </c>
      <c r="T14">
        <v>91.84</v>
      </c>
      <c r="U14">
        <v>72.11</v>
      </c>
      <c r="V14">
        <v>91.84</v>
      </c>
      <c r="W14" s="17">
        <v>5649.1538600000003</v>
      </c>
    </row>
    <row r="15" spans="1:28" x14ac:dyDescent="0.15">
      <c r="G15" s="11">
        <v>14</v>
      </c>
      <c r="H15" s="10" t="s">
        <v>86</v>
      </c>
      <c r="I15" t="s">
        <v>325</v>
      </c>
      <c r="J15" t="s">
        <v>363</v>
      </c>
      <c r="K15" s="43">
        <v>-1.6000000000000001E-3</v>
      </c>
      <c r="L15" s="39">
        <v>-2E-3</v>
      </c>
      <c r="M15" s="39">
        <v>-3.8E-3</v>
      </c>
      <c r="N15" s="43">
        <v>-2.8E-3</v>
      </c>
      <c r="O15" s="39">
        <v>-2.3999999999999998E-3</v>
      </c>
      <c r="P15" s="39">
        <v>1.47E-2</v>
      </c>
      <c r="Q15" s="39">
        <v>2.18E-2</v>
      </c>
      <c r="R15" s="39">
        <v>6.7100000000000007E-2</v>
      </c>
      <c r="S15" s="39">
        <v>0.11509999999999999</v>
      </c>
      <c r="T15">
        <v>91.16</v>
      </c>
      <c r="U15">
        <v>76.19</v>
      </c>
      <c r="V15">
        <v>84.35</v>
      </c>
      <c r="W15" s="17">
        <v>5797.2415099999998</v>
      </c>
    </row>
    <row r="16" spans="1:28" x14ac:dyDescent="0.15">
      <c r="G16" s="11">
        <v>15</v>
      </c>
      <c r="H16" s="10" t="s">
        <v>455</v>
      </c>
      <c r="I16" t="s">
        <v>456</v>
      </c>
      <c r="J16" t="s">
        <v>450</v>
      </c>
      <c r="K16" s="43">
        <v>-1.8E-3</v>
      </c>
      <c r="L16" s="39">
        <v>5.1499999999999997E-2</v>
      </c>
      <c r="M16" s="39">
        <v>-3.7100000000000001E-2</v>
      </c>
      <c r="N16" s="43">
        <v>-9.9000000000000008E-3</v>
      </c>
      <c r="O16" s="39">
        <v>-5.28E-2</v>
      </c>
      <c r="P16" s="39">
        <v>-0.1268</v>
      </c>
      <c r="Q16" s="39">
        <v>7.3700000000000002E-2</v>
      </c>
      <c r="R16" s="39">
        <v>5.4899999999999997E-2</v>
      </c>
      <c r="S16" s="39">
        <v>5.4899999999999997E-2</v>
      </c>
      <c r="T16">
        <v>90.48</v>
      </c>
      <c r="U16">
        <v>69.39</v>
      </c>
      <c r="V16">
        <v>89.12</v>
      </c>
      <c r="W16" s="17">
        <v>6479.4978099999998</v>
      </c>
    </row>
    <row r="17" spans="7:25" x14ac:dyDescent="0.15">
      <c r="G17" s="11">
        <v>16</v>
      </c>
      <c r="H17" s="10" t="s">
        <v>326</v>
      </c>
      <c r="I17" t="s">
        <v>327</v>
      </c>
      <c r="J17" t="s">
        <v>363</v>
      </c>
      <c r="K17" s="43">
        <v>-2.0999999999999999E-3</v>
      </c>
      <c r="L17" s="39">
        <v>1.32E-2</v>
      </c>
      <c r="M17" s="39">
        <v>-6.8999999999999999E-3</v>
      </c>
      <c r="N17" s="43">
        <v>-1.3599999999999999E-2</v>
      </c>
      <c r="O17" s="39">
        <v>-5.3800000000000001E-2</v>
      </c>
      <c r="P17" s="39">
        <v>-5.04E-2</v>
      </c>
      <c r="Q17" s="39">
        <v>-2.75E-2</v>
      </c>
      <c r="R17" s="39">
        <v>-0.13519999999999999</v>
      </c>
      <c r="S17" s="39">
        <v>-0.13519999999999999</v>
      </c>
      <c r="T17">
        <v>89.8</v>
      </c>
      <c r="U17">
        <v>65.989999999999995</v>
      </c>
      <c r="V17">
        <v>91.16</v>
      </c>
      <c r="W17" s="17">
        <v>4348.3327264</v>
      </c>
      <c r="X17" s="83" t="s">
        <v>737</v>
      </c>
    </row>
    <row r="18" spans="7:25" x14ac:dyDescent="0.15">
      <c r="G18" s="11">
        <v>17</v>
      </c>
      <c r="H18" t="s">
        <v>98</v>
      </c>
      <c r="I18" t="s">
        <v>280</v>
      </c>
      <c r="J18" t="s">
        <v>224</v>
      </c>
      <c r="K18" s="43">
        <v>-1E-3</v>
      </c>
      <c r="L18" s="39">
        <v>2.3E-3</v>
      </c>
      <c r="M18" s="39">
        <v>8.0000000000000004E-4</v>
      </c>
      <c r="N18" s="43">
        <v>8.0000000000000004E-4</v>
      </c>
      <c r="O18" s="39">
        <v>8.0000000000000004E-4</v>
      </c>
      <c r="P18" s="39">
        <v>1.37E-2</v>
      </c>
      <c r="Q18" s="39">
        <v>1.9900000000000001E-2</v>
      </c>
      <c r="R18" s="39">
        <v>5.4600000000000003E-2</v>
      </c>
      <c r="S18" s="39">
        <v>8.6400000000000005E-2</v>
      </c>
      <c r="T18">
        <v>89.12</v>
      </c>
      <c r="U18">
        <v>82.31</v>
      </c>
      <c r="V18">
        <v>74.83</v>
      </c>
      <c r="W18" s="17">
        <v>36023.849399999999</v>
      </c>
    </row>
    <row r="19" spans="7:25" x14ac:dyDescent="0.15">
      <c r="G19" s="11">
        <v>18</v>
      </c>
      <c r="H19" t="s">
        <v>93</v>
      </c>
      <c r="I19" t="s">
        <v>284</v>
      </c>
      <c r="J19" t="s">
        <v>224</v>
      </c>
      <c r="K19" s="43">
        <v>-8.9999999999999998E-4</v>
      </c>
      <c r="L19" s="39">
        <v>1.6000000000000001E-3</v>
      </c>
      <c r="M19" s="39">
        <v>8.0000000000000004E-4</v>
      </c>
      <c r="N19" s="43">
        <v>8.0000000000000004E-4</v>
      </c>
      <c r="O19" s="39">
        <v>2.3999999999999998E-3</v>
      </c>
      <c r="P19" s="39">
        <v>1.7399999999999999E-2</v>
      </c>
      <c r="Q19" s="39">
        <v>2.76E-2</v>
      </c>
      <c r="R19" s="39">
        <v>7.1400000000000005E-2</v>
      </c>
      <c r="S19" s="39">
        <v>0.11310000000000001</v>
      </c>
      <c r="T19">
        <v>88.44</v>
      </c>
      <c r="U19">
        <v>81.63</v>
      </c>
      <c r="V19">
        <v>73.47</v>
      </c>
      <c r="W19" s="17">
        <v>25244.516</v>
      </c>
    </row>
    <row r="20" spans="7:25" x14ac:dyDescent="0.15">
      <c r="G20" s="11">
        <v>19</v>
      </c>
      <c r="H20" s="10" t="s">
        <v>776</v>
      </c>
      <c r="I20" t="s">
        <v>779</v>
      </c>
      <c r="J20" t="s">
        <v>780</v>
      </c>
      <c r="K20" s="43">
        <v>-8.0000000000000004E-4</v>
      </c>
      <c r="L20" s="39">
        <v>1.4E-3</v>
      </c>
      <c r="M20" s="39">
        <v>-1E-4</v>
      </c>
      <c r="N20" s="43">
        <v>5.9999999999999995E-4</v>
      </c>
      <c r="O20" s="39">
        <v>3.8999999999999998E-3</v>
      </c>
      <c r="P20" s="39">
        <v>2.2100000000000002E-2</v>
      </c>
      <c r="Q20" s="39">
        <v>3.1199999999999999E-2</v>
      </c>
      <c r="R20" s="39">
        <v>3.32E-2</v>
      </c>
      <c r="S20" s="39">
        <v>3.32E-2</v>
      </c>
      <c r="T20">
        <v>87.76</v>
      </c>
      <c r="U20">
        <v>80.95</v>
      </c>
      <c r="V20">
        <v>72.790000000000006</v>
      </c>
      <c r="W20" s="17">
        <v>512913.2917</v>
      </c>
      <c r="X20" s="83" t="s">
        <v>737</v>
      </c>
      <c r="Y20" s="81" t="s">
        <v>782</v>
      </c>
    </row>
    <row r="21" spans="7:25" x14ac:dyDescent="0.15">
      <c r="G21" s="11">
        <v>20</v>
      </c>
      <c r="H21" s="10" t="s">
        <v>109</v>
      </c>
      <c r="I21" t="s">
        <v>1087</v>
      </c>
      <c r="J21" t="s">
        <v>224</v>
      </c>
      <c r="K21" s="43">
        <v>-1.6000000000000001E-3</v>
      </c>
      <c r="L21" s="39">
        <v>2.76E-2</v>
      </c>
      <c r="M21" s="39">
        <v>-3.7400000000000003E-2</v>
      </c>
      <c r="N21" s="43">
        <v>-1.26E-2</v>
      </c>
      <c r="O21" s="39">
        <v>-8.6199999999999999E-2</v>
      </c>
      <c r="P21" s="39">
        <v>-0.15509999999999999</v>
      </c>
      <c r="Q21" s="39">
        <v>-0.19689999999999999</v>
      </c>
      <c r="R21" s="39">
        <v>-0.33189999999999997</v>
      </c>
      <c r="S21" s="39">
        <v>-0.44209999999999999</v>
      </c>
      <c r="T21">
        <v>87.07</v>
      </c>
      <c r="U21">
        <v>66.67</v>
      </c>
      <c r="V21">
        <v>86.39</v>
      </c>
      <c r="W21" s="17">
        <v>2579.8938699999999</v>
      </c>
      <c r="X21" s="83" t="s">
        <v>737</v>
      </c>
    </row>
    <row r="22" spans="7:25" x14ac:dyDescent="0.15">
      <c r="G22" s="11">
        <v>21</v>
      </c>
      <c r="H22" s="10" t="s">
        <v>192</v>
      </c>
      <c r="I22" t="s">
        <v>319</v>
      </c>
      <c r="J22" t="s">
        <v>318</v>
      </c>
      <c r="K22" s="43">
        <v>-2.3999999999999998E-3</v>
      </c>
      <c r="L22" s="39">
        <v>7.6E-3</v>
      </c>
      <c r="M22" s="39">
        <v>-2.98E-2</v>
      </c>
      <c r="N22" s="43">
        <v>-1.9800000000000002E-2</v>
      </c>
      <c r="O22" s="39">
        <v>-0.108</v>
      </c>
      <c r="P22" s="39">
        <v>-8.5800000000000001E-2</v>
      </c>
      <c r="Q22" s="39">
        <v>8.0799999999999997E-2</v>
      </c>
      <c r="R22" s="39">
        <v>-0.1827</v>
      </c>
      <c r="S22" s="39">
        <v>-0.151</v>
      </c>
      <c r="T22">
        <v>86.39</v>
      </c>
      <c r="U22">
        <v>58.5</v>
      </c>
      <c r="V22">
        <v>94.56</v>
      </c>
      <c r="W22" s="17">
        <v>9381.8734999999997</v>
      </c>
    </row>
    <row r="23" spans="7:25" x14ac:dyDescent="0.15">
      <c r="G23" s="11">
        <v>22</v>
      </c>
      <c r="H23" t="s">
        <v>104</v>
      </c>
      <c r="I23" t="s">
        <v>258</v>
      </c>
      <c r="J23" t="s">
        <v>224</v>
      </c>
      <c r="K23" s="43">
        <v>-1.8E-3</v>
      </c>
      <c r="L23" s="39">
        <v>1.8800000000000001E-2</v>
      </c>
      <c r="M23" s="39">
        <v>-1.8100000000000002E-2</v>
      </c>
      <c r="N23" s="43">
        <v>-1.49E-2</v>
      </c>
      <c r="O23" s="39">
        <v>-0.14990000000000001</v>
      </c>
      <c r="P23" s="39">
        <v>-0.1807</v>
      </c>
      <c r="Q23" s="39">
        <v>-0.31240000000000001</v>
      </c>
      <c r="R23" s="39">
        <v>-0.45490000000000003</v>
      </c>
      <c r="S23" s="39">
        <v>0.19020000000000001</v>
      </c>
      <c r="T23">
        <v>85.71</v>
      </c>
      <c r="U23">
        <v>63.27</v>
      </c>
      <c r="V23">
        <v>88.44</v>
      </c>
      <c r="W23" s="17">
        <v>7138.2631599999995</v>
      </c>
    </row>
    <row r="24" spans="7:25" x14ac:dyDescent="0.15">
      <c r="G24" s="11">
        <v>23</v>
      </c>
      <c r="H24" s="10" t="s">
        <v>356</v>
      </c>
      <c r="I24" t="s">
        <v>357</v>
      </c>
      <c r="J24" t="s">
        <v>363</v>
      </c>
      <c r="K24" s="43">
        <v>-1E-4</v>
      </c>
      <c r="L24" s="39">
        <v>1.2999999999999999E-2</v>
      </c>
      <c r="M24" s="39">
        <v>-4.07E-2</v>
      </c>
      <c r="N24" s="43">
        <v>2.0199999999999999E-2</v>
      </c>
      <c r="O24" s="39">
        <v>-6.9900000000000004E-2</v>
      </c>
      <c r="P24" s="39">
        <v>-4.7899999999999998E-2</v>
      </c>
      <c r="Q24" s="39">
        <v>1.4200000000000001E-2</v>
      </c>
      <c r="R24" s="39">
        <v>-0.31319999999999998</v>
      </c>
      <c r="S24" s="39">
        <v>-0.31319999999999998</v>
      </c>
      <c r="T24">
        <v>85.03</v>
      </c>
      <c r="U24">
        <v>92.52</v>
      </c>
      <c r="V24">
        <v>57.14</v>
      </c>
      <c r="W24" s="17">
        <v>1015.7191</v>
      </c>
      <c r="X24" s="83" t="s">
        <v>737</v>
      </c>
    </row>
    <row r="25" spans="7:25" x14ac:dyDescent="0.15">
      <c r="G25" s="11">
        <v>24</v>
      </c>
      <c r="H25" t="s">
        <v>139</v>
      </c>
      <c r="I25" t="s">
        <v>16</v>
      </c>
      <c r="J25" t="s">
        <v>363</v>
      </c>
      <c r="K25" s="43">
        <v>-1.4E-3</v>
      </c>
      <c r="L25" s="39">
        <v>1.3299999999999999E-2</v>
      </c>
      <c r="M25" s="39">
        <v>-1.29E-2</v>
      </c>
      <c r="N25" s="43">
        <v>-1.01E-2</v>
      </c>
      <c r="O25" s="39">
        <v>-3.1699999999999999E-2</v>
      </c>
      <c r="P25" s="39">
        <v>-2.6100000000000002E-2</v>
      </c>
      <c r="Q25" s="39">
        <v>-3.2199999999999999E-2</v>
      </c>
      <c r="R25" s="39">
        <v>-3.39E-2</v>
      </c>
      <c r="S25" s="39">
        <v>8.8300000000000003E-2</v>
      </c>
      <c r="T25">
        <v>84.35</v>
      </c>
      <c r="U25">
        <v>68.709999999999994</v>
      </c>
      <c r="V25">
        <v>80.27</v>
      </c>
      <c r="W25" s="17">
        <v>74943.107699999993</v>
      </c>
    </row>
    <row r="26" spans="7:25" x14ac:dyDescent="0.15">
      <c r="G26" s="11">
        <v>25</v>
      </c>
      <c r="H26" t="s">
        <v>91</v>
      </c>
      <c r="I26" t="s">
        <v>275</v>
      </c>
      <c r="J26" t="s">
        <v>224</v>
      </c>
      <c r="K26" s="43">
        <v>5.0000000000000001E-4</v>
      </c>
      <c r="L26" s="39">
        <v>4.5400000000000003E-2</v>
      </c>
      <c r="M26" s="39">
        <v>-2.4299999999999999E-2</v>
      </c>
      <c r="N26" s="43">
        <v>5.91E-2</v>
      </c>
      <c r="O26" s="39">
        <v>6.7999999999999996E-3</v>
      </c>
      <c r="P26" s="39">
        <v>-6.8599999999999994E-2</v>
      </c>
      <c r="Q26" s="39">
        <v>-7.8299999999999995E-2</v>
      </c>
      <c r="R26" s="39">
        <v>-0.37590000000000001</v>
      </c>
      <c r="S26" s="39">
        <v>-0.33589999999999998</v>
      </c>
      <c r="T26">
        <v>83.67</v>
      </c>
      <c r="U26">
        <v>99.32</v>
      </c>
      <c r="V26">
        <v>46.26</v>
      </c>
      <c r="W26" s="17">
        <v>65293.683912600005</v>
      </c>
    </row>
    <row r="27" spans="7:25" x14ac:dyDescent="0.15">
      <c r="G27" s="11">
        <v>26</v>
      </c>
      <c r="H27" s="10" t="s">
        <v>119</v>
      </c>
      <c r="I27" t="s">
        <v>340</v>
      </c>
      <c r="J27" t="s">
        <v>363</v>
      </c>
      <c r="K27" s="43">
        <v>-5.9999999999999995E-4</v>
      </c>
      <c r="L27" s="39">
        <v>-4.0000000000000002E-4</v>
      </c>
      <c r="M27" s="39">
        <v>-2.8999999999999998E-3</v>
      </c>
      <c r="N27" s="43">
        <v>-2.3999999999999998E-3</v>
      </c>
      <c r="O27" s="39">
        <v>-2.5999999999999999E-3</v>
      </c>
      <c r="P27" s="39">
        <v>6.7999999999999996E-3</v>
      </c>
      <c r="Q27" s="39">
        <v>1.4200000000000001E-2</v>
      </c>
      <c r="R27" s="39">
        <v>3.2500000000000001E-2</v>
      </c>
      <c r="S27" s="39">
        <v>7.3400000000000007E-2</v>
      </c>
      <c r="T27">
        <v>82.99</v>
      </c>
      <c r="U27">
        <v>76.87</v>
      </c>
      <c r="V27">
        <v>68.03</v>
      </c>
      <c r="W27" s="17">
        <v>30607.147700000001</v>
      </c>
      <c r="X27" s="83" t="s">
        <v>737</v>
      </c>
    </row>
    <row r="28" spans="7:25" x14ac:dyDescent="0.15">
      <c r="G28" s="11">
        <v>27</v>
      </c>
      <c r="H28" s="10" t="s">
        <v>343</v>
      </c>
      <c r="I28" t="s">
        <v>344</v>
      </c>
      <c r="J28" t="s">
        <v>363</v>
      </c>
      <c r="K28" s="43">
        <v>-1.1000000000000001E-3</v>
      </c>
      <c r="L28" s="39">
        <v>1.55E-2</v>
      </c>
      <c r="M28" s="39">
        <v>-3.0300000000000001E-2</v>
      </c>
      <c r="N28" s="43">
        <v>-1.0699999999999999E-2</v>
      </c>
      <c r="O28" s="39">
        <v>-0.12889999999999999</v>
      </c>
      <c r="P28" s="39">
        <v>-0.16689999999999999</v>
      </c>
      <c r="Q28" s="39">
        <v>-0.29970000000000002</v>
      </c>
      <c r="R28" s="39">
        <v>-0.39360000000000001</v>
      </c>
      <c r="S28" s="39">
        <v>-0.47539999999999999</v>
      </c>
      <c r="T28">
        <v>82.31</v>
      </c>
      <c r="U28">
        <v>68.03</v>
      </c>
      <c r="V28">
        <v>76.19</v>
      </c>
      <c r="W28" s="17">
        <v>9171.5431000000008</v>
      </c>
    </row>
    <row r="29" spans="7:25" x14ac:dyDescent="0.15">
      <c r="G29" s="11">
        <v>28</v>
      </c>
      <c r="H29" s="10" t="s">
        <v>108</v>
      </c>
      <c r="I29" t="s">
        <v>339</v>
      </c>
      <c r="J29" t="s">
        <v>363</v>
      </c>
      <c r="K29" s="43">
        <v>-2.0000000000000001E-4</v>
      </c>
      <c r="L29" s="39">
        <v>4.0000000000000002E-4</v>
      </c>
      <c r="M29" s="39">
        <v>4.0000000000000002E-4</v>
      </c>
      <c r="N29" s="43">
        <v>1.9E-3</v>
      </c>
      <c r="O29" s="39">
        <v>4.3E-3</v>
      </c>
      <c r="P29" s="39">
        <v>1.0800000000000001E-2</v>
      </c>
      <c r="Q29" s="39">
        <v>2.1299999999999999E-2</v>
      </c>
      <c r="R29" s="39">
        <v>4.7300000000000002E-2</v>
      </c>
      <c r="S29" s="39">
        <v>0.08</v>
      </c>
      <c r="T29">
        <v>81.63</v>
      </c>
      <c r="U29">
        <v>84.35</v>
      </c>
      <c r="V29">
        <v>59.18</v>
      </c>
      <c r="W29" s="17">
        <v>1216909.2556</v>
      </c>
    </row>
    <row r="30" spans="7:25" x14ac:dyDescent="0.15">
      <c r="G30" s="11">
        <v>29</v>
      </c>
      <c r="H30" s="10" t="s">
        <v>154</v>
      </c>
      <c r="I30" t="s">
        <v>260</v>
      </c>
      <c r="J30" t="s">
        <v>224</v>
      </c>
      <c r="K30" s="43">
        <v>0</v>
      </c>
      <c r="L30" s="39">
        <v>1.3599999999999999E-2</v>
      </c>
      <c r="M30" s="39">
        <v>-4.7800000000000002E-2</v>
      </c>
      <c r="N30" s="43">
        <v>9.2999999999999992E-3</v>
      </c>
      <c r="O30" s="39">
        <v>-9.06E-2</v>
      </c>
      <c r="P30" s="39">
        <v>-0.10920000000000001</v>
      </c>
      <c r="Q30" s="39">
        <v>4.6199999999999998E-2</v>
      </c>
      <c r="R30" s="39">
        <v>-0.25530000000000003</v>
      </c>
      <c r="S30" s="39">
        <v>-0.2762</v>
      </c>
      <c r="T30">
        <v>80.95</v>
      </c>
      <c r="U30">
        <v>89.12</v>
      </c>
      <c r="V30">
        <v>53.74</v>
      </c>
      <c r="W30" s="17">
        <v>3465.6195299999995</v>
      </c>
    </row>
    <row r="31" spans="7:25" x14ac:dyDescent="0.15">
      <c r="G31" s="11">
        <v>30</v>
      </c>
      <c r="H31" s="10" t="s">
        <v>126</v>
      </c>
      <c r="I31" t="s">
        <v>335</v>
      </c>
      <c r="J31" t="s">
        <v>780</v>
      </c>
      <c r="K31" s="43">
        <v>-2.9999999999999997E-4</v>
      </c>
      <c r="L31" s="39">
        <v>4.0000000000000002E-4</v>
      </c>
      <c r="M31" s="39">
        <v>2.0000000000000001E-4</v>
      </c>
      <c r="N31" s="43">
        <v>1.4E-3</v>
      </c>
      <c r="O31" s="39">
        <v>4.1999999999999997E-3</v>
      </c>
      <c r="P31" s="39">
        <v>1.2E-2</v>
      </c>
      <c r="Q31" s="39">
        <v>1.7000000000000001E-2</v>
      </c>
      <c r="R31" s="39">
        <v>5.3199999999999997E-2</v>
      </c>
      <c r="S31" s="39">
        <v>9.11E-2</v>
      </c>
      <c r="T31">
        <v>80.27</v>
      </c>
      <c r="U31">
        <v>82.99</v>
      </c>
      <c r="V31">
        <v>59.86</v>
      </c>
      <c r="W31" s="17">
        <v>32180.785899999999</v>
      </c>
      <c r="X31" s="83" t="s">
        <v>737</v>
      </c>
    </row>
    <row r="32" spans="7:25" x14ac:dyDescent="0.15">
      <c r="G32" s="11">
        <v>31</v>
      </c>
      <c r="H32" t="s">
        <v>88</v>
      </c>
      <c r="I32" t="s">
        <v>332</v>
      </c>
      <c r="J32" t="s">
        <v>363</v>
      </c>
      <c r="K32" s="43">
        <v>-4.0000000000000002E-4</v>
      </c>
      <c r="L32" s="39">
        <v>1.1000000000000001E-3</v>
      </c>
      <c r="M32" s="39">
        <v>0</v>
      </c>
      <c r="N32" s="43">
        <v>0</v>
      </c>
      <c r="O32" s="39">
        <v>6.9999999999999999E-4</v>
      </c>
      <c r="P32" s="39">
        <v>1.43E-2</v>
      </c>
      <c r="Q32" s="39">
        <v>2.23E-2</v>
      </c>
      <c r="R32" s="39">
        <v>5.7099999999999998E-2</v>
      </c>
      <c r="S32" s="39">
        <v>9.8699999999999996E-2</v>
      </c>
      <c r="T32">
        <v>79.59</v>
      </c>
      <c r="U32">
        <v>78.91</v>
      </c>
      <c r="V32">
        <v>63.27</v>
      </c>
      <c r="W32" s="17">
        <v>39858.158600000002</v>
      </c>
    </row>
    <row r="33" spans="7:25" x14ac:dyDescent="0.15">
      <c r="G33" s="11">
        <v>32</v>
      </c>
      <c r="H33" t="s">
        <v>349</v>
      </c>
      <c r="I33" t="s">
        <v>350</v>
      </c>
      <c r="J33" t="s">
        <v>363</v>
      </c>
      <c r="K33" s="43">
        <v>-1.2999999999999999E-3</v>
      </c>
      <c r="L33" s="39">
        <v>1.7299999999999999E-2</v>
      </c>
      <c r="M33" s="39">
        <v>-2.1600000000000001E-2</v>
      </c>
      <c r="N33" s="43">
        <v>-1.6899999999999998E-2</v>
      </c>
      <c r="O33" s="39">
        <v>-5.57E-2</v>
      </c>
      <c r="P33" s="39">
        <v>-7.2700000000000001E-2</v>
      </c>
      <c r="Q33" s="39">
        <v>-5.2400000000000002E-2</v>
      </c>
      <c r="R33" s="39">
        <v>-0.15690000000000001</v>
      </c>
      <c r="S33" s="39">
        <v>-0.15690000000000001</v>
      </c>
      <c r="T33">
        <v>78.91</v>
      </c>
      <c r="U33">
        <v>61.9</v>
      </c>
      <c r="V33">
        <v>78.91</v>
      </c>
      <c r="W33" s="17">
        <v>2593.4562999999998</v>
      </c>
      <c r="X33" s="83" t="s">
        <v>737</v>
      </c>
      <c r="Y33" s="81" t="s">
        <v>782</v>
      </c>
    </row>
    <row r="34" spans="7:25" x14ac:dyDescent="0.15">
      <c r="G34" s="11">
        <v>33</v>
      </c>
      <c r="H34" s="10" t="s">
        <v>124</v>
      </c>
      <c r="I34" t="s">
        <v>290</v>
      </c>
      <c r="J34" t="s">
        <v>224</v>
      </c>
      <c r="K34" s="43">
        <v>5.9999999999999995E-4</v>
      </c>
      <c r="L34" s="39">
        <v>1.7999999999999999E-2</v>
      </c>
      <c r="M34" s="39">
        <v>-2.3099999999999999E-2</v>
      </c>
      <c r="N34" s="43">
        <v>2.4799999999999999E-2</v>
      </c>
      <c r="O34" s="39">
        <v>-6.9500000000000006E-2</v>
      </c>
      <c r="P34" s="39">
        <v>-0.13700000000000001</v>
      </c>
      <c r="Q34" s="39">
        <v>-3.15E-2</v>
      </c>
      <c r="R34" s="39">
        <v>-0.37409999999999999</v>
      </c>
      <c r="S34" s="39">
        <v>-0.1804</v>
      </c>
      <c r="T34">
        <v>78.23</v>
      </c>
      <c r="U34">
        <v>93.88</v>
      </c>
      <c r="V34">
        <v>42.18</v>
      </c>
      <c r="W34" s="17">
        <v>52701.5388561</v>
      </c>
      <c r="X34" s="83" t="s">
        <v>737</v>
      </c>
    </row>
    <row r="35" spans="7:25" x14ac:dyDescent="0.15">
      <c r="G35" s="11">
        <v>34</v>
      </c>
      <c r="H35" s="10" t="s">
        <v>166</v>
      </c>
      <c r="I35" t="s">
        <v>231</v>
      </c>
      <c r="J35" t="s">
        <v>224</v>
      </c>
      <c r="K35" s="43">
        <v>-1.2999999999999999E-3</v>
      </c>
      <c r="L35" s="39">
        <v>1.2800000000000001E-2</v>
      </c>
      <c r="M35" s="39">
        <v>-1.9900000000000001E-2</v>
      </c>
      <c r="N35" s="43">
        <v>-2.0199999999999999E-2</v>
      </c>
      <c r="O35" s="39">
        <v>-7.6600000000000001E-2</v>
      </c>
      <c r="P35" s="39">
        <v>-8.0600000000000005E-2</v>
      </c>
      <c r="Q35" s="39">
        <v>0.12889999999999999</v>
      </c>
      <c r="R35" s="39">
        <v>-1.84E-2</v>
      </c>
      <c r="S35" s="39">
        <v>0.34470000000000001</v>
      </c>
      <c r="T35">
        <v>77.55</v>
      </c>
      <c r="U35">
        <v>57.82</v>
      </c>
      <c r="V35">
        <v>78.23</v>
      </c>
      <c r="W35" s="17">
        <v>6146.6387000000004</v>
      </c>
    </row>
    <row r="36" spans="7:25" x14ac:dyDescent="0.15">
      <c r="G36" s="11">
        <v>35</v>
      </c>
      <c r="H36" t="s">
        <v>175</v>
      </c>
      <c r="I36" t="s">
        <v>230</v>
      </c>
      <c r="J36" t="s">
        <v>224</v>
      </c>
      <c r="K36" s="43">
        <v>-2.5999999999999999E-3</v>
      </c>
      <c r="L36" s="39">
        <v>2.1999999999999999E-2</v>
      </c>
      <c r="M36" s="39">
        <v>-1.11E-2</v>
      </c>
      <c r="N36" s="43">
        <v>-2.81E-2</v>
      </c>
      <c r="O36" s="39">
        <v>-0.1052</v>
      </c>
      <c r="P36" s="39">
        <v>-0.12640000000000001</v>
      </c>
      <c r="Q36" s="39">
        <v>-0.20030000000000001</v>
      </c>
      <c r="R36" s="39">
        <v>-0.40620000000000001</v>
      </c>
      <c r="S36" s="39">
        <v>-0.37740000000000001</v>
      </c>
      <c r="T36">
        <v>76.87</v>
      </c>
      <c r="U36">
        <v>38.1</v>
      </c>
      <c r="V36">
        <v>95.92</v>
      </c>
      <c r="W36" s="17">
        <v>8705.6133077000013</v>
      </c>
      <c r="X36" s="83" t="s">
        <v>737</v>
      </c>
    </row>
    <row r="37" spans="7:25" x14ac:dyDescent="0.15">
      <c r="G37" s="11">
        <v>36</v>
      </c>
      <c r="H37" s="10" t="s">
        <v>187</v>
      </c>
      <c r="I37" t="s">
        <v>282</v>
      </c>
      <c r="J37" t="s">
        <v>224</v>
      </c>
      <c r="K37" s="43">
        <v>4.0000000000000002E-4</v>
      </c>
      <c r="L37" s="39">
        <v>1.01E-2</v>
      </c>
      <c r="M37" s="39">
        <v>1.61E-2</v>
      </c>
      <c r="N37" s="43">
        <v>2.0999999999999999E-3</v>
      </c>
      <c r="O37" s="39">
        <v>1.15E-2</v>
      </c>
      <c r="P37" s="39">
        <v>4.2599999999999999E-2</v>
      </c>
      <c r="Q37" s="39">
        <v>0.1326</v>
      </c>
      <c r="R37" s="39">
        <v>-0.1903</v>
      </c>
      <c r="S37" s="39">
        <v>-0.2288</v>
      </c>
      <c r="T37">
        <v>76.19</v>
      </c>
      <c r="U37">
        <v>86.39</v>
      </c>
      <c r="V37">
        <v>47.62</v>
      </c>
      <c r="W37" s="17">
        <v>126855.26669999999</v>
      </c>
    </row>
    <row r="38" spans="7:25" x14ac:dyDescent="0.15">
      <c r="G38" s="11">
        <v>37</v>
      </c>
      <c r="H38" t="s">
        <v>106</v>
      </c>
      <c r="I38" t="s">
        <v>257</v>
      </c>
      <c r="J38" t="s">
        <v>224</v>
      </c>
      <c r="K38" s="43">
        <v>-1.1000000000000001E-3</v>
      </c>
      <c r="L38" s="39">
        <v>1.44E-2</v>
      </c>
      <c r="M38" s="39">
        <v>-2.46E-2</v>
      </c>
      <c r="N38" s="43">
        <v>-2.0500000000000001E-2</v>
      </c>
      <c r="O38" s="39">
        <v>-4.9599999999999998E-2</v>
      </c>
      <c r="P38" s="39">
        <v>-3.3099999999999997E-2</v>
      </c>
      <c r="Q38" s="39">
        <v>3.15E-2</v>
      </c>
      <c r="R38" s="39">
        <v>-2.4299999999999999E-2</v>
      </c>
      <c r="S38" s="39">
        <v>7.2099999999999997E-2</v>
      </c>
      <c r="T38">
        <v>75.510000000000005</v>
      </c>
      <c r="U38">
        <v>57.14</v>
      </c>
      <c r="V38">
        <v>76.87</v>
      </c>
      <c r="W38" s="17">
        <v>8294.4498000000003</v>
      </c>
    </row>
    <row r="39" spans="7:25" x14ac:dyDescent="0.15">
      <c r="G39" s="11">
        <v>38</v>
      </c>
      <c r="H39" s="10" t="s">
        <v>138</v>
      </c>
      <c r="I39" t="s">
        <v>273</v>
      </c>
      <c r="J39" t="s">
        <v>224</v>
      </c>
      <c r="K39" s="43">
        <v>-2.3E-3</v>
      </c>
      <c r="L39" s="39">
        <v>5.1499999999999997E-2</v>
      </c>
      <c r="M39" s="39">
        <v>-3.3E-3</v>
      </c>
      <c r="N39" s="43">
        <v>-3.0599999999999999E-2</v>
      </c>
      <c r="O39" s="39">
        <v>-8.8200000000000001E-2</v>
      </c>
      <c r="P39" s="39">
        <v>-8.8499999999999995E-2</v>
      </c>
      <c r="Q39" s="39">
        <v>-1.5100000000000001E-2</v>
      </c>
      <c r="R39" s="39">
        <v>-0.19769999999999999</v>
      </c>
      <c r="S39" s="39">
        <v>-0.26729999999999998</v>
      </c>
      <c r="T39">
        <v>74.83</v>
      </c>
      <c r="U39">
        <v>35.369999999999997</v>
      </c>
      <c r="V39">
        <v>93.88</v>
      </c>
      <c r="W39" s="17">
        <v>2789.5194000000001</v>
      </c>
    </row>
    <row r="40" spans="7:25" x14ac:dyDescent="0.15">
      <c r="G40" s="11">
        <v>39</v>
      </c>
      <c r="H40" t="s">
        <v>777</v>
      </c>
      <c r="I40" t="s">
        <v>778</v>
      </c>
      <c r="J40" t="s">
        <v>780</v>
      </c>
      <c r="K40" s="43">
        <v>2.9999999999999997E-4</v>
      </c>
      <c r="L40" s="39">
        <v>2.0999999999999999E-3</v>
      </c>
      <c r="M40" s="39">
        <v>-4.0000000000000002E-4</v>
      </c>
      <c r="N40" s="43">
        <v>-5.9999999999999995E-4</v>
      </c>
      <c r="O40" s="39">
        <v>1.8E-3</v>
      </c>
      <c r="P40" s="39">
        <v>1.6E-2</v>
      </c>
      <c r="Q40" s="39">
        <v>3.1199999999999999E-2</v>
      </c>
      <c r="R40" s="39">
        <v>3.1199999999999999E-2</v>
      </c>
      <c r="S40" s="39">
        <v>3.1199999999999999E-2</v>
      </c>
      <c r="T40">
        <v>74.150000000000006</v>
      </c>
      <c r="U40">
        <v>78.23</v>
      </c>
      <c r="V40">
        <v>48.98</v>
      </c>
      <c r="W40" s="17">
        <v>18713.358499999998</v>
      </c>
      <c r="X40" s="83" t="s">
        <v>737</v>
      </c>
      <c r="Y40" s="81" t="s">
        <v>782</v>
      </c>
    </row>
    <row r="41" spans="7:25" x14ac:dyDescent="0.15">
      <c r="G41" s="11">
        <v>40</v>
      </c>
      <c r="H41" s="10" t="s">
        <v>132</v>
      </c>
      <c r="I41" t="s">
        <v>226</v>
      </c>
      <c r="J41" t="s">
        <v>224</v>
      </c>
      <c r="K41" s="43">
        <v>-1.1999999999999999E-3</v>
      </c>
      <c r="L41" s="39">
        <v>7.3000000000000001E-3</v>
      </c>
      <c r="M41" s="39">
        <v>-2.69E-2</v>
      </c>
      <c r="N41" s="43">
        <v>-2.3900000000000001E-2</v>
      </c>
      <c r="O41" s="39">
        <v>-7.9100000000000004E-2</v>
      </c>
      <c r="P41" s="39">
        <v>-7.8799999999999995E-2</v>
      </c>
      <c r="Q41" s="39">
        <v>5.8200000000000002E-2</v>
      </c>
      <c r="R41" s="39">
        <v>-9.5399999999999999E-2</v>
      </c>
      <c r="S41" s="39">
        <v>0.14410000000000001</v>
      </c>
      <c r="T41">
        <v>73.47</v>
      </c>
      <c r="U41">
        <v>49.66</v>
      </c>
      <c r="V41">
        <v>77.55</v>
      </c>
      <c r="W41" s="17">
        <v>2046.2348</v>
      </c>
    </row>
    <row r="42" spans="7:25" x14ac:dyDescent="0.15">
      <c r="G42" s="11">
        <v>41</v>
      </c>
      <c r="H42" s="10" t="s">
        <v>189</v>
      </c>
      <c r="I42" t="s">
        <v>264</v>
      </c>
      <c r="J42" t="s">
        <v>224</v>
      </c>
      <c r="K42" s="43">
        <v>-2.0999999999999999E-3</v>
      </c>
      <c r="L42" s="39">
        <v>2.9999999999999997E-4</v>
      </c>
      <c r="M42" s="39">
        <v>-6.0199999999999997E-2</v>
      </c>
      <c r="N42" s="43">
        <v>-3.2399999999999998E-2</v>
      </c>
      <c r="O42" s="39">
        <v>-0.1671</v>
      </c>
      <c r="P42" s="39">
        <v>-0.29420000000000002</v>
      </c>
      <c r="Q42" s="39">
        <v>0.41549999999999998</v>
      </c>
      <c r="R42" s="39">
        <v>7.9600000000000004E-2</v>
      </c>
      <c r="S42" s="39">
        <v>-1.9900000000000001E-2</v>
      </c>
      <c r="T42">
        <v>72.790000000000006</v>
      </c>
      <c r="U42">
        <v>31.97</v>
      </c>
      <c r="V42">
        <v>92.52</v>
      </c>
      <c r="W42" s="17">
        <v>22473.716818299999</v>
      </c>
      <c r="X42" s="83" t="s">
        <v>737</v>
      </c>
    </row>
    <row r="43" spans="7:25" x14ac:dyDescent="0.15">
      <c r="G43" s="11">
        <v>42</v>
      </c>
      <c r="H43" s="10" t="s">
        <v>113</v>
      </c>
      <c r="I43" t="s">
        <v>271</v>
      </c>
      <c r="J43" t="s">
        <v>224</v>
      </c>
      <c r="K43" s="43">
        <v>-1.4E-3</v>
      </c>
      <c r="L43" s="39">
        <v>2.0799999999999999E-2</v>
      </c>
      <c r="M43" s="39">
        <v>-3.5700000000000003E-2</v>
      </c>
      <c r="N43" s="43">
        <v>-2.6100000000000002E-2</v>
      </c>
      <c r="O43" s="39">
        <v>-0.10879999999999999</v>
      </c>
      <c r="P43" s="39">
        <v>-0.12889999999999999</v>
      </c>
      <c r="Q43" s="39">
        <v>-0.18740000000000001</v>
      </c>
      <c r="R43" s="39">
        <v>-0.30359999999999998</v>
      </c>
      <c r="S43" s="39">
        <v>-3.2599999999999997E-2</v>
      </c>
      <c r="T43">
        <v>72.11</v>
      </c>
      <c r="U43">
        <v>41.5</v>
      </c>
      <c r="V43">
        <v>82.31</v>
      </c>
      <c r="W43" s="17">
        <v>4813.2849999999999</v>
      </c>
      <c r="X43" s="83" t="s">
        <v>737</v>
      </c>
    </row>
    <row r="44" spans="7:25" x14ac:dyDescent="0.15">
      <c r="G44" s="11">
        <v>43</v>
      </c>
      <c r="H44" t="s">
        <v>358</v>
      </c>
      <c r="I44" t="s">
        <v>359</v>
      </c>
      <c r="J44" t="s">
        <v>363</v>
      </c>
      <c r="K44" s="43">
        <v>2.9999999999999997E-4</v>
      </c>
      <c r="L44" s="39">
        <v>2.2100000000000002E-2</v>
      </c>
      <c r="M44" s="39">
        <v>-2.7000000000000001E-3</v>
      </c>
      <c r="N44" s="43">
        <v>-7.0000000000000001E-3</v>
      </c>
      <c r="O44" s="39">
        <v>-3.8199999999999998E-2</v>
      </c>
      <c r="P44" s="39">
        <v>-8.6E-3</v>
      </c>
      <c r="Q44" s="39">
        <v>0.10929999999999999</v>
      </c>
      <c r="R44" s="39">
        <v>0.1157</v>
      </c>
      <c r="S44" s="39">
        <v>0.1157</v>
      </c>
      <c r="T44">
        <v>71.430000000000007</v>
      </c>
      <c r="U44">
        <v>73.47</v>
      </c>
      <c r="V44">
        <v>50.34</v>
      </c>
      <c r="W44" s="17">
        <v>1763.2022999999999</v>
      </c>
    </row>
    <row r="45" spans="7:25" x14ac:dyDescent="0.15">
      <c r="G45" s="11">
        <v>44</v>
      </c>
      <c r="H45" s="10" t="s">
        <v>128</v>
      </c>
      <c r="I45" t="s">
        <v>338</v>
      </c>
      <c r="J45" t="s">
        <v>363</v>
      </c>
      <c r="K45" s="43">
        <v>0</v>
      </c>
      <c r="L45" s="39">
        <v>7.6E-3</v>
      </c>
      <c r="M45" s="39">
        <v>-1.21E-2</v>
      </c>
      <c r="N45" s="43">
        <v>-8.6E-3</v>
      </c>
      <c r="O45" s="39">
        <v>-2.1899999999999999E-2</v>
      </c>
      <c r="P45" s="39">
        <v>-1.3599999999999999E-2</v>
      </c>
      <c r="Q45" s="39">
        <v>-1.6799999999999999E-2</v>
      </c>
      <c r="R45" s="39">
        <v>-2.4199999999999999E-2</v>
      </c>
      <c r="S45" s="39">
        <v>5.6500000000000002E-2</v>
      </c>
      <c r="T45">
        <v>70.75</v>
      </c>
      <c r="U45">
        <v>70.75</v>
      </c>
      <c r="V45">
        <v>52.38</v>
      </c>
      <c r="W45" s="17">
        <v>6272.4852000000001</v>
      </c>
    </row>
    <row r="46" spans="7:25" x14ac:dyDescent="0.15">
      <c r="G46" s="11">
        <v>45</v>
      </c>
      <c r="H46" s="10" t="s">
        <v>148</v>
      </c>
      <c r="I46" t="s">
        <v>225</v>
      </c>
      <c r="J46" t="s">
        <v>224</v>
      </c>
      <c r="K46" s="43">
        <v>-2.9999999999999997E-4</v>
      </c>
      <c r="L46" s="39">
        <v>2.0000000000000001E-4</v>
      </c>
      <c r="M46" s="39">
        <v>-1.9599999999999999E-2</v>
      </c>
      <c r="N46" s="43">
        <v>-1.6899999999999998E-2</v>
      </c>
      <c r="O46" s="39">
        <v>-2.1999999999999999E-2</v>
      </c>
      <c r="P46" s="39">
        <v>8.6E-3</v>
      </c>
      <c r="Q46" s="39">
        <v>0.11990000000000001</v>
      </c>
      <c r="R46" s="39">
        <v>-5.5E-2</v>
      </c>
      <c r="S46" s="39">
        <v>-9.9299999999999999E-2</v>
      </c>
      <c r="T46">
        <v>70.069999999999993</v>
      </c>
      <c r="U46">
        <v>61.22</v>
      </c>
      <c r="V46">
        <v>61.9</v>
      </c>
      <c r="W46" s="17">
        <v>3874.3797</v>
      </c>
    </row>
    <row r="47" spans="7:25" x14ac:dyDescent="0.15">
      <c r="G47" s="11">
        <v>46</v>
      </c>
      <c r="H47" s="10" t="s">
        <v>345</v>
      </c>
      <c r="I47" t="s">
        <v>346</v>
      </c>
      <c r="J47" t="s">
        <v>363</v>
      </c>
      <c r="K47" s="43">
        <v>-1.4E-3</v>
      </c>
      <c r="L47" s="39">
        <v>2.5700000000000001E-2</v>
      </c>
      <c r="M47" s="39">
        <v>-2.75E-2</v>
      </c>
      <c r="N47" s="43">
        <v>-2.6200000000000001E-2</v>
      </c>
      <c r="O47" s="39">
        <v>-9.64E-2</v>
      </c>
      <c r="P47" s="39">
        <v>-0.1056</v>
      </c>
      <c r="Q47" s="39">
        <v>-3.4200000000000001E-2</v>
      </c>
      <c r="R47" s="39">
        <v>-0.27789999999999998</v>
      </c>
      <c r="S47" s="39">
        <v>-0.27810000000000001</v>
      </c>
      <c r="T47">
        <v>69.39</v>
      </c>
      <c r="U47">
        <v>40.82</v>
      </c>
      <c r="V47">
        <v>81.63</v>
      </c>
      <c r="W47" s="17">
        <v>1507.3141000000001</v>
      </c>
    </row>
    <row r="48" spans="7:25" x14ac:dyDescent="0.15">
      <c r="G48" s="11">
        <v>47</v>
      </c>
      <c r="H48" t="s">
        <v>186</v>
      </c>
      <c r="I48" t="s">
        <v>235</v>
      </c>
      <c r="J48" t="s">
        <v>224</v>
      </c>
      <c r="K48" s="43">
        <v>1.1000000000000001E-3</v>
      </c>
      <c r="L48" s="39">
        <v>2.3999999999999998E-3</v>
      </c>
      <c r="M48" s="39">
        <v>-2.98E-2</v>
      </c>
      <c r="N48" s="43">
        <v>1.1900000000000001E-2</v>
      </c>
      <c r="O48" s="39">
        <v>-1.34E-2</v>
      </c>
      <c r="P48" s="39">
        <v>-5.4300000000000001E-2</v>
      </c>
      <c r="Q48" s="39">
        <v>0.16889999999999999</v>
      </c>
      <c r="R48" s="39">
        <v>-5.7799999999999997E-2</v>
      </c>
      <c r="S48" s="39">
        <v>7.8799999999999995E-2</v>
      </c>
      <c r="T48">
        <v>68.709999999999994</v>
      </c>
      <c r="U48">
        <v>89.8</v>
      </c>
      <c r="V48">
        <v>31.97</v>
      </c>
      <c r="W48" s="17">
        <v>2208.7420299999999</v>
      </c>
    </row>
    <row r="49" spans="7:25" x14ac:dyDescent="0.15">
      <c r="G49" s="11">
        <v>48</v>
      </c>
      <c r="H49" s="10" t="s">
        <v>179</v>
      </c>
      <c r="I49" t="s">
        <v>270</v>
      </c>
      <c r="J49" t="s">
        <v>224</v>
      </c>
      <c r="K49" s="43">
        <v>-6.9999999999999999E-4</v>
      </c>
      <c r="L49" s="39">
        <v>3.2500000000000001E-2</v>
      </c>
      <c r="M49" s="39">
        <v>-1.3100000000000001E-2</v>
      </c>
      <c r="N49" s="43">
        <v>-2.3800000000000002E-2</v>
      </c>
      <c r="O49" s="39">
        <v>-7.7700000000000005E-2</v>
      </c>
      <c r="P49" s="39">
        <v>-5.4899999999999997E-2</v>
      </c>
      <c r="Q49" s="39">
        <v>3.7600000000000001E-2</v>
      </c>
      <c r="R49" s="39">
        <v>-0.2319</v>
      </c>
      <c r="S49" s="39">
        <v>-0.20169999999999999</v>
      </c>
      <c r="T49">
        <v>68.03</v>
      </c>
      <c r="U49">
        <v>50.34</v>
      </c>
      <c r="V49">
        <v>69.39</v>
      </c>
      <c r="W49" s="17">
        <v>4714.8323299999993</v>
      </c>
    </row>
    <row r="50" spans="7:25" x14ac:dyDescent="0.15">
      <c r="G50" s="11">
        <v>49</v>
      </c>
      <c r="H50" s="10" t="s">
        <v>182</v>
      </c>
      <c r="I50" t="s">
        <v>287</v>
      </c>
      <c r="J50" t="s">
        <v>224</v>
      </c>
      <c r="K50" s="43">
        <v>-2.9999999999999997E-4</v>
      </c>
      <c r="L50" s="39">
        <v>7.1999999999999998E-3</v>
      </c>
      <c r="M50" s="39">
        <v>-1.3599999999999999E-2</v>
      </c>
      <c r="N50" s="43">
        <v>-2.1000000000000001E-2</v>
      </c>
      <c r="O50" s="39">
        <v>-2.7699999999999999E-2</v>
      </c>
      <c r="P50" s="39">
        <v>-1.41E-2</v>
      </c>
      <c r="Q50" s="39">
        <v>0.15559999999999999</v>
      </c>
      <c r="R50" s="39">
        <v>-0.14099999999999999</v>
      </c>
      <c r="S50" s="39">
        <v>-0.24410000000000001</v>
      </c>
      <c r="T50">
        <v>67.349999999999994</v>
      </c>
      <c r="U50">
        <v>56.46</v>
      </c>
      <c r="V50">
        <v>62.59</v>
      </c>
      <c r="W50" s="17">
        <v>20327.293099999999</v>
      </c>
      <c r="X50" s="83" t="s">
        <v>737</v>
      </c>
    </row>
    <row r="51" spans="7:25" x14ac:dyDescent="0.15">
      <c r="G51" s="11">
        <v>50</v>
      </c>
      <c r="H51" s="10" t="s">
        <v>101</v>
      </c>
      <c r="I51" t="s">
        <v>251</v>
      </c>
      <c r="J51" t="s">
        <v>224</v>
      </c>
      <c r="K51" s="43">
        <v>2.0000000000000001E-4</v>
      </c>
      <c r="L51" s="39">
        <v>3.4500000000000003E-2</v>
      </c>
      <c r="M51" s="39">
        <v>-1.5299999999999999E-2</v>
      </c>
      <c r="N51" s="43">
        <v>-1.11E-2</v>
      </c>
      <c r="O51" s="39">
        <v>-5.91E-2</v>
      </c>
      <c r="P51" s="39">
        <v>-7.5200000000000003E-2</v>
      </c>
      <c r="Q51" s="39">
        <v>-7.5200000000000003E-2</v>
      </c>
      <c r="R51" s="39">
        <v>-0.28499999999999998</v>
      </c>
      <c r="S51" s="39">
        <v>-0.20100000000000001</v>
      </c>
      <c r="T51">
        <v>66.67</v>
      </c>
      <c r="U51">
        <v>67.349999999999994</v>
      </c>
      <c r="V51">
        <v>51.7</v>
      </c>
      <c r="W51" s="17">
        <v>4720.3645999999999</v>
      </c>
    </row>
    <row r="52" spans="7:25" x14ac:dyDescent="0.15">
      <c r="G52" s="11">
        <v>51</v>
      </c>
      <c r="H52" s="10" t="s">
        <v>144</v>
      </c>
      <c r="I52" t="s">
        <v>273</v>
      </c>
      <c r="J52" t="s">
        <v>224</v>
      </c>
      <c r="K52" s="43">
        <v>-1.5E-3</v>
      </c>
      <c r="L52" s="39">
        <v>5.0799999999999998E-2</v>
      </c>
      <c r="M52" s="39">
        <v>-3.8E-3</v>
      </c>
      <c r="N52" s="43">
        <v>-3.0099999999999998E-2</v>
      </c>
      <c r="O52" s="39">
        <v>-9.1899999999999996E-2</v>
      </c>
      <c r="P52" s="39">
        <v>-9.9299999999999999E-2</v>
      </c>
      <c r="Q52" s="39">
        <v>-3.7400000000000003E-2</v>
      </c>
      <c r="R52" s="39">
        <v>-0.23119999999999999</v>
      </c>
      <c r="S52" s="39">
        <v>-0.34599999999999997</v>
      </c>
      <c r="T52">
        <v>65.989999999999995</v>
      </c>
      <c r="U52">
        <v>36.049999999999997</v>
      </c>
      <c r="V52">
        <v>82.99</v>
      </c>
      <c r="W52" s="17">
        <v>7107.2335000000003</v>
      </c>
    </row>
    <row r="53" spans="7:25" x14ac:dyDescent="0.15">
      <c r="G53" s="11">
        <v>52</v>
      </c>
      <c r="H53" t="s">
        <v>142</v>
      </c>
      <c r="I53" t="s">
        <v>301</v>
      </c>
      <c r="J53" t="s">
        <v>224</v>
      </c>
      <c r="K53" s="43">
        <v>1.2999999999999999E-3</v>
      </c>
      <c r="L53" s="39">
        <v>5.9999999999999995E-4</v>
      </c>
      <c r="M53" s="39">
        <v>-3.2000000000000001E-2</v>
      </c>
      <c r="N53" s="43">
        <v>2.0999999999999999E-3</v>
      </c>
      <c r="O53" s="39">
        <v>-9.1399999999999995E-2</v>
      </c>
      <c r="P53" s="39">
        <v>-0.18629999999999999</v>
      </c>
      <c r="Q53" s="39">
        <v>-8.7800000000000003E-2</v>
      </c>
      <c r="R53" s="39">
        <v>-0.3614</v>
      </c>
      <c r="S53" s="39">
        <v>-0.37159999999999999</v>
      </c>
      <c r="T53">
        <v>65.31</v>
      </c>
      <c r="U53">
        <v>87.07</v>
      </c>
      <c r="V53">
        <v>29.25</v>
      </c>
      <c r="W53" s="17">
        <v>338746.261</v>
      </c>
      <c r="X53" s="83" t="s">
        <v>737</v>
      </c>
    </row>
    <row r="54" spans="7:25" x14ac:dyDescent="0.15">
      <c r="G54" s="11">
        <v>53</v>
      </c>
      <c r="H54" s="10" t="s">
        <v>188</v>
      </c>
      <c r="I54" t="s">
        <v>242</v>
      </c>
      <c r="J54" t="s">
        <v>224</v>
      </c>
      <c r="K54" s="43">
        <v>-1.6000000000000001E-3</v>
      </c>
      <c r="L54" s="39">
        <v>9.1000000000000004E-3</v>
      </c>
      <c r="M54" s="39">
        <v>-5.04E-2</v>
      </c>
      <c r="N54" s="43">
        <v>-3.3599999999999998E-2</v>
      </c>
      <c r="O54" s="39">
        <v>-0.124</v>
      </c>
      <c r="P54" s="39">
        <v>-0.19370000000000001</v>
      </c>
      <c r="Q54" s="39">
        <v>0.33439999999999998</v>
      </c>
      <c r="R54" s="39">
        <v>1.8499999999999999E-2</v>
      </c>
      <c r="S54" s="39">
        <v>-0.1787</v>
      </c>
      <c r="T54">
        <v>64.63</v>
      </c>
      <c r="U54">
        <v>28.57</v>
      </c>
      <c r="V54">
        <v>87.07</v>
      </c>
      <c r="W54" s="17">
        <v>1218.24558</v>
      </c>
    </row>
    <row r="55" spans="7:25" x14ac:dyDescent="0.15">
      <c r="G55" s="11">
        <v>54</v>
      </c>
      <c r="H55" s="10" t="s">
        <v>333</v>
      </c>
      <c r="I55" t="s">
        <v>334</v>
      </c>
      <c r="J55" t="s">
        <v>363</v>
      </c>
      <c r="K55" s="43">
        <v>-3.8999999999999998E-3</v>
      </c>
      <c r="L55" s="39">
        <v>5.7999999999999996E-3</v>
      </c>
      <c r="M55" s="39">
        <v>-3.73E-2</v>
      </c>
      <c r="N55" s="43">
        <v>-4.6300000000000001E-2</v>
      </c>
      <c r="O55" s="39">
        <v>-0.157</v>
      </c>
      <c r="P55" s="39">
        <v>-0.20130000000000001</v>
      </c>
      <c r="Q55" s="39">
        <v>-0.27960000000000002</v>
      </c>
      <c r="R55" s="39">
        <v>-0.46589999999999998</v>
      </c>
      <c r="S55" s="39">
        <v>-0.46589999999999998</v>
      </c>
      <c r="T55">
        <v>63.95</v>
      </c>
      <c r="U55">
        <v>16.329999999999998</v>
      </c>
      <c r="V55">
        <v>98.64</v>
      </c>
      <c r="W55" s="17">
        <v>2282.2570900000001</v>
      </c>
    </row>
    <row r="56" spans="7:25" x14ac:dyDescent="0.15">
      <c r="G56" s="11">
        <v>55</v>
      </c>
      <c r="H56" t="s">
        <v>121</v>
      </c>
      <c r="I56" t="s">
        <v>227</v>
      </c>
      <c r="J56" t="s">
        <v>224</v>
      </c>
      <c r="K56" s="43">
        <v>-5.9999999999999995E-4</v>
      </c>
      <c r="L56" s="39">
        <v>7.7000000000000002E-3</v>
      </c>
      <c r="M56" s="39">
        <v>-2.8000000000000001E-2</v>
      </c>
      <c r="N56" s="43">
        <v>-2.4899999999999999E-2</v>
      </c>
      <c r="O56" s="39">
        <v>-8.2199999999999995E-2</v>
      </c>
      <c r="P56" s="39">
        <v>-8.2199999999999995E-2</v>
      </c>
      <c r="Q56" s="39">
        <v>5.5599999999999997E-2</v>
      </c>
      <c r="R56" s="39">
        <v>-9.9400000000000002E-2</v>
      </c>
      <c r="S56" s="39">
        <v>0.13619999999999999</v>
      </c>
      <c r="T56">
        <v>63.27</v>
      </c>
      <c r="U56">
        <v>47.62</v>
      </c>
      <c r="V56">
        <v>67.349999999999994</v>
      </c>
      <c r="W56" s="17">
        <v>3931.5439000000001</v>
      </c>
    </row>
    <row r="57" spans="7:25" x14ac:dyDescent="0.15">
      <c r="G57" s="11">
        <v>56</v>
      </c>
      <c r="H57" s="10" t="s">
        <v>114</v>
      </c>
      <c r="I57" t="s">
        <v>286</v>
      </c>
      <c r="J57" t="s">
        <v>224</v>
      </c>
      <c r="K57" s="43">
        <v>8.0000000000000004E-4</v>
      </c>
      <c r="L57" s="39">
        <v>2.46E-2</v>
      </c>
      <c r="M57" s="39">
        <v>-2.7400000000000001E-2</v>
      </c>
      <c r="N57" s="43">
        <v>-4.0000000000000001E-3</v>
      </c>
      <c r="O57" s="39">
        <v>-7.6799999999999993E-2</v>
      </c>
      <c r="P57" s="39">
        <v>-0.1014</v>
      </c>
      <c r="Q57" s="39">
        <v>-7.8399999999999997E-2</v>
      </c>
      <c r="R57" s="39">
        <v>-0.1933</v>
      </c>
      <c r="S57" s="39">
        <v>-8.0500000000000002E-2</v>
      </c>
      <c r="T57">
        <v>62.59</v>
      </c>
      <c r="U57">
        <v>75.510000000000005</v>
      </c>
      <c r="V57">
        <v>39.46</v>
      </c>
      <c r="W57" s="17">
        <v>72915.373500000002</v>
      </c>
      <c r="X57" s="83" t="s">
        <v>737</v>
      </c>
    </row>
    <row r="58" spans="7:25" x14ac:dyDescent="0.15">
      <c r="G58" s="11">
        <v>57</v>
      </c>
      <c r="H58" t="s">
        <v>120</v>
      </c>
      <c r="I58" t="s">
        <v>232</v>
      </c>
      <c r="J58" t="s">
        <v>224</v>
      </c>
      <c r="K58" s="43">
        <v>2.2000000000000001E-3</v>
      </c>
      <c r="L58" s="39">
        <v>2.1700000000000001E-2</v>
      </c>
      <c r="M58" s="39">
        <v>-3.5299999999999998E-2</v>
      </c>
      <c r="N58" s="43">
        <v>2.5600000000000001E-2</v>
      </c>
      <c r="O58" s="39">
        <v>-6.6600000000000006E-2</v>
      </c>
      <c r="P58" s="39">
        <v>-6.5100000000000005E-2</v>
      </c>
      <c r="Q58" s="39">
        <v>6.1600000000000002E-2</v>
      </c>
      <c r="R58" s="39">
        <v>-0.2858</v>
      </c>
      <c r="S58" s="39">
        <v>-0.23400000000000001</v>
      </c>
      <c r="T58">
        <v>61.9</v>
      </c>
      <c r="U58">
        <v>94.56</v>
      </c>
      <c r="V58">
        <v>19.73</v>
      </c>
      <c r="W58" s="17">
        <v>4705.0121600000002</v>
      </c>
    </row>
    <row r="59" spans="7:25" x14ac:dyDescent="0.15">
      <c r="G59" s="11">
        <v>58</v>
      </c>
      <c r="H59" t="s">
        <v>353</v>
      </c>
      <c r="I59" t="s">
        <v>755</v>
      </c>
      <c r="J59" t="s">
        <v>363</v>
      </c>
      <c r="K59" s="43">
        <v>-6.9999999999999999E-4</v>
      </c>
      <c r="L59" s="39">
        <v>2.01E-2</v>
      </c>
      <c r="M59" s="39">
        <v>-2.35E-2</v>
      </c>
      <c r="N59" s="43">
        <v>-2.6100000000000002E-2</v>
      </c>
      <c r="O59" s="39">
        <v>-8.5500000000000007E-2</v>
      </c>
      <c r="P59" s="39">
        <v>-7.7799999999999994E-2</v>
      </c>
      <c r="Q59" s="39">
        <v>-3.8100000000000002E-2</v>
      </c>
      <c r="R59" s="39">
        <v>-0.24349999999999999</v>
      </c>
      <c r="S59" s="39">
        <v>-0.24349999999999999</v>
      </c>
      <c r="T59">
        <v>61.22</v>
      </c>
      <c r="U59">
        <v>42.18</v>
      </c>
      <c r="V59">
        <v>71.430000000000007</v>
      </c>
      <c r="W59" s="17">
        <v>5376.7322000000004</v>
      </c>
      <c r="X59" s="83" t="s">
        <v>737</v>
      </c>
      <c r="Y59" s="81" t="s">
        <v>782</v>
      </c>
    </row>
    <row r="60" spans="7:25" x14ac:dyDescent="0.15">
      <c r="G60" s="11">
        <v>59</v>
      </c>
      <c r="H60" t="s">
        <v>162</v>
      </c>
      <c r="I60" t="s">
        <v>266</v>
      </c>
      <c r="J60" t="s">
        <v>224</v>
      </c>
      <c r="K60" s="43">
        <v>3.0000000000000001E-3</v>
      </c>
      <c r="L60" s="39">
        <v>2.35E-2</v>
      </c>
      <c r="M60" s="39">
        <v>-3.7699999999999997E-2</v>
      </c>
      <c r="N60" s="43">
        <v>0.04</v>
      </c>
      <c r="O60" s="39">
        <v>-4.2000000000000003E-2</v>
      </c>
      <c r="P60" s="39">
        <v>6.5299999999999997E-2</v>
      </c>
      <c r="Q60" s="39">
        <v>6.8000000000000005E-2</v>
      </c>
      <c r="R60" s="39">
        <v>-0.13270000000000001</v>
      </c>
      <c r="S60" s="39">
        <v>-0.1376</v>
      </c>
      <c r="T60">
        <v>60.54</v>
      </c>
      <c r="U60">
        <v>96.6</v>
      </c>
      <c r="V60">
        <v>15.65</v>
      </c>
      <c r="W60" s="17">
        <v>6516.5946000000004</v>
      </c>
    </row>
    <row r="61" spans="7:25" x14ac:dyDescent="0.15">
      <c r="G61" s="11">
        <v>60</v>
      </c>
      <c r="H61" s="10" t="s">
        <v>97</v>
      </c>
      <c r="I61" t="s">
        <v>243</v>
      </c>
      <c r="J61" t="s">
        <v>224</v>
      </c>
      <c r="K61" s="43">
        <v>-5.9999999999999995E-4</v>
      </c>
      <c r="L61" s="39">
        <v>-7.6E-3</v>
      </c>
      <c r="M61" s="39">
        <v>-3.8300000000000001E-2</v>
      </c>
      <c r="N61" s="43">
        <v>-2.5999999999999999E-2</v>
      </c>
      <c r="O61" s="39">
        <v>-0.16439999999999999</v>
      </c>
      <c r="P61" s="39">
        <v>-0.22040000000000001</v>
      </c>
      <c r="Q61" s="39">
        <v>-0.34639999999999999</v>
      </c>
      <c r="R61" s="39">
        <v>-0.41909999999999997</v>
      </c>
      <c r="S61" s="39">
        <v>-0.1115</v>
      </c>
      <c r="T61">
        <v>59.86</v>
      </c>
      <c r="U61">
        <v>43.54</v>
      </c>
      <c r="V61">
        <v>68.709999999999994</v>
      </c>
      <c r="W61" s="17">
        <v>2225.7702300000001</v>
      </c>
    </row>
    <row r="62" spans="7:25" x14ac:dyDescent="0.15">
      <c r="G62" s="11">
        <v>61</v>
      </c>
      <c r="H62" t="s">
        <v>190</v>
      </c>
      <c r="I62" t="s">
        <v>254</v>
      </c>
      <c r="J62" t="s">
        <v>224</v>
      </c>
      <c r="K62" s="43">
        <v>1.4E-3</v>
      </c>
      <c r="L62" s="39">
        <v>9.7999999999999997E-3</v>
      </c>
      <c r="M62" s="39">
        <v>1.5800000000000002E-2</v>
      </c>
      <c r="N62" s="43">
        <v>1.8E-3</v>
      </c>
      <c r="O62" s="39">
        <v>1.09E-2</v>
      </c>
      <c r="P62" s="39">
        <v>4.19E-2</v>
      </c>
      <c r="Q62" s="39">
        <v>0.13239999999999999</v>
      </c>
      <c r="R62" s="39">
        <v>-0.19020000000000001</v>
      </c>
      <c r="S62" s="39">
        <v>-0.22539999999999999</v>
      </c>
      <c r="T62">
        <v>59.18</v>
      </c>
      <c r="U62">
        <v>83.67</v>
      </c>
      <c r="V62">
        <v>28.57</v>
      </c>
      <c r="W62" s="17">
        <v>64046.0625</v>
      </c>
    </row>
    <row r="63" spans="7:25" x14ac:dyDescent="0.15">
      <c r="G63" s="11">
        <v>62</v>
      </c>
      <c r="H63" t="s">
        <v>129</v>
      </c>
      <c r="I63" t="s">
        <v>251</v>
      </c>
      <c r="J63" t="s">
        <v>224</v>
      </c>
      <c r="K63" s="43">
        <v>-8.0000000000000004E-4</v>
      </c>
      <c r="L63" s="39">
        <v>5.2699999999999997E-2</v>
      </c>
      <c r="M63" s="39">
        <v>8.9999999999999998E-4</v>
      </c>
      <c r="N63" s="43">
        <v>-2.7E-2</v>
      </c>
      <c r="O63" s="39">
        <v>-8.6900000000000005E-2</v>
      </c>
      <c r="P63" s="39">
        <v>-0.10100000000000001</v>
      </c>
      <c r="Q63" s="39">
        <v>-9.0899999999999995E-2</v>
      </c>
      <c r="R63" s="39">
        <v>-0.23039999999999999</v>
      </c>
      <c r="S63" s="39">
        <v>-0.18099999999999999</v>
      </c>
      <c r="T63">
        <v>58.5</v>
      </c>
      <c r="U63">
        <v>39.46</v>
      </c>
      <c r="V63">
        <v>72.11</v>
      </c>
      <c r="W63" s="17">
        <v>12555.8113378</v>
      </c>
    </row>
    <row r="64" spans="7:25" x14ac:dyDescent="0.15">
      <c r="G64" s="11">
        <v>63</v>
      </c>
      <c r="H64" s="10" t="s">
        <v>204</v>
      </c>
      <c r="I64" t="s">
        <v>311</v>
      </c>
      <c r="J64" t="s">
        <v>308</v>
      </c>
      <c r="K64" s="43">
        <v>-3.3E-3</v>
      </c>
      <c r="L64" s="39">
        <v>-3.6200000000000003E-2</v>
      </c>
      <c r="M64" s="39">
        <v>-3.7199999999999997E-2</v>
      </c>
      <c r="N64" s="43">
        <v>-4.8500000000000001E-2</v>
      </c>
      <c r="O64" s="39">
        <v>-4.0399999999999998E-2</v>
      </c>
      <c r="P64" s="39">
        <v>8.4500000000000006E-2</v>
      </c>
      <c r="Q64" s="39">
        <v>4.3999999999999997E-2</v>
      </c>
      <c r="R64" s="39">
        <v>1.0800000000000001E-2</v>
      </c>
      <c r="S64" s="39">
        <v>0.38650000000000001</v>
      </c>
      <c r="T64">
        <v>57.82</v>
      </c>
      <c r="U64">
        <v>13.61</v>
      </c>
      <c r="V64">
        <v>97.96</v>
      </c>
      <c r="W64" s="17">
        <v>2656.8070782</v>
      </c>
      <c r="X64" s="83" t="s">
        <v>737</v>
      </c>
      <c r="Y64" s="81" t="s">
        <v>782</v>
      </c>
    </row>
    <row r="65" spans="7:25" x14ac:dyDescent="0.15">
      <c r="G65" s="11">
        <v>64</v>
      </c>
      <c r="H65" s="10" t="s">
        <v>137</v>
      </c>
      <c r="I65" t="s">
        <v>259</v>
      </c>
      <c r="J65" t="s">
        <v>224</v>
      </c>
      <c r="K65" s="43">
        <v>8.9999999999999998E-4</v>
      </c>
      <c r="L65" s="39">
        <v>2.4199999999999999E-2</v>
      </c>
      <c r="M65" s="39">
        <v>-2.76E-2</v>
      </c>
      <c r="N65" s="43">
        <v>-4.3E-3</v>
      </c>
      <c r="O65" s="39">
        <v>-7.6700000000000004E-2</v>
      </c>
      <c r="P65" s="39">
        <v>-0.1016</v>
      </c>
      <c r="Q65" s="39">
        <v>-7.9000000000000001E-2</v>
      </c>
      <c r="R65" s="39">
        <v>-0.19020000000000001</v>
      </c>
      <c r="S65" s="39">
        <v>-1.14E-2</v>
      </c>
      <c r="T65">
        <v>57.14</v>
      </c>
      <c r="U65">
        <v>74.83</v>
      </c>
      <c r="V65">
        <v>36.729999999999997</v>
      </c>
      <c r="W65" s="17">
        <v>94745.252347400005</v>
      </c>
    </row>
    <row r="66" spans="7:25" x14ac:dyDescent="0.15">
      <c r="G66" s="11">
        <v>65</v>
      </c>
      <c r="H66" s="10" t="s">
        <v>140</v>
      </c>
      <c r="I66" t="s">
        <v>303</v>
      </c>
      <c r="J66" t="s">
        <v>224</v>
      </c>
      <c r="K66" s="43">
        <v>2.0000000000000001E-4</v>
      </c>
      <c r="L66" s="39">
        <v>1.7399999999999999E-2</v>
      </c>
      <c r="M66" s="39">
        <v>-3.3500000000000002E-2</v>
      </c>
      <c r="N66" s="43">
        <v>-1.95E-2</v>
      </c>
      <c r="O66" s="39">
        <v>-0.1172</v>
      </c>
      <c r="P66" s="39">
        <v>-0.16070000000000001</v>
      </c>
      <c r="Q66" s="39">
        <v>-0.20150000000000001</v>
      </c>
      <c r="R66" s="39">
        <v>-0.40179999999999999</v>
      </c>
      <c r="S66" s="39">
        <v>-0.23830000000000001</v>
      </c>
      <c r="T66">
        <v>56.46</v>
      </c>
      <c r="U66">
        <v>59.18</v>
      </c>
      <c r="V66">
        <v>51.02</v>
      </c>
      <c r="W66" s="17">
        <v>245697.44711569999</v>
      </c>
      <c r="X66" s="83" t="s">
        <v>737</v>
      </c>
    </row>
    <row r="67" spans="7:25" x14ac:dyDescent="0.15">
      <c r="G67" s="11">
        <v>66</v>
      </c>
      <c r="H67" t="s">
        <v>147</v>
      </c>
      <c r="I67" t="s">
        <v>320</v>
      </c>
      <c r="J67" t="s">
        <v>318</v>
      </c>
      <c r="K67" s="43">
        <v>7.1000000000000004E-3</v>
      </c>
      <c r="L67" s="39">
        <v>6.1899999999999997E-2</v>
      </c>
      <c r="M67" s="39">
        <v>-5.7999999999999996E-3</v>
      </c>
      <c r="N67" s="43">
        <v>5.2999999999999999E-2</v>
      </c>
      <c r="O67" s="39">
        <v>-6.8099999999999994E-2</v>
      </c>
      <c r="P67" s="39">
        <v>-0.1464</v>
      </c>
      <c r="Q67" s="39">
        <v>-4.0000000000000002E-4</v>
      </c>
      <c r="R67" s="39">
        <v>-0.44340000000000002</v>
      </c>
      <c r="S67" s="39">
        <v>-0.52139999999999997</v>
      </c>
      <c r="T67">
        <v>55.78</v>
      </c>
      <c r="U67">
        <v>98.64</v>
      </c>
      <c r="V67">
        <v>10.88</v>
      </c>
      <c r="W67" s="17">
        <v>248440.83</v>
      </c>
    </row>
    <row r="68" spans="7:25" x14ac:dyDescent="0.15">
      <c r="G68" s="11">
        <v>67</v>
      </c>
      <c r="H68" s="10" t="s">
        <v>136</v>
      </c>
      <c r="I68" t="s">
        <v>236</v>
      </c>
      <c r="J68" t="s">
        <v>224</v>
      </c>
      <c r="K68" s="43">
        <v>-1E-4</v>
      </c>
      <c r="L68" s="39">
        <v>4.2700000000000002E-2</v>
      </c>
      <c r="M68" s="39">
        <v>3.8999999999999998E-3</v>
      </c>
      <c r="N68" s="43">
        <v>-2.3699999999999999E-2</v>
      </c>
      <c r="O68" s="39">
        <v>-8.0799999999999997E-2</v>
      </c>
      <c r="P68" s="39">
        <v>-0.1211</v>
      </c>
      <c r="Q68" s="39">
        <v>-0.20250000000000001</v>
      </c>
      <c r="R68" s="39">
        <v>-0.26140000000000002</v>
      </c>
      <c r="S68" s="39">
        <v>-0.27889999999999998</v>
      </c>
      <c r="T68">
        <v>55.1</v>
      </c>
      <c r="U68">
        <v>51.02</v>
      </c>
      <c r="V68">
        <v>57.82</v>
      </c>
      <c r="W68" s="17">
        <v>8542.3022000000001</v>
      </c>
      <c r="X68" s="83" t="s">
        <v>737</v>
      </c>
    </row>
    <row r="69" spans="7:25" x14ac:dyDescent="0.15">
      <c r="G69" s="11">
        <v>68</v>
      </c>
      <c r="H69" s="10" t="s">
        <v>458</v>
      </c>
      <c r="I69" t="s">
        <v>459</v>
      </c>
      <c r="J69" t="s">
        <v>450</v>
      </c>
      <c r="K69" s="43">
        <v>2.3E-3</v>
      </c>
      <c r="L69" s="39">
        <v>2.7799999999999998E-2</v>
      </c>
      <c r="M69" s="39">
        <v>-2.6499999999999999E-2</v>
      </c>
      <c r="N69" s="43">
        <v>6.8999999999999999E-3</v>
      </c>
      <c r="O69" s="39">
        <v>-5.21E-2</v>
      </c>
      <c r="P69" s="39">
        <v>-4.1799999999999997E-2</v>
      </c>
      <c r="Q69" s="39">
        <v>-2.5000000000000001E-3</v>
      </c>
      <c r="R69" s="39">
        <v>-4.6199999999999998E-2</v>
      </c>
      <c r="S69" s="39">
        <v>-4.6199999999999998E-2</v>
      </c>
      <c r="T69">
        <v>54.42</v>
      </c>
      <c r="U69">
        <v>88.44</v>
      </c>
      <c r="V69">
        <v>19.05</v>
      </c>
      <c r="W69" s="17">
        <v>16033.539868799999</v>
      </c>
      <c r="X69" s="83" t="s">
        <v>737</v>
      </c>
    </row>
    <row r="70" spans="7:25" x14ac:dyDescent="0.15">
      <c r="G70" s="11">
        <v>69</v>
      </c>
      <c r="H70" s="10" t="s">
        <v>160</v>
      </c>
      <c r="I70" t="s">
        <v>250</v>
      </c>
      <c r="J70" t="s">
        <v>224</v>
      </c>
      <c r="K70" s="43">
        <v>7.1999999999999998E-3</v>
      </c>
      <c r="L70" s="39">
        <v>4.8800000000000003E-2</v>
      </c>
      <c r="M70" s="39">
        <v>1.2200000000000001E-2</v>
      </c>
      <c r="N70" s="43">
        <v>4.1200000000000001E-2</v>
      </c>
      <c r="O70" s="39">
        <v>-1.5E-3</v>
      </c>
      <c r="P70" s="39">
        <v>0.13320000000000001</v>
      </c>
      <c r="Q70" s="39">
        <v>8.2000000000000003E-2</v>
      </c>
      <c r="R70" s="39">
        <v>-9.7299999999999998E-2</v>
      </c>
      <c r="S70" s="39">
        <v>8.2199999999999995E-2</v>
      </c>
      <c r="T70">
        <v>53.74</v>
      </c>
      <c r="U70">
        <v>97.28</v>
      </c>
      <c r="V70">
        <v>10.199999999999999</v>
      </c>
      <c r="W70" s="17">
        <v>12707.6203</v>
      </c>
      <c r="X70" s="83" t="s">
        <v>737</v>
      </c>
    </row>
    <row r="71" spans="7:25" x14ac:dyDescent="0.15">
      <c r="G71" s="11">
        <v>70</v>
      </c>
      <c r="H71" s="10" t="s">
        <v>159</v>
      </c>
      <c r="I71" t="s">
        <v>257</v>
      </c>
      <c r="J71" t="s">
        <v>224</v>
      </c>
      <c r="K71" s="43">
        <v>0</v>
      </c>
      <c r="L71" s="39">
        <v>1.03E-2</v>
      </c>
      <c r="M71" s="39">
        <v>-2.12E-2</v>
      </c>
      <c r="N71" s="43">
        <v>-2.3E-2</v>
      </c>
      <c r="O71" s="39">
        <v>-4.8399999999999999E-2</v>
      </c>
      <c r="P71" s="39">
        <v>-4.9500000000000002E-2</v>
      </c>
      <c r="Q71" s="39">
        <v>4.4499999999999998E-2</v>
      </c>
      <c r="R71" s="39">
        <v>-9.5500000000000002E-2</v>
      </c>
      <c r="S71" s="39">
        <v>1.4200000000000001E-2</v>
      </c>
      <c r="T71">
        <v>53.06</v>
      </c>
      <c r="U71">
        <v>53.74</v>
      </c>
      <c r="V71">
        <v>53.06</v>
      </c>
      <c r="W71" s="17">
        <v>39361.877</v>
      </c>
      <c r="X71" s="83" t="s">
        <v>737</v>
      </c>
    </row>
    <row r="72" spans="7:25" x14ac:dyDescent="0.15">
      <c r="G72" s="11">
        <v>71</v>
      </c>
      <c r="H72" s="10" t="s">
        <v>107</v>
      </c>
      <c r="I72" t="s">
        <v>1086</v>
      </c>
      <c r="J72" t="s">
        <v>224</v>
      </c>
      <c r="K72" s="43">
        <v>2.9999999999999997E-4</v>
      </c>
      <c r="L72" s="39">
        <v>1.4500000000000001E-2</v>
      </c>
      <c r="M72" s="39">
        <v>-1.0699999999999999E-2</v>
      </c>
      <c r="N72" s="43">
        <v>-2.1600000000000001E-2</v>
      </c>
      <c r="O72" s="39">
        <v>-2.8400000000000002E-2</v>
      </c>
      <c r="P72" s="39">
        <v>3.3E-3</v>
      </c>
      <c r="Q72" s="39">
        <v>0.18129999999999999</v>
      </c>
      <c r="R72" s="39">
        <v>0.18659999999999999</v>
      </c>
      <c r="S72" s="39">
        <v>0.49080000000000001</v>
      </c>
      <c r="T72">
        <v>52.38</v>
      </c>
      <c r="U72">
        <v>55.78</v>
      </c>
      <c r="V72">
        <v>49.66</v>
      </c>
      <c r="W72" s="17">
        <v>5694.8531000000003</v>
      </c>
      <c r="X72" s="83" t="s">
        <v>737</v>
      </c>
      <c r="Y72" s="81" t="s">
        <v>782</v>
      </c>
    </row>
    <row r="73" spans="7:25" x14ac:dyDescent="0.15">
      <c r="G73" s="11">
        <v>72</v>
      </c>
      <c r="H73" s="10" t="s">
        <v>172</v>
      </c>
      <c r="I73" t="s">
        <v>256</v>
      </c>
      <c r="J73" t="s">
        <v>224</v>
      </c>
      <c r="K73" s="43">
        <v>6.9999999999999999E-4</v>
      </c>
      <c r="L73" s="39">
        <v>1.21E-2</v>
      </c>
      <c r="M73" s="39">
        <v>-6.7199999999999996E-2</v>
      </c>
      <c r="N73" s="43">
        <v>-1.37E-2</v>
      </c>
      <c r="O73" s="39">
        <v>-0.12429999999999999</v>
      </c>
      <c r="P73" s="39">
        <v>-3.3099999999999997E-2</v>
      </c>
      <c r="Q73" s="39">
        <v>0.14080000000000001</v>
      </c>
      <c r="R73" s="39">
        <v>-0.20699999999999999</v>
      </c>
      <c r="S73" s="39">
        <v>-0.28570000000000001</v>
      </c>
      <c r="T73">
        <v>51.7</v>
      </c>
      <c r="U73">
        <v>64.63</v>
      </c>
      <c r="V73">
        <v>40.14</v>
      </c>
      <c r="W73" s="17">
        <v>4892.9681</v>
      </c>
    </row>
    <row r="74" spans="7:25" x14ac:dyDescent="0.15">
      <c r="G74" s="11">
        <v>73</v>
      </c>
      <c r="H74" t="s">
        <v>442</v>
      </c>
      <c r="I74" t="s">
        <v>457</v>
      </c>
      <c r="J74" t="s">
        <v>450</v>
      </c>
      <c r="K74" s="43">
        <v>2.3699999999999999E-2</v>
      </c>
      <c r="L74" s="39">
        <v>7.1400000000000005E-2</v>
      </c>
      <c r="M74" s="39">
        <v>1.12E-2</v>
      </c>
      <c r="N74" s="43">
        <v>9.01E-2</v>
      </c>
      <c r="O74" s="39">
        <v>8.3000000000000001E-3</v>
      </c>
      <c r="P74" s="39">
        <v>-9.01E-2</v>
      </c>
      <c r="Q74" s="39">
        <v>4.6899999999999997E-2</v>
      </c>
      <c r="R74" s="39">
        <v>-0.16289999999999999</v>
      </c>
      <c r="S74" s="39">
        <v>-0.16289999999999999</v>
      </c>
      <c r="T74">
        <v>51.02</v>
      </c>
      <c r="U74">
        <v>100</v>
      </c>
      <c r="V74">
        <v>4.76</v>
      </c>
      <c r="W74" s="17">
        <v>209830.95199999999</v>
      </c>
      <c r="X74" s="83" t="s">
        <v>737</v>
      </c>
    </row>
    <row r="75" spans="7:25" x14ac:dyDescent="0.15">
      <c r="G75" s="11">
        <v>74</v>
      </c>
      <c r="H75" s="10" t="s">
        <v>451</v>
      </c>
      <c r="I75" t="s">
        <v>452</v>
      </c>
      <c r="J75" t="s">
        <v>450</v>
      </c>
      <c r="K75" s="43">
        <v>0</v>
      </c>
      <c r="L75" s="39">
        <v>7.9000000000000008E-3</v>
      </c>
      <c r="M75" s="39">
        <v>-2.7300000000000001E-2</v>
      </c>
      <c r="N75" s="43">
        <v>-2.47E-2</v>
      </c>
      <c r="O75" s="39">
        <v>-8.0600000000000005E-2</v>
      </c>
      <c r="P75" s="39">
        <v>-7.9299999999999995E-2</v>
      </c>
      <c r="Q75" s="39">
        <v>5.96E-2</v>
      </c>
      <c r="R75" s="39">
        <v>-9.0700000000000003E-2</v>
      </c>
      <c r="S75" s="39">
        <v>0.16220000000000001</v>
      </c>
      <c r="T75">
        <v>50.34</v>
      </c>
      <c r="U75">
        <v>48.3</v>
      </c>
      <c r="V75">
        <v>54.42</v>
      </c>
      <c r="W75" s="17">
        <v>982.95371</v>
      </c>
    </row>
    <row r="76" spans="7:25" x14ac:dyDescent="0.15">
      <c r="G76" s="11">
        <v>75</v>
      </c>
      <c r="H76" t="s">
        <v>201</v>
      </c>
      <c r="I76" t="s">
        <v>314</v>
      </c>
      <c r="J76" t="s">
        <v>308</v>
      </c>
      <c r="K76" s="43">
        <v>2.3800000000000002E-2</v>
      </c>
      <c r="L76" s="39">
        <v>-4.8999999999999998E-3</v>
      </c>
      <c r="M76" s="39">
        <v>-4.4999999999999998E-2</v>
      </c>
      <c r="N76" s="43">
        <v>5.0599999999999999E-2</v>
      </c>
      <c r="O76" s="39">
        <v>1.6E-2</v>
      </c>
      <c r="P76" s="39">
        <v>7.5300000000000006E-2</v>
      </c>
      <c r="Q76" s="39">
        <v>0.3866</v>
      </c>
      <c r="R76" s="39">
        <v>0.13919999999999999</v>
      </c>
      <c r="S76" s="39">
        <v>-0.42859999999999998</v>
      </c>
      <c r="T76">
        <v>49.66</v>
      </c>
      <c r="U76">
        <v>97.96</v>
      </c>
      <c r="V76">
        <v>4.08</v>
      </c>
      <c r="W76" s="17">
        <v>8443.4521999999997</v>
      </c>
      <c r="X76" s="83" t="s">
        <v>737</v>
      </c>
    </row>
    <row r="77" spans="7:25" x14ac:dyDescent="0.15">
      <c r="G77" s="11">
        <v>76</v>
      </c>
      <c r="H77" s="10" t="s">
        <v>152</v>
      </c>
      <c r="I77" t="s">
        <v>273</v>
      </c>
      <c r="J77" t="s">
        <v>224</v>
      </c>
      <c r="K77" s="43">
        <v>-4.0000000000000002E-4</v>
      </c>
      <c r="L77" s="39">
        <v>4.99E-2</v>
      </c>
      <c r="M77" s="39">
        <v>-3.5999999999999999E-3</v>
      </c>
      <c r="N77" s="43">
        <v>-2.93E-2</v>
      </c>
      <c r="O77" s="39">
        <v>-8.7900000000000006E-2</v>
      </c>
      <c r="P77" s="39">
        <v>-9.35E-2</v>
      </c>
      <c r="Q77" s="39">
        <v>-2.93E-2</v>
      </c>
      <c r="R77" s="39">
        <v>-0.2195</v>
      </c>
      <c r="S77" s="39">
        <v>-0.31369999999999998</v>
      </c>
      <c r="T77">
        <v>48.98</v>
      </c>
      <c r="U77">
        <v>37.409999999999997</v>
      </c>
      <c r="V77">
        <v>64.63</v>
      </c>
      <c r="W77" s="17">
        <v>2444.9863999999998</v>
      </c>
    </row>
    <row r="78" spans="7:25" x14ac:dyDescent="0.15">
      <c r="G78" s="11">
        <v>77</v>
      </c>
      <c r="H78" t="s">
        <v>194</v>
      </c>
      <c r="I78" t="s">
        <v>254</v>
      </c>
      <c r="J78" t="s">
        <v>224</v>
      </c>
      <c r="K78" s="43">
        <v>2.7000000000000001E-3</v>
      </c>
      <c r="L78" s="39">
        <v>0.01</v>
      </c>
      <c r="M78" s="39">
        <v>1.5800000000000002E-2</v>
      </c>
      <c r="N78" s="43">
        <v>1.9E-3</v>
      </c>
      <c r="O78" s="39">
        <v>1.29E-2</v>
      </c>
      <c r="P78" s="39">
        <v>4.3799999999999999E-2</v>
      </c>
      <c r="Q78" s="39">
        <v>0.1368</v>
      </c>
      <c r="R78" s="39">
        <v>-0.18079999999999999</v>
      </c>
      <c r="S78" s="39">
        <v>-9.4399999999999998E-2</v>
      </c>
      <c r="T78">
        <v>48.3</v>
      </c>
      <c r="U78">
        <v>85.03</v>
      </c>
      <c r="V78">
        <v>16.329999999999998</v>
      </c>
      <c r="W78" s="17">
        <v>8474.7233500000002</v>
      </c>
    </row>
    <row r="79" spans="7:25" x14ac:dyDescent="0.15">
      <c r="G79" s="11">
        <v>78</v>
      </c>
      <c r="H79" s="10" t="s">
        <v>149</v>
      </c>
      <c r="I79" t="s">
        <v>300</v>
      </c>
      <c r="J79" t="s">
        <v>224</v>
      </c>
      <c r="K79" s="43">
        <v>-1.4E-3</v>
      </c>
      <c r="L79" s="39">
        <v>1.2200000000000001E-2</v>
      </c>
      <c r="M79" s="39">
        <v>-3.2000000000000001E-2</v>
      </c>
      <c r="N79" s="43">
        <v>-4.1700000000000001E-2</v>
      </c>
      <c r="O79" s="39">
        <v>-9.4500000000000001E-2</v>
      </c>
      <c r="P79" s="39">
        <v>-9.9199999999999997E-2</v>
      </c>
      <c r="Q79" s="39">
        <v>-9.0399999999999994E-2</v>
      </c>
      <c r="R79" s="39">
        <v>-0.28100000000000003</v>
      </c>
      <c r="S79" s="39">
        <v>-0.28100000000000003</v>
      </c>
      <c r="T79">
        <v>47.62</v>
      </c>
      <c r="U79">
        <v>20.41</v>
      </c>
      <c r="V79">
        <v>80.95</v>
      </c>
      <c r="W79" s="17">
        <v>6151.6979518999997</v>
      </c>
    </row>
    <row r="80" spans="7:25" x14ac:dyDescent="0.15">
      <c r="G80" s="11">
        <v>79</v>
      </c>
      <c r="H80" s="10" t="s">
        <v>103</v>
      </c>
      <c r="I80" t="s">
        <v>262</v>
      </c>
      <c r="J80" t="s">
        <v>224</v>
      </c>
      <c r="K80" s="43">
        <v>1.4E-3</v>
      </c>
      <c r="L80" s="39">
        <v>1.1999999999999999E-3</v>
      </c>
      <c r="M80" s="39">
        <v>1.77E-2</v>
      </c>
      <c r="N80" s="43">
        <v>-8.3000000000000001E-3</v>
      </c>
      <c r="O80" s="39">
        <v>2.69E-2</v>
      </c>
      <c r="P80" s="39">
        <v>0.28670000000000001</v>
      </c>
      <c r="Q80" s="39">
        <v>0.2974</v>
      </c>
      <c r="R80" s="39">
        <v>0.83609999999999995</v>
      </c>
      <c r="S80" s="39">
        <v>1.0670999999999999</v>
      </c>
      <c r="T80">
        <v>46.94</v>
      </c>
      <c r="U80">
        <v>71.430000000000007</v>
      </c>
      <c r="V80">
        <v>27.89</v>
      </c>
      <c r="W80" s="17">
        <v>6954.6893099999998</v>
      </c>
      <c r="X80" s="83" t="s">
        <v>737</v>
      </c>
    </row>
    <row r="81" spans="7:24" x14ac:dyDescent="0.15">
      <c r="G81" s="11">
        <v>80</v>
      </c>
      <c r="H81" t="s">
        <v>462</v>
      </c>
      <c r="I81" t="s">
        <v>463</v>
      </c>
      <c r="J81" t="s">
        <v>450</v>
      </c>
      <c r="K81" s="43">
        <v>-4.0000000000000002E-4</v>
      </c>
      <c r="L81" s="39">
        <v>2.9499999999999998E-2</v>
      </c>
      <c r="M81" s="39">
        <v>-1.43E-2</v>
      </c>
      <c r="N81" s="43">
        <v>-3.2000000000000001E-2</v>
      </c>
      <c r="O81" s="39">
        <v>-9.01E-2</v>
      </c>
      <c r="P81" s="39">
        <v>-0.1109</v>
      </c>
      <c r="Q81" s="39">
        <v>-0.1651</v>
      </c>
      <c r="R81" s="39">
        <v>-0.2293</v>
      </c>
      <c r="S81" s="39">
        <v>-0.2293</v>
      </c>
      <c r="T81">
        <v>46.26</v>
      </c>
      <c r="U81">
        <v>34.01</v>
      </c>
      <c r="V81">
        <v>65.31</v>
      </c>
      <c r="W81" s="17">
        <v>6349.3756446000007</v>
      </c>
    </row>
    <row r="82" spans="7:24" x14ac:dyDescent="0.15">
      <c r="G82" s="11">
        <v>81</v>
      </c>
      <c r="H82" t="s">
        <v>328</v>
      </c>
      <c r="I82" t="s">
        <v>329</v>
      </c>
      <c r="J82" t="s">
        <v>363</v>
      </c>
      <c r="K82" s="43">
        <v>-2.0999999999999999E-3</v>
      </c>
      <c r="L82" s="39">
        <v>2.2800000000000001E-2</v>
      </c>
      <c r="M82" s="39">
        <v>-1.7399999999999999E-2</v>
      </c>
      <c r="N82" s="43">
        <v>-6.59E-2</v>
      </c>
      <c r="O82" s="39">
        <v>-9.5799999999999996E-2</v>
      </c>
      <c r="P82" s="39">
        <v>-0.10390000000000001</v>
      </c>
      <c r="Q82" s="39">
        <v>-9.01E-2</v>
      </c>
      <c r="R82" s="39">
        <v>-0.25040000000000001</v>
      </c>
      <c r="S82" s="39">
        <v>-0.25040000000000001</v>
      </c>
      <c r="T82">
        <v>45.58</v>
      </c>
      <c r="U82">
        <v>4.76</v>
      </c>
      <c r="V82">
        <v>93.2</v>
      </c>
      <c r="W82" s="17">
        <v>2189.3577</v>
      </c>
    </row>
    <row r="83" spans="7:24" x14ac:dyDescent="0.15">
      <c r="G83" s="11">
        <v>82</v>
      </c>
      <c r="H83" s="10" t="s">
        <v>163</v>
      </c>
      <c r="I83" t="s">
        <v>304</v>
      </c>
      <c r="J83" t="s">
        <v>224</v>
      </c>
      <c r="K83" s="43">
        <v>5.9999999999999995E-4</v>
      </c>
      <c r="L83" s="39">
        <v>1.24E-2</v>
      </c>
      <c r="M83" s="39">
        <v>-2.5399999999999999E-2</v>
      </c>
      <c r="N83" s="43">
        <v>-2.1700000000000001E-2</v>
      </c>
      <c r="O83" s="39">
        <v>-7.8399999999999997E-2</v>
      </c>
      <c r="P83" s="39">
        <v>-9.4899999999999998E-2</v>
      </c>
      <c r="Q83" s="39">
        <v>-6.5000000000000002E-2</v>
      </c>
      <c r="R83" s="39">
        <v>-0.1961</v>
      </c>
      <c r="S83" s="39">
        <v>-8.5000000000000006E-2</v>
      </c>
      <c r="T83">
        <v>44.9</v>
      </c>
      <c r="U83">
        <v>55.1</v>
      </c>
      <c r="V83">
        <v>41.5</v>
      </c>
      <c r="W83" s="17">
        <v>222984.68309999999</v>
      </c>
    </row>
    <row r="84" spans="7:24" x14ac:dyDescent="0.15">
      <c r="G84" s="11">
        <v>83</v>
      </c>
      <c r="H84" s="10" t="s">
        <v>336</v>
      </c>
      <c r="I84" t="s">
        <v>337</v>
      </c>
      <c r="J84" t="s">
        <v>363</v>
      </c>
      <c r="K84" s="43">
        <v>5.0000000000000001E-4</v>
      </c>
      <c r="L84" s="39">
        <v>5.3499999999999999E-2</v>
      </c>
      <c r="M84" s="39">
        <v>4.0000000000000002E-4</v>
      </c>
      <c r="N84" s="43">
        <v>-2.3699999999999999E-2</v>
      </c>
      <c r="O84" s="39">
        <v>-8.5900000000000004E-2</v>
      </c>
      <c r="P84" s="39">
        <v>-0.1017</v>
      </c>
      <c r="Q84" s="39">
        <v>-4.2200000000000001E-2</v>
      </c>
      <c r="R84" s="39">
        <v>-0.2414</v>
      </c>
      <c r="S84" s="39">
        <v>-0.18940000000000001</v>
      </c>
      <c r="T84">
        <v>44.22</v>
      </c>
      <c r="U84">
        <v>51.7</v>
      </c>
      <c r="V84">
        <v>44.9</v>
      </c>
      <c r="W84" s="17">
        <v>2036.65382</v>
      </c>
    </row>
    <row r="85" spans="7:24" x14ac:dyDescent="0.15">
      <c r="G85" s="11">
        <v>84</v>
      </c>
      <c r="H85" s="10" t="s">
        <v>167</v>
      </c>
      <c r="I85" t="s">
        <v>285</v>
      </c>
      <c r="J85" t="s">
        <v>224</v>
      </c>
      <c r="K85" s="43">
        <v>-2.3999999999999998E-3</v>
      </c>
      <c r="L85" s="39">
        <v>4.2500000000000003E-2</v>
      </c>
      <c r="M85" s="39">
        <v>-8.3999999999999995E-3</v>
      </c>
      <c r="N85" s="43">
        <v>-8.3699999999999997E-2</v>
      </c>
      <c r="O85" s="39">
        <v>-0.1888</v>
      </c>
      <c r="P85" s="39">
        <v>-0.26450000000000001</v>
      </c>
      <c r="Q85" s="39">
        <v>-0.1958</v>
      </c>
      <c r="R85" s="39">
        <v>-0.2273</v>
      </c>
      <c r="S85" s="39">
        <v>-0.2472</v>
      </c>
      <c r="T85">
        <v>43.54</v>
      </c>
      <c r="U85">
        <v>1.36</v>
      </c>
      <c r="V85">
        <v>95.24</v>
      </c>
      <c r="W85" s="17">
        <v>16266.891934900001</v>
      </c>
      <c r="X85" s="83" t="s">
        <v>737</v>
      </c>
    </row>
    <row r="86" spans="7:24" x14ac:dyDescent="0.15">
      <c r="G86" s="11">
        <v>85</v>
      </c>
      <c r="H86" s="10" t="s">
        <v>125</v>
      </c>
      <c r="I86" t="s">
        <v>279</v>
      </c>
      <c r="J86" t="s">
        <v>224</v>
      </c>
      <c r="K86" s="43">
        <v>6.9999999999999999E-4</v>
      </c>
      <c r="L86" s="39">
        <v>3.2500000000000001E-2</v>
      </c>
      <c r="M86" s="39">
        <v>3.8E-3</v>
      </c>
      <c r="N86" s="43">
        <v>-2.18E-2</v>
      </c>
      <c r="O86" s="39">
        <v>-4.6399999999999997E-2</v>
      </c>
      <c r="P86" s="39">
        <v>-1.2800000000000001E-2</v>
      </c>
      <c r="Q86" s="39">
        <v>-2.24E-2</v>
      </c>
      <c r="R86" s="39">
        <v>-0.27389999999999998</v>
      </c>
      <c r="S86" s="39">
        <v>0.16039999999999999</v>
      </c>
      <c r="T86">
        <v>42.86</v>
      </c>
      <c r="U86">
        <v>54.42</v>
      </c>
      <c r="V86">
        <v>40.82</v>
      </c>
      <c r="W86" s="17">
        <v>4697.3792000000003</v>
      </c>
    </row>
    <row r="87" spans="7:24" x14ac:dyDescent="0.15">
      <c r="G87" s="11">
        <v>86</v>
      </c>
      <c r="H87" s="10" t="s">
        <v>83</v>
      </c>
      <c r="I87" t="s">
        <v>316</v>
      </c>
      <c r="J87" t="s">
        <v>315</v>
      </c>
      <c r="K87" s="43">
        <v>9.2999999999999992E-3</v>
      </c>
      <c r="L87" s="39">
        <v>-4.2500000000000003E-2</v>
      </c>
      <c r="M87" s="39">
        <v>1.9E-3</v>
      </c>
      <c r="N87" s="43">
        <v>2E-3</v>
      </c>
      <c r="O87" s="39">
        <v>5.7799999999999997E-2</v>
      </c>
      <c r="P87" s="39">
        <v>0.22489999999999999</v>
      </c>
      <c r="Q87" s="39">
        <v>5.2699999999999997E-2</v>
      </c>
      <c r="R87" s="39">
        <v>0.70179999999999998</v>
      </c>
      <c r="S87" s="39">
        <v>2.4348000000000001</v>
      </c>
      <c r="T87">
        <v>42.18</v>
      </c>
      <c r="U87">
        <v>85.71</v>
      </c>
      <c r="V87">
        <v>9.52</v>
      </c>
      <c r="W87" s="17">
        <v>5294.9242994999995</v>
      </c>
      <c r="X87" s="83" t="s">
        <v>737</v>
      </c>
    </row>
    <row r="88" spans="7:24" x14ac:dyDescent="0.15">
      <c r="G88" s="11">
        <v>87</v>
      </c>
      <c r="H88" s="10" t="s">
        <v>112</v>
      </c>
      <c r="I88" t="s">
        <v>292</v>
      </c>
      <c r="J88" t="s">
        <v>224</v>
      </c>
      <c r="K88" s="43">
        <v>-5.0000000000000001E-4</v>
      </c>
      <c r="L88" s="39">
        <v>0.03</v>
      </c>
      <c r="M88" s="39">
        <v>-1.5599999999999999E-2</v>
      </c>
      <c r="N88" s="43">
        <v>-3.39E-2</v>
      </c>
      <c r="O88" s="39">
        <v>-0.1003</v>
      </c>
      <c r="P88" s="39">
        <v>-0.1147</v>
      </c>
      <c r="Q88" s="39">
        <v>-0.15989999999999999</v>
      </c>
      <c r="R88" s="39">
        <v>-0.20899999999999999</v>
      </c>
      <c r="S88" s="39">
        <v>-0.1149</v>
      </c>
      <c r="T88">
        <v>41.5</v>
      </c>
      <c r="U88">
        <v>27.89</v>
      </c>
      <c r="V88">
        <v>65.989999999999995</v>
      </c>
      <c r="W88" s="17">
        <v>25574.1914</v>
      </c>
      <c r="X88" s="83" t="s">
        <v>737</v>
      </c>
    </row>
    <row r="89" spans="7:24" x14ac:dyDescent="0.15">
      <c r="G89" s="11">
        <v>88</v>
      </c>
      <c r="H89" s="10" t="s">
        <v>105</v>
      </c>
      <c r="I89" t="s">
        <v>277</v>
      </c>
      <c r="J89" t="s">
        <v>224</v>
      </c>
      <c r="K89" s="43">
        <v>1.1999999999999999E-3</v>
      </c>
      <c r="L89" s="39">
        <v>2.0400000000000001E-2</v>
      </c>
      <c r="M89" s="39">
        <v>-1.23E-2</v>
      </c>
      <c r="N89" s="43">
        <v>-1.5100000000000001E-2</v>
      </c>
      <c r="O89" s="39">
        <v>-0.16400000000000001</v>
      </c>
      <c r="P89" s="39">
        <v>-0.20200000000000001</v>
      </c>
      <c r="Q89" s="39">
        <v>-0.32300000000000001</v>
      </c>
      <c r="R89" s="39">
        <v>-0.46139999999999998</v>
      </c>
      <c r="S89" s="39">
        <v>-0.33379999999999999</v>
      </c>
      <c r="T89">
        <v>40.82</v>
      </c>
      <c r="U89">
        <v>62.59</v>
      </c>
      <c r="V89">
        <v>30.61</v>
      </c>
      <c r="W89" s="17">
        <v>19708.6387593</v>
      </c>
      <c r="X89" s="83" t="s">
        <v>737</v>
      </c>
    </row>
    <row r="90" spans="7:24" x14ac:dyDescent="0.15">
      <c r="G90" s="11">
        <v>89</v>
      </c>
      <c r="H90" s="10" t="s">
        <v>169</v>
      </c>
      <c r="I90" t="s">
        <v>302</v>
      </c>
      <c r="J90" t="s">
        <v>224</v>
      </c>
      <c r="K90" s="43">
        <v>-6.9999999999999999E-4</v>
      </c>
      <c r="L90" s="39">
        <v>1.23E-2</v>
      </c>
      <c r="M90" s="39">
        <v>-3.1800000000000002E-2</v>
      </c>
      <c r="N90" s="43">
        <v>-4.1500000000000002E-2</v>
      </c>
      <c r="O90" s="39">
        <v>-9.4200000000000006E-2</v>
      </c>
      <c r="P90" s="39">
        <v>-9.9500000000000005E-2</v>
      </c>
      <c r="Q90" s="39">
        <v>-9.1499999999999998E-2</v>
      </c>
      <c r="R90" s="39">
        <v>-0.28260000000000002</v>
      </c>
      <c r="S90" s="39">
        <v>-0.28260000000000002</v>
      </c>
      <c r="T90">
        <v>40.14</v>
      </c>
      <c r="U90">
        <v>22.45</v>
      </c>
      <c r="V90">
        <v>70.75</v>
      </c>
      <c r="W90" s="17">
        <v>5569.8225000000002</v>
      </c>
    </row>
    <row r="91" spans="7:24" x14ac:dyDescent="0.15">
      <c r="G91" s="11">
        <v>90</v>
      </c>
      <c r="H91" s="10" t="s">
        <v>354</v>
      </c>
      <c r="I91" t="s">
        <v>355</v>
      </c>
      <c r="J91" t="s">
        <v>363</v>
      </c>
      <c r="K91" s="43">
        <v>1.8E-3</v>
      </c>
      <c r="L91" s="39">
        <v>1.09E-2</v>
      </c>
      <c r="M91" s="39">
        <v>-4.2099999999999999E-2</v>
      </c>
      <c r="N91" s="43">
        <v>-9.7000000000000003E-3</v>
      </c>
      <c r="O91" s="39">
        <v>-9.9599999999999994E-2</v>
      </c>
      <c r="P91" s="39">
        <v>-0.14660000000000001</v>
      </c>
      <c r="Q91" s="39">
        <v>-1.1900000000000001E-2</v>
      </c>
      <c r="R91" s="39">
        <v>-0.37709999999999999</v>
      </c>
      <c r="S91" s="39">
        <v>-0.37709999999999999</v>
      </c>
      <c r="T91">
        <v>39.46</v>
      </c>
      <c r="U91">
        <v>70.069999999999993</v>
      </c>
      <c r="V91">
        <v>23.13</v>
      </c>
      <c r="W91" s="17">
        <v>2173.4699999999998</v>
      </c>
    </row>
    <row r="92" spans="7:24" x14ac:dyDescent="0.15">
      <c r="G92" s="11">
        <v>91</v>
      </c>
      <c r="H92" s="10" t="s">
        <v>181</v>
      </c>
      <c r="I92" t="s">
        <v>238</v>
      </c>
      <c r="J92" t="s">
        <v>224</v>
      </c>
      <c r="K92" s="43">
        <v>-1E-4</v>
      </c>
      <c r="L92" s="39">
        <v>4.7000000000000002E-3</v>
      </c>
      <c r="M92" s="39">
        <v>-6.6500000000000004E-2</v>
      </c>
      <c r="N92" s="43">
        <v>-2.9499999999999998E-2</v>
      </c>
      <c r="O92" s="39">
        <v>-0.14899999999999999</v>
      </c>
      <c r="P92" s="39">
        <v>-0.19589999999999999</v>
      </c>
      <c r="Q92" s="39">
        <v>5.2999999999999999E-2</v>
      </c>
      <c r="R92" s="39">
        <v>-0.26119999999999999</v>
      </c>
      <c r="S92" s="39">
        <v>-0.29849999999999999</v>
      </c>
      <c r="T92">
        <v>38.78</v>
      </c>
      <c r="U92">
        <v>36.729999999999997</v>
      </c>
      <c r="V92">
        <v>56.46</v>
      </c>
      <c r="W92" s="17">
        <v>4165.0794900000001</v>
      </c>
    </row>
    <row r="93" spans="7:24" x14ac:dyDescent="0.15">
      <c r="G93" s="11">
        <v>92</v>
      </c>
      <c r="H93" s="10" t="s">
        <v>322</v>
      </c>
      <c r="I93" t="s">
        <v>323</v>
      </c>
      <c r="J93" t="s">
        <v>363</v>
      </c>
      <c r="K93" s="43">
        <v>-1.4E-3</v>
      </c>
      <c r="L93" s="39">
        <v>1.1299999999999999E-2</v>
      </c>
      <c r="M93" s="39">
        <v>-3.6600000000000001E-2</v>
      </c>
      <c r="N93" s="43">
        <v>-0.05</v>
      </c>
      <c r="O93" s="39">
        <v>-0.14399999999999999</v>
      </c>
      <c r="P93" s="39">
        <v>-0.2127</v>
      </c>
      <c r="Q93" s="39">
        <v>0.10589999999999999</v>
      </c>
      <c r="R93" s="39">
        <v>-0.1208</v>
      </c>
      <c r="S93" s="39">
        <v>-0.1208</v>
      </c>
      <c r="T93">
        <v>38.1</v>
      </c>
      <c r="U93">
        <v>12.93</v>
      </c>
      <c r="V93">
        <v>79.59</v>
      </c>
      <c r="W93" s="17">
        <v>1039.2170000000001</v>
      </c>
    </row>
    <row r="94" spans="7:24" x14ac:dyDescent="0.15">
      <c r="G94" s="11">
        <v>93</v>
      </c>
      <c r="H94" s="10" t="s">
        <v>95</v>
      </c>
      <c r="I94" t="s">
        <v>253</v>
      </c>
      <c r="J94" t="s">
        <v>224</v>
      </c>
      <c r="K94" s="43">
        <v>-1E-4</v>
      </c>
      <c r="L94" s="39">
        <v>1.7399999999999999E-2</v>
      </c>
      <c r="M94" s="39">
        <v>-9.9000000000000008E-3</v>
      </c>
      <c r="N94" s="43">
        <v>-3.2199999999999999E-2</v>
      </c>
      <c r="O94" s="39">
        <v>-8.9399999999999993E-2</v>
      </c>
      <c r="P94" s="39">
        <v>-0.129</v>
      </c>
      <c r="Q94" s="39">
        <v>-0.16439999999999999</v>
      </c>
      <c r="R94" s="39">
        <v>-0.1613</v>
      </c>
      <c r="S94" s="39">
        <v>-9.1899999999999996E-2</v>
      </c>
      <c r="T94">
        <v>37.409999999999997</v>
      </c>
      <c r="U94">
        <v>32.65</v>
      </c>
      <c r="V94">
        <v>58.5</v>
      </c>
      <c r="W94" s="17">
        <v>2853.2854000000002</v>
      </c>
    </row>
    <row r="95" spans="7:24" x14ac:dyDescent="0.15">
      <c r="G95" s="11">
        <v>94</v>
      </c>
      <c r="H95" s="10" t="s">
        <v>118</v>
      </c>
      <c r="I95" t="s">
        <v>297</v>
      </c>
      <c r="J95" t="s">
        <v>224</v>
      </c>
      <c r="K95" s="43">
        <v>1.6000000000000001E-3</v>
      </c>
      <c r="L95" s="39">
        <v>1.8800000000000001E-2</v>
      </c>
      <c r="M95" s="39">
        <v>-1.7999999999999999E-2</v>
      </c>
      <c r="N95" s="43">
        <v>-1.4800000000000001E-2</v>
      </c>
      <c r="O95" s="39">
        <v>-0.1515</v>
      </c>
      <c r="P95" s="39">
        <v>-0.18279999999999999</v>
      </c>
      <c r="Q95" s="39">
        <v>-0.31990000000000002</v>
      </c>
      <c r="R95" s="39">
        <v>-0.4597</v>
      </c>
      <c r="S95" s="39">
        <v>0.16309999999999999</v>
      </c>
      <c r="T95">
        <v>36.729999999999997</v>
      </c>
      <c r="U95">
        <v>63.95</v>
      </c>
      <c r="V95">
        <v>26.53</v>
      </c>
      <c r="W95" s="17">
        <v>32384.230299999999</v>
      </c>
    </row>
    <row r="96" spans="7:24" x14ac:dyDescent="0.15">
      <c r="G96" s="11">
        <v>95</v>
      </c>
      <c r="H96" s="10" t="s">
        <v>117</v>
      </c>
      <c r="I96" t="s">
        <v>229</v>
      </c>
      <c r="J96" t="s">
        <v>224</v>
      </c>
      <c r="K96" s="43">
        <v>-4.0000000000000002E-4</v>
      </c>
      <c r="L96" s="39">
        <v>2.5999999999999999E-2</v>
      </c>
      <c r="M96" s="39">
        <v>-2.5899999999999999E-2</v>
      </c>
      <c r="N96" s="43">
        <v>-3.5499999999999997E-2</v>
      </c>
      <c r="O96" s="39">
        <v>-9.98E-2</v>
      </c>
      <c r="P96" s="39">
        <v>-0.14169999999999999</v>
      </c>
      <c r="Q96" s="39">
        <v>-0.1389</v>
      </c>
      <c r="R96" s="39">
        <v>-0.33610000000000001</v>
      </c>
      <c r="S96" s="39">
        <v>-0.44779999999999998</v>
      </c>
      <c r="T96">
        <v>36.049999999999997</v>
      </c>
      <c r="U96">
        <v>25.85</v>
      </c>
      <c r="V96">
        <v>63.95</v>
      </c>
      <c r="W96" s="17">
        <v>1464.5517</v>
      </c>
    </row>
    <row r="97" spans="7:24" x14ac:dyDescent="0.15">
      <c r="G97" s="11">
        <v>96</v>
      </c>
      <c r="H97" s="10" t="s">
        <v>460</v>
      </c>
      <c r="I97" t="s">
        <v>461</v>
      </c>
      <c r="J97" t="s">
        <v>450</v>
      </c>
      <c r="K97" s="43">
        <v>-6.9999999999999999E-4</v>
      </c>
      <c r="L97" s="39">
        <v>1.09E-2</v>
      </c>
      <c r="M97" s="39">
        <v>-2.4199999999999999E-2</v>
      </c>
      <c r="N97" s="43">
        <v>-4.1799999999999997E-2</v>
      </c>
      <c r="O97" s="39">
        <v>-0.1178</v>
      </c>
      <c r="P97" s="39">
        <v>-0.14419999999999999</v>
      </c>
      <c r="Q97" s="39">
        <v>-0.1656</v>
      </c>
      <c r="R97" s="39">
        <v>-0.29549999999999998</v>
      </c>
      <c r="S97" s="39">
        <v>-0.29549999999999998</v>
      </c>
      <c r="T97">
        <v>35.369999999999997</v>
      </c>
      <c r="U97">
        <v>19.73</v>
      </c>
      <c r="V97">
        <v>70.069999999999993</v>
      </c>
      <c r="W97" s="17">
        <v>1976.1584</v>
      </c>
    </row>
    <row r="98" spans="7:24" x14ac:dyDescent="0.15">
      <c r="G98" s="11">
        <v>97</v>
      </c>
      <c r="H98" t="s">
        <v>150</v>
      </c>
      <c r="I98" t="s">
        <v>269</v>
      </c>
      <c r="J98" t="s">
        <v>224</v>
      </c>
      <c r="K98" s="43">
        <v>5.0000000000000001E-4</v>
      </c>
      <c r="L98" s="39">
        <v>8.5000000000000006E-3</v>
      </c>
      <c r="M98" s="39">
        <v>-2.2700000000000001E-2</v>
      </c>
      <c r="N98" s="43">
        <v>-2.5899999999999999E-2</v>
      </c>
      <c r="O98" s="39">
        <v>-5.8200000000000002E-2</v>
      </c>
      <c r="P98" s="39">
        <v>-6.1199999999999997E-2</v>
      </c>
      <c r="Q98" s="39">
        <v>-3.0999999999999999E-3</v>
      </c>
      <c r="R98" s="39">
        <v>-0.17319999999999999</v>
      </c>
      <c r="S98" s="39">
        <v>-0.12509999999999999</v>
      </c>
      <c r="T98">
        <v>34.69</v>
      </c>
      <c r="U98">
        <v>44.22</v>
      </c>
      <c r="V98">
        <v>44.22</v>
      </c>
      <c r="W98" s="17">
        <v>9366.4796000000006</v>
      </c>
    </row>
    <row r="99" spans="7:24" x14ac:dyDescent="0.15">
      <c r="G99" s="11">
        <v>98</v>
      </c>
      <c r="H99" s="10" t="s">
        <v>131</v>
      </c>
      <c r="I99" t="s">
        <v>288</v>
      </c>
      <c r="J99" t="s">
        <v>224</v>
      </c>
      <c r="K99" s="43">
        <v>1.9E-3</v>
      </c>
      <c r="L99" s="39">
        <v>1.7500000000000002E-2</v>
      </c>
      <c r="M99" s="39">
        <v>-1.7999999999999999E-2</v>
      </c>
      <c r="N99" s="43">
        <v>-1.37E-2</v>
      </c>
      <c r="O99" s="39">
        <v>-0.14810000000000001</v>
      </c>
      <c r="P99" s="39">
        <v>-0.17649999999999999</v>
      </c>
      <c r="Q99" s="39">
        <v>-0.31030000000000002</v>
      </c>
      <c r="R99" s="39">
        <v>-0.43959999999999999</v>
      </c>
      <c r="S99" s="39">
        <v>0.23219999999999999</v>
      </c>
      <c r="T99">
        <v>34.01</v>
      </c>
      <c r="U99">
        <v>65.31</v>
      </c>
      <c r="V99">
        <v>22.45</v>
      </c>
      <c r="W99" s="17">
        <v>22623.144</v>
      </c>
    </row>
    <row r="100" spans="7:24" x14ac:dyDescent="0.15">
      <c r="G100" s="11">
        <v>99</v>
      </c>
      <c r="H100" s="10" t="s">
        <v>156</v>
      </c>
      <c r="I100" t="s">
        <v>274</v>
      </c>
      <c r="J100" t="s">
        <v>224</v>
      </c>
      <c r="K100" s="43">
        <v>5.0000000000000001E-4</v>
      </c>
      <c r="L100" s="39">
        <v>2.2100000000000002E-2</v>
      </c>
      <c r="M100" s="39">
        <v>-2.7400000000000001E-2</v>
      </c>
      <c r="N100" s="43">
        <v>-2.6700000000000002E-2</v>
      </c>
      <c r="O100" s="39">
        <v>-0.1132</v>
      </c>
      <c r="P100" s="39">
        <v>-0.12379999999999999</v>
      </c>
      <c r="Q100" s="39">
        <v>-0.1167</v>
      </c>
      <c r="R100" s="39">
        <v>-0.3327</v>
      </c>
      <c r="S100" s="39">
        <v>-0.2283</v>
      </c>
      <c r="T100">
        <v>33.33</v>
      </c>
      <c r="U100">
        <v>40.14</v>
      </c>
      <c r="V100">
        <v>46.94</v>
      </c>
      <c r="W100" s="17">
        <v>21416.836921999999</v>
      </c>
      <c r="X100" s="83" t="s">
        <v>737</v>
      </c>
    </row>
    <row r="101" spans="7:24" x14ac:dyDescent="0.15">
      <c r="G101" s="11">
        <v>100</v>
      </c>
      <c r="H101" t="s">
        <v>342</v>
      </c>
      <c r="I101" t="s">
        <v>757</v>
      </c>
      <c r="J101" t="s">
        <v>363</v>
      </c>
      <c r="K101" s="43">
        <v>-5.0000000000000001E-4</v>
      </c>
      <c r="L101" s="39">
        <v>6.0000000000000001E-3</v>
      </c>
      <c r="M101" s="39">
        <v>-1.9699999999999999E-2</v>
      </c>
      <c r="N101" s="43">
        <v>-4.2200000000000001E-2</v>
      </c>
      <c r="O101" s="39">
        <v>-4.99E-2</v>
      </c>
      <c r="P101" s="39">
        <v>-3.4200000000000001E-2</v>
      </c>
      <c r="Q101" s="39">
        <v>0.251</v>
      </c>
      <c r="R101" s="39">
        <v>9.4299999999999995E-2</v>
      </c>
      <c r="S101" s="39">
        <v>9.4299999999999995E-2</v>
      </c>
      <c r="T101">
        <v>32.65</v>
      </c>
      <c r="U101">
        <v>19.05</v>
      </c>
      <c r="V101">
        <v>66.67</v>
      </c>
      <c r="W101" s="17">
        <v>1842.3430000000001</v>
      </c>
      <c r="X101" s="83" t="s">
        <v>737</v>
      </c>
    </row>
    <row r="102" spans="7:24" x14ac:dyDescent="0.15">
      <c r="G102" s="11">
        <v>101</v>
      </c>
      <c r="H102" t="s">
        <v>453</v>
      </c>
      <c r="I102" t="s">
        <v>454</v>
      </c>
      <c r="J102" t="s">
        <v>450</v>
      </c>
      <c r="K102" s="43">
        <v>0</v>
      </c>
      <c r="L102" s="39">
        <v>1.3299999999999999E-2</v>
      </c>
      <c r="M102" s="39">
        <v>-3.0800000000000001E-2</v>
      </c>
      <c r="N102" s="43">
        <v>-3.3399999999999999E-2</v>
      </c>
      <c r="O102" s="39">
        <v>-8.8300000000000003E-2</v>
      </c>
      <c r="P102" s="39">
        <v>-9.7900000000000001E-2</v>
      </c>
      <c r="Q102" s="39">
        <v>-5.0700000000000002E-2</v>
      </c>
      <c r="R102" s="39">
        <v>-0.156</v>
      </c>
      <c r="S102" s="39">
        <v>-0.156</v>
      </c>
      <c r="T102">
        <v>31.97</v>
      </c>
      <c r="U102">
        <v>29.93</v>
      </c>
      <c r="V102">
        <v>55.78</v>
      </c>
      <c r="W102" s="17">
        <v>6594.0815000000002</v>
      </c>
    </row>
    <row r="103" spans="7:24" x14ac:dyDescent="0.15">
      <c r="G103" s="11">
        <v>102</v>
      </c>
      <c r="H103" s="10" t="s">
        <v>330</v>
      </c>
      <c r="I103" t="s">
        <v>331</v>
      </c>
      <c r="J103" t="s">
        <v>363</v>
      </c>
      <c r="K103" s="43">
        <v>-2.9999999999999997E-4</v>
      </c>
      <c r="L103" s="39">
        <v>-4.7999999999999996E-3</v>
      </c>
      <c r="M103" s="39">
        <v>-3.7900000000000003E-2</v>
      </c>
      <c r="N103" s="43">
        <v>-3.5499999999999997E-2</v>
      </c>
      <c r="O103" s="39">
        <v>-0.16059999999999999</v>
      </c>
      <c r="P103" s="39">
        <v>-0.21920000000000001</v>
      </c>
      <c r="Q103" s="39">
        <v>-0.33560000000000001</v>
      </c>
      <c r="R103" s="39">
        <v>-0.4244</v>
      </c>
      <c r="S103" s="39">
        <v>-0.42180000000000001</v>
      </c>
      <c r="T103">
        <v>31.29</v>
      </c>
      <c r="U103">
        <v>25.17</v>
      </c>
      <c r="V103">
        <v>60.54</v>
      </c>
      <c r="W103" s="17">
        <v>7093.5798458000008</v>
      </c>
    </row>
    <row r="104" spans="7:24" x14ac:dyDescent="0.15">
      <c r="G104" s="11">
        <v>103</v>
      </c>
      <c r="H104" t="s">
        <v>164</v>
      </c>
      <c r="I104" t="s">
        <v>267</v>
      </c>
      <c r="J104" t="s">
        <v>224</v>
      </c>
      <c r="K104" s="43">
        <v>-2.9999999999999997E-4</v>
      </c>
      <c r="L104" s="39">
        <v>3.9100000000000003E-2</v>
      </c>
      <c r="M104" s="39">
        <v>-1.14E-2</v>
      </c>
      <c r="N104" s="43">
        <v>-3.9800000000000002E-2</v>
      </c>
      <c r="O104" s="39">
        <v>-9.9699999999999997E-2</v>
      </c>
      <c r="P104" s="39">
        <v>-9.9500000000000005E-2</v>
      </c>
      <c r="Q104" s="39">
        <v>-6.1499999999999999E-2</v>
      </c>
      <c r="R104" s="39">
        <v>-0.2661</v>
      </c>
      <c r="S104" s="39">
        <v>-0.20899999999999999</v>
      </c>
      <c r="T104">
        <v>30.61</v>
      </c>
      <c r="U104">
        <v>24.49</v>
      </c>
      <c r="V104">
        <v>61.22</v>
      </c>
      <c r="W104" s="17">
        <v>4912.2963</v>
      </c>
    </row>
    <row r="105" spans="7:24" x14ac:dyDescent="0.15">
      <c r="G105" s="11">
        <v>104</v>
      </c>
      <c r="H105" s="10" t="s">
        <v>165</v>
      </c>
      <c r="I105" t="s">
        <v>233</v>
      </c>
      <c r="J105" t="s">
        <v>224</v>
      </c>
      <c r="K105" s="43">
        <v>5.0000000000000001E-4</v>
      </c>
      <c r="L105" s="39">
        <v>4.2299999999999997E-2</v>
      </c>
      <c r="M105" s="39">
        <v>-2.5999999999999999E-3</v>
      </c>
      <c r="N105" s="43">
        <v>-2.81E-2</v>
      </c>
      <c r="O105" s="39">
        <v>-9.3799999999999994E-2</v>
      </c>
      <c r="P105" s="39">
        <v>-0.14480000000000001</v>
      </c>
      <c r="Q105" s="39">
        <v>-0.22620000000000001</v>
      </c>
      <c r="R105" s="39">
        <v>-0.21110000000000001</v>
      </c>
      <c r="S105" s="39">
        <v>-0.3543</v>
      </c>
      <c r="T105">
        <v>29.93</v>
      </c>
      <c r="U105">
        <v>38.78</v>
      </c>
      <c r="V105">
        <v>45.58</v>
      </c>
      <c r="W105" s="17">
        <v>11907.450048800001</v>
      </c>
      <c r="X105" s="83" t="s">
        <v>737</v>
      </c>
    </row>
    <row r="106" spans="7:24" x14ac:dyDescent="0.15">
      <c r="G106" s="11">
        <v>105</v>
      </c>
      <c r="H106" t="s">
        <v>174</v>
      </c>
      <c r="I106" t="s">
        <v>305</v>
      </c>
      <c r="J106" t="s">
        <v>224</v>
      </c>
      <c r="K106" s="43">
        <v>8.0000000000000004E-4</v>
      </c>
      <c r="L106" s="39">
        <v>9.9000000000000008E-3</v>
      </c>
      <c r="M106" s="39">
        <v>-2.3E-2</v>
      </c>
      <c r="N106" s="43">
        <v>-2.5600000000000001E-2</v>
      </c>
      <c r="O106" s="39">
        <v>-4.87E-2</v>
      </c>
      <c r="P106" s="39">
        <v>-4.9700000000000001E-2</v>
      </c>
      <c r="Q106" s="39">
        <v>-9.4000000000000004E-3</v>
      </c>
      <c r="R106" s="39">
        <v>-0.18870000000000001</v>
      </c>
      <c r="S106" s="39">
        <v>-0.18410000000000001</v>
      </c>
      <c r="T106">
        <v>29.25</v>
      </c>
      <c r="U106">
        <v>45.58</v>
      </c>
      <c r="V106">
        <v>38.78</v>
      </c>
      <c r="W106" s="17">
        <v>167297.73749999999</v>
      </c>
    </row>
    <row r="107" spans="7:24" x14ac:dyDescent="0.15">
      <c r="G107" s="11">
        <v>106</v>
      </c>
      <c r="H107" s="10" t="s">
        <v>96</v>
      </c>
      <c r="I107" t="s">
        <v>272</v>
      </c>
      <c r="J107" t="s">
        <v>224</v>
      </c>
      <c r="K107" s="43">
        <v>0</v>
      </c>
      <c r="L107" s="39">
        <v>-2.1299999999999999E-2</v>
      </c>
      <c r="M107" s="39">
        <v>-6.0699999999999997E-2</v>
      </c>
      <c r="N107" s="43">
        <v>-3.3500000000000002E-2</v>
      </c>
      <c r="O107" s="39">
        <v>-0.1973</v>
      </c>
      <c r="P107" s="39">
        <v>-0.2742</v>
      </c>
      <c r="Q107" s="39">
        <v>-0.39829999999999999</v>
      </c>
      <c r="R107" s="39">
        <v>-0.4345</v>
      </c>
      <c r="S107" s="39">
        <v>-7.0999999999999994E-2</v>
      </c>
      <c r="T107">
        <v>28.57</v>
      </c>
      <c r="U107">
        <v>29.25</v>
      </c>
      <c r="V107">
        <v>55.1</v>
      </c>
      <c r="W107" s="17">
        <v>58992.741800000003</v>
      </c>
      <c r="X107" s="83" t="s">
        <v>737</v>
      </c>
    </row>
    <row r="108" spans="7:24" x14ac:dyDescent="0.15">
      <c r="G108" s="11">
        <v>107</v>
      </c>
      <c r="H108" s="10" t="s">
        <v>180</v>
      </c>
      <c r="I108" t="s">
        <v>306</v>
      </c>
      <c r="J108" t="s">
        <v>224</v>
      </c>
      <c r="K108" s="43">
        <v>8.9999999999999998E-4</v>
      </c>
      <c r="L108" s="39">
        <v>1.3100000000000001E-2</v>
      </c>
      <c r="M108" s="39">
        <v>-2.3300000000000001E-2</v>
      </c>
      <c r="N108" s="43">
        <v>-2.5700000000000001E-2</v>
      </c>
      <c r="O108" s="39">
        <v>-7.3700000000000002E-2</v>
      </c>
      <c r="P108" s="39">
        <v>-7.6999999999999999E-2</v>
      </c>
      <c r="Q108" s="39">
        <v>-3.2800000000000003E-2</v>
      </c>
      <c r="R108" s="39">
        <v>-0.22589999999999999</v>
      </c>
      <c r="S108" s="39">
        <v>-0.16850000000000001</v>
      </c>
      <c r="T108">
        <v>27.89</v>
      </c>
      <c r="U108">
        <v>44.9</v>
      </c>
      <c r="V108">
        <v>35.369999999999997</v>
      </c>
      <c r="W108" s="17">
        <v>595269.755</v>
      </c>
    </row>
    <row r="109" spans="7:24" x14ac:dyDescent="0.15">
      <c r="G109" s="11">
        <v>108</v>
      </c>
      <c r="H109" s="10" t="s">
        <v>135</v>
      </c>
      <c r="I109" t="s">
        <v>1090</v>
      </c>
      <c r="J109" t="s">
        <v>224</v>
      </c>
      <c r="K109" s="43">
        <v>1.1000000000000001E-3</v>
      </c>
      <c r="L109" s="39">
        <v>-5.9999999999999995E-4</v>
      </c>
      <c r="M109" s="39">
        <v>-7.0900000000000005E-2</v>
      </c>
      <c r="N109" s="43">
        <v>-2.5000000000000001E-2</v>
      </c>
      <c r="O109" s="39">
        <v>-0.1603</v>
      </c>
      <c r="P109" s="39">
        <v>-0.1716</v>
      </c>
      <c r="Q109" s="39">
        <v>0.1192</v>
      </c>
      <c r="R109" s="39">
        <v>-0.2306</v>
      </c>
      <c r="S109" s="39">
        <v>-0.26579999999999998</v>
      </c>
      <c r="T109">
        <v>27.21</v>
      </c>
      <c r="U109">
        <v>46.94</v>
      </c>
      <c r="V109">
        <v>32.65</v>
      </c>
      <c r="W109" s="17">
        <v>17033.491681</v>
      </c>
      <c r="X109" s="83" t="s">
        <v>737</v>
      </c>
    </row>
    <row r="110" spans="7:24" x14ac:dyDescent="0.15">
      <c r="G110" s="11">
        <v>109</v>
      </c>
      <c r="H110" s="10" t="s">
        <v>177</v>
      </c>
      <c r="I110" t="s">
        <v>263</v>
      </c>
      <c r="J110" t="s">
        <v>224</v>
      </c>
      <c r="K110" s="43">
        <v>1.6999999999999999E-3</v>
      </c>
      <c r="L110" s="39">
        <v>-3.5999999999999999E-3</v>
      </c>
      <c r="M110" s="39">
        <v>-2.8400000000000002E-2</v>
      </c>
      <c r="N110" s="43">
        <v>-2.3099999999999999E-2</v>
      </c>
      <c r="O110" s="39">
        <v>-2.6599999999999999E-2</v>
      </c>
      <c r="P110" s="39">
        <v>1.12E-2</v>
      </c>
      <c r="Q110" s="39">
        <v>8.7099999999999997E-2</v>
      </c>
      <c r="R110" s="39">
        <v>-5.1200000000000002E-2</v>
      </c>
      <c r="S110" s="39">
        <v>2.4E-2</v>
      </c>
      <c r="T110">
        <v>26.53</v>
      </c>
      <c r="U110">
        <v>53.06</v>
      </c>
      <c r="V110">
        <v>25.85</v>
      </c>
      <c r="W110" s="17">
        <v>13224.5231</v>
      </c>
      <c r="X110" s="83" t="s">
        <v>737</v>
      </c>
    </row>
    <row r="111" spans="7:24" x14ac:dyDescent="0.15">
      <c r="G111" s="11">
        <v>110</v>
      </c>
      <c r="H111" s="10" t="s">
        <v>393</v>
      </c>
      <c r="I111" t="s">
        <v>1129</v>
      </c>
      <c r="J111" t="s">
        <v>1130</v>
      </c>
      <c r="K111" s="43">
        <v>2.7000000000000001E-3</v>
      </c>
      <c r="L111" s="39">
        <v>5.0000000000000001E-4</v>
      </c>
      <c r="M111" s="39">
        <v>2.5000000000000001E-2</v>
      </c>
      <c r="N111" s="43">
        <v>-1.83E-2</v>
      </c>
      <c r="O111" s="39">
        <v>-2.3300000000000001E-2</v>
      </c>
      <c r="P111" s="39">
        <v>0</v>
      </c>
      <c r="Q111" s="39">
        <v>0.22040000000000001</v>
      </c>
      <c r="R111" s="39">
        <v>1.0699999999999999E-2</v>
      </c>
      <c r="S111" s="39">
        <v>-0.2074</v>
      </c>
      <c r="T111">
        <v>25.85</v>
      </c>
      <c r="U111">
        <v>59.86</v>
      </c>
      <c r="V111">
        <v>17.010000000000002</v>
      </c>
      <c r="W111" s="17">
        <v>1620.3212728999999</v>
      </c>
      <c r="X111" s="83" t="s">
        <v>737</v>
      </c>
    </row>
    <row r="112" spans="7:24" x14ac:dyDescent="0.15">
      <c r="G112" s="11">
        <v>111</v>
      </c>
      <c r="H112" s="10" t="s">
        <v>351</v>
      </c>
      <c r="I112" t="s">
        <v>352</v>
      </c>
      <c r="J112" t="s">
        <v>363</v>
      </c>
      <c r="K112" s="43">
        <v>1.8E-3</v>
      </c>
      <c r="L112" s="39">
        <v>-1.4E-3</v>
      </c>
      <c r="M112" s="39">
        <v>-5.1700000000000003E-2</v>
      </c>
      <c r="N112" s="43">
        <v>-2.3199999999999998E-2</v>
      </c>
      <c r="O112" s="39">
        <v>-0.10290000000000001</v>
      </c>
      <c r="P112" s="39">
        <v>-4.1399999999999999E-2</v>
      </c>
      <c r="Q112" s="39">
        <v>-1E-3</v>
      </c>
      <c r="R112" s="39">
        <v>-0.26640000000000003</v>
      </c>
      <c r="S112" s="39">
        <v>-0.26640000000000003</v>
      </c>
      <c r="T112">
        <v>25.17</v>
      </c>
      <c r="U112">
        <v>52.38</v>
      </c>
      <c r="V112">
        <v>23.81</v>
      </c>
      <c r="W112" s="17">
        <v>4105.6507000000001</v>
      </c>
    </row>
    <row r="113" spans="7:25" x14ac:dyDescent="0.15">
      <c r="G113" s="11">
        <v>112</v>
      </c>
      <c r="H113" s="10" t="s">
        <v>143</v>
      </c>
      <c r="I113" t="s">
        <v>249</v>
      </c>
      <c r="J113" t="s">
        <v>224</v>
      </c>
      <c r="K113" s="43">
        <v>1.6999999999999999E-3</v>
      </c>
      <c r="L113" s="39">
        <v>1.29E-2</v>
      </c>
      <c r="M113" s="39">
        <v>-2.3699999999999999E-2</v>
      </c>
      <c r="N113" s="43">
        <v>-2.4400000000000002E-2</v>
      </c>
      <c r="O113" s="39">
        <v>-7.8899999999999998E-2</v>
      </c>
      <c r="P113" s="39">
        <v>-8.48E-2</v>
      </c>
      <c r="Q113" s="39">
        <v>-3.5099999999999999E-2</v>
      </c>
      <c r="R113" s="39">
        <v>-0.22550000000000001</v>
      </c>
      <c r="S113" s="39">
        <v>-0.14199999999999999</v>
      </c>
      <c r="T113">
        <v>24.49</v>
      </c>
      <c r="U113">
        <v>48.98</v>
      </c>
      <c r="V113">
        <v>25.17</v>
      </c>
      <c r="W113" s="17">
        <v>7805.4975999999997</v>
      </c>
    </row>
    <row r="114" spans="7:25" x14ac:dyDescent="0.15">
      <c r="G114" s="11">
        <v>113</v>
      </c>
      <c r="H114" s="10" t="s">
        <v>145</v>
      </c>
      <c r="I114" t="s">
        <v>295</v>
      </c>
      <c r="J114" t="s">
        <v>224</v>
      </c>
      <c r="K114" s="43">
        <v>8.0000000000000004E-4</v>
      </c>
      <c r="L114" s="39">
        <v>3.6200000000000003E-2</v>
      </c>
      <c r="M114" s="39">
        <v>-1.5E-3</v>
      </c>
      <c r="N114" s="43">
        <v>-3.1099999999999999E-2</v>
      </c>
      <c r="O114" s="39">
        <v>-7.0400000000000004E-2</v>
      </c>
      <c r="P114" s="39">
        <v>-7.0199999999999999E-2</v>
      </c>
      <c r="Q114" s="39">
        <v>8.0000000000000002E-3</v>
      </c>
      <c r="R114" s="39">
        <v>-0.13</v>
      </c>
      <c r="S114" s="39">
        <v>0.20469999999999999</v>
      </c>
      <c r="T114">
        <v>23.81</v>
      </c>
      <c r="U114">
        <v>34.69</v>
      </c>
      <c r="V114">
        <v>38.1</v>
      </c>
      <c r="W114" s="17">
        <v>48909.610399999998</v>
      </c>
      <c r="X114" s="83" t="s">
        <v>737</v>
      </c>
    </row>
    <row r="115" spans="7:25" x14ac:dyDescent="0.15">
      <c r="G115" s="11">
        <v>114</v>
      </c>
      <c r="H115" s="10" t="s">
        <v>176</v>
      </c>
      <c r="I115" t="s">
        <v>244</v>
      </c>
      <c r="J115" t="s">
        <v>224</v>
      </c>
      <c r="K115" s="43">
        <v>8.0000000000000004E-4</v>
      </c>
      <c r="L115" s="39">
        <v>1.15E-2</v>
      </c>
      <c r="M115" s="39">
        <v>-2.1999999999999999E-2</v>
      </c>
      <c r="N115" s="43">
        <v>-3.2199999999999999E-2</v>
      </c>
      <c r="O115" s="39">
        <v>-3.4700000000000002E-2</v>
      </c>
      <c r="P115" s="39">
        <v>-2.2100000000000002E-2</v>
      </c>
      <c r="Q115" s="39">
        <v>7.5999999999999998E-2</v>
      </c>
      <c r="R115" s="39">
        <v>4.7999999999999996E-3</v>
      </c>
      <c r="S115" s="39">
        <v>0.23089999999999999</v>
      </c>
      <c r="T115">
        <v>23.13</v>
      </c>
      <c r="U115">
        <v>33.33</v>
      </c>
      <c r="V115">
        <v>37.409999999999997</v>
      </c>
      <c r="W115" s="17">
        <v>1602.2345</v>
      </c>
    </row>
    <row r="116" spans="7:25" x14ac:dyDescent="0.15">
      <c r="G116" s="11">
        <v>115</v>
      </c>
      <c r="H116" s="10" t="s">
        <v>168</v>
      </c>
      <c r="I116" t="s">
        <v>298</v>
      </c>
      <c r="J116" t="s">
        <v>224</v>
      </c>
      <c r="K116" s="43">
        <v>4.0000000000000002E-4</v>
      </c>
      <c r="L116" s="39">
        <v>1.2200000000000001E-2</v>
      </c>
      <c r="M116" s="39">
        <v>-3.1899999999999998E-2</v>
      </c>
      <c r="N116" s="43">
        <v>-4.1599999999999998E-2</v>
      </c>
      <c r="O116" s="39">
        <v>-9.4399999999999998E-2</v>
      </c>
      <c r="P116" s="39">
        <v>-9.9400000000000002E-2</v>
      </c>
      <c r="Q116" s="39">
        <v>-9.1499999999999998E-2</v>
      </c>
      <c r="R116" s="39">
        <v>-0.28439999999999999</v>
      </c>
      <c r="S116" s="39">
        <v>-0.28439999999999999</v>
      </c>
      <c r="T116">
        <v>22.45</v>
      </c>
      <c r="U116">
        <v>21.77</v>
      </c>
      <c r="V116">
        <v>48.3</v>
      </c>
      <c r="W116" s="17">
        <v>12777.911</v>
      </c>
    </row>
    <row r="117" spans="7:25" x14ac:dyDescent="0.15">
      <c r="G117" s="11">
        <v>116</v>
      </c>
      <c r="H117" t="s">
        <v>130</v>
      </c>
      <c r="I117" t="s">
        <v>265</v>
      </c>
      <c r="J117" t="s">
        <v>224</v>
      </c>
      <c r="K117" s="43">
        <v>2.0999999999999999E-3</v>
      </c>
      <c r="L117" s="39">
        <v>1.03E-2</v>
      </c>
      <c r="M117" s="39">
        <v>-1.34E-2</v>
      </c>
      <c r="N117" s="43">
        <v>-2.5000000000000001E-2</v>
      </c>
      <c r="O117" s="39">
        <v>-1.3899999999999999E-2</v>
      </c>
      <c r="P117" s="39">
        <v>-8.6E-3</v>
      </c>
      <c r="Q117" s="39">
        <v>7.0499999999999993E-2</v>
      </c>
      <c r="R117" s="39">
        <v>6.1800000000000001E-2</v>
      </c>
      <c r="S117" s="39">
        <v>0.35410000000000003</v>
      </c>
      <c r="T117">
        <v>21.77</v>
      </c>
      <c r="U117">
        <v>46.26</v>
      </c>
      <c r="V117">
        <v>20.41</v>
      </c>
      <c r="W117" s="17">
        <v>26238.703799999999</v>
      </c>
    </row>
    <row r="118" spans="7:25" x14ac:dyDescent="0.15">
      <c r="G118" s="11">
        <v>117</v>
      </c>
      <c r="H118" t="s">
        <v>141</v>
      </c>
      <c r="I118" t="s">
        <v>283</v>
      </c>
      <c r="J118" t="s">
        <v>224</v>
      </c>
      <c r="K118" s="43">
        <v>5.0000000000000001E-4</v>
      </c>
      <c r="L118" s="39">
        <v>2E-3</v>
      </c>
      <c r="M118" s="39">
        <v>-5.28E-2</v>
      </c>
      <c r="N118" s="43">
        <v>-4.0099999999999997E-2</v>
      </c>
      <c r="O118" s="39">
        <v>-0.16739999999999999</v>
      </c>
      <c r="P118" s="39">
        <v>-0.25690000000000002</v>
      </c>
      <c r="Q118" s="39">
        <v>-0.31009999999999999</v>
      </c>
      <c r="R118" s="39">
        <v>-0.46879999999999999</v>
      </c>
      <c r="S118" s="39">
        <v>-0.19089999999999999</v>
      </c>
      <c r="T118">
        <v>21.09</v>
      </c>
      <c r="U118">
        <v>23.13</v>
      </c>
      <c r="V118">
        <v>42.86</v>
      </c>
      <c r="W118" s="17">
        <v>25016.124474100001</v>
      </c>
    </row>
    <row r="119" spans="7:25" x14ac:dyDescent="0.15">
      <c r="G119" s="11">
        <v>118</v>
      </c>
      <c r="H119" t="s">
        <v>195</v>
      </c>
      <c r="I119" t="s">
        <v>299</v>
      </c>
      <c r="J119" t="s">
        <v>318</v>
      </c>
      <c r="K119" s="43">
        <v>2.01E-2</v>
      </c>
      <c r="L119" s="39">
        <v>1.7000000000000001E-2</v>
      </c>
      <c r="M119" s="39">
        <v>-2.0899999999999998E-2</v>
      </c>
      <c r="N119" s="43">
        <v>-1.8200000000000001E-2</v>
      </c>
      <c r="O119" s="39">
        <v>-9.2299999999999993E-2</v>
      </c>
      <c r="P119" s="39">
        <v>-4.4299999999999999E-2</v>
      </c>
      <c r="Q119" s="39">
        <v>9.3399999999999997E-2</v>
      </c>
      <c r="R119" s="39">
        <v>-0.2049</v>
      </c>
      <c r="S119" s="39">
        <v>-0.29599999999999999</v>
      </c>
      <c r="T119">
        <v>20.41</v>
      </c>
      <c r="U119">
        <v>60.54</v>
      </c>
      <c r="V119">
        <v>5.44</v>
      </c>
      <c r="W119" s="17">
        <v>38959.912799999998</v>
      </c>
    </row>
    <row r="120" spans="7:25" x14ac:dyDescent="0.15">
      <c r="G120" s="11">
        <v>119</v>
      </c>
      <c r="H120" t="s">
        <v>85</v>
      </c>
      <c r="I120" t="s">
        <v>738</v>
      </c>
      <c r="J120" t="s">
        <v>224</v>
      </c>
      <c r="K120" s="43">
        <v>1E-3</v>
      </c>
      <c r="L120" s="39">
        <v>-3.3999999999999998E-3</v>
      </c>
      <c r="M120" s="39">
        <v>-4.5999999999999999E-3</v>
      </c>
      <c r="N120" s="43">
        <v>-3.44E-2</v>
      </c>
      <c r="O120" s="39">
        <v>-3.5499999999999997E-2</v>
      </c>
      <c r="P120" s="39">
        <v>-1E-3</v>
      </c>
      <c r="Q120" s="39">
        <v>6.8000000000000005E-2</v>
      </c>
      <c r="R120" s="39">
        <v>5.4300000000000001E-2</v>
      </c>
      <c r="S120" s="39">
        <v>0.439</v>
      </c>
      <c r="T120">
        <v>19.73</v>
      </c>
      <c r="U120">
        <v>27.21</v>
      </c>
      <c r="V120">
        <v>34.69</v>
      </c>
      <c r="W120" s="17">
        <v>3086.6421600000003</v>
      </c>
      <c r="X120" s="83" t="s">
        <v>737</v>
      </c>
    </row>
    <row r="121" spans="7:25" x14ac:dyDescent="0.15">
      <c r="G121" s="11">
        <v>120</v>
      </c>
      <c r="H121" s="10" t="s">
        <v>171</v>
      </c>
      <c r="I121" t="s">
        <v>242</v>
      </c>
      <c r="J121" t="s">
        <v>224</v>
      </c>
      <c r="K121" s="43">
        <v>1.2999999999999999E-3</v>
      </c>
      <c r="L121" s="39">
        <v>9.1000000000000004E-3</v>
      </c>
      <c r="M121" s="39">
        <v>-5.16E-2</v>
      </c>
      <c r="N121" s="43">
        <v>-3.4500000000000003E-2</v>
      </c>
      <c r="O121" s="39">
        <v>-0.12820000000000001</v>
      </c>
      <c r="P121" s="39">
        <v>-0.2</v>
      </c>
      <c r="Q121" s="39">
        <v>0.32879999999999998</v>
      </c>
      <c r="R121" s="39">
        <v>-1.26E-2</v>
      </c>
      <c r="S121" s="39">
        <v>-0.27139999999999997</v>
      </c>
      <c r="T121">
        <v>19.05</v>
      </c>
      <c r="U121">
        <v>26.53</v>
      </c>
      <c r="V121">
        <v>29.93</v>
      </c>
      <c r="W121" s="17">
        <v>9004.0282999999999</v>
      </c>
    </row>
    <row r="122" spans="7:25" x14ac:dyDescent="0.15">
      <c r="G122" s="11">
        <v>121</v>
      </c>
      <c r="H122" s="10" t="s">
        <v>193</v>
      </c>
      <c r="I122" t="s">
        <v>218</v>
      </c>
      <c r="J122" t="s">
        <v>318</v>
      </c>
      <c r="K122" s="43">
        <v>5.0000000000000001E-4</v>
      </c>
      <c r="L122" s="39">
        <v>-1.06E-2</v>
      </c>
      <c r="M122" s="39">
        <v>-4.07E-2</v>
      </c>
      <c r="N122" s="43">
        <v>-5.0999999999999997E-2</v>
      </c>
      <c r="O122" s="39">
        <v>-9.1300000000000006E-2</v>
      </c>
      <c r="P122" s="39">
        <v>2.8199999999999999E-2</v>
      </c>
      <c r="Q122" s="39">
        <v>0.15909999999999999</v>
      </c>
      <c r="R122" s="39">
        <v>-4.1799999999999997E-2</v>
      </c>
      <c r="S122" s="39">
        <v>3.0700000000000002E-2</v>
      </c>
      <c r="T122">
        <v>18.37</v>
      </c>
      <c r="U122">
        <v>12.24</v>
      </c>
      <c r="V122">
        <v>43.54</v>
      </c>
      <c r="W122" s="17">
        <v>3064.8292999999999</v>
      </c>
      <c r="X122" s="83" t="s">
        <v>737</v>
      </c>
      <c r="Y122" s="81" t="s">
        <v>782</v>
      </c>
    </row>
    <row r="123" spans="7:25" x14ac:dyDescent="0.15">
      <c r="G123" s="11">
        <v>122</v>
      </c>
      <c r="H123" t="s">
        <v>155</v>
      </c>
      <c r="I123" t="s">
        <v>240</v>
      </c>
      <c r="J123" t="s">
        <v>224</v>
      </c>
      <c r="K123" s="43">
        <v>2E-3</v>
      </c>
      <c r="L123" s="39">
        <v>1.37E-2</v>
      </c>
      <c r="M123" s="39">
        <v>-3.0800000000000001E-2</v>
      </c>
      <c r="N123" s="43">
        <v>-3.3099999999999997E-2</v>
      </c>
      <c r="O123" s="39">
        <v>-8.6099999999999996E-2</v>
      </c>
      <c r="P123" s="39">
        <v>-9.5600000000000004E-2</v>
      </c>
      <c r="Q123" s="39">
        <v>-5.0200000000000002E-2</v>
      </c>
      <c r="R123" s="39">
        <v>-0.26169999999999999</v>
      </c>
      <c r="S123" s="39">
        <v>-0.20150000000000001</v>
      </c>
      <c r="T123">
        <v>17.690000000000001</v>
      </c>
      <c r="U123">
        <v>30.61</v>
      </c>
      <c r="V123">
        <v>21.77</v>
      </c>
      <c r="W123" s="17">
        <v>1315.6466</v>
      </c>
    </row>
    <row r="124" spans="7:25" x14ac:dyDescent="0.15">
      <c r="G124" s="11">
        <v>123</v>
      </c>
      <c r="H124" s="10" t="s">
        <v>100</v>
      </c>
      <c r="I124" t="s">
        <v>278</v>
      </c>
      <c r="J124" t="s">
        <v>224</v>
      </c>
      <c r="K124" s="43">
        <v>1.5E-3</v>
      </c>
      <c r="L124" s="39">
        <v>1.4500000000000001E-2</v>
      </c>
      <c r="M124" s="39">
        <v>-2.58E-2</v>
      </c>
      <c r="N124" s="43">
        <v>-4.0099999999999997E-2</v>
      </c>
      <c r="O124" s="39">
        <v>-9.2799999999999994E-2</v>
      </c>
      <c r="P124" s="39">
        <v>-0.12559999999999999</v>
      </c>
      <c r="Q124" s="39">
        <v>-0.1221</v>
      </c>
      <c r="R124" s="39">
        <v>-0.29349999999999998</v>
      </c>
      <c r="S124" s="39">
        <v>0.1928</v>
      </c>
      <c r="T124">
        <v>17.010000000000002</v>
      </c>
      <c r="U124">
        <v>23.81</v>
      </c>
      <c r="V124">
        <v>27.21</v>
      </c>
      <c r="W124" s="17">
        <v>6207.5394999999999</v>
      </c>
      <c r="X124" s="83" t="s">
        <v>737</v>
      </c>
    </row>
    <row r="125" spans="7:25" x14ac:dyDescent="0.15">
      <c r="G125" s="11">
        <v>124</v>
      </c>
      <c r="H125" t="s">
        <v>197</v>
      </c>
      <c r="I125" t="s">
        <v>294</v>
      </c>
      <c r="J125" t="s">
        <v>224</v>
      </c>
      <c r="K125" s="43">
        <v>1.7100000000000001E-2</v>
      </c>
      <c r="L125" s="39">
        <v>3.5000000000000001E-3</v>
      </c>
      <c r="M125" s="39">
        <v>-1.47E-2</v>
      </c>
      <c r="N125" s="43">
        <v>-2.6100000000000002E-2</v>
      </c>
      <c r="O125" s="39">
        <v>-6.4299999999999996E-2</v>
      </c>
      <c r="P125" s="39">
        <v>-3.1899999999999998E-2</v>
      </c>
      <c r="Q125" s="39">
        <v>0.16789999999999999</v>
      </c>
      <c r="R125" s="39">
        <v>-0.18740000000000001</v>
      </c>
      <c r="S125" s="39">
        <v>-0.1038</v>
      </c>
      <c r="T125">
        <v>16.329999999999998</v>
      </c>
      <c r="U125">
        <v>42.86</v>
      </c>
      <c r="V125">
        <v>6.8</v>
      </c>
      <c r="W125" s="17">
        <v>56350.291700000002</v>
      </c>
      <c r="X125" s="83" t="s">
        <v>737</v>
      </c>
    </row>
    <row r="126" spans="7:25" x14ac:dyDescent="0.15">
      <c r="G126" s="11">
        <v>125</v>
      </c>
      <c r="H126" t="s">
        <v>115</v>
      </c>
      <c r="I126" t="s">
        <v>239</v>
      </c>
      <c r="J126" t="s">
        <v>224</v>
      </c>
      <c r="K126" s="43">
        <v>1.8E-3</v>
      </c>
      <c r="L126" s="39">
        <v>3.8E-3</v>
      </c>
      <c r="M126" s="39">
        <v>-3.5000000000000003E-2</v>
      </c>
      <c r="N126" s="43">
        <v>-4.1700000000000001E-2</v>
      </c>
      <c r="O126" s="39">
        <v>-0.1716</v>
      </c>
      <c r="P126" s="39">
        <v>-0.20760000000000001</v>
      </c>
      <c r="Q126" s="39">
        <v>-0.29759999999999998</v>
      </c>
      <c r="R126" s="39">
        <v>-0.41460000000000002</v>
      </c>
      <c r="S126" s="39">
        <v>-0.2364</v>
      </c>
      <c r="T126">
        <v>15.65</v>
      </c>
      <c r="U126">
        <v>21.09</v>
      </c>
      <c r="V126">
        <v>24.49</v>
      </c>
      <c r="W126" s="17">
        <v>1754.3968899999998</v>
      </c>
    </row>
    <row r="127" spans="7:25" x14ac:dyDescent="0.15">
      <c r="G127" s="11">
        <v>126</v>
      </c>
      <c r="H127" t="s">
        <v>123</v>
      </c>
      <c r="I127" t="s">
        <v>276</v>
      </c>
      <c r="J127" t="s">
        <v>224</v>
      </c>
      <c r="K127" s="43">
        <v>1E-3</v>
      </c>
      <c r="L127" s="39">
        <v>2.5000000000000001E-2</v>
      </c>
      <c r="M127" s="39">
        <v>-1.9900000000000001E-2</v>
      </c>
      <c r="N127" s="43">
        <v>-5.33E-2</v>
      </c>
      <c r="O127" s="39">
        <v>-0.1094</v>
      </c>
      <c r="P127" s="39">
        <v>-0.14580000000000001</v>
      </c>
      <c r="Q127" s="39">
        <v>-0.28000000000000003</v>
      </c>
      <c r="R127" s="39">
        <v>-0.28489999999999999</v>
      </c>
      <c r="S127" s="39">
        <v>-0.14019999999999999</v>
      </c>
      <c r="T127">
        <v>14.97</v>
      </c>
      <c r="U127">
        <v>10.88</v>
      </c>
      <c r="V127">
        <v>33.33</v>
      </c>
      <c r="W127" s="17">
        <v>6718.6313</v>
      </c>
    </row>
    <row r="128" spans="7:25" x14ac:dyDescent="0.15">
      <c r="G128" s="11">
        <v>127</v>
      </c>
      <c r="H128" s="10" t="s">
        <v>153</v>
      </c>
      <c r="I128" t="s">
        <v>268</v>
      </c>
      <c r="J128" t="s">
        <v>224</v>
      </c>
      <c r="K128" s="43">
        <v>8.9999999999999998E-4</v>
      </c>
      <c r="L128" s="39">
        <v>2.3099999999999999E-2</v>
      </c>
      <c r="M128" s="39">
        <v>-1.7399999999999999E-2</v>
      </c>
      <c r="N128" s="43">
        <v>-6.5799999999999997E-2</v>
      </c>
      <c r="O128" s="39">
        <v>-9.4E-2</v>
      </c>
      <c r="P128" s="39">
        <v>-9.9400000000000002E-2</v>
      </c>
      <c r="Q128" s="39">
        <v>-8.2600000000000007E-2</v>
      </c>
      <c r="R128" s="39">
        <v>-0.29189999999999999</v>
      </c>
      <c r="S128" s="39">
        <v>-0.3226</v>
      </c>
      <c r="T128">
        <v>14.29</v>
      </c>
      <c r="U128">
        <v>5.44</v>
      </c>
      <c r="V128">
        <v>36.049999999999997</v>
      </c>
      <c r="W128" s="17">
        <v>4272.4713400000001</v>
      </c>
      <c r="X128" s="83" t="s">
        <v>737</v>
      </c>
    </row>
    <row r="129" spans="7:25" x14ac:dyDescent="0.15">
      <c r="G129" s="11">
        <v>128</v>
      </c>
      <c r="H129" s="10" t="s">
        <v>134</v>
      </c>
      <c r="I129" t="s">
        <v>247</v>
      </c>
      <c r="J129" t="s">
        <v>224</v>
      </c>
      <c r="K129" s="43">
        <v>1E-3</v>
      </c>
      <c r="L129" s="39">
        <v>-1.7100000000000001E-2</v>
      </c>
      <c r="M129" s="39">
        <v>-9.6699999999999994E-2</v>
      </c>
      <c r="N129" s="43">
        <v>-6.3299999999999995E-2</v>
      </c>
      <c r="O129" s="39">
        <v>-0.19409999999999999</v>
      </c>
      <c r="P129" s="39">
        <v>-0.20610000000000001</v>
      </c>
      <c r="Q129" s="39">
        <v>0.21110000000000001</v>
      </c>
      <c r="R129" s="39">
        <v>-0.15620000000000001</v>
      </c>
      <c r="S129" s="39">
        <v>-0.12690000000000001</v>
      </c>
      <c r="T129">
        <v>13.61</v>
      </c>
      <c r="U129">
        <v>6.8</v>
      </c>
      <c r="V129">
        <v>34.01</v>
      </c>
      <c r="W129" s="17">
        <v>9552.7067999999999</v>
      </c>
    </row>
    <row r="130" spans="7:25" x14ac:dyDescent="0.15">
      <c r="G130" s="11">
        <v>129</v>
      </c>
      <c r="H130" s="10" t="s">
        <v>341</v>
      </c>
      <c r="I130" t="s">
        <v>756</v>
      </c>
      <c r="J130" t="s">
        <v>363</v>
      </c>
      <c r="K130" s="43">
        <v>1.1000000000000001E-3</v>
      </c>
      <c r="L130" s="39">
        <v>-8.8999999999999999E-3</v>
      </c>
      <c r="M130" s="39">
        <v>-0.03</v>
      </c>
      <c r="N130" s="43">
        <v>-5.8799999999999998E-2</v>
      </c>
      <c r="O130" s="39">
        <v>-5.5300000000000002E-2</v>
      </c>
      <c r="P130" s="39">
        <v>-6.08E-2</v>
      </c>
      <c r="Q130" s="39">
        <v>0.25750000000000001</v>
      </c>
      <c r="R130" s="39">
        <v>0.29870000000000002</v>
      </c>
      <c r="S130" s="39">
        <v>0.29870000000000002</v>
      </c>
      <c r="T130">
        <v>12.93</v>
      </c>
      <c r="U130">
        <v>8.84</v>
      </c>
      <c r="V130">
        <v>31.29</v>
      </c>
      <c r="W130" s="17">
        <v>2561.9949000000001</v>
      </c>
      <c r="X130" s="83" t="s">
        <v>737</v>
      </c>
    </row>
    <row r="131" spans="7:25" x14ac:dyDescent="0.15">
      <c r="G131" s="11">
        <v>130</v>
      </c>
      <c r="H131" t="s">
        <v>183</v>
      </c>
      <c r="I131" t="s">
        <v>310</v>
      </c>
      <c r="J131" t="s">
        <v>308</v>
      </c>
      <c r="K131" s="43">
        <v>1.95E-2</v>
      </c>
      <c r="L131" s="39">
        <v>2.7000000000000001E-3</v>
      </c>
      <c r="M131" s="39">
        <v>-6.6500000000000004E-2</v>
      </c>
      <c r="N131" s="43">
        <v>-3.2800000000000003E-2</v>
      </c>
      <c r="O131" s="39">
        <v>-0.1085</v>
      </c>
      <c r="P131" s="39">
        <v>-1.5900000000000001E-2</v>
      </c>
      <c r="Q131" s="39">
        <v>0.1371</v>
      </c>
      <c r="R131" s="39">
        <v>-0.2944</v>
      </c>
      <c r="S131" s="39">
        <v>-0.50580000000000003</v>
      </c>
      <c r="T131">
        <v>12.24</v>
      </c>
      <c r="U131">
        <v>31.29</v>
      </c>
      <c r="V131">
        <v>6.12</v>
      </c>
      <c r="W131" s="17">
        <v>2410.6501962000002</v>
      </c>
    </row>
    <row r="132" spans="7:25" x14ac:dyDescent="0.15">
      <c r="G132" s="11">
        <v>131</v>
      </c>
      <c r="H132" t="s">
        <v>90</v>
      </c>
      <c r="I132" t="s">
        <v>289</v>
      </c>
      <c r="J132" t="s">
        <v>224</v>
      </c>
      <c r="K132" s="43">
        <v>2.5000000000000001E-3</v>
      </c>
      <c r="L132" s="39">
        <v>-1.0999999999999999E-2</v>
      </c>
      <c r="M132" s="39">
        <v>-2.0199999999999999E-2</v>
      </c>
      <c r="N132" s="43">
        <v>-4.5100000000000001E-2</v>
      </c>
      <c r="O132" s="39">
        <v>3.6299999999999999E-2</v>
      </c>
      <c r="P132" s="39">
        <v>1.89E-2</v>
      </c>
      <c r="Q132" s="39">
        <v>-0.1074</v>
      </c>
      <c r="R132" s="39">
        <v>3.6700000000000003E-2</v>
      </c>
      <c r="S132" s="39">
        <v>1.036</v>
      </c>
      <c r="T132">
        <v>11.56</v>
      </c>
      <c r="U132">
        <v>17.010000000000002</v>
      </c>
      <c r="V132">
        <v>17.690000000000001</v>
      </c>
      <c r="W132" s="17">
        <v>9532.8711000000003</v>
      </c>
      <c r="X132" s="83" t="s">
        <v>737</v>
      </c>
    </row>
    <row r="133" spans="7:25" x14ac:dyDescent="0.15">
      <c r="G133" s="11">
        <v>132</v>
      </c>
      <c r="H133" t="s">
        <v>94</v>
      </c>
      <c r="I133" t="s">
        <v>248</v>
      </c>
      <c r="J133" t="s">
        <v>224</v>
      </c>
      <c r="K133" s="43">
        <v>2E-3</v>
      </c>
      <c r="L133" s="39">
        <v>-1.47E-2</v>
      </c>
      <c r="M133" s="39">
        <v>-2.5399999999999999E-2</v>
      </c>
      <c r="N133" s="43">
        <v>-5.7599999999999998E-2</v>
      </c>
      <c r="O133" s="39">
        <v>1.41E-2</v>
      </c>
      <c r="P133" s="39">
        <v>6.7000000000000002E-3</v>
      </c>
      <c r="Q133" s="39">
        <v>0.01</v>
      </c>
      <c r="R133" s="39">
        <v>0.19109999999999999</v>
      </c>
      <c r="S133" s="39">
        <v>0.96930000000000005</v>
      </c>
      <c r="T133">
        <v>10.88</v>
      </c>
      <c r="U133">
        <v>9.52</v>
      </c>
      <c r="V133">
        <v>21.09</v>
      </c>
      <c r="W133" s="17">
        <v>1181.3126600000001</v>
      </c>
    </row>
    <row r="134" spans="7:25" x14ac:dyDescent="0.15">
      <c r="G134" s="11">
        <v>133</v>
      </c>
      <c r="H134" t="s">
        <v>161</v>
      </c>
      <c r="I134" t="s">
        <v>255</v>
      </c>
      <c r="J134" t="s">
        <v>224</v>
      </c>
      <c r="K134" s="43">
        <v>4.4999999999999997E-3</v>
      </c>
      <c r="L134" s="39">
        <v>-2.12E-2</v>
      </c>
      <c r="M134" s="39">
        <v>-9.98E-2</v>
      </c>
      <c r="N134" s="43">
        <v>-4.7399999999999998E-2</v>
      </c>
      <c r="O134" s="39">
        <v>-0.151</v>
      </c>
      <c r="P134" s="39">
        <v>-3.73E-2</v>
      </c>
      <c r="Q134" s="39">
        <v>0.16900000000000001</v>
      </c>
      <c r="R134" s="39">
        <v>1.24E-2</v>
      </c>
      <c r="S134" s="39">
        <v>-0.14549999999999999</v>
      </c>
      <c r="T134">
        <v>10.199999999999999</v>
      </c>
      <c r="U134">
        <v>15.65</v>
      </c>
      <c r="V134">
        <v>13.61</v>
      </c>
      <c r="W134" s="17">
        <v>13315.7837</v>
      </c>
      <c r="X134" s="83" t="s">
        <v>737</v>
      </c>
    </row>
    <row r="135" spans="7:25" x14ac:dyDescent="0.15">
      <c r="G135" s="11">
        <v>134</v>
      </c>
      <c r="H135" s="10" t="s">
        <v>110</v>
      </c>
      <c r="I135" t="s">
        <v>234</v>
      </c>
      <c r="J135" t="s">
        <v>224</v>
      </c>
      <c r="K135" s="43">
        <v>3.8E-3</v>
      </c>
      <c r="L135" s="39">
        <v>6.9999999999999999E-4</v>
      </c>
      <c r="M135" s="39">
        <v>-2.1100000000000001E-2</v>
      </c>
      <c r="N135" s="43">
        <v>-4.7699999999999999E-2</v>
      </c>
      <c r="O135" s="39">
        <v>-3.4599999999999999E-2</v>
      </c>
      <c r="P135" s="39">
        <v>-5.0099999999999999E-2</v>
      </c>
      <c r="Q135" s="39">
        <v>-1E-4</v>
      </c>
      <c r="R135" s="39">
        <v>-4.53E-2</v>
      </c>
      <c r="S135" s="39">
        <v>0.68840000000000001</v>
      </c>
      <c r="T135">
        <v>9.52</v>
      </c>
      <c r="U135">
        <v>14.97</v>
      </c>
      <c r="V135">
        <v>14.29</v>
      </c>
      <c r="W135" s="17">
        <v>1209.4532999999999</v>
      </c>
    </row>
    <row r="136" spans="7:25" x14ac:dyDescent="0.15">
      <c r="G136" s="11">
        <v>135</v>
      </c>
      <c r="H136" s="10" t="s">
        <v>146</v>
      </c>
      <c r="I136" t="s">
        <v>296</v>
      </c>
      <c r="J136" t="s">
        <v>224</v>
      </c>
      <c r="K136" s="43">
        <v>3.0000000000000001E-3</v>
      </c>
      <c r="L136" s="39">
        <v>1.34E-2</v>
      </c>
      <c r="M136" s="39">
        <v>-2.3099999999999999E-2</v>
      </c>
      <c r="N136" s="43">
        <v>-5.1900000000000002E-2</v>
      </c>
      <c r="O136" s="39">
        <v>-0.1454</v>
      </c>
      <c r="P136" s="39">
        <v>-0.20219999999999999</v>
      </c>
      <c r="Q136" s="39">
        <v>4.3E-3</v>
      </c>
      <c r="R136" s="39">
        <v>-0.109</v>
      </c>
      <c r="S136" s="39">
        <v>5.4800000000000001E-2</v>
      </c>
      <c r="T136">
        <v>8.84</v>
      </c>
      <c r="U136">
        <v>11.56</v>
      </c>
      <c r="V136">
        <v>14.97</v>
      </c>
      <c r="W136" s="17">
        <v>8679.4843000000001</v>
      </c>
      <c r="X136" s="83" t="s">
        <v>737</v>
      </c>
    </row>
    <row r="137" spans="7:25" x14ac:dyDescent="0.15">
      <c r="G137" s="11">
        <v>136</v>
      </c>
      <c r="H137" t="s">
        <v>157</v>
      </c>
      <c r="I137" t="s">
        <v>237</v>
      </c>
      <c r="J137" t="s">
        <v>224</v>
      </c>
      <c r="K137" s="43">
        <v>6.1999999999999998E-3</v>
      </c>
      <c r="L137" s="39">
        <v>-1.23E-2</v>
      </c>
      <c r="M137" s="39">
        <v>-8.14E-2</v>
      </c>
      <c r="N137" s="43">
        <v>-4.8099999999999997E-2</v>
      </c>
      <c r="O137" s="39">
        <v>-0.17799999999999999</v>
      </c>
      <c r="P137" s="39">
        <v>-0.2326</v>
      </c>
      <c r="Q137" s="39">
        <v>-2.3300000000000001E-2</v>
      </c>
      <c r="R137" s="39">
        <v>-0.28560000000000002</v>
      </c>
      <c r="S137" s="39">
        <v>-0.25259999999999999</v>
      </c>
      <c r="T137">
        <v>8.16</v>
      </c>
      <c r="U137">
        <v>14.29</v>
      </c>
      <c r="V137">
        <v>11.56</v>
      </c>
      <c r="W137" s="17">
        <v>6726.8719000000001</v>
      </c>
      <c r="X137" s="83" t="s">
        <v>737</v>
      </c>
    </row>
    <row r="138" spans="7:25" x14ac:dyDescent="0.15">
      <c r="G138" s="11">
        <v>137</v>
      </c>
      <c r="H138" s="10" t="s">
        <v>178</v>
      </c>
      <c r="I138" t="s">
        <v>245</v>
      </c>
      <c r="J138" t="s">
        <v>224</v>
      </c>
      <c r="K138" s="43">
        <v>5.8999999999999999E-3</v>
      </c>
      <c r="L138" s="39">
        <v>-2.7000000000000001E-3</v>
      </c>
      <c r="M138" s="39">
        <v>-7.7700000000000005E-2</v>
      </c>
      <c r="N138" s="43">
        <v>-5.6899999999999999E-2</v>
      </c>
      <c r="O138" s="39">
        <v>-0.18260000000000001</v>
      </c>
      <c r="P138" s="39">
        <v>-0.2235</v>
      </c>
      <c r="Q138" s="39">
        <v>0.1163</v>
      </c>
      <c r="R138" s="39">
        <v>-0.2321</v>
      </c>
      <c r="S138" s="39">
        <v>-0.25440000000000002</v>
      </c>
      <c r="T138">
        <v>7.48</v>
      </c>
      <c r="U138">
        <v>10.199999999999999</v>
      </c>
      <c r="V138">
        <v>12.24</v>
      </c>
      <c r="W138" s="17">
        <v>6961.0874000000003</v>
      </c>
    </row>
    <row r="139" spans="7:25" x14ac:dyDescent="0.15">
      <c r="G139" s="11">
        <v>138</v>
      </c>
      <c r="H139" s="10" t="s">
        <v>199</v>
      </c>
      <c r="I139" t="s">
        <v>321</v>
      </c>
      <c r="J139" t="s">
        <v>318</v>
      </c>
      <c r="K139" s="43">
        <v>2.5899999999999999E-2</v>
      </c>
      <c r="L139" s="39">
        <v>2.1299999999999999E-2</v>
      </c>
      <c r="M139" s="39">
        <v>-5.1200000000000002E-2</v>
      </c>
      <c r="N139" s="43">
        <v>-4.3200000000000002E-2</v>
      </c>
      <c r="O139" s="39">
        <v>-0.17119999999999999</v>
      </c>
      <c r="P139" s="39">
        <v>-7.8100000000000003E-2</v>
      </c>
      <c r="Q139" s="39">
        <v>3.0599999999999999E-2</v>
      </c>
      <c r="R139" s="39">
        <v>-0.41699999999999998</v>
      </c>
      <c r="S139" s="39">
        <v>-0.62570000000000003</v>
      </c>
      <c r="T139">
        <v>6.8</v>
      </c>
      <c r="U139">
        <v>17.690000000000001</v>
      </c>
      <c r="V139">
        <v>2.04</v>
      </c>
      <c r="W139" s="17">
        <v>274425.51120000001</v>
      </c>
      <c r="X139" s="83" t="s">
        <v>737</v>
      </c>
    </row>
    <row r="140" spans="7:25" x14ac:dyDescent="0.15">
      <c r="G140" s="11">
        <v>139</v>
      </c>
      <c r="H140" t="s">
        <v>200</v>
      </c>
      <c r="I140" t="s">
        <v>309</v>
      </c>
      <c r="J140" t="s">
        <v>308</v>
      </c>
      <c r="K140" s="43">
        <v>2.87E-2</v>
      </c>
      <c r="L140" s="39">
        <v>1.9E-3</v>
      </c>
      <c r="M140" s="39">
        <v>-7.3300000000000004E-2</v>
      </c>
      <c r="N140" s="43">
        <v>-4.2299999999999997E-2</v>
      </c>
      <c r="O140" s="39">
        <v>-0.1172</v>
      </c>
      <c r="P140" s="39">
        <v>-7.7000000000000002E-3</v>
      </c>
      <c r="Q140" s="39">
        <v>0.10580000000000001</v>
      </c>
      <c r="R140" s="39">
        <v>-0.27579999999999999</v>
      </c>
      <c r="S140" s="39">
        <v>-0.27579999999999999</v>
      </c>
      <c r="T140">
        <v>6.12</v>
      </c>
      <c r="U140">
        <v>18.37</v>
      </c>
      <c r="V140">
        <v>1.36</v>
      </c>
      <c r="W140" s="17">
        <v>140488.57336849999</v>
      </c>
    </row>
    <row r="141" spans="7:25" x14ac:dyDescent="0.15">
      <c r="G141" s="11">
        <v>140</v>
      </c>
      <c r="H141" s="10" t="s">
        <v>84</v>
      </c>
      <c r="I141" t="s">
        <v>1117</v>
      </c>
      <c r="J141" t="s">
        <v>224</v>
      </c>
      <c r="K141" s="43">
        <v>5.7999999999999996E-3</v>
      </c>
      <c r="L141" s="39">
        <v>-5.0000000000000001E-3</v>
      </c>
      <c r="M141" s="39">
        <v>-4.1000000000000003E-3</v>
      </c>
      <c r="N141" s="43">
        <v>-6.5299999999999997E-2</v>
      </c>
      <c r="O141" s="39">
        <v>1.6799999999999999E-2</v>
      </c>
      <c r="P141" s="39">
        <v>2.0899999999999998E-2</v>
      </c>
      <c r="Q141" s="39">
        <v>6.4299999999999996E-2</v>
      </c>
      <c r="R141" s="39">
        <v>-0.10050000000000001</v>
      </c>
      <c r="S141" s="39">
        <v>0.82840000000000003</v>
      </c>
      <c r="T141">
        <v>5.44</v>
      </c>
      <c r="U141">
        <v>6.12</v>
      </c>
      <c r="V141">
        <v>12.93</v>
      </c>
      <c r="W141" s="17">
        <v>3578.7829400000001</v>
      </c>
      <c r="X141" s="83" t="s">
        <v>737</v>
      </c>
    </row>
    <row r="142" spans="7:25" x14ac:dyDescent="0.15">
      <c r="G142" s="11">
        <v>141</v>
      </c>
      <c r="H142" s="10" t="s">
        <v>184</v>
      </c>
      <c r="I142" t="s">
        <v>291</v>
      </c>
      <c r="J142" t="s">
        <v>224</v>
      </c>
      <c r="K142" s="43">
        <v>2.3999999999999998E-3</v>
      </c>
      <c r="L142" s="39">
        <v>2.5999999999999999E-3</v>
      </c>
      <c r="M142" s="39">
        <v>-3.8899999999999997E-2</v>
      </c>
      <c r="N142" s="43">
        <v>-8.3699999999999997E-2</v>
      </c>
      <c r="O142" s="39">
        <v>-0.14000000000000001</v>
      </c>
      <c r="P142" s="39">
        <v>-0.1198</v>
      </c>
      <c r="Q142" s="39">
        <v>-0.18390000000000001</v>
      </c>
      <c r="R142" s="39">
        <v>-0.28410000000000002</v>
      </c>
      <c r="S142" s="39">
        <v>-0.40760000000000002</v>
      </c>
      <c r="T142">
        <v>4.76</v>
      </c>
      <c r="U142">
        <v>0.68</v>
      </c>
      <c r="V142">
        <v>18.37</v>
      </c>
      <c r="W142" s="17">
        <v>13539.394899999999</v>
      </c>
      <c r="X142" s="83" t="s">
        <v>737</v>
      </c>
    </row>
    <row r="143" spans="7:25" x14ac:dyDescent="0.15">
      <c r="G143" s="11">
        <v>142</v>
      </c>
      <c r="H143" t="s">
        <v>203</v>
      </c>
      <c r="I143" t="s">
        <v>313</v>
      </c>
      <c r="J143" t="s">
        <v>308</v>
      </c>
      <c r="K143" s="43">
        <v>1.23E-2</v>
      </c>
      <c r="L143" s="39">
        <v>-2.5999999999999999E-3</v>
      </c>
      <c r="M143" s="39">
        <v>-3.4099999999999998E-2</v>
      </c>
      <c r="N143" s="43">
        <v>-7.0800000000000002E-2</v>
      </c>
      <c r="O143" s="39">
        <v>-8.8900000000000007E-2</v>
      </c>
      <c r="P143" s="39">
        <v>-6.3399999999999998E-2</v>
      </c>
      <c r="Q143" s="39">
        <v>0.25409999999999999</v>
      </c>
      <c r="R143" s="39">
        <v>0.1051</v>
      </c>
      <c r="S143" s="39">
        <v>0.40060000000000001</v>
      </c>
      <c r="T143">
        <v>4.08</v>
      </c>
      <c r="U143">
        <v>3.4</v>
      </c>
      <c r="V143">
        <v>8.84</v>
      </c>
      <c r="W143" s="17">
        <v>485.88400000000001</v>
      </c>
      <c r="X143" s="83" t="s">
        <v>737</v>
      </c>
      <c r="Y143" s="81" t="s">
        <v>782</v>
      </c>
    </row>
    <row r="144" spans="7:25" x14ac:dyDescent="0.15">
      <c r="G144" s="11">
        <v>143</v>
      </c>
      <c r="H144" t="s">
        <v>170</v>
      </c>
      <c r="I144" t="s">
        <v>312</v>
      </c>
      <c r="J144" t="s">
        <v>308</v>
      </c>
      <c r="K144" s="43">
        <v>2.4E-2</v>
      </c>
      <c r="L144" s="39">
        <v>-3.3300000000000003E-2</v>
      </c>
      <c r="M144" s="39">
        <v>-4.9399999999999999E-2</v>
      </c>
      <c r="N144" s="43">
        <v>-6.0100000000000001E-2</v>
      </c>
      <c r="O144" s="39">
        <v>-8.77E-2</v>
      </c>
      <c r="P144" s="39">
        <v>5.8099999999999999E-2</v>
      </c>
      <c r="Q144" s="39">
        <v>0.12</v>
      </c>
      <c r="R144" s="39">
        <v>2.8899999999999999E-2</v>
      </c>
      <c r="S144" s="39">
        <v>0.21590000000000001</v>
      </c>
      <c r="T144">
        <v>3.4</v>
      </c>
      <c r="U144">
        <v>8.16</v>
      </c>
      <c r="V144">
        <v>3.4</v>
      </c>
      <c r="W144" s="17">
        <v>14778.786099999999</v>
      </c>
      <c r="X144" s="83" t="s">
        <v>737</v>
      </c>
      <c r="Y144" s="81" t="s">
        <v>782</v>
      </c>
    </row>
    <row r="145" spans="7:25" x14ac:dyDescent="0.15">
      <c r="G145" s="11">
        <v>144</v>
      </c>
      <c r="H145" t="s">
        <v>1043</v>
      </c>
      <c r="I145" t="s">
        <v>1044</v>
      </c>
      <c r="J145" t="s">
        <v>308</v>
      </c>
      <c r="K145" s="43">
        <v>1.2999999999999999E-2</v>
      </c>
      <c r="L145" s="39">
        <v>-4.8399999999999999E-2</v>
      </c>
      <c r="M145" s="39">
        <v>-7.6899999999999996E-2</v>
      </c>
      <c r="N145" s="43">
        <v>-7.2300000000000003E-2</v>
      </c>
      <c r="O145" s="39">
        <v>-0.1118</v>
      </c>
      <c r="P145" s="39">
        <v>-0.12239999999999999</v>
      </c>
      <c r="Q145" s="39">
        <v>-0.12239999999999999</v>
      </c>
      <c r="R145" s="39">
        <v>-0.12239999999999999</v>
      </c>
      <c r="S145" s="39">
        <v>-0.12239999999999999</v>
      </c>
      <c r="T145">
        <v>2.72</v>
      </c>
      <c r="U145">
        <v>2.72</v>
      </c>
      <c r="V145">
        <v>8.16</v>
      </c>
      <c r="W145" s="17">
        <v>846.83256500000005</v>
      </c>
      <c r="X145" s="83" t="s">
        <v>737</v>
      </c>
      <c r="Y145" s="81" t="s">
        <v>782</v>
      </c>
    </row>
    <row r="146" spans="7:25" x14ac:dyDescent="0.15">
      <c r="G146" s="11">
        <v>145</v>
      </c>
      <c r="H146" s="10" t="s">
        <v>196</v>
      </c>
      <c r="I146" t="s">
        <v>317</v>
      </c>
      <c r="J146" t="s">
        <v>308</v>
      </c>
      <c r="K146" s="43">
        <v>1.54E-2</v>
      </c>
      <c r="L146" s="39">
        <v>-1.8700000000000001E-2</v>
      </c>
      <c r="M146" s="39">
        <v>-4.9200000000000001E-2</v>
      </c>
      <c r="N146" s="43">
        <v>-7.7100000000000002E-2</v>
      </c>
      <c r="O146" s="39">
        <v>-0.1192</v>
      </c>
      <c r="P146" s="39">
        <v>-7.7899999999999997E-2</v>
      </c>
      <c r="Q146" s="39">
        <v>0.22470000000000001</v>
      </c>
      <c r="R146" s="39">
        <v>-7.0099999999999996E-2</v>
      </c>
      <c r="S146" s="39">
        <v>3.6700000000000003E-2</v>
      </c>
      <c r="T146">
        <v>2.04</v>
      </c>
      <c r="U146">
        <v>2.04</v>
      </c>
      <c r="V146">
        <v>7.48</v>
      </c>
      <c r="W146" s="17">
        <v>2059.4222</v>
      </c>
      <c r="X146" s="83" t="s">
        <v>737</v>
      </c>
      <c r="Y146"/>
    </row>
    <row r="147" spans="7:25" x14ac:dyDescent="0.15">
      <c r="G147" s="11">
        <v>146</v>
      </c>
      <c r="H147" s="10" t="s">
        <v>158</v>
      </c>
      <c r="I147" t="s">
        <v>313</v>
      </c>
      <c r="J147" t="s">
        <v>308</v>
      </c>
      <c r="K147" s="43">
        <v>3.0599999999999999E-2</v>
      </c>
      <c r="L147" s="39">
        <v>-4.7399999999999998E-2</v>
      </c>
      <c r="M147" s="39">
        <v>-7.3200000000000001E-2</v>
      </c>
      <c r="N147" s="43">
        <v>-6.0100000000000001E-2</v>
      </c>
      <c r="O147" s="39">
        <v>-8.7099999999999997E-2</v>
      </c>
      <c r="P147" s="39">
        <v>0.13469999999999999</v>
      </c>
      <c r="Q147" s="39">
        <v>0.26669999999999999</v>
      </c>
      <c r="R147" s="39">
        <v>4.2700000000000002E-2</v>
      </c>
      <c r="S147" s="39">
        <v>0.33279999999999998</v>
      </c>
      <c r="T147">
        <v>1.36</v>
      </c>
      <c r="U147">
        <v>7.48</v>
      </c>
      <c r="V147">
        <v>0.68</v>
      </c>
      <c r="W147" s="17">
        <v>101945.10785</v>
      </c>
      <c r="Y147"/>
    </row>
    <row r="148" spans="7:25" x14ac:dyDescent="0.15">
      <c r="G148" s="11">
        <v>147</v>
      </c>
      <c r="H148" t="s">
        <v>1127</v>
      </c>
      <c r="I148" t="s">
        <v>1128</v>
      </c>
      <c r="J148" t="s">
        <v>308</v>
      </c>
      <c r="K148" s="43">
        <v>2.4299999999999999E-2</v>
      </c>
      <c r="L148" s="39">
        <v>-1.9599999999999999E-2</v>
      </c>
      <c r="M148" s="39">
        <v>-4.6300000000000001E-2</v>
      </c>
      <c r="N148" s="43">
        <v>-6.6199999999999995E-2</v>
      </c>
      <c r="O148" s="39">
        <v>-8.3599999999999994E-2</v>
      </c>
      <c r="P148" s="39">
        <v>-6.7699999999999996E-2</v>
      </c>
      <c r="Q148" s="39">
        <v>-4.58E-2</v>
      </c>
      <c r="R148" s="39">
        <v>-2.18E-2</v>
      </c>
      <c r="S148" s="39">
        <v>-2.18E-2</v>
      </c>
      <c r="T148">
        <v>0.68</v>
      </c>
      <c r="U148">
        <v>4.08</v>
      </c>
      <c r="V148">
        <v>2.72</v>
      </c>
      <c r="W148" s="17">
        <v>518.45370000000003</v>
      </c>
      <c r="X148" s="83" t="s">
        <v>737</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37"/>
  <sheetViews>
    <sheetView workbookViewId="0">
      <pane ySplit="1" topLeftCell="A2" activePane="bottomLeft" state="frozen"/>
      <selection pane="bottomLeft" activeCell="I38" sqref="I3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82</v>
      </c>
      <c r="B1" s="19" t="s">
        <v>33</v>
      </c>
      <c r="C1" s="19" t="s">
        <v>32</v>
      </c>
      <c r="D1" s="19" t="s">
        <v>365</v>
      </c>
      <c r="E1" s="22"/>
      <c r="F1" s="23" t="s">
        <v>364</v>
      </c>
      <c r="G1" s="20"/>
      <c r="H1" s="19" t="s">
        <v>33</v>
      </c>
      <c r="I1" s="19" t="s">
        <v>32</v>
      </c>
      <c r="J1" s="19" t="s">
        <v>31</v>
      </c>
      <c r="K1" s="42" t="s">
        <v>29</v>
      </c>
      <c r="L1" s="41" t="s">
        <v>425</v>
      </c>
      <c r="M1" s="41" t="s">
        <v>426</v>
      </c>
      <c r="N1" s="42" t="s">
        <v>30</v>
      </c>
      <c r="O1" s="41" t="s">
        <v>446</v>
      </c>
      <c r="P1" s="41" t="s">
        <v>447</v>
      </c>
      <c r="Q1" s="41" t="s">
        <v>448</v>
      </c>
      <c r="R1" s="41" t="s">
        <v>449</v>
      </c>
      <c r="S1" s="41" t="s">
        <v>472</v>
      </c>
      <c r="T1" s="19" t="s">
        <v>28</v>
      </c>
      <c r="U1" s="19" t="s">
        <v>360</v>
      </c>
      <c r="V1" s="19" t="s">
        <v>361</v>
      </c>
      <c r="W1" s="21" t="s">
        <v>362</v>
      </c>
      <c r="X1" s="82" t="s">
        <v>736</v>
      </c>
      <c r="Y1" s="80" t="s">
        <v>781</v>
      </c>
      <c r="AA1" s="36" t="s">
        <v>420</v>
      </c>
    </row>
    <row r="2" spans="1:28" x14ac:dyDescent="0.15">
      <c r="A2">
        <v>1</v>
      </c>
      <c r="B2">
        <v>159980</v>
      </c>
      <c r="C2" t="s">
        <v>219</v>
      </c>
      <c r="D2">
        <f t="shared" ref="D2:D8" si="0">MATCH(IF(B2&lt;499999,"SZ"&amp;B2,"SH"&amp;B2),$H$2:$H$2848,0)</f>
        <v>23</v>
      </c>
      <c r="G2" s="11">
        <v>1</v>
      </c>
      <c r="H2" t="s">
        <v>99</v>
      </c>
      <c r="I2" t="s">
        <v>378</v>
      </c>
      <c r="J2" t="s">
        <v>377</v>
      </c>
      <c r="K2" s="43">
        <v>-1.4E-3</v>
      </c>
      <c r="L2" s="39">
        <v>1.6999999999999999E-3</v>
      </c>
      <c r="M2" s="39">
        <v>4.7800000000000002E-2</v>
      </c>
      <c r="N2" s="43">
        <v>5.5999999999999999E-3</v>
      </c>
      <c r="O2" s="39">
        <v>3.5400000000000001E-2</v>
      </c>
      <c r="P2" s="39">
        <v>6.25E-2</v>
      </c>
      <c r="Q2" s="39">
        <v>0.21440000000000001</v>
      </c>
      <c r="R2" s="39">
        <v>0.28760000000000002</v>
      </c>
      <c r="S2" s="39">
        <v>0.15479999999999999</v>
      </c>
      <c r="T2">
        <v>100</v>
      </c>
      <c r="U2">
        <v>88.89</v>
      </c>
      <c r="V2">
        <v>80.56</v>
      </c>
      <c r="W2" s="17">
        <v>75851.371799999994</v>
      </c>
      <c r="X2" s="83" t="s">
        <v>737</v>
      </c>
      <c r="Y2" s="81" t="s">
        <v>782</v>
      </c>
      <c r="AA2" s="9"/>
      <c r="AB2" s="9"/>
    </row>
    <row r="3" spans="1:28" x14ac:dyDescent="0.15">
      <c r="A3">
        <v>2</v>
      </c>
      <c r="B3">
        <v>159981</v>
      </c>
      <c r="C3" t="s">
        <v>220</v>
      </c>
      <c r="D3">
        <f t="shared" si="0"/>
        <v>29</v>
      </c>
      <c r="G3" s="11">
        <v>2</v>
      </c>
      <c r="H3" t="s">
        <v>387</v>
      </c>
      <c r="I3" t="s">
        <v>388</v>
      </c>
      <c r="J3" t="s">
        <v>367</v>
      </c>
      <c r="K3" s="43">
        <v>-1.9E-3</v>
      </c>
      <c r="L3" s="39">
        <v>6.9999999999999999E-4</v>
      </c>
      <c r="M3" s="39">
        <v>-5.0000000000000001E-4</v>
      </c>
      <c r="N3" s="43">
        <v>1E-4</v>
      </c>
      <c r="O3" s="39">
        <v>2.3999999999999998E-3</v>
      </c>
      <c r="P3" s="39">
        <v>1.4200000000000001E-2</v>
      </c>
      <c r="Q3" s="39">
        <v>2.3099999999999999E-2</v>
      </c>
      <c r="R3" s="39">
        <v>6.9900000000000004E-2</v>
      </c>
      <c r="S3" s="39">
        <v>0.1212</v>
      </c>
      <c r="T3">
        <v>97.22</v>
      </c>
      <c r="U3">
        <v>72.22</v>
      </c>
      <c r="V3">
        <v>88.89</v>
      </c>
      <c r="W3" s="17">
        <v>2336.6349500000001</v>
      </c>
      <c r="X3" s="83" t="s">
        <v>737</v>
      </c>
      <c r="Y3" s="81" t="s">
        <v>782</v>
      </c>
      <c r="AA3" s="9"/>
      <c r="AB3" s="9"/>
    </row>
    <row r="4" spans="1:28" x14ac:dyDescent="0.15">
      <c r="A4">
        <v>3</v>
      </c>
      <c r="B4">
        <v>160216</v>
      </c>
      <c r="C4" t="s">
        <v>22</v>
      </c>
      <c r="D4" t="e">
        <f t="shared" si="0"/>
        <v>#N/A</v>
      </c>
      <c r="G4" s="11">
        <v>3</v>
      </c>
      <c r="H4" t="s">
        <v>87</v>
      </c>
      <c r="I4" t="s">
        <v>373</v>
      </c>
      <c r="J4" t="s">
        <v>367</v>
      </c>
      <c r="K4" s="43">
        <v>-3.0000000000000001E-3</v>
      </c>
      <c r="L4" s="39">
        <v>4.0000000000000002E-4</v>
      </c>
      <c r="M4" s="39">
        <v>-6.9999999999999999E-4</v>
      </c>
      <c r="N4" s="43">
        <v>0</v>
      </c>
      <c r="O4" s="39">
        <v>1.4E-3</v>
      </c>
      <c r="P4" s="39">
        <v>1.38E-2</v>
      </c>
      <c r="Q4" s="39">
        <v>2.2200000000000001E-2</v>
      </c>
      <c r="R4" s="39">
        <v>5.4899999999999997E-2</v>
      </c>
      <c r="S4" s="39">
        <v>9.2200000000000004E-2</v>
      </c>
      <c r="T4">
        <v>94.44</v>
      </c>
      <c r="U4">
        <v>69.44</v>
      </c>
      <c r="V4">
        <v>91.67</v>
      </c>
      <c r="W4" s="17">
        <v>5165.7810020000006</v>
      </c>
      <c r="X4" s="83" t="s">
        <v>737</v>
      </c>
      <c r="AA4" s="9"/>
      <c r="AB4" s="9"/>
    </row>
    <row r="5" spans="1:28" x14ac:dyDescent="0.15">
      <c r="A5">
        <v>4</v>
      </c>
      <c r="B5">
        <v>161815</v>
      </c>
      <c r="C5" t="s">
        <v>17</v>
      </c>
      <c r="D5" t="e">
        <f t="shared" si="0"/>
        <v>#N/A</v>
      </c>
      <c r="G5" s="11">
        <v>4</v>
      </c>
      <c r="H5" t="s">
        <v>92</v>
      </c>
      <c r="I5" t="s">
        <v>370</v>
      </c>
      <c r="J5" t="s">
        <v>367</v>
      </c>
      <c r="K5" s="43">
        <v>-5.3E-3</v>
      </c>
      <c r="L5" s="39">
        <v>1E-4</v>
      </c>
      <c r="M5" s="39">
        <v>-1.1999999999999999E-3</v>
      </c>
      <c r="N5" s="43">
        <v>-1.9E-3</v>
      </c>
      <c r="O5" s="39">
        <v>-2E-3</v>
      </c>
      <c r="P5" s="39">
        <v>1.2999999999999999E-2</v>
      </c>
      <c r="Q5" s="39">
        <v>1.7899999999999999E-2</v>
      </c>
      <c r="R5" s="39">
        <v>6.25E-2</v>
      </c>
      <c r="S5" s="39">
        <v>0.10639999999999999</v>
      </c>
      <c r="T5">
        <v>91.67</v>
      </c>
      <c r="U5">
        <v>63.89</v>
      </c>
      <c r="V5">
        <v>97.22</v>
      </c>
      <c r="W5" s="17">
        <v>26549.728800000001</v>
      </c>
      <c r="AA5" s="9"/>
      <c r="AB5" s="9"/>
    </row>
    <row r="6" spans="1:28" x14ac:dyDescent="0.15">
      <c r="A6">
        <v>5</v>
      </c>
      <c r="B6">
        <v>163208</v>
      </c>
      <c r="C6" t="s">
        <v>18</v>
      </c>
      <c r="D6" t="e">
        <f t="shared" si="0"/>
        <v>#N/A</v>
      </c>
      <c r="G6" s="11">
        <v>5</v>
      </c>
      <c r="H6" t="s">
        <v>89</v>
      </c>
      <c r="I6" t="s">
        <v>369</v>
      </c>
      <c r="J6" t="s">
        <v>367</v>
      </c>
      <c r="K6" s="43">
        <v>-9.2999999999999992E-3</v>
      </c>
      <c r="L6" s="39">
        <v>-5.0000000000000001E-4</v>
      </c>
      <c r="M6" s="39">
        <v>-2E-3</v>
      </c>
      <c r="N6" s="43">
        <v>-4.3E-3</v>
      </c>
      <c r="O6" s="39">
        <v>-1.6999999999999999E-3</v>
      </c>
      <c r="P6" s="39">
        <v>1.2500000000000001E-2</v>
      </c>
      <c r="Q6" s="39">
        <v>2.2800000000000001E-2</v>
      </c>
      <c r="R6" s="39">
        <v>7.46E-2</v>
      </c>
      <c r="S6" s="39">
        <v>0.1244</v>
      </c>
      <c r="T6">
        <v>88.89</v>
      </c>
      <c r="U6">
        <v>55.56</v>
      </c>
      <c r="V6">
        <v>100</v>
      </c>
      <c r="W6" s="17">
        <v>17881.145</v>
      </c>
      <c r="X6" s="83" t="s">
        <v>737</v>
      </c>
      <c r="AA6" t="s">
        <v>1139</v>
      </c>
    </row>
    <row r="7" spans="1:28" x14ac:dyDescent="0.15">
      <c r="A7">
        <v>6</v>
      </c>
      <c r="B7">
        <v>165513</v>
      </c>
      <c r="C7" t="s">
        <v>20</v>
      </c>
      <c r="D7" t="e">
        <f t="shared" si="0"/>
        <v>#N/A</v>
      </c>
      <c r="G7" s="11">
        <v>6</v>
      </c>
      <c r="H7" t="s">
        <v>98</v>
      </c>
      <c r="I7" t="s">
        <v>376</v>
      </c>
      <c r="J7" t="s">
        <v>367</v>
      </c>
      <c r="K7" s="43">
        <v>-1E-3</v>
      </c>
      <c r="L7" s="39">
        <v>2.3E-3</v>
      </c>
      <c r="M7" s="39">
        <v>8.0000000000000004E-4</v>
      </c>
      <c r="N7" s="43">
        <v>8.0000000000000004E-4</v>
      </c>
      <c r="O7" s="39">
        <v>8.0000000000000004E-4</v>
      </c>
      <c r="P7" s="39">
        <v>1.37E-2</v>
      </c>
      <c r="Q7" s="39">
        <v>1.9900000000000001E-2</v>
      </c>
      <c r="R7" s="39">
        <v>5.4600000000000003E-2</v>
      </c>
      <c r="S7" s="39">
        <v>8.6400000000000005E-2</v>
      </c>
      <c r="T7">
        <v>86.11</v>
      </c>
      <c r="U7">
        <v>77.78</v>
      </c>
      <c r="V7">
        <v>77.78</v>
      </c>
      <c r="W7" s="17">
        <v>36023.849399999999</v>
      </c>
    </row>
    <row r="8" spans="1:28" x14ac:dyDescent="0.15">
      <c r="A8">
        <v>7</v>
      </c>
      <c r="B8">
        <v>513130</v>
      </c>
      <c r="C8" t="s">
        <v>221</v>
      </c>
      <c r="D8" t="e">
        <f t="shared" si="0"/>
        <v>#N/A</v>
      </c>
      <c r="G8" s="11">
        <v>7</v>
      </c>
      <c r="H8" t="s">
        <v>93</v>
      </c>
      <c r="I8" t="s">
        <v>372</v>
      </c>
      <c r="J8" t="s">
        <v>367</v>
      </c>
      <c r="K8" s="43">
        <v>-8.9999999999999998E-4</v>
      </c>
      <c r="L8" s="39">
        <v>1.6000000000000001E-3</v>
      </c>
      <c r="M8" s="39">
        <v>8.0000000000000004E-4</v>
      </c>
      <c r="N8" s="43">
        <v>8.0000000000000004E-4</v>
      </c>
      <c r="O8" s="39">
        <v>2.3999999999999998E-3</v>
      </c>
      <c r="P8" s="39">
        <v>1.7399999999999999E-2</v>
      </c>
      <c r="Q8" s="39">
        <v>2.76E-2</v>
      </c>
      <c r="R8" s="39">
        <v>7.1400000000000005E-2</v>
      </c>
      <c r="S8" s="39">
        <v>0.11310000000000001</v>
      </c>
      <c r="T8">
        <v>83.33</v>
      </c>
      <c r="U8">
        <v>75</v>
      </c>
      <c r="V8">
        <v>75</v>
      </c>
      <c r="W8" s="17">
        <v>25244.516</v>
      </c>
      <c r="X8" s="83" t="s">
        <v>737</v>
      </c>
    </row>
    <row r="9" spans="1:28" x14ac:dyDescent="0.15">
      <c r="G9" s="11">
        <v>8</v>
      </c>
      <c r="H9" t="s">
        <v>126</v>
      </c>
      <c r="I9" t="s">
        <v>382</v>
      </c>
      <c r="J9" t="s">
        <v>367</v>
      </c>
      <c r="K9" s="43">
        <v>-2.9999999999999997E-4</v>
      </c>
      <c r="L9" s="39">
        <v>4.0000000000000002E-4</v>
      </c>
      <c r="M9" s="39">
        <v>2.0000000000000001E-4</v>
      </c>
      <c r="N9" s="43">
        <v>1.4E-3</v>
      </c>
      <c r="O9" s="39">
        <v>4.1999999999999997E-3</v>
      </c>
      <c r="P9" s="39">
        <v>1.2E-2</v>
      </c>
      <c r="Q9" s="39">
        <v>1.7000000000000001E-2</v>
      </c>
      <c r="R9" s="39">
        <v>5.3199999999999997E-2</v>
      </c>
      <c r="S9" s="39">
        <v>9.11E-2</v>
      </c>
      <c r="T9">
        <v>80.56</v>
      </c>
      <c r="U9">
        <v>80.56</v>
      </c>
      <c r="V9">
        <v>66.67</v>
      </c>
      <c r="W9" s="17">
        <v>32180.785899999999</v>
      </c>
      <c r="X9" s="83" t="s">
        <v>737</v>
      </c>
    </row>
    <row r="10" spans="1:28" x14ac:dyDescent="0.15">
      <c r="G10" s="11">
        <v>9</v>
      </c>
      <c r="H10" t="s">
        <v>108</v>
      </c>
      <c r="I10" t="s">
        <v>339</v>
      </c>
      <c r="J10" t="s">
        <v>367</v>
      </c>
      <c r="K10" s="43">
        <v>-2.0000000000000001E-4</v>
      </c>
      <c r="L10" s="39">
        <v>4.0000000000000002E-4</v>
      </c>
      <c r="M10" s="39">
        <v>4.0000000000000002E-4</v>
      </c>
      <c r="N10" s="43">
        <v>1.9E-3</v>
      </c>
      <c r="O10" s="39">
        <v>4.3E-3</v>
      </c>
      <c r="P10" s="39">
        <v>1.0800000000000001E-2</v>
      </c>
      <c r="Q10" s="39">
        <v>2.1299999999999999E-2</v>
      </c>
      <c r="R10" s="39">
        <v>4.7300000000000002E-2</v>
      </c>
      <c r="S10" s="39">
        <v>0.08</v>
      </c>
      <c r="T10">
        <v>77.78</v>
      </c>
      <c r="U10">
        <v>83.33</v>
      </c>
      <c r="V10">
        <v>63.89</v>
      </c>
      <c r="W10" s="17">
        <v>1216909.2556</v>
      </c>
      <c r="X10" s="83" t="s">
        <v>737</v>
      </c>
    </row>
    <row r="11" spans="1:28" x14ac:dyDescent="0.15">
      <c r="G11" s="11">
        <v>10</v>
      </c>
      <c r="H11" t="s">
        <v>86</v>
      </c>
      <c r="I11" t="s">
        <v>371</v>
      </c>
      <c r="J11" t="s">
        <v>367</v>
      </c>
      <c r="K11" s="43">
        <v>-1.6000000000000001E-3</v>
      </c>
      <c r="L11" s="39">
        <v>-2E-3</v>
      </c>
      <c r="M11" s="39">
        <v>-3.8E-3</v>
      </c>
      <c r="N11" s="43">
        <v>-2.8E-3</v>
      </c>
      <c r="O11" s="39">
        <v>-2.3999999999999998E-3</v>
      </c>
      <c r="P11" s="39">
        <v>1.47E-2</v>
      </c>
      <c r="Q11" s="39">
        <v>2.18E-2</v>
      </c>
      <c r="R11" s="39">
        <v>6.7100000000000007E-2</v>
      </c>
      <c r="S11" s="39">
        <v>0.11509999999999999</v>
      </c>
      <c r="T11">
        <v>75</v>
      </c>
      <c r="U11">
        <v>58.33</v>
      </c>
      <c r="V11">
        <v>86.11</v>
      </c>
      <c r="W11" s="17">
        <v>5797.2415099999998</v>
      </c>
      <c r="X11" s="83" t="s">
        <v>737</v>
      </c>
    </row>
    <row r="12" spans="1:28" x14ac:dyDescent="0.15">
      <c r="G12" s="11">
        <v>11</v>
      </c>
      <c r="H12" t="s">
        <v>147</v>
      </c>
      <c r="I12" t="s">
        <v>1116</v>
      </c>
      <c r="J12" t="s">
        <v>15</v>
      </c>
      <c r="K12" s="43">
        <v>7.1000000000000004E-3</v>
      </c>
      <c r="L12" s="39">
        <v>6.1899999999999997E-2</v>
      </c>
      <c r="M12" s="39">
        <v>-5.7999999999999996E-3</v>
      </c>
      <c r="N12" s="43">
        <v>5.2999999999999999E-2</v>
      </c>
      <c r="O12" s="39">
        <v>-6.8099999999999994E-2</v>
      </c>
      <c r="P12" s="39">
        <v>-0.1464</v>
      </c>
      <c r="Q12" s="39">
        <v>-4.0000000000000002E-4</v>
      </c>
      <c r="R12" s="39">
        <v>-0.44340000000000002</v>
      </c>
      <c r="S12" s="39">
        <v>-0.52139999999999997</v>
      </c>
      <c r="T12">
        <v>72.22</v>
      </c>
      <c r="U12">
        <v>94.44</v>
      </c>
      <c r="V12">
        <v>44.44</v>
      </c>
      <c r="W12" s="17">
        <v>248440.83</v>
      </c>
    </row>
    <row r="13" spans="1:28" x14ac:dyDescent="0.15">
      <c r="G13" s="11">
        <v>12</v>
      </c>
      <c r="H13" t="s">
        <v>139</v>
      </c>
      <c r="I13" t="s">
        <v>16</v>
      </c>
      <c r="J13" t="s">
        <v>367</v>
      </c>
      <c r="K13" s="43">
        <v>-1.4E-3</v>
      </c>
      <c r="L13" s="39">
        <v>1.3299999999999999E-2</v>
      </c>
      <c r="M13" s="39">
        <v>-1.29E-2</v>
      </c>
      <c r="N13" s="43">
        <v>-1.01E-2</v>
      </c>
      <c r="O13" s="39">
        <v>-3.1699999999999999E-2</v>
      </c>
      <c r="P13" s="39">
        <v>-2.6100000000000002E-2</v>
      </c>
      <c r="Q13" s="39">
        <v>-3.2199999999999999E-2</v>
      </c>
      <c r="R13" s="39">
        <v>-3.39E-2</v>
      </c>
      <c r="S13" s="39">
        <v>8.8300000000000003E-2</v>
      </c>
      <c r="T13">
        <v>69.44</v>
      </c>
      <c r="U13">
        <v>50</v>
      </c>
      <c r="V13">
        <v>83.33</v>
      </c>
      <c r="W13" s="17">
        <v>74943.107699999993</v>
      </c>
      <c r="X13" s="83" t="s">
        <v>737</v>
      </c>
    </row>
    <row r="14" spans="1:28" x14ac:dyDescent="0.15">
      <c r="G14" s="11">
        <v>13</v>
      </c>
      <c r="H14" t="s">
        <v>119</v>
      </c>
      <c r="I14" t="s">
        <v>386</v>
      </c>
      <c r="J14" t="s">
        <v>367</v>
      </c>
      <c r="K14" s="43">
        <v>-5.9999999999999995E-4</v>
      </c>
      <c r="L14" s="39">
        <v>-4.0000000000000002E-4</v>
      </c>
      <c r="M14" s="39">
        <v>-2.8999999999999998E-3</v>
      </c>
      <c r="N14" s="43">
        <v>-2.3999999999999998E-3</v>
      </c>
      <c r="O14" s="39">
        <v>-2.5999999999999999E-3</v>
      </c>
      <c r="P14" s="39">
        <v>6.7999999999999996E-3</v>
      </c>
      <c r="Q14" s="39">
        <v>1.4200000000000001E-2</v>
      </c>
      <c r="R14" s="39">
        <v>3.2500000000000001E-2</v>
      </c>
      <c r="S14" s="39">
        <v>7.3400000000000007E-2</v>
      </c>
      <c r="T14">
        <v>66.67</v>
      </c>
      <c r="U14">
        <v>61.11</v>
      </c>
      <c r="V14">
        <v>72.22</v>
      </c>
      <c r="W14" s="17">
        <v>30607.147700000001</v>
      </c>
      <c r="X14" s="83" t="s">
        <v>737</v>
      </c>
    </row>
    <row r="15" spans="1:28" x14ac:dyDescent="0.15">
      <c r="G15" s="11">
        <v>14</v>
      </c>
      <c r="H15" t="s">
        <v>83</v>
      </c>
      <c r="I15" t="s">
        <v>21</v>
      </c>
      <c r="J15" t="s">
        <v>15</v>
      </c>
      <c r="K15" s="43">
        <v>9.2999999999999992E-3</v>
      </c>
      <c r="L15" s="39">
        <v>-4.2500000000000003E-2</v>
      </c>
      <c r="M15" s="39">
        <v>1.9E-3</v>
      </c>
      <c r="N15" s="43">
        <v>2E-3</v>
      </c>
      <c r="O15" s="39">
        <v>5.7799999999999997E-2</v>
      </c>
      <c r="P15" s="39">
        <v>0.22489999999999999</v>
      </c>
      <c r="Q15" s="39">
        <v>5.2699999999999997E-2</v>
      </c>
      <c r="R15" s="39">
        <v>0.70179999999999998</v>
      </c>
      <c r="S15" s="39">
        <v>2.4348000000000001</v>
      </c>
      <c r="T15">
        <v>63.89</v>
      </c>
      <c r="U15">
        <v>86.11</v>
      </c>
      <c r="V15">
        <v>41.67</v>
      </c>
      <c r="W15" s="17">
        <v>5294.9242994999995</v>
      </c>
      <c r="X15" s="83" t="s">
        <v>737</v>
      </c>
    </row>
    <row r="16" spans="1:28" x14ac:dyDescent="0.15">
      <c r="G16" s="11">
        <v>15</v>
      </c>
      <c r="H16" t="s">
        <v>444</v>
      </c>
      <c r="I16" t="s">
        <v>445</v>
      </c>
      <c r="J16" t="s">
        <v>15</v>
      </c>
      <c r="K16" s="43">
        <v>1.7899999999999999E-2</v>
      </c>
      <c r="L16" s="39">
        <v>6.8099999999999994E-2</v>
      </c>
      <c r="M16" s="39">
        <v>2.8999999999999998E-3</v>
      </c>
      <c r="N16" s="43">
        <v>6.7000000000000004E-2</v>
      </c>
      <c r="O16" s="39">
        <v>-4.3900000000000002E-2</v>
      </c>
      <c r="P16" s="39">
        <v>-0.13339999999999999</v>
      </c>
      <c r="Q16" s="39">
        <v>7.6E-3</v>
      </c>
      <c r="R16" s="39">
        <v>-0.1699</v>
      </c>
      <c r="S16" s="39">
        <v>-0.1699</v>
      </c>
      <c r="T16">
        <v>61.11</v>
      </c>
      <c r="U16">
        <v>97.22</v>
      </c>
      <c r="V16">
        <v>30.56</v>
      </c>
      <c r="W16" s="17">
        <v>13918.357699200002</v>
      </c>
      <c r="X16" s="83" t="s">
        <v>737</v>
      </c>
    </row>
    <row r="17" spans="7:25" x14ac:dyDescent="0.15">
      <c r="G17" s="11">
        <v>16</v>
      </c>
      <c r="H17" t="s">
        <v>204</v>
      </c>
      <c r="I17" t="s">
        <v>396</v>
      </c>
      <c r="J17" t="s">
        <v>15</v>
      </c>
      <c r="K17" s="43">
        <v>-3.3E-3</v>
      </c>
      <c r="L17" s="39">
        <v>-3.6200000000000003E-2</v>
      </c>
      <c r="M17" s="39">
        <v>-3.7199999999999997E-2</v>
      </c>
      <c r="N17" s="43">
        <v>-4.8500000000000001E-2</v>
      </c>
      <c r="O17" s="39">
        <v>-4.0399999999999998E-2</v>
      </c>
      <c r="P17" s="39">
        <v>8.4500000000000006E-2</v>
      </c>
      <c r="Q17" s="39">
        <v>4.3999999999999997E-2</v>
      </c>
      <c r="R17" s="39">
        <v>1.0800000000000001E-2</v>
      </c>
      <c r="S17" s="39">
        <v>0.38650000000000001</v>
      </c>
      <c r="T17">
        <v>58.33</v>
      </c>
      <c r="U17">
        <v>25</v>
      </c>
      <c r="V17">
        <v>94.44</v>
      </c>
      <c r="W17" s="17">
        <v>2656.8070782</v>
      </c>
      <c r="X17" s="83" t="s">
        <v>737</v>
      </c>
      <c r="Y17" s="81" t="s">
        <v>782</v>
      </c>
    </row>
    <row r="18" spans="7:25" x14ac:dyDescent="0.15">
      <c r="G18" s="11">
        <v>17</v>
      </c>
      <c r="H18" t="s">
        <v>442</v>
      </c>
      <c r="I18" t="s">
        <v>443</v>
      </c>
      <c r="J18" t="s">
        <v>15</v>
      </c>
      <c r="K18" s="43">
        <v>2.3699999999999999E-2</v>
      </c>
      <c r="L18" s="39">
        <v>7.1400000000000005E-2</v>
      </c>
      <c r="M18" s="39">
        <v>1.12E-2</v>
      </c>
      <c r="N18" s="43">
        <v>9.01E-2</v>
      </c>
      <c r="O18" s="39">
        <v>8.3000000000000001E-3</v>
      </c>
      <c r="P18" s="39">
        <v>-9.01E-2</v>
      </c>
      <c r="Q18" s="39">
        <v>4.6899999999999997E-2</v>
      </c>
      <c r="R18" s="39">
        <v>-0.16289999999999999</v>
      </c>
      <c r="S18" s="39">
        <v>-0.16289999999999999</v>
      </c>
      <c r="T18">
        <v>55.56</v>
      </c>
      <c r="U18">
        <v>100</v>
      </c>
      <c r="V18">
        <v>19.440000000000001</v>
      </c>
      <c r="W18" s="17">
        <v>209830.95199999999</v>
      </c>
      <c r="X18" s="83" t="s">
        <v>737</v>
      </c>
    </row>
    <row r="19" spans="7:25" x14ac:dyDescent="0.15">
      <c r="G19" s="11">
        <v>18</v>
      </c>
      <c r="H19" t="s">
        <v>201</v>
      </c>
      <c r="I19" t="s">
        <v>385</v>
      </c>
      <c r="J19" t="s">
        <v>15</v>
      </c>
      <c r="K19" s="43">
        <v>2.3800000000000002E-2</v>
      </c>
      <c r="L19" s="39">
        <v>-4.8999999999999998E-3</v>
      </c>
      <c r="M19" s="39">
        <v>-4.4999999999999998E-2</v>
      </c>
      <c r="N19" s="43">
        <v>5.0599999999999999E-2</v>
      </c>
      <c r="O19" s="39">
        <v>1.6E-2</v>
      </c>
      <c r="P19" s="39">
        <v>7.5300000000000006E-2</v>
      </c>
      <c r="Q19" s="39">
        <v>0.3866</v>
      </c>
      <c r="R19" s="39">
        <v>0.13919999999999999</v>
      </c>
      <c r="S19" s="39">
        <v>-0.42859999999999998</v>
      </c>
      <c r="T19">
        <v>52.78</v>
      </c>
      <c r="U19">
        <v>91.67</v>
      </c>
      <c r="V19">
        <v>16.670000000000002</v>
      </c>
      <c r="W19" s="17">
        <v>8443.4521999999997</v>
      </c>
      <c r="X19" s="83" t="s">
        <v>737</v>
      </c>
    </row>
    <row r="20" spans="7:25" x14ac:dyDescent="0.15">
      <c r="G20" s="11">
        <v>19</v>
      </c>
      <c r="H20" t="s">
        <v>103</v>
      </c>
      <c r="I20" t="s">
        <v>24</v>
      </c>
      <c r="J20" t="s">
        <v>368</v>
      </c>
      <c r="K20" s="43">
        <v>1.4E-3</v>
      </c>
      <c r="L20" s="39">
        <v>1.1999999999999999E-3</v>
      </c>
      <c r="M20" s="39">
        <v>1.77E-2</v>
      </c>
      <c r="N20" s="43">
        <v>-8.3000000000000001E-3</v>
      </c>
      <c r="O20" s="39">
        <v>2.69E-2</v>
      </c>
      <c r="P20" s="39">
        <v>0.28670000000000001</v>
      </c>
      <c r="Q20" s="39">
        <v>0.2974</v>
      </c>
      <c r="R20" s="39">
        <v>0.83609999999999995</v>
      </c>
      <c r="S20" s="39">
        <v>1.0670999999999999</v>
      </c>
      <c r="T20">
        <v>50</v>
      </c>
      <c r="U20">
        <v>52.78</v>
      </c>
      <c r="V20">
        <v>52.78</v>
      </c>
      <c r="W20" s="17">
        <v>6954.6893099999998</v>
      </c>
      <c r="X20" s="83" t="s">
        <v>737</v>
      </c>
    </row>
    <row r="21" spans="7:25" x14ac:dyDescent="0.15">
      <c r="G21" s="11">
        <v>20</v>
      </c>
      <c r="H21" t="s">
        <v>342</v>
      </c>
      <c r="I21" t="s">
        <v>757</v>
      </c>
      <c r="J21" t="s">
        <v>15</v>
      </c>
      <c r="K21" s="43">
        <v>-5.0000000000000001E-4</v>
      </c>
      <c r="L21" s="39">
        <v>6.0000000000000001E-3</v>
      </c>
      <c r="M21" s="39">
        <v>-1.9699999999999999E-2</v>
      </c>
      <c r="N21" s="43">
        <v>-4.2200000000000001E-2</v>
      </c>
      <c r="O21" s="39">
        <v>-4.99E-2</v>
      </c>
      <c r="P21" s="39">
        <v>-3.4200000000000001E-2</v>
      </c>
      <c r="Q21" s="39">
        <v>0.251</v>
      </c>
      <c r="R21" s="39">
        <v>9.4299999999999995E-2</v>
      </c>
      <c r="S21" s="39">
        <v>9.4299999999999995E-2</v>
      </c>
      <c r="T21">
        <v>47.22</v>
      </c>
      <c r="U21">
        <v>30.56</v>
      </c>
      <c r="V21">
        <v>69.44</v>
      </c>
      <c r="W21" s="17">
        <v>1842.3430000000001</v>
      </c>
      <c r="X21" s="83" t="s">
        <v>737</v>
      </c>
    </row>
    <row r="22" spans="7:25" x14ac:dyDescent="0.15">
      <c r="G22" s="11">
        <v>21</v>
      </c>
      <c r="H22" t="s">
        <v>205</v>
      </c>
      <c r="I22" t="s">
        <v>380</v>
      </c>
      <c r="J22" t="s">
        <v>15</v>
      </c>
      <c r="K22" s="43">
        <v>1.7000000000000001E-2</v>
      </c>
      <c r="L22" s="39">
        <v>-4.7800000000000002E-2</v>
      </c>
      <c r="M22" s="39">
        <v>-3.7000000000000002E-3</v>
      </c>
      <c r="N22" s="43">
        <v>-1.8E-3</v>
      </c>
      <c r="O22" s="39">
        <v>5.2200000000000003E-2</v>
      </c>
      <c r="P22" s="39">
        <v>0.1971</v>
      </c>
      <c r="Q22" s="39">
        <v>7.6700000000000004E-2</v>
      </c>
      <c r="R22" s="39">
        <v>0.92459999999999998</v>
      </c>
      <c r="S22" s="39">
        <v>2.7829999999999999</v>
      </c>
      <c r="T22">
        <v>44.44</v>
      </c>
      <c r="U22">
        <v>66.67</v>
      </c>
      <c r="V22">
        <v>33.33</v>
      </c>
      <c r="W22" s="17">
        <v>658.94090930000004</v>
      </c>
    </row>
    <row r="23" spans="7:25" x14ac:dyDescent="0.15">
      <c r="G23" s="11">
        <v>22</v>
      </c>
      <c r="H23" t="s">
        <v>207</v>
      </c>
      <c r="I23" t="s">
        <v>384</v>
      </c>
      <c r="J23" t="s">
        <v>15</v>
      </c>
      <c r="K23" s="43">
        <v>2.9999999999999997E-4</v>
      </c>
      <c r="L23" s="39">
        <v>-2.24E-2</v>
      </c>
      <c r="M23" s="39">
        <v>3.0099999999999998E-2</v>
      </c>
      <c r="N23" s="43">
        <v>-3.4700000000000002E-2</v>
      </c>
      <c r="O23" s="39">
        <v>9.0800000000000006E-2</v>
      </c>
      <c r="P23" s="39">
        <v>0.17319999999999999</v>
      </c>
      <c r="Q23" s="39">
        <v>8.8400000000000006E-2</v>
      </c>
      <c r="R23" s="39">
        <v>0.49559999999999998</v>
      </c>
      <c r="S23" s="39">
        <v>1.5579000000000001</v>
      </c>
      <c r="T23">
        <v>41.67</v>
      </c>
      <c r="U23">
        <v>33.33</v>
      </c>
      <c r="V23">
        <v>61.11</v>
      </c>
      <c r="W23" s="17">
        <v>2512.3218000000002</v>
      </c>
      <c r="X23" s="83" t="s">
        <v>737</v>
      </c>
    </row>
    <row r="24" spans="7:25" x14ac:dyDescent="0.15">
      <c r="G24" s="11">
        <v>23</v>
      </c>
      <c r="H24" t="s">
        <v>85</v>
      </c>
      <c r="I24" t="s">
        <v>23</v>
      </c>
      <c r="J24" t="s">
        <v>368</v>
      </c>
      <c r="K24" s="43">
        <v>1E-3</v>
      </c>
      <c r="L24" s="39">
        <v>-3.3999999999999998E-3</v>
      </c>
      <c r="M24" s="39">
        <v>-4.5999999999999999E-3</v>
      </c>
      <c r="N24" s="43">
        <v>-3.44E-2</v>
      </c>
      <c r="O24" s="39">
        <v>-3.5499999999999997E-2</v>
      </c>
      <c r="P24" s="39">
        <v>-1E-3</v>
      </c>
      <c r="Q24" s="39">
        <v>6.8000000000000005E-2</v>
      </c>
      <c r="R24" s="39">
        <v>5.4300000000000001E-2</v>
      </c>
      <c r="S24" s="39">
        <v>0.439</v>
      </c>
      <c r="T24">
        <v>38.89</v>
      </c>
      <c r="U24">
        <v>36.11</v>
      </c>
      <c r="V24">
        <v>55.56</v>
      </c>
      <c r="W24" s="17">
        <v>3086.6421600000003</v>
      </c>
      <c r="X24" s="83" t="s">
        <v>737</v>
      </c>
    </row>
    <row r="25" spans="7:25" x14ac:dyDescent="0.15">
      <c r="G25" s="11">
        <v>24</v>
      </c>
      <c r="H25" t="s">
        <v>393</v>
      </c>
      <c r="I25" t="s">
        <v>394</v>
      </c>
      <c r="J25" t="s">
        <v>368</v>
      </c>
      <c r="K25" s="43">
        <v>2.7000000000000001E-3</v>
      </c>
      <c r="L25" s="39">
        <v>5.0000000000000001E-4</v>
      </c>
      <c r="M25" s="39">
        <v>2.5000000000000001E-2</v>
      </c>
      <c r="N25" s="43">
        <v>-1.83E-2</v>
      </c>
      <c r="O25" s="39">
        <v>-2.3300000000000001E-2</v>
      </c>
      <c r="P25" s="39">
        <v>0</v>
      </c>
      <c r="Q25" s="39">
        <v>0.22040000000000001</v>
      </c>
      <c r="R25" s="39">
        <v>1.0699999999999999E-2</v>
      </c>
      <c r="S25" s="39">
        <v>-0.2074</v>
      </c>
      <c r="T25">
        <v>36.11</v>
      </c>
      <c r="U25">
        <v>38.89</v>
      </c>
      <c r="V25">
        <v>50</v>
      </c>
      <c r="W25" s="17">
        <v>1620.3212728999999</v>
      </c>
    </row>
    <row r="26" spans="7:25" x14ac:dyDescent="0.15">
      <c r="G26" s="11">
        <v>25</v>
      </c>
      <c r="H26" t="s">
        <v>193</v>
      </c>
      <c r="I26" t="s">
        <v>375</v>
      </c>
      <c r="J26" t="s">
        <v>15</v>
      </c>
      <c r="K26" s="43">
        <v>5.0000000000000001E-4</v>
      </c>
      <c r="L26" s="39">
        <v>-1.06E-2</v>
      </c>
      <c r="M26" s="39">
        <v>-4.07E-2</v>
      </c>
      <c r="N26" s="43">
        <v>-5.0999999999999997E-2</v>
      </c>
      <c r="O26" s="39">
        <v>-9.1300000000000006E-2</v>
      </c>
      <c r="P26" s="39">
        <v>2.8199999999999999E-2</v>
      </c>
      <c r="Q26" s="39">
        <v>0.15909999999999999</v>
      </c>
      <c r="R26" s="39">
        <v>-4.1799999999999997E-2</v>
      </c>
      <c r="S26" s="39">
        <v>3.0700000000000002E-2</v>
      </c>
      <c r="T26">
        <v>33.33</v>
      </c>
      <c r="U26">
        <v>22.22</v>
      </c>
      <c r="V26">
        <v>58.33</v>
      </c>
      <c r="W26" s="17">
        <v>3064.8292999999999</v>
      </c>
      <c r="X26" s="83" t="s">
        <v>737</v>
      </c>
      <c r="Y26" s="81" t="s">
        <v>782</v>
      </c>
    </row>
    <row r="27" spans="7:25" x14ac:dyDescent="0.15">
      <c r="G27" s="11">
        <v>26</v>
      </c>
      <c r="H27" t="s">
        <v>198</v>
      </c>
      <c r="I27" t="s">
        <v>379</v>
      </c>
      <c r="J27" t="s">
        <v>15</v>
      </c>
      <c r="K27" s="43">
        <v>1.7999999999999999E-2</v>
      </c>
      <c r="L27" s="39">
        <v>3.8300000000000001E-2</v>
      </c>
      <c r="M27" s="39">
        <v>-2.01E-2</v>
      </c>
      <c r="N27" s="43">
        <v>-1.26E-2</v>
      </c>
      <c r="O27" s="39">
        <v>-0.1231</v>
      </c>
      <c r="P27" s="39">
        <v>2.0400000000000001E-2</v>
      </c>
      <c r="Q27" s="39">
        <v>0.19239999999999999</v>
      </c>
      <c r="R27" s="39">
        <v>-0.3367</v>
      </c>
      <c r="S27" s="39">
        <v>-0.48430000000000001</v>
      </c>
      <c r="T27">
        <v>30.56</v>
      </c>
      <c r="U27">
        <v>47.22</v>
      </c>
      <c r="V27">
        <v>25</v>
      </c>
      <c r="W27" s="17">
        <v>287489.96220000001</v>
      </c>
      <c r="X27" s="83" t="s">
        <v>737</v>
      </c>
    </row>
    <row r="28" spans="7:25" x14ac:dyDescent="0.15">
      <c r="G28" s="11">
        <v>27</v>
      </c>
      <c r="H28" t="s">
        <v>185</v>
      </c>
      <c r="I28" t="s">
        <v>383</v>
      </c>
      <c r="J28" t="s">
        <v>15</v>
      </c>
      <c r="K28" s="43">
        <v>1.7899999999999999E-2</v>
      </c>
      <c r="L28" s="39">
        <v>8.3999999999999995E-3</v>
      </c>
      <c r="M28" s="39">
        <v>-2.3800000000000002E-2</v>
      </c>
      <c r="N28" s="43">
        <v>-1.2699999999999999E-2</v>
      </c>
      <c r="O28" s="39">
        <v>-9.5200000000000007E-2</v>
      </c>
      <c r="P28" s="39">
        <v>-7.4300000000000005E-2</v>
      </c>
      <c r="Q28" s="39">
        <v>9.1999999999999998E-2</v>
      </c>
      <c r="R28" s="39">
        <v>-0.1615</v>
      </c>
      <c r="S28" s="39">
        <v>-0.1293</v>
      </c>
      <c r="T28">
        <v>27.78</v>
      </c>
      <c r="U28">
        <v>44.44</v>
      </c>
      <c r="V28">
        <v>27.78</v>
      </c>
      <c r="W28" s="17">
        <v>9089.8587000000007</v>
      </c>
    </row>
    <row r="29" spans="7:25" x14ac:dyDescent="0.15">
      <c r="G29" s="11">
        <v>28</v>
      </c>
      <c r="H29" t="s">
        <v>191</v>
      </c>
      <c r="I29" t="s">
        <v>374</v>
      </c>
      <c r="J29" t="s">
        <v>15</v>
      </c>
      <c r="K29" s="43">
        <v>2.0299999999999999E-2</v>
      </c>
      <c r="L29" s="39">
        <v>1.21E-2</v>
      </c>
      <c r="M29" s="39">
        <v>-2.1499999999999998E-2</v>
      </c>
      <c r="N29" s="43">
        <v>-1.34E-2</v>
      </c>
      <c r="O29" s="39">
        <v>-0.1007</v>
      </c>
      <c r="P29" s="39">
        <v>-6.6600000000000006E-2</v>
      </c>
      <c r="Q29" s="39">
        <v>7.5300000000000006E-2</v>
      </c>
      <c r="R29" s="39">
        <v>-0.19689999999999999</v>
      </c>
      <c r="S29" s="39">
        <v>-0.19339999999999999</v>
      </c>
      <c r="T29">
        <v>25</v>
      </c>
      <c r="U29">
        <v>41.67</v>
      </c>
      <c r="V29">
        <v>22.22</v>
      </c>
      <c r="W29" s="17">
        <v>56957.809560000002</v>
      </c>
    </row>
    <row r="30" spans="7:25" x14ac:dyDescent="0.15">
      <c r="G30" s="11">
        <v>29</v>
      </c>
      <c r="H30" t="s">
        <v>84</v>
      </c>
      <c r="I30" t="s">
        <v>1117</v>
      </c>
      <c r="J30" t="s">
        <v>368</v>
      </c>
      <c r="K30" s="43">
        <v>5.7999999999999996E-3</v>
      </c>
      <c r="L30" s="39">
        <v>-5.0000000000000001E-3</v>
      </c>
      <c r="M30" s="39">
        <v>-4.1000000000000003E-3</v>
      </c>
      <c r="N30" s="43">
        <v>-6.5299999999999997E-2</v>
      </c>
      <c r="O30" s="39">
        <v>1.6799999999999999E-2</v>
      </c>
      <c r="P30" s="39">
        <v>2.0899999999999998E-2</v>
      </c>
      <c r="Q30" s="39">
        <v>6.4299999999999996E-2</v>
      </c>
      <c r="R30" s="39">
        <v>-0.10050000000000001</v>
      </c>
      <c r="S30" s="39">
        <v>0.82840000000000003</v>
      </c>
      <c r="T30">
        <v>22.22</v>
      </c>
      <c r="U30">
        <v>11.11</v>
      </c>
      <c r="V30">
        <v>47.22</v>
      </c>
      <c r="W30" s="17">
        <v>3578.7829400000001</v>
      </c>
      <c r="X30" s="83" t="s">
        <v>737</v>
      </c>
    </row>
    <row r="31" spans="7:25" x14ac:dyDescent="0.15">
      <c r="G31" s="11">
        <v>30</v>
      </c>
      <c r="H31" t="s">
        <v>203</v>
      </c>
      <c r="I31" t="s">
        <v>389</v>
      </c>
      <c r="J31" t="s">
        <v>15</v>
      </c>
      <c r="K31" s="43">
        <v>1.23E-2</v>
      </c>
      <c r="L31" s="39">
        <v>-2.5999999999999999E-3</v>
      </c>
      <c r="M31" s="39">
        <v>-3.4099999999999998E-2</v>
      </c>
      <c r="N31" s="43">
        <v>-7.0800000000000002E-2</v>
      </c>
      <c r="O31" s="39">
        <v>-8.8900000000000007E-2</v>
      </c>
      <c r="P31" s="39">
        <v>-6.3399999999999998E-2</v>
      </c>
      <c r="Q31" s="39">
        <v>0.25409999999999999</v>
      </c>
      <c r="R31" s="39">
        <v>0.1051</v>
      </c>
      <c r="S31" s="39">
        <v>0.40060000000000001</v>
      </c>
      <c r="T31">
        <v>19.440000000000001</v>
      </c>
      <c r="U31">
        <v>8.33</v>
      </c>
      <c r="V31">
        <v>38.89</v>
      </c>
      <c r="W31" s="17">
        <v>485.88400000000001</v>
      </c>
    </row>
    <row r="32" spans="7:25" x14ac:dyDescent="0.15">
      <c r="G32" s="11">
        <v>31</v>
      </c>
      <c r="H32" t="s">
        <v>196</v>
      </c>
      <c r="I32" t="s">
        <v>390</v>
      </c>
      <c r="J32" t="s">
        <v>15</v>
      </c>
      <c r="K32" s="43">
        <v>1.54E-2</v>
      </c>
      <c r="L32" s="39">
        <v>-1.8700000000000001E-2</v>
      </c>
      <c r="M32" s="39">
        <v>-4.9200000000000001E-2</v>
      </c>
      <c r="N32" s="43">
        <v>-7.7100000000000002E-2</v>
      </c>
      <c r="O32" s="39">
        <v>-0.1192</v>
      </c>
      <c r="P32" s="39">
        <v>-7.7899999999999997E-2</v>
      </c>
      <c r="Q32" s="39">
        <v>0.22470000000000001</v>
      </c>
      <c r="R32" s="39">
        <v>-7.0099999999999996E-2</v>
      </c>
      <c r="S32" s="39">
        <v>3.6700000000000003E-2</v>
      </c>
      <c r="T32">
        <v>16.670000000000002</v>
      </c>
      <c r="U32">
        <v>5.56</v>
      </c>
      <c r="V32">
        <v>36.11</v>
      </c>
      <c r="W32" s="17">
        <v>2059.4222</v>
      </c>
      <c r="X32" s="83" t="s">
        <v>737</v>
      </c>
      <c r="Y32" s="81" t="s">
        <v>782</v>
      </c>
    </row>
    <row r="33" spans="7:25" x14ac:dyDescent="0.15">
      <c r="G33" s="11">
        <v>32</v>
      </c>
      <c r="H33" t="s">
        <v>199</v>
      </c>
      <c r="I33" t="s">
        <v>381</v>
      </c>
      <c r="J33" t="s">
        <v>15</v>
      </c>
      <c r="K33" s="43">
        <v>2.5899999999999999E-2</v>
      </c>
      <c r="L33" s="39">
        <v>2.1299999999999999E-2</v>
      </c>
      <c r="M33" s="39">
        <v>-5.1200000000000002E-2</v>
      </c>
      <c r="N33" s="43">
        <v>-4.3200000000000002E-2</v>
      </c>
      <c r="O33" s="39">
        <v>-0.17119999999999999</v>
      </c>
      <c r="P33" s="39">
        <v>-7.8100000000000003E-2</v>
      </c>
      <c r="Q33" s="39">
        <v>3.0599999999999999E-2</v>
      </c>
      <c r="R33" s="39">
        <v>-0.41699999999999998</v>
      </c>
      <c r="S33" s="39">
        <v>-0.62570000000000003</v>
      </c>
      <c r="T33">
        <v>13.89</v>
      </c>
      <c r="U33">
        <v>27.78</v>
      </c>
      <c r="V33">
        <v>11.11</v>
      </c>
      <c r="W33" s="17">
        <v>274425.51120000001</v>
      </c>
    </row>
    <row r="34" spans="7:25" x14ac:dyDescent="0.15">
      <c r="G34" s="11">
        <v>33</v>
      </c>
      <c r="H34" t="s">
        <v>170</v>
      </c>
      <c r="I34" t="s">
        <v>392</v>
      </c>
      <c r="J34" t="s">
        <v>15</v>
      </c>
      <c r="K34" s="43">
        <v>2.4E-2</v>
      </c>
      <c r="L34" s="39">
        <v>-3.3300000000000003E-2</v>
      </c>
      <c r="M34" s="39">
        <v>-4.9399999999999999E-2</v>
      </c>
      <c r="N34" s="43">
        <v>-6.0100000000000001E-2</v>
      </c>
      <c r="O34" s="39">
        <v>-8.77E-2</v>
      </c>
      <c r="P34" s="39">
        <v>5.8099999999999999E-2</v>
      </c>
      <c r="Q34" s="39">
        <v>0.12</v>
      </c>
      <c r="R34" s="39">
        <v>2.8899999999999999E-2</v>
      </c>
      <c r="S34" s="39">
        <v>0.21590000000000001</v>
      </c>
      <c r="T34">
        <v>11.11</v>
      </c>
      <c r="U34">
        <v>16.670000000000002</v>
      </c>
      <c r="V34">
        <v>13.89</v>
      </c>
      <c r="W34" s="17">
        <v>14778.786099999999</v>
      </c>
      <c r="X34" s="83" t="s">
        <v>737</v>
      </c>
      <c r="Y34" s="81" t="s">
        <v>782</v>
      </c>
    </row>
    <row r="35" spans="7:25" x14ac:dyDescent="0.15">
      <c r="G35" s="11">
        <v>34</v>
      </c>
      <c r="H35" t="s">
        <v>202</v>
      </c>
      <c r="I35" t="s">
        <v>391</v>
      </c>
      <c r="J35" t="s">
        <v>15</v>
      </c>
      <c r="K35" s="43">
        <v>2.7199999999999998E-2</v>
      </c>
      <c r="L35" s="39">
        <v>-2.87E-2</v>
      </c>
      <c r="M35" s="39">
        <v>-5.6800000000000003E-2</v>
      </c>
      <c r="N35" s="43">
        <v>-5.9299999999999999E-2</v>
      </c>
      <c r="O35" s="39">
        <v>-9.2999999999999999E-2</v>
      </c>
      <c r="P35" s="39">
        <v>-0.106</v>
      </c>
      <c r="Q35" s="39">
        <v>-6.9599999999999995E-2</v>
      </c>
      <c r="R35" s="39">
        <v>-0.34160000000000001</v>
      </c>
      <c r="S35" s="39">
        <v>-0.42559999999999998</v>
      </c>
      <c r="T35">
        <v>8.33</v>
      </c>
      <c r="U35">
        <v>19.440000000000001</v>
      </c>
      <c r="V35">
        <v>8.33</v>
      </c>
      <c r="W35" s="17">
        <v>244.12537000000003</v>
      </c>
      <c r="X35" s="83" t="s">
        <v>737</v>
      </c>
    </row>
    <row r="36" spans="7:25" x14ac:dyDescent="0.15">
      <c r="G36" s="11">
        <v>35</v>
      </c>
      <c r="H36" t="s">
        <v>158</v>
      </c>
      <c r="I36" t="s">
        <v>395</v>
      </c>
      <c r="J36" t="s">
        <v>15</v>
      </c>
      <c r="K36" s="43">
        <v>3.0599999999999999E-2</v>
      </c>
      <c r="L36" s="39">
        <v>-4.7399999999999998E-2</v>
      </c>
      <c r="M36" s="39">
        <v>-7.3200000000000001E-2</v>
      </c>
      <c r="N36" s="43">
        <v>-6.0100000000000001E-2</v>
      </c>
      <c r="O36" s="39">
        <v>-8.7099999999999997E-2</v>
      </c>
      <c r="P36" s="39">
        <v>0.13469999999999999</v>
      </c>
      <c r="Q36" s="39">
        <v>0.26669999999999999</v>
      </c>
      <c r="R36" s="39">
        <v>4.2700000000000002E-2</v>
      </c>
      <c r="S36" s="39">
        <v>0.33279999999999998</v>
      </c>
      <c r="T36">
        <v>5.56</v>
      </c>
      <c r="U36">
        <v>13.89</v>
      </c>
      <c r="V36">
        <v>5.56</v>
      </c>
      <c r="W36" s="17">
        <v>101945.10785</v>
      </c>
      <c r="X36" s="83" t="s">
        <v>737</v>
      </c>
      <c r="Y36" s="81" t="s">
        <v>782</v>
      </c>
    </row>
    <row r="37" spans="7:25" x14ac:dyDescent="0.15">
      <c r="G37" s="11">
        <v>36</v>
      </c>
      <c r="H37" t="s">
        <v>206</v>
      </c>
      <c r="I37" t="s">
        <v>397</v>
      </c>
      <c r="J37" t="s">
        <v>15</v>
      </c>
      <c r="K37" s="43">
        <v>0.1022</v>
      </c>
      <c r="L37" s="39">
        <v>-1.26E-2</v>
      </c>
      <c r="M37" s="39">
        <v>-3.5299999999999998E-2</v>
      </c>
      <c r="N37" s="43">
        <v>-0.10299999999999999</v>
      </c>
      <c r="O37" s="39">
        <v>-0.18720000000000001</v>
      </c>
      <c r="P37" s="39">
        <v>-0.128</v>
      </c>
      <c r="Q37" s="39">
        <v>-0.17080000000000001</v>
      </c>
      <c r="R37" s="39">
        <v>-0.40620000000000001</v>
      </c>
      <c r="S37" s="39">
        <v>-0.3664</v>
      </c>
      <c r="T37">
        <v>2.78</v>
      </c>
      <c r="U37">
        <v>2.78</v>
      </c>
      <c r="V37">
        <v>2.78</v>
      </c>
      <c r="W37" s="17">
        <v>207.57178300000001</v>
      </c>
      <c r="X37" s="83" t="s">
        <v>737</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82</v>
      </c>
      <c r="B1" s="19" t="s">
        <v>476</v>
      </c>
      <c r="C1" s="19" t="s">
        <v>477</v>
      </c>
      <c r="D1" s="19" t="s">
        <v>365</v>
      </c>
      <c r="E1" s="22"/>
      <c r="F1" s="23" t="s">
        <v>208</v>
      </c>
      <c r="G1" s="20"/>
      <c r="H1" s="45" t="s">
        <v>475</v>
      </c>
      <c r="I1" s="19" t="s">
        <v>478</v>
      </c>
      <c r="J1" s="18" t="s">
        <v>479</v>
      </c>
      <c r="K1" s="18" t="s">
        <v>480</v>
      </c>
      <c r="L1" s="18" t="s">
        <v>481</v>
      </c>
      <c r="M1" s="18" t="s">
        <v>482</v>
      </c>
      <c r="N1" s="46" t="s">
        <v>483</v>
      </c>
      <c r="O1" s="18" t="s">
        <v>484</v>
      </c>
      <c r="P1" s="46" t="s">
        <v>485</v>
      </c>
      <c r="Q1" s="18" t="s">
        <v>486</v>
      </c>
      <c r="R1" s="46" t="s">
        <v>487</v>
      </c>
      <c r="S1" s="18" t="s">
        <v>488</v>
      </c>
      <c r="T1" s="18" t="s">
        <v>489</v>
      </c>
      <c r="U1" s="46" t="s">
        <v>490</v>
      </c>
      <c r="V1" s="18" t="s">
        <v>491</v>
      </c>
      <c r="W1" s="46" t="s">
        <v>492</v>
      </c>
      <c r="X1" s="18" t="s">
        <v>28</v>
      </c>
      <c r="Y1" s="18" t="s">
        <v>493</v>
      </c>
      <c r="Z1" s="18" t="s">
        <v>494</v>
      </c>
      <c r="AA1" s="18" t="s">
        <v>495</v>
      </c>
      <c r="AB1" s="18" t="s">
        <v>496</v>
      </c>
      <c r="AC1" s="18" t="s">
        <v>497</v>
      </c>
      <c r="AE1" s="87" t="s">
        <v>659</v>
      </c>
    </row>
    <row r="2" spans="1:31" x14ac:dyDescent="0.15">
      <c r="A2">
        <v>1</v>
      </c>
      <c r="B2">
        <v>14</v>
      </c>
      <c r="C2" t="s">
        <v>628</v>
      </c>
      <c r="D2">
        <f>MATCH(B2,$H$2:$H$4000,0)</f>
        <v>77</v>
      </c>
      <c r="G2" s="11">
        <v>1</v>
      </c>
      <c r="H2" s="44">
        <v>600455</v>
      </c>
      <c r="I2" t="s">
        <v>498</v>
      </c>
      <c r="J2" s="17" t="s">
        <v>499</v>
      </c>
      <c r="K2" t="s">
        <v>500</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658</v>
      </c>
      <c r="D3">
        <f t="shared" ref="D3:D11" si="0">MATCH(B3,$H$2:$H$4000,0)</f>
        <v>38</v>
      </c>
      <c r="G3" s="11">
        <v>2</v>
      </c>
      <c r="H3" s="44">
        <v>603860</v>
      </c>
      <c r="I3" t="s">
        <v>501</v>
      </c>
      <c r="J3" s="17" t="s">
        <v>502</v>
      </c>
      <c r="K3" t="s">
        <v>503</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627</v>
      </c>
      <c r="D4">
        <f t="shared" si="0"/>
        <v>76</v>
      </c>
      <c r="G4" s="11">
        <v>3</v>
      </c>
      <c r="H4" s="44">
        <v>300789</v>
      </c>
      <c r="I4" t="s">
        <v>504</v>
      </c>
      <c r="J4" s="17" t="s">
        <v>238</v>
      </c>
      <c r="K4" t="s">
        <v>505</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599</v>
      </c>
      <c r="D5">
        <f t="shared" si="0"/>
        <v>56</v>
      </c>
      <c r="G5" s="11">
        <v>4</v>
      </c>
      <c r="H5" s="44">
        <v>300899</v>
      </c>
      <c r="I5" t="s">
        <v>506</v>
      </c>
      <c r="J5" s="17" t="s">
        <v>507</v>
      </c>
      <c r="K5" t="s">
        <v>508</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504</v>
      </c>
      <c r="D6">
        <f t="shared" si="0"/>
        <v>3</v>
      </c>
      <c r="G6" s="11">
        <v>5</v>
      </c>
      <c r="H6" s="44">
        <v>300929</v>
      </c>
      <c r="I6" t="s">
        <v>509</v>
      </c>
      <c r="J6" s="17" t="s">
        <v>507</v>
      </c>
      <c r="K6" t="s">
        <v>510</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528</v>
      </c>
      <c r="D7">
        <f t="shared" si="0"/>
        <v>13</v>
      </c>
      <c r="G7" s="11">
        <v>6</v>
      </c>
      <c r="H7" s="44">
        <v>603813</v>
      </c>
      <c r="I7" t="s">
        <v>511</v>
      </c>
      <c r="J7" s="17" t="s">
        <v>512</v>
      </c>
      <c r="K7" t="s">
        <v>513</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542</v>
      </c>
      <c r="D8">
        <f t="shared" si="0"/>
        <v>18</v>
      </c>
      <c r="G8" s="11">
        <v>7</v>
      </c>
      <c r="H8" s="44">
        <v>603269</v>
      </c>
      <c r="I8" t="s">
        <v>514</v>
      </c>
      <c r="J8" s="17" t="s">
        <v>515</v>
      </c>
      <c r="K8" t="s">
        <v>516</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650</v>
      </c>
      <c r="D9">
        <f t="shared" si="0"/>
        <v>95</v>
      </c>
      <c r="G9" s="11">
        <v>8</v>
      </c>
      <c r="H9" s="44">
        <v>1211</v>
      </c>
      <c r="I9" t="s">
        <v>517</v>
      </c>
      <c r="J9" s="17" t="s">
        <v>518</v>
      </c>
      <c r="K9" t="s">
        <v>519</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498</v>
      </c>
      <c r="D10">
        <f t="shared" si="0"/>
        <v>1</v>
      </c>
      <c r="G10" s="11">
        <v>9</v>
      </c>
      <c r="H10" s="44">
        <v>2830</v>
      </c>
      <c r="I10" t="s">
        <v>520</v>
      </c>
      <c r="J10" s="17" t="s">
        <v>502</v>
      </c>
      <c r="K10" t="s">
        <v>521</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522</v>
      </c>
      <c r="D11">
        <f t="shared" si="0"/>
        <v>10</v>
      </c>
      <c r="G11" s="11">
        <v>10</v>
      </c>
      <c r="H11" s="44">
        <v>603037</v>
      </c>
      <c r="I11" t="s">
        <v>522</v>
      </c>
      <c r="J11" s="17" t="s">
        <v>523</v>
      </c>
      <c r="K11" t="s">
        <v>524</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525</v>
      </c>
      <c r="J12" s="17" t="s">
        <v>515</v>
      </c>
      <c r="K12" t="s">
        <v>526</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527</v>
      </c>
      <c r="J13" s="17" t="s">
        <v>515</v>
      </c>
      <c r="K13" t="s">
        <v>516</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528</v>
      </c>
      <c r="J14" s="17" t="s">
        <v>529</v>
      </c>
      <c r="K14" t="s">
        <v>530</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531</v>
      </c>
      <c r="J15" s="17" t="s">
        <v>532</v>
      </c>
      <c r="K15" t="s">
        <v>533</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534</v>
      </c>
      <c r="J16" s="17" t="s">
        <v>515</v>
      </c>
      <c r="K16" t="s">
        <v>535</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536</v>
      </c>
      <c r="J17" s="17" t="s">
        <v>537</v>
      </c>
      <c r="K17" t="s">
        <v>538</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539</v>
      </c>
      <c r="J18" s="17" t="s">
        <v>540</v>
      </c>
      <c r="K18" t="s">
        <v>541</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542</v>
      </c>
      <c r="J19" s="17" t="s">
        <v>543</v>
      </c>
      <c r="K19" t="s">
        <v>543</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544</v>
      </c>
      <c r="J20" s="17" t="s">
        <v>502</v>
      </c>
      <c r="K20" t="s">
        <v>545</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546</v>
      </c>
      <c r="J21" s="17" t="s">
        <v>547</v>
      </c>
      <c r="K21" t="s">
        <v>548</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549</v>
      </c>
      <c r="J22" s="17" t="s">
        <v>507</v>
      </c>
      <c r="K22" t="s">
        <v>508</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550</v>
      </c>
      <c r="J23" s="17" t="s">
        <v>551</v>
      </c>
      <c r="K23" t="s">
        <v>552</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553</v>
      </c>
      <c r="J24" s="17" t="s">
        <v>554</v>
      </c>
      <c r="K24" t="s">
        <v>555</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556</v>
      </c>
      <c r="J25" s="17" t="s">
        <v>515</v>
      </c>
      <c r="K25" t="s">
        <v>526</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557</v>
      </c>
      <c r="J26" s="17" t="s">
        <v>551</v>
      </c>
      <c r="K26" t="s">
        <v>552</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558</v>
      </c>
      <c r="J27" s="17" t="s">
        <v>547</v>
      </c>
      <c r="K27" t="s">
        <v>559</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560</v>
      </c>
      <c r="J28" s="17" t="s">
        <v>547</v>
      </c>
      <c r="K28" t="s">
        <v>548</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561</v>
      </c>
      <c r="J29" s="17" t="s">
        <v>547</v>
      </c>
      <c r="K29" t="s">
        <v>559</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562</v>
      </c>
      <c r="J30" s="17" t="s">
        <v>502</v>
      </c>
      <c r="K30" t="s">
        <v>563</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564</v>
      </c>
      <c r="J31" s="17" t="s">
        <v>515</v>
      </c>
      <c r="K31" t="s">
        <v>516</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565</v>
      </c>
      <c r="J32" s="17" t="s">
        <v>529</v>
      </c>
      <c r="K32" t="s">
        <v>566</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567</v>
      </c>
      <c r="J33" s="17" t="s">
        <v>554</v>
      </c>
      <c r="K33" t="s">
        <v>568</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569</v>
      </c>
      <c r="J34" s="17" t="s">
        <v>529</v>
      </c>
      <c r="K34" t="s">
        <v>570</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571</v>
      </c>
      <c r="J35" s="17" t="s">
        <v>518</v>
      </c>
      <c r="K35" t="s">
        <v>519</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572</v>
      </c>
      <c r="J36" s="17" t="s">
        <v>502</v>
      </c>
      <c r="K36" t="s">
        <v>563</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573</v>
      </c>
      <c r="J37" s="17" t="s">
        <v>515</v>
      </c>
      <c r="K37" t="s">
        <v>516</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574</v>
      </c>
      <c r="J38" s="17" t="s">
        <v>515</v>
      </c>
      <c r="K38" t="s">
        <v>516</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575</v>
      </c>
      <c r="J39" s="17" t="s">
        <v>518</v>
      </c>
      <c r="K39" t="s">
        <v>576</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577</v>
      </c>
      <c r="J40" s="17" t="s">
        <v>554</v>
      </c>
      <c r="K40" t="s">
        <v>568</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578</v>
      </c>
      <c r="J41" s="17" t="s">
        <v>512</v>
      </c>
      <c r="K41" t="s">
        <v>579</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580</v>
      </c>
      <c r="J42" s="17" t="s">
        <v>554</v>
      </c>
      <c r="K42" t="s">
        <v>568</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581</v>
      </c>
      <c r="J43" s="17" t="s">
        <v>515</v>
      </c>
      <c r="K43" t="s">
        <v>516</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582</v>
      </c>
      <c r="J44" s="17" t="s">
        <v>515</v>
      </c>
      <c r="K44" t="s">
        <v>535</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583</v>
      </c>
      <c r="J45" s="17" t="s">
        <v>515</v>
      </c>
      <c r="K45" t="s">
        <v>584</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585</v>
      </c>
      <c r="J46" s="17" t="s">
        <v>502</v>
      </c>
      <c r="K46" t="s">
        <v>563</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586</v>
      </c>
      <c r="J47" s="17" t="s">
        <v>502</v>
      </c>
      <c r="K47" t="s">
        <v>563</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587</v>
      </c>
      <c r="J48" s="17" t="s">
        <v>515</v>
      </c>
      <c r="K48" t="s">
        <v>516</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588</v>
      </c>
      <c r="J49" s="17" t="s">
        <v>238</v>
      </c>
      <c r="K49" t="s">
        <v>589</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590</v>
      </c>
      <c r="J50" s="17" t="s">
        <v>518</v>
      </c>
      <c r="K50" t="s">
        <v>519</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591</v>
      </c>
      <c r="J51" s="17" t="s">
        <v>515</v>
      </c>
      <c r="K51" t="s">
        <v>516</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592</v>
      </c>
      <c r="J52" s="17" t="s">
        <v>547</v>
      </c>
      <c r="K52" t="s">
        <v>559</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593</v>
      </c>
      <c r="J53" s="17" t="s">
        <v>551</v>
      </c>
      <c r="K53" t="s">
        <v>594</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595</v>
      </c>
      <c r="J54" s="17" t="s">
        <v>554</v>
      </c>
      <c r="K54" t="s">
        <v>555</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596</v>
      </c>
      <c r="J55" s="17" t="s">
        <v>507</v>
      </c>
      <c r="K55" t="s">
        <v>597</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598</v>
      </c>
      <c r="J56" s="17" t="s">
        <v>515</v>
      </c>
      <c r="K56" t="s">
        <v>526</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599</v>
      </c>
      <c r="J57" s="17" t="s">
        <v>502</v>
      </c>
      <c r="K57" t="s">
        <v>600</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601</v>
      </c>
      <c r="J58" s="17" t="s">
        <v>238</v>
      </c>
      <c r="K58" t="s">
        <v>589</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602</v>
      </c>
      <c r="J59" s="17" t="s">
        <v>507</v>
      </c>
      <c r="K59" t="s">
        <v>603</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604</v>
      </c>
      <c r="J60" s="17" t="s">
        <v>523</v>
      </c>
      <c r="K60" t="s">
        <v>524</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605</v>
      </c>
      <c r="J61" s="17" t="s">
        <v>551</v>
      </c>
      <c r="K61" t="s">
        <v>606</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607</v>
      </c>
      <c r="J62" s="17" t="s">
        <v>502</v>
      </c>
      <c r="K62" t="s">
        <v>600</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608</v>
      </c>
      <c r="J63" s="17" t="s">
        <v>554</v>
      </c>
      <c r="K63" t="s">
        <v>555</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609</v>
      </c>
      <c r="J64" s="17" t="s">
        <v>610</v>
      </c>
      <c r="K64" t="s">
        <v>611</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612</v>
      </c>
      <c r="J65" s="17" t="s">
        <v>554</v>
      </c>
      <c r="K65" t="s">
        <v>555</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613</v>
      </c>
      <c r="J66" s="17" t="s">
        <v>547</v>
      </c>
      <c r="K66" t="s">
        <v>548</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614</v>
      </c>
      <c r="J67" s="17" t="s">
        <v>554</v>
      </c>
      <c r="K67" t="s">
        <v>555</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615</v>
      </c>
      <c r="J68" s="17" t="s">
        <v>523</v>
      </c>
      <c r="K68" t="s">
        <v>524</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616</v>
      </c>
      <c r="J69" s="17" t="s">
        <v>502</v>
      </c>
      <c r="K69" t="s">
        <v>521</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617</v>
      </c>
      <c r="J70" s="17" t="s">
        <v>499</v>
      </c>
      <c r="K70" t="s">
        <v>500</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618</v>
      </c>
      <c r="J71" s="17" t="s">
        <v>554</v>
      </c>
      <c r="K71" t="s">
        <v>555</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619</v>
      </c>
      <c r="J72" s="17" t="s">
        <v>523</v>
      </c>
      <c r="K72" t="s">
        <v>524</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620</v>
      </c>
      <c r="J73" s="17" t="s">
        <v>515</v>
      </c>
      <c r="K73" t="s">
        <v>526</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621</v>
      </c>
      <c r="J74" s="17" t="s">
        <v>622</v>
      </c>
      <c r="K74" t="s">
        <v>623</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624</v>
      </c>
      <c r="J75" s="17" t="s">
        <v>532</v>
      </c>
      <c r="K75" t="s">
        <v>625</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626</v>
      </c>
      <c r="J76" s="17" t="s">
        <v>499</v>
      </c>
      <c r="K76" t="s">
        <v>500</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627</v>
      </c>
      <c r="J77" s="17" t="s">
        <v>515</v>
      </c>
      <c r="K77" t="s">
        <v>584</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628</v>
      </c>
      <c r="J78" s="17" t="s">
        <v>540</v>
      </c>
      <c r="K78" t="s">
        <v>541</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629</v>
      </c>
      <c r="J79" s="17" t="s">
        <v>228</v>
      </c>
      <c r="K79" t="s">
        <v>630</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631</v>
      </c>
      <c r="J80" s="17" t="s">
        <v>515</v>
      </c>
      <c r="K80" t="s">
        <v>535</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632</v>
      </c>
      <c r="J81" s="17" t="s">
        <v>532</v>
      </c>
      <c r="K81" t="s">
        <v>625</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633</v>
      </c>
      <c r="J82" s="17" t="s">
        <v>547</v>
      </c>
      <c r="K82" t="s">
        <v>548</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634</v>
      </c>
      <c r="J83" s="17" t="s">
        <v>502</v>
      </c>
      <c r="K83" t="s">
        <v>545</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635</v>
      </c>
      <c r="J84" s="17" t="s">
        <v>610</v>
      </c>
      <c r="K84" t="s">
        <v>636</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637</v>
      </c>
      <c r="J85" s="17" t="s">
        <v>502</v>
      </c>
      <c r="K85" t="s">
        <v>600</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638</v>
      </c>
      <c r="J86" s="17" t="s">
        <v>554</v>
      </c>
      <c r="K86" t="s">
        <v>568</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639</v>
      </c>
      <c r="J87" s="17" t="s">
        <v>554</v>
      </c>
      <c r="K87" t="s">
        <v>568</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640</v>
      </c>
      <c r="J88" s="17" t="s">
        <v>622</v>
      </c>
      <c r="K88" t="s">
        <v>623</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641</v>
      </c>
      <c r="J89" s="17" t="s">
        <v>502</v>
      </c>
      <c r="K89" t="s">
        <v>545</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642</v>
      </c>
      <c r="J90" s="17" t="s">
        <v>529</v>
      </c>
      <c r="K90" t="s">
        <v>530</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643</v>
      </c>
      <c r="J91" s="17" t="s">
        <v>554</v>
      </c>
      <c r="K91" t="s">
        <v>644</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645</v>
      </c>
      <c r="J92" s="17" t="s">
        <v>554</v>
      </c>
      <c r="K92" t="s">
        <v>555</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646</v>
      </c>
      <c r="J93" s="17" t="s">
        <v>622</v>
      </c>
      <c r="K93" t="s">
        <v>647</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648</v>
      </c>
      <c r="J94" s="17" t="s">
        <v>523</v>
      </c>
      <c r="K94" t="s">
        <v>524</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649</v>
      </c>
      <c r="J95" s="17" t="s">
        <v>515</v>
      </c>
      <c r="K95" t="s">
        <v>535</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650</v>
      </c>
      <c r="J96" s="17" t="s">
        <v>554</v>
      </c>
      <c r="K96" t="s">
        <v>644</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651</v>
      </c>
      <c r="J97" s="17" t="s">
        <v>622</v>
      </c>
      <c r="K97" t="s">
        <v>652</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653</v>
      </c>
      <c r="J98" s="17" t="s">
        <v>537</v>
      </c>
      <c r="K98" t="s">
        <v>538</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654</v>
      </c>
      <c r="J99" s="17" t="s">
        <v>622</v>
      </c>
      <c r="K99" t="s">
        <v>623</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655</v>
      </c>
      <c r="J100" s="17" t="s">
        <v>610</v>
      </c>
      <c r="K100" t="s">
        <v>656</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657</v>
      </c>
      <c r="J101" s="17" t="s">
        <v>507</v>
      </c>
      <c r="K101" t="s">
        <v>603</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82</v>
      </c>
      <c r="B1" s="19" t="s">
        <v>476</v>
      </c>
      <c r="C1" s="19" t="s">
        <v>477</v>
      </c>
      <c r="D1" s="19" t="s">
        <v>365</v>
      </c>
      <c r="E1" s="22"/>
      <c r="F1" s="23" t="s">
        <v>208</v>
      </c>
      <c r="G1" s="20"/>
      <c r="H1" s="86" t="s">
        <v>475</v>
      </c>
      <c r="I1" s="86" t="s">
        <v>478</v>
      </c>
      <c r="J1" s="86" t="s">
        <v>479</v>
      </c>
      <c r="K1" s="86" t="s">
        <v>480</v>
      </c>
      <c r="L1" s="86" t="s">
        <v>481</v>
      </c>
      <c r="M1" s="86" t="s">
        <v>482</v>
      </c>
      <c r="N1" s="86" t="s">
        <v>483</v>
      </c>
      <c r="O1" s="86" t="s">
        <v>784</v>
      </c>
      <c r="P1" s="86" t="s">
        <v>785</v>
      </c>
      <c r="Q1" s="86" t="s">
        <v>489</v>
      </c>
      <c r="R1" s="86" t="s">
        <v>786</v>
      </c>
      <c r="S1" s="86" t="s">
        <v>787</v>
      </c>
      <c r="T1" s="86" t="s">
        <v>788</v>
      </c>
      <c r="U1" s="86" t="s">
        <v>789</v>
      </c>
      <c r="V1" s="86" t="s">
        <v>28</v>
      </c>
      <c r="W1" s="86" t="s">
        <v>790</v>
      </c>
      <c r="X1" s="86" t="s">
        <v>791</v>
      </c>
      <c r="Y1" s="18" t="s">
        <v>497</v>
      </c>
      <c r="AA1" s="87" t="s">
        <v>783</v>
      </c>
    </row>
    <row r="2" spans="1:27" x14ac:dyDescent="0.15">
      <c r="A2">
        <v>1</v>
      </c>
      <c r="B2">
        <v>600704</v>
      </c>
      <c r="C2" t="s">
        <v>936</v>
      </c>
      <c r="D2" t="e">
        <f t="shared" ref="D2:D11" si="0">MATCH(B2,$H$2:$H$3898,0)</f>
        <v>#N/A</v>
      </c>
      <c r="G2" s="11">
        <v>1</v>
      </c>
      <c r="H2" s="84">
        <v>603071</v>
      </c>
      <c r="I2" s="84" t="s">
        <v>792</v>
      </c>
      <c r="J2" s="84" t="s">
        <v>507</v>
      </c>
      <c r="K2" s="84" t="s">
        <v>603</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809</v>
      </c>
      <c r="D3">
        <f t="shared" si="0"/>
        <v>13</v>
      </c>
      <c r="G3" s="11">
        <v>2</v>
      </c>
      <c r="H3" s="84">
        <v>600998</v>
      </c>
      <c r="I3" s="84" t="s">
        <v>793</v>
      </c>
      <c r="J3" s="84" t="s">
        <v>794</v>
      </c>
      <c r="K3" s="84" t="s">
        <v>795</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804</v>
      </c>
      <c r="D4">
        <f t="shared" si="0"/>
        <v>8</v>
      </c>
      <c r="G4" s="11">
        <v>3</v>
      </c>
      <c r="H4" s="84">
        <v>600073</v>
      </c>
      <c r="I4" s="84" t="s">
        <v>796</v>
      </c>
      <c r="J4" s="84" t="s">
        <v>797</v>
      </c>
      <c r="K4" s="84" t="s">
        <v>798</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805</v>
      </c>
      <c r="D5">
        <f t="shared" si="0"/>
        <v>9</v>
      </c>
      <c r="G5" s="11">
        <v>4</v>
      </c>
      <c r="H5" s="84">
        <v>600362</v>
      </c>
      <c r="I5" s="84" t="s">
        <v>799</v>
      </c>
      <c r="J5" s="84" t="s">
        <v>228</v>
      </c>
      <c r="K5" s="84" t="s">
        <v>630</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799</v>
      </c>
      <c r="D6">
        <f t="shared" si="0"/>
        <v>4</v>
      </c>
      <c r="G6" s="11">
        <v>5</v>
      </c>
      <c r="H6" s="84">
        <v>600820</v>
      </c>
      <c r="I6" s="84" t="s">
        <v>800</v>
      </c>
      <c r="J6" s="84" t="s">
        <v>502</v>
      </c>
      <c r="K6" s="84" t="s">
        <v>503</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937</v>
      </c>
      <c r="D7" t="e">
        <f t="shared" si="0"/>
        <v>#N/A</v>
      </c>
      <c r="G7" s="11">
        <v>6</v>
      </c>
      <c r="H7" s="84">
        <v>601607</v>
      </c>
      <c r="I7" s="84" t="s">
        <v>801</v>
      </c>
      <c r="J7" s="84" t="s">
        <v>794</v>
      </c>
      <c r="K7" s="84" t="s">
        <v>795</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806</v>
      </c>
      <c r="D8">
        <f t="shared" si="0"/>
        <v>10</v>
      </c>
      <c r="G8" s="11">
        <v>7</v>
      </c>
      <c r="H8" s="84">
        <v>600755</v>
      </c>
      <c r="I8" s="84" t="s">
        <v>802</v>
      </c>
      <c r="J8" s="84" t="s">
        <v>610</v>
      </c>
      <c r="K8" s="84" t="s">
        <v>803</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824</v>
      </c>
      <c r="D9">
        <f t="shared" si="0"/>
        <v>23</v>
      </c>
      <c r="G9" s="11">
        <v>8</v>
      </c>
      <c r="H9" s="84">
        <v>601618</v>
      </c>
      <c r="I9" s="84" t="s">
        <v>804</v>
      </c>
      <c r="J9" s="84" t="s">
        <v>502</v>
      </c>
      <c r="K9" s="84" t="s">
        <v>545</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792</v>
      </c>
      <c r="D10">
        <f t="shared" si="0"/>
        <v>1</v>
      </c>
      <c r="G10" s="11">
        <v>9</v>
      </c>
      <c r="H10" s="84">
        <v>600713</v>
      </c>
      <c r="I10" s="84" t="s">
        <v>805</v>
      </c>
      <c r="J10" s="84" t="s">
        <v>794</v>
      </c>
      <c r="K10" s="84" t="s">
        <v>795</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800</v>
      </c>
      <c r="D11">
        <f t="shared" si="0"/>
        <v>5</v>
      </c>
      <c r="G11" s="11">
        <v>10</v>
      </c>
      <c r="H11" s="84">
        <v>600710</v>
      </c>
      <c r="I11" s="84" t="s">
        <v>806</v>
      </c>
      <c r="J11" s="84" t="s">
        <v>610</v>
      </c>
      <c r="K11" s="84" t="s">
        <v>803</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807</v>
      </c>
      <c r="J12" s="84" t="s">
        <v>502</v>
      </c>
      <c r="K12" s="84" t="s">
        <v>503</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808</v>
      </c>
      <c r="J13" s="84" t="s">
        <v>794</v>
      </c>
      <c r="K13" s="84" t="s">
        <v>795</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809</v>
      </c>
      <c r="J14" s="84" t="s">
        <v>810</v>
      </c>
      <c r="K14" s="84" t="s">
        <v>811</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812</v>
      </c>
      <c r="J15" s="84" t="s">
        <v>523</v>
      </c>
      <c r="K15" s="84" t="s">
        <v>524</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813</v>
      </c>
      <c r="J16" s="84" t="s">
        <v>228</v>
      </c>
      <c r="K16" s="84" t="s">
        <v>630</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814</v>
      </c>
      <c r="J17" s="84" t="s">
        <v>512</v>
      </c>
      <c r="K17" s="84" t="s">
        <v>513</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815</v>
      </c>
      <c r="J18" s="84" t="s">
        <v>518</v>
      </c>
      <c r="K18" s="84" t="s">
        <v>519</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816</v>
      </c>
      <c r="J19" s="84" t="s">
        <v>817</v>
      </c>
      <c r="K19" s="84" t="s">
        <v>818</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819</v>
      </c>
      <c r="J20" s="84" t="s">
        <v>512</v>
      </c>
      <c r="K20" s="84" t="s">
        <v>513</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820</v>
      </c>
      <c r="J21" s="84" t="s">
        <v>515</v>
      </c>
      <c r="K21" s="84" t="s">
        <v>535</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821</v>
      </c>
      <c r="J22" s="84" t="s">
        <v>822</v>
      </c>
      <c r="K22" s="84" t="s">
        <v>822</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823</v>
      </c>
      <c r="J23" s="84" t="s">
        <v>822</v>
      </c>
      <c r="K23" s="84" t="s">
        <v>822</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824</v>
      </c>
      <c r="J24" s="84" t="s">
        <v>502</v>
      </c>
      <c r="K24" s="84" t="s">
        <v>503</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825</v>
      </c>
      <c r="J25" s="84" t="s">
        <v>507</v>
      </c>
      <c r="K25" s="84" t="s">
        <v>603</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826</v>
      </c>
      <c r="J26" s="84" t="s">
        <v>518</v>
      </c>
      <c r="K26" s="84" t="s">
        <v>519</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827</v>
      </c>
      <c r="J27" s="84" t="s">
        <v>610</v>
      </c>
      <c r="K27" s="84" t="s">
        <v>803</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828</v>
      </c>
      <c r="J28" s="84" t="s">
        <v>515</v>
      </c>
      <c r="K28" s="84" t="s">
        <v>526</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829</v>
      </c>
      <c r="J29" s="84" t="s">
        <v>512</v>
      </c>
      <c r="K29" s="84" t="s">
        <v>513</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830</v>
      </c>
      <c r="J30" s="84" t="s">
        <v>831</v>
      </c>
      <c r="K30" s="84" t="s">
        <v>832</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833</v>
      </c>
      <c r="J31" s="84" t="s">
        <v>529</v>
      </c>
      <c r="K31" s="84" t="s">
        <v>566</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834</v>
      </c>
      <c r="J32" s="84" t="s">
        <v>622</v>
      </c>
      <c r="K32" s="84" t="s">
        <v>623</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835</v>
      </c>
      <c r="J33" s="84" t="s">
        <v>822</v>
      </c>
      <c r="K33" s="84" t="s">
        <v>822</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836</v>
      </c>
      <c r="J34" s="84" t="s">
        <v>507</v>
      </c>
      <c r="K34" s="84" t="s">
        <v>510</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837</v>
      </c>
      <c r="J35" s="84" t="s">
        <v>610</v>
      </c>
      <c r="K35" s="84" t="s">
        <v>611</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838</v>
      </c>
      <c r="J36" s="84" t="s">
        <v>554</v>
      </c>
      <c r="K36" s="84" t="s">
        <v>568</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839</v>
      </c>
      <c r="J37" s="84" t="s">
        <v>512</v>
      </c>
      <c r="K37" s="84" t="s">
        <v>513</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840</v>
      </c>
      <c r="J38" s="84" t="s">
        <v>502</v>
      </c>
      <c r="K38" s="84" t="s">
        <v>503</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841</v>
      </c>
      <c r="J39" s="84" t="s">
        <v>515</v>
      </c>
      <c r="K39" s="84" t="s">
        <v>526</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842</v>
      </c>
      <c r="J40" s="84" t="s">
        <v>507</v>
      </c>
      <c r="K40" s="84" t="s">
        <v>597</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843</v>
      </c>
      <c r="J41" s="84" t="s">
        <v>502</v>
      </c>
      <c r="K41" s="84" t="s">
        <v>503</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844</v>
      </c>
      <c r="J42" s="84" t="s">
        <v>831</v>
      </c>
      <c r="K42" s="84" t="s">
        <v>845</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846</v>
      </c>
      <c r="J43" s="84" t="s">
        <v>502</v>
      </c>
      <c r="K43" s="84" t="s">
        <v>521</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847</v>
      </c>
      <c r="J44" s="84" t="s">
        <v>554</v>
      </c>
      <c r="K44" s="84" t="s">
        <v>555</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848</v>
      </c>
      <c r="J45" s="84" t="s">
        <v>794</v>
      </c>
      <c r="K45" s="84" t="s">
        <v>795</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849</v>
      </c>
      <c r="J46" s="84" t="s">
        <v>507</v>
      </c>
      <c r="K46" s="84" t="s">
        <v>508</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850</v>
      </c>
      <c r="J47" s="84" t="s">
        <v>810</v>
      </c>
      <c r="K47" s="84" t="s">
        <v>811</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851</v>
      </c>
      <c r="J48" s="84" t="s">
        <v>822</v>
      </c>
      <c r="K48" s="84" t="s">
        <v>822</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852</v>
      </c>
      <c r="J49" s="84" t="s">
        <v>822</v>
      </c>
      <c r="K49" s="84" t="s">
        <v>822</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853</v>
      </c>
      <c r="J50" s="84" t="s">
        <v>507</v>
      </c>
      <c r="K50" s="84" t="s">
        <v>603</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854</v>
      </c>
      <c r="J51" s="84" t="s">
        <v>507</v>
      </c>
      <c r="K51" s="84" t="s">
        <v>510</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855</v>
      </c>
      <c r="J52" s="84" t="s">
        <v>507</v>
      </c>
      <c r="K52" s="84" t="s">
        <v>603</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856</v>
      </c>
      <c r="J53" s="84" t="s">
        <v>822</v>
      </c>
      <c r="K53" s="84" t="s">
        <v>822</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857</v>
      </c>
      <c r="J54" s="84" t="s">
        <v>518</v>
      </c>
      <c r="K54" s="84" t="s">
        <v>519</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858</v>
      </c>
      <c r="J55" s="84" t="s">
        <v>502</v>
      </c>
      <c r="K55" s="84" t="s">
        <v>503</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859</v>
      </c>
      <c r="J56" s="84" t="s">
        <v>797</v>
      </c>
      <c r="K56" s="84" t="s">
        <v>798</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860</v>
      </c>
      <c r="J57" s="84" t="s">
        <v>551</v>
      </c>
      <c r="K57" s="84" t="s">
        <v>552</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861</v>
      </c>
      <c r="J58" s="84" t="s">
        <v>822</v>
      </c>
      <c r="K58" s="84" t="s">
        <v>822</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862</v>
      </c>
      <c r="J59" s="84" t="s">
        <v>547</v>
      </c>
      <c r="K59" s="84" t="s">
        <v>559</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863</v>
      </c>
      <c r="J60" s="84" t="s">
        <v>822</v>
      </c>
      <c r="K60" s="84" t="s">
        <v>822</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864</v>
      </c>
      <c r="J61" s="84" t="s">
        <v>822</v>
      </c>
      <c r="K61" s="84" t="s">
        <v>822</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865</v>
      </c>
      <c r="J62" s="84" t="s">
        <v>518</v>
      </c>
      <c r="K62" s="84" t="s">
        <v>519</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866</v>
      </c>
      <c r="J63" s="84" t="s">
        <v>554</v>
      </c>
      <c r="K63" s="84" t="s">
        <v>867</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868</v>
      </c>
      <c r="J64" s="84" t="s">
        <v>502</v>
      </c>
      <c r="K64" s="84" t="s">
        <v>545</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869</v>
      </c>
      <c r="J65" s="84" t="s">
        <v>551</v>
      </c>
      <c r="K65" s="84" t="s">
        <v>594</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870</v>
      </c>
      <c r="J66" s="84" t="s">
        <v>831</v>
      </c>
      <c r="K66" s="84" t="s">
        <v>871</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872</v>
      </c>
      <c r="J67" s="84" t="s">
        <v>794</v>
      </c>
      <c r="K67" s="84" t="s">
        <v>246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873</v>
      </c>
      <c r="J68" s="84" t="s">
        <v>507</v>
      </c>
      <c r="K68" s="84" t="s">
        <v>597</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874</v>
      </c>
      <c r="J69" s="84" t="s">
        <v>502</v>
      </c>
      <c r="K69" s="84" t="s">
        <v>503</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875</v>
      </c>
      <c r="J70" s="84" t="s">
        <v>551</v>
      </c>
      <c r="K70" s="84" t="s">
        <v>594</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876</v>
      </c>
      <c r="J71" s="84" t="s">
        <v>502</v>
      </c>
      <c r="K71" s="84" t="s">
        <v>503</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877</v>
      </c>
      <c r="J72" s="84" t="s">
        <v>502</v>
      </c>
      <c r="K72" s="84" t="s">
        <v>503</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878</v>
      </c>
      <c r="J73" s="84" t="s">
        <v>554</v>
      </c>
      <c r="K73" s="84" t="s">
        <v>568</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879</v>
      </c>
      <c r="J74" s="84" t="s">
        <v>540</v>
      </c>
      <c r="K74" s="84" t="s">
        <v>541</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880</v>
      </c>
      <c r="J75" s="84" t="s">
        <v>518</v>
      </c>
      <c r="K75" s="84" t="s">
        <v>881</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882</v>
      </c>
      <c r="J76" s="84" t="s">
        <v>622</v>
      </c>
      <c r="K76" s="84" t="s">
        <v>647</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883</v>
      </c>
      <c r="J77" s="84" t="s">
        <v>518</v>
      </c>
      <c r="K77" s="84" t="s">
        <v>576</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884</v>
      </c>
      <c r="J78" s="84" t="s">
        <v>529</v>
      </c>
      <c r="K78" s="84" t="s">
        <v>885</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886</v>
      </c>
      <c r="J79" s="84" t="s">
        <v>228</v>
      </c>
      <c r="K79" s="84" t="s">
        <v>630</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887</v>
      </c>
      <c r="J80" s="84" t="s">
        <v>554</v>
      </c>
      <c r="K80" s="84" t="s">
        <v>568</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888</v>
      </c>
      <c r="J81" s="84" t="s">
        <v>822</v>
      </c>
      <c r="K81" s="84" t="s">
        <v>822</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889</v>
      </c>
      <c r="J82" s="84" t="s">
        <v>794</v>
      </c>
      <c r="K82" s="84" t="s">
        <v>890</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891</v>
      </c>
      <c r="J83" s="84" t="s">
        <v>554</v>
      </c>
      <c r="K83" s="84" t="s">
        <v>867</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892</v>
      </c>
      <c r="J84" s="84" t="s">
        <v>893</v>
      </c>
      <c r="K84" s="84" t="s">
        <v>894</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895</v>
      </c>
      <c r="J85" s="84" t="s">
        <v>831</v>
      </c>
      <c r="K85" s="84" t="s">
        <v>845</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896</v>
      </c>
      <c r="J86" s="84" t="s">
        <v>822</v>
      </c>
      <c r="K86" s="84" t="s">
        <v>822</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897</v>
      </c>
      <c r="J87" s="84" t="s">
        <v>822</v>
      </c>
      <c r="K87" s="84" t="s">
        <v>822</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898</v>
      </c>
      <c r="J88" s="84" t="s">
        <v>822</v>
      </c>
      <c r="K88" s="84" t="s">
        <v>822</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899</v>
      </c>
      <c r="J89" s="84" t="s">
        <v>794</v>
      </c>
      <c r="K89" s="84" t="s">
        <v>246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900</v>
      </c>
      <c r="J90" s="84" t="s">
        <v>529</v>
      </c>
      <c r="K90" s="84" t="s">
        <v>885</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901</v>
      </c>
      <c r="J91" s="84" t="s">
        <v>499</v>
      </c>
      <c r="K91" s="84" t="s">
        <v>500</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902</v>
      </c>
      <c r="J92" s="84" t="s">
        <v>551</v>
      </c>
      <c r="K92" s="84" t="s">
        <v>594</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903</v>
      </c>
      <c r="J93" s="84" t="s">
        <v>507</v>
      </c>
      <c r="K93" s="84" t="s">
        <v>597</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904</v>
      </c>
      <c r="J94" s="84" t="s">
        <v>537</v>
      </c>
      <c r="K94" s="84" t="s">
        <v>905</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906</v>
      </c>
      <c r="J95" s="84" t="s">
        <v>554</v>
      </c>
      <c r="K95" s="84" t="s">
        <v>568</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907</v>
      </c>
      <c r="J96" s="84" t="s">
        <v>547</v>
      </c>
      <c r="K96" s="84" t="s">
        <v>559</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908</v>
      </c>
      <c r="J97" s="84" t="s">
        <v>622</v>
      </c>
      <c r="K97" s="84" t="s">
        <v>623</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909</v>
      </c>
      <c r="J98" s="84" t="s">
        <v>547</v>
      </c>
      <c r="K98" s="84" t="s">
        <v>548</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910</v>
      </c>
      <c r="J99" s="84" t="s">
        <v>515</v>
      </c>
      <c r="K99" s="84" t="s">
        <v>526</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911</v>
      </c>
      <c r="J100" s="84" t="s">
        <v>515</v>
      </c>
      <c r="K100" s="84" t="s">
        <v>526</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912</v>
      </c>
      <c r="J101" s="84" t="s">
        <v>822</v>
      </c>
      <c r="K101" s="84" t="s">
        <v>822</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82</v>
      </c>
      <c r="B1" s="19" t="s">
        <v>476</v>
      </c>
      <c r="C1" s="19" t="s">
        <v>477</v>
      </c>
      <c r="D1" s="19" t="s">
        <v>365</v>
      </c>
      <c r="E1" s="22"/>
      <c r="F1" s="23" t="s">
        <v>208</v>
      </c>
      <c r="G1" s="20"/>
      <c r="H1" s="86" t="s">
        <v>475</v>
      </c>
      <c r="I1" s="86" t="s">
        <v>478</v>
      </c>
      <c r="J1" s="86" t="s">
        <v>479</v>
      </c>
      <c r="K1" s="86" t="s">
        <v>480</v>
      </c>
      <c r="L1" s="86" t="s">
        <v>481</v>
      </c>
      <c r="M1" s="86" t="s">
        <v>482</v>
      </c>
      <c r="N1" s="86" t="s">
        <v>483</v>
      </c>
      <c r="O1" s="86" t="s">
        <v>939</v>
      </c>
      <c r="P1" s="86" t="s">
        <v>940</v>
      </c>
      <c r="Q1" s="86" t="s">
        <v>941</v>
      </c>
      <c r="R1" s="86" t="s">
        <v>942</v>
      </c>
      <c r="S1" s="86" t="s">
        <v>943</v>
      </c>
      <c r="T1" s="86" t="s">
        <v>789</v>
      </c>
      <c r="U1" s="86" t="s">
        <v>944</v>
      </c>
      <c r="V1" s="86" t="s">
        <v>28</v>
      </c>
      <c r="W1" s="86" t="s">
        <v>791</v>
      </c>
      <c r="X1" s="86" t="s">
        <v>945</v>
      </c>
      <c r="Y1" s="18" t="s">
        <v>497</v>
      </c>
      <c r="AA1" s="87" t="s">
        <v>938</v>
      </c>
    </row>
    <row r="2" spans="1:27" x14ac:dyDescent="0.15">
      <c r="A2">
        <v>1</v>
      </c>
      <c r="B2">
        <v>895</v>
      </c>
      <c r="C2" t="s">
        <v>859</v>
      </c>
      <c r="D2">
        <f t="shared" ref="D2:D11" si="0">MATCH(B2,$H$2:$H$3879,0)</f>
        <v>1</v>
      </c>
      <c r="G2" s="11">
        <v>1</v>
      </c>
      <c r="H2" s="85">
        <v>895</v>
      </c>
      <c r="I2" s="85" t="s">
        <v>859</v>
      </c>
      <c r="J2" s="85" t="s">
        <v>797</v>
      </c>
      <c r="K2" s="85" t="s">
        <v>798</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967</v>
      </c>
      <c r="D3">
        <f t="shared" si="0"/>
        <v>31</v>
      </c>
      <c r="G3" s="11">
        <v>2</v>
      </c>
      <c r="H3" s="85">
        <v>601156</v>
      </c>
      <c r="I3" s="85" t="s">
        <v>946</v>
      </c>
      <c r="J3" s="85" t="s">
        <v>512</v>
      </c>
      <c r="K3" s="85" t="s">
        <v>513</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826</v>
      </c>
      <c r="D4">
        <f t="shared" si="0"/>
        <v>88</v>
      </c>
      <c r="G4" s="11">
        <v>3</v>
      </c>
      <c r="H4" s="85">
        <v>429</v>
      </c>
      <c r="I4" s="85" t="s">
        <v>947</v>
      </c>
      <c r="J4" s="85" t="s">
        <v>512</v>
      </c>
      <c r="K4" s="85" t="s">
        <v>948</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974</v>
      </c>
      <c r="D5">
        <f t="shared" si="0"/>
        <v>47</v>
      </c>
      <c r="G5" s="11">
        <v>4</v>
      </c>
      <c r="H5" s="85">
        <v>600179</v>
      </c>
      <c r="I5" s="85" t="s">
        <v>949</v>
      </c>
      <c r="J5" s="85" t="s">
        <v>512</v>
      </c>
      <c r="K5" s="85" t="s">
        <v>513</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926</v>
      </c>
      <c r="D6">
        <f t="shared" si="0"/>
        <v>23</v>
      </c>
      <c r="G6" s="11">
        <v>5</v>
      </c>
      <c r="H6" s="85">
        <v>603071</v>
      </c>
      <c r="I6" s="85" t="s">
        <v>792</v>
      </c>
      <c r="J6" s="85" t="s">
        <v>507</v>
      </c>
      <c r="K6" s="85" t="s">
        <v>603</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947</v>
      </c>
      <c r="D7">
        <f t="shared" si="0"/>
        <v>3</v>
      </c>
      <c r="G7" s="11">
        <v>6</v>
      </c>
      <c r="H7" s="85">
        <v>600519</v>
      </c>
      <c r="I7" s="85" t="s">
        <v>950</v>
      </c>
      <c r="J7" s="85" t="s">
        <v>797</v>
      </c>
      <c r="K7" s="85" t="s">
        <v>930</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950</v>
      </c>
      <c r="D8">
        <f t="shared" si="0"/>
        <v>6</v>
      </c>
      <c r="G8" s="11">
        <v>7</v>
      </c>
      <c r="H8" s="85">
        <v>600039</v>
      </c>
      <c r="I8" s="85" t="s">
        <v>876</v>
      </c>
      <c r="J8" s="85" t="s">
        <v>502</v>
      </c>
      <c r="K8" s="85" t="s">
        <v>503</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970</v>
      </c>
      <c r="D9">
        <f t="shared" si="0"/>
        <v>37</v>
      </c>
      <c r="G9" s="11">
        <v>8</v>
      </c>
      <c r="H9" s="85">
        <v>600064</v>
      </c>
      <c r="I9" s="85" t="s">
        <v>951</v>
      </c>
      <c r="J9" s="85" t="s">
        <v>540</v>
      </c>
      <c r="K9" s="85" t="s">
        <v>952</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949</v>
      </c>
      <c r="D10">
        <f t="shared" si="0"/>
        <v>4</v>
      </c>
      <c r="G10" s="11">
        <v>9</v>
      </c>
      <c r="H10" s="85">
        <v>600461</v>
      </c>
      <c r="I10" s="85" t="s">
        <v>953</v>
      </c>
      <c r="J10" s="85" t="s">
        <v>507</v>
      </c>
      <c r="K10" s="85" t="s">
        <v>510</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865</v>
      </c>
      <c r="D11">
        <f t="shared" si="0"/>
        <v>24</v>
      </c>
      <c r="G11" s="11">
        <v>10</v>
      </c>
      <c r="H11" s="85">
        <v>600598</v>
      </c>
      <c r="I11" s="85" t="s">
        <v>954</v>
      </c>
      <c r="J11" s="85" t="s">
        <v>529</v>
      </c>
      <c r="K11" s="85" t="s">
        <v>530</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955</v>
      </c>
      <c r="J12" s="85" t="s">
        <v>512</v>
      </c>
      <c r="K12" s="85" t="s">
        <v>956</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924</v>
      </c>
      <c r="J13" s="85" t="s">
        <v>822</v>
      </c>
      <c r="K13" s="85" t="s">
        <v>822</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932</v>
      </c>
      <c r="J14" s="85" t="s">
        <v>507</v>
      </c>
      <c r="K14" s="85" t="s">
        <v>508</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957</v>
      </c>
      <c r="J15" s="85" t="s">
        <v>610</v>
      </c>
      <c r="K15" s="85" t="s">
        <v>636</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958</v>
      </c>
      <c r="J16" s="85" t="s">
        <v>610</v>
      </c>
      <c r="K16" s="85" t="s">
        <v>656</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959</v>
      </c>
      <c r="J17" s="85" t="s">
        <v>529</v>
      </c>
      <c r="K17" s="85" t="s">
        <v>885</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960</v>
      </c>
      <c r="J18" s="85" t="s">
        <v>822</v>
      </c>
      <c r="K18" s="85" t="s">
        <v>822</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914</v>
      </c>
      <c r="J19" s="85" t="s">
        <v>822</v>
      </c>
      <c r="K19" s="85" t="s">
        <v>822</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925</v>
      </c>
      <c r="J20" s="85" t="s">
        <v>554</v>
      </c>
      <c r="K20" s="85" t="s">
        <v>568</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815</v>
      </c>
      <c r="J21" s="85" t="s">
        <v>518</v>
      </c>
      <c r="K21" s="85" t="s">
        <v>519</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911</v>
      </c>
      <c r="J22" s="85" t="s">
        <v>515</v>
      </c>
      <c r="K22" s="85" t="s">
        <v>526</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922</v>
      </c>
      <c r="J23" s="85" t="s">
        <v>822</v>
      </c>
      <c r="K23" s="85" t="s">
        <v>822</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926</v>
      </c>
      <c r="J24" s="85" t="s">
        <v>893</v>
      </c>
      <c r="K24" s="85" t="s">
        <v>913</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865</v>
      </c>
      <c r="J25" s="85" t="s">
        <v>518</v>
      </c>
      <c r="K25" s="85" t="s">
        <v>519</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961</v>
      </c>
      <c r="J26" s="85" t="s">
        <v>507</v>
      </c>
      <c r="K26" s="85" t="s">
        <v>510</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962</v>
      </c>
      <c r="J27" s="85" t="s">
        <v>507</v>
      </c>
      <c r="K27" s="85" t="s">
        <v>508</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916</v>
      </c>
      <c r="J28" s="85" t="s">
        <v>797</v>
      </c>
      <c r="K28" s="85" t="s">
        <v>798</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963</v>
      </c>
      <c r="J29" s="85" t="s">
        <v>554</v>
      </c>
      <c r="K29" s="85" t="s">
        <v>568</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964</v>
      </c>
      <c r="J30" s="85" t="s">
        <v>554</v>
      </c>
      <c r="K30" s="85" t="s">
        <v>568</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965</v>
      </c>
      <c r="J31" s="85" t="s">
        <v>512</v>
      </c>
      <c r="K31" s="85" t="s">
        <v>966</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967</v>
      </c>
      <c r="J32" s="85" t="s">
        <v>794</v>
      </c>
      <c r="K32" s="85" t="s">
        <v>968</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923</v>
      </c>
      <c r="J33" s="85" t="s">
        <v>822</v>
      </c>
      <c r="K33" s="85" t="s">
        <v>822</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936</v>
      </c>
      <c r="J34" s="85" t="s">
        <v>512</v>
      </c>
      <c r="K34" s="85" t="s">
        <v>513</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918</v>
      </c>
      <c r="J35" s="85" t="s">
        <v>822</v>
      </c>
      <c r="K35" s="85" t="s">
        <v>822</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969</v>
      </c>
      <c r="J36" s="85" t="s">
        <v>512</v>
      </c>
      <c r="K36" s="85" t="s">
        <v>956</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835</v>
      </c>
      <c r="J37" s="85" t="s">
        <v>822</v>
      </c>
      <c r="K37" s="85" t="s">
        <v>822</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970</v>
      </c>
      <c r="J38" s="85" t="s">
        <v>794</v>
      </c>
      <c r="K38" s="85" t="s">
        <v>246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836</v>
      </c>
      <c r="J39" s="85" t="s">
        <v>507</v>
      </c>
      <c r="K39" s="85" t="s">
        <v>510</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971</v>
      </c>
      <c r="J40" s="85" t="s">
        <v>797</v>
      </c>
      <c r="K40" s="85" t="s">
        <v>930</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933</v>
      </c>
      <c r="J41" s="85" t="s">
        <v>810</v>
      </c>
      <c r="K41" s="85" t="s">
        <v>934</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972</v>
      </c>
      <c r="J42" s="85" t="s">
        <v>507</v>
      </c>
      <c r="K42" s="85" t="s">
        <v>510</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851</v>
      </c>
      <c r="J43" s="85" t="s">
        <v>822</v>
      </c>
      <c r="K43" s="85" t="s">
        <v>822</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861</v>
      </c>
      <c r="J44" s="85" t="s">
        <v>822</v>
      </c>
      <c r="K44" s="85" t="s">
        <v>822</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912</v>
      </c>
      <c r="J45" s="85" t="s">
        <v>822</v>
      </c>
      <c r="K45" s="85" t="s">
        <v>822</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903</v>
      </c>
      <c r="J46" s="85" t="s">
        <v>507</v>
      </c>
      <c r="K46" s="85" t="s">
        <v>597</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973</v>
      </c>
      <c r="J47" s="85" t="s">
        <v>822</v>
      </c>
      <c r="K47" s="85" t="s">
        <v>822</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974</v>
      </c>
      <c r="J48" s="85" t="s">
        <v>540</v>
      </c>
      <c r="K48" s="85" t="s">
        <v>541</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975</v>
      </c>
      <c r="J49" s="85" t="s">
        <v>507</v>
      </c>
      <c r="K49" s="85" t="s">
        <v>603</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976</v>
      </c>
      <c r="J50" s="85" t="s">
        <v>893</v>
      </c>
      <c r="K50" s="85" t="s">
        <v>913</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977</v>
      </c>
      <c r="J51" s="85" t="s">
        <v>523</v>
      </c>
      <c r="K51" s="85" t="s">
        <v>524</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978</v>
      </c>
      <c r="J52" s="85" t="s">
        <v>507</v>
      </c>
      <c r="K52" s="85" t="s">
        <v>508</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928</v>
      </c>
      <c r="J53" s="85" t="s">
        <v>822</v>
      </c>
      <c r="K53" s="85" t="s">
        <v>822</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979</v>
      </c>
      <c r="J54" s="85" t="s">
        <v>512</v>
      </c>
      <c r="K54" s="85" t="s">
        <v>948</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917</v>
      </c>
      <c r="J55" s="85" t="s">
        <v>822</v>
      </c>
      <c r="K55" s="85" t="s">
        <v>822</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888</v>
      </c>
      <c r="J56" s="85" t="s">
        <v>822</v>
      </c>
      <c r="K56" s="85" t="s">
        <v>822</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980</v>
      </c>
      <c r="J57" s="85" t="s">
        <v>507</v>
      </c>
      <c r="K57" s="85" t="s">
        <v>603</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981</v>
      </c>
      <c r="J58" s="85" t="s">
        <v>893</v>
      </c>
      <c r="K58" s="85" t="s">
        <v>913</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982</v>
      </c>
      <c r="J59" s="85" t="s">
        <v>507</v>
      </c>
      <c r="K59" s="85" t="s">
        <v>603</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929</v>
      </c>
      <c r="J60" s="85" t="s">
        <v>797</v>
      </c>
      <c r="K60" s="85" t="s">
        <v>930</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935</v>
      </c>
      <c r="J61" s="85" t="s">
        <v>822</v>
      </c>
      <c r="K61" s="85" t="s">
        <v>822</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897</v>
      </c>
      <c r="J62" s="85" t="s">
        <v>822</v>
      </c>
      <c r="K62" s="85" t="s">
        <v>822</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983</v>
      </c>
      <c r="J63" s="85" t="s">
        <v>547</v>
      </c>
      <c r="K63" s="85" t="s">
        <v>559</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984</v>
      </c>
      <c r="J64" s="85" t="s">
        <v>507</v>
      </c>
      <c r="K64" s="85" t="s">
        <v>597</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915</v>
      </c>
      <c r="J65" s="85" t="s">
        <v>822</v>
      </c>
      <c r="K65" s="85" t="s">
        <v>822</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985</v>
      </c>
      <c r="J66" s="85" t="s">
        <v>831</v>
      </c>
      <c r="K66" s="85" t="s">
        <v>845</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921</v>
      </c>
      <c r="J67" s="85" t="s">
        <v>822</v>
      </c>
      <c r="K67" s="85" t="s">
        <v>822</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986</v>
      </c>
      <c r="J68" s="85" t="s">
        <v>610</v>
      </c>
      <c r="K68" s="85" t="s">
        <v>656</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987</v>
      </c>
      <c r="J69" s="85" t="s">
        <v>512</v>
      </c>
      <c r="K69" s="85" t="s">
        <v>988</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863</v>
      </c>
      <c r="J70" s="85" t="s">
        <v>822</v>
      </c>
      <c r="K70" s="85" t="s">
        <v>822</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989</v>
      </c>
      <c r="J71" s="85" t="s">
        <v>507</v>
      </c>
      <c r="K71" s="85" t="s">
        <v>603</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919</v>
      </c>
      <c r="J72" s="85" t="s">
        <v>822</v>
      </c>
      <c r="K72" s="85" t="s">
        <v>822</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898</v>
      </c>
      <c r="J73" s="85" t="s">
        <v>822</v>
      </c>
      <c r="K73" s="85" t="s">
        <v>822</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990</v>
      </c>
      <c r="J74" s="85" t="s">
        <v>507</v>
      </c>
      <c r="K74" s="85" t="s">
        <v>603</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991</v>
      </c>
      <c r="J75" s="85" t="s">
        <v>554</v>
      </c>
      <c r="K75" s="85" t="s">
        <v>568</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920</v>
      </c>
      <c r="J76" s="85" t="s">
        <v>822</v>
      </c>
      <c r="K76" s="85" t="s">
        <v>822</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992</v>
      </c>
      <c r="J77" s="85" t="s">
        <v>817</v>
      </c>
      <c r="K77" s="85" t="s">
        <v>993</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994</v>
      </c>
      <c r="J78" s="85" t="s">
        <v>518</v>
      </c>
      <c r="K78" s="85" t="s">
        <v>576</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995</v>
      </c>
      <c r="J79" s="85" t="s">
        <v>507</v>
      </c>
      <c r="K79" s="85" t="s">
        <v>603</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996</v>
      </c>
      <c r="J80" s="85" t="s">
        <v>540</v>
      </c>
      <c r="K80" s="85" t="s">
        <v>541</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997</v>
      </c>
      <c r="J81" s="85" t="s">
        <v>547</v>
      </c>
      <c r="K81" s="85" t="s">
        <v>559</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998</v>
      </c>
      <c r="J82" s="85" t="s">
        <v>518</v>
      </c>
      <c r="K82" s="85" t="s">
        <v>519</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999</v>
      </c>
      <c r="J83" s="85" t="s">
        <v>822</v>
      </c>
      <c r="K83" s="85" t="s">
        <v>822</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887</v>
      </c>
      <c r="J84" s="85" t="s">
        <v>554</v>
      </c>
      <c r="K84" s="85" t="s">
        <v>568</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856</v>
      </c>
      <c r="J85" s="85" t="s">
        <v>822</v>
      </c>
      <c r="K85" s="85" t="s">
        <v>822</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809</v>
      </c>
      <c r="J86" s="85" t="s">
        <v>810</v>
      </c>
      <c r="K86" s="85" t="s">
        <v>811</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1000</v>
      </c>
      <c r="J87" s="85" t="s">
        <v>512</v>
      </c>
      <c r="K87" s="85" t="s">
        <v>948</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1001</v>
      </c>
      <c r="J88" s="85" t="s">
        <v>554</v>
      </c>
      <c r="K88" s="85" t="s">
        <v>568</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826</v>
      </c>
      <c r="J89" s="85" t="s">
        <v>518</v>
      </c>
      <c r="K89" s="85" t="s">
        <v>519</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823</v>
      </c>
      <c r="J90" s="85" t="s">
        <v>822</v>
      </c>
      <c r="K90" s="85" t="s">
        <v>822</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1002</v>
      </c>
      <c r="J91" s="85" t="s">
        <v>507</v>
      </c>
      <c r="K91" s="85" t="s">
        <v>603</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1003</v>
      </c>
      <c r="J92" s="85" t="s">
        <v>547</v>
      </c>
      <c r="K92" s="85" t="s">
        <v>559</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1004</v>
      </c>
      <c r="J93" s="85" t="s">
        <v>507</v>
      </c>
      <c r="K93" s="85" t="s">
        <v>508</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1005</v>
      </c>
      <c r="J94" s="85" t="s">
        <v>554</v>
      </c>
      <c r="K94" s="85" t="s">
        <v>568</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1006</v>
      </c>
      <c r="J95" s="85" t="s">
        <v>540</v>
      </c>
      <c r="K95" s="85" t="s">
        <v>541</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927</v>
      </c>
      <c r="J96" s="85" t="s">
        <v>554</v>
      </c>
      <c r="K96" s="85" t="s">
        <v>568</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531</v>
      </c>
      <c r="J97" s="85" t="s">
        <v>532</v>
      </c>
      <c r="K97" s="85" t="s">
        <v>533</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1007</v>
      </c>
      <c r="J98" s="85" t="s">
        <v>1008</v>
      </c>
      <c r="K98" s="85" t="s">
        <v>1008</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896</v>
      </c>
      <c r="J99" s="85" t="s">
        <v>822</v>
      </c>
      <c r="K99" s="85" t="s">
        <v>822</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1009</v>
      </c>
      <c r="J100" s="85" t="s">
        <v>507</v>
      </c>
      <c r="K100" s="85" t="s">
        <v>603</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931</v>
      </c>
      <c r="J101" s="85" t="s">
        <v>507</v>
      </c>
      <c r="K101" s="85" t="s">
        <v>510</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wbb任我行的资产配置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2023-10-28T01:52:36Z</dcterms:modified>
</cp:coreProperties>
</file>