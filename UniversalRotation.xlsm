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activeTab="6"/>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_xlwings.conf" sheetId="2" r:id="rId8"/>
  </sheets>
  <functionGroups builtInGroupCount="18">
    <functionGroup name="Commands"/>
    <functionGroup name="xlwings"/>
  </functionGroups>
  <definedNames>
    <definedName name="_xlnm._FilterDatabase" localSheetId="4" hidden="1">'20天净值增长率和溢价率轮动LOF、ETF和封基'!$G$1:$W$721</definedName>
    <definedName name="_xlnm._FilterDatabase" localSheetId="5" hidden="1">'20天净值增长率和溢价率轮动债券和境外基金'!$G$1:$W$99</definedName>
    <definedName name="_xlnm._FilterDatabase" localSheetId="6" hidden="1">低估优质小盘!$G$1:$AC$101</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D8" i="16" l="1"/>
  <c r="D9" i="16"/>
  <c r="D10" i="16"/>
  <c r="D11" i="16"/>
  <c r="D3" i="16"/>
  <c r="D4" i="16"/>
  <c r="D5" i="16"/>
  <c r="D6" i="16"/>
  <c r="D7" i="16"/>
  <c r="D2" i="16"/>
  <c r="O417" i="9" l="1"/>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<sst xmlns="http://schemas.openxmlformats.org/spreadsheetml/2006/main" count="4422" uniqueCount="2296">
  <si>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</si>
  <si>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</si>
  <si>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</si>
  <si>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</si>
  <si>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</si>
  <si>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</si>
  <si>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</si>
  <si>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</si>
  <si>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</si>
  <si>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</si>
  <si>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</si>
  <si>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</si>
  <si>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</si>
  <si>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</si>
  <si>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</si>
  <si>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</si>
  <si>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</si>
  <si>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</si>
  <si>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</si>
  <si>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</si>
  <si>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</si>
  <si>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</si>
  <si>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</si>
  <si>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</si>
  <si>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</si>
  <si>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</si>
  <si>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</si>
  <si>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</si>
  <si>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</si>
  <si>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</si>
  <si>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</si>
  <si>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</si>
  <si>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</si>
  <si>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</si>
  <si>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</si>
  <si>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</si>
  <si>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</si>
  <si>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</si>
  <si>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</si>
  <si>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</si>
  <si>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</si>
  <si>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</si>
  <si>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</si>
  <si>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</si>
  <si>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</si>
  <si>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</si>
  <si>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</si>
  <si>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</si>
  <si>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</si>
  <si>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</si>
  <si>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</si>
  <si>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</si>
  <si>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</si>
  <si>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</si>
  <si>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</si>
  <si>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</si>
  <si>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</si>
  <si>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</si>
  <si>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</si>
  <si>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</si>
  <si>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</si>
  <si>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</si>
  <si>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</si>
  <si>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</si>
  <si>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</si>
  <si>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</si>
  <si>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</si>
  <si>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</si>
  <si>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</si>
  <si>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</si>
  <si>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</si>
  <si>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</si>
  <si>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</si>
  <si>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</si>
  <si>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</si>
  <si>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</si>
  <si>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</si>
  <si>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</si>
  <si>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</si>
  <si>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</si>
  <si>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</si>
  <si>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</si>
  <si>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</si>
  <si>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</si>
  <si>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</si>
  <si>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</si>
  <si>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</si>
  <si>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</si>
  <si>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</si>
  <si>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</si>
  <si>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</si>
  <si>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</si>
  <si>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</si>
  <si>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</si>
  <si>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</si>
  <si>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亚泰转债</t>
  </si>
  <si>
    <t>白电转债</t>
  </si>
  <si>
    <t>法兰转债</t>
  </si>
  <si>
    <t>朗科转债</t>
  </si>
  <si>
    <t>景兴转债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</si>
  <si>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</si>
  <si>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</si>
  <si>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</si>
  <si>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</si>
  <si>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</si>
  <si>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</si>
  <si>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</si>
  <si>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</si>
  <si>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</si>
  <si>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</si>
  <si>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</si>
  <si>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</si>
  <si>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</si>
  <si>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</si>
  <si>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</si>
  <si>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</si>
  <si>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</si>
  <si>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</si>
  <si>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</si>
  <si>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</si>
  <si>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</si>
  <si>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</si>
  <si>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</si>
  <si>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台华转债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</si>
  <si>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</si>
  <si>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</si>
  <si>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</si>
  <si>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</si>
  <si>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</si>
  <si>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</si>
  <si>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</si>
  <si>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</si>
  <si>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</si>
  <si>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</si>
  <si>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</si>
  <si>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</si>
  <si>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</si>
  <si>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</si>
  <si>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</si>
  <si>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</si>
  <si>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</si>
  <si>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</si>
  <si>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</si>
  <si>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</si>
  <si>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</si>
  <si>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</si>
  <si>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</si>
  <si>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</si>
  <si>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</si>
  <si>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</si>
  <si>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</si>
  <si>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</si>
  <si>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</si>
  <si>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</si>
  <si>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</si>
  <si>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</si>
  <si>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</si>
  <si>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</si>
  <si>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</si>
  <si>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</si>
  <si>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</si>
  <si>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</si>
  <si>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</si>
  <si>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</si>
  <si>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</si>
  <si>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</si>
  <si>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</si>
  <si>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</si>
  <si>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</si>
  <si>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</si>
  <si>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</si>
  <si>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</si>
  <si>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</si>
  <si>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</si>
  <si>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</si>
  <si>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</si>
  <si>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</si>
  <si>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</si>
  <si>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</si>
  <si>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</si>
  <si>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</si>
  <si>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</si>
  <si>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</si>
  <si>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</si>
  <si>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</si>
  <si>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</si>
  <si>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</si>
  <si>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</si>
  <si>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</si>
  <si>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</si>
  <si>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</si>
  <si>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</si>
  <si>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</si>
  <si>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</si>
  <si>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</si>
  <si>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</si>
  <si>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</si>
  <si>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</si>
  <si>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</si>
  <si>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</si>
  <si>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</si>
  <si>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</si>
  <si>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</si>
  <si>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</si>
  <si>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</si>
  <si>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</si>
  <si>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东湖转债</t>
  </si>
  <si>
    <t>超声转债</t>
  </si>
  <si>
    <t>应急转债</t>
  </si>
  <si>
    <t>威唐转债</t>
  </si>
  <si>
    <t>隆华转债</t>
  </si>
  <si>
    <t>靖远转债</t>
  </si>
  <si>
    <t>惠城转债</t>
  </si>
  <si>
    <t>杭电转债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</si>
  <si>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</si>
  <si>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</si>
  <si>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</si>
  <si>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</si>
  <si>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</si>
  <si>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</si>
  <si>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</si>
  <si>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</si>
  <si>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</si>
  <si>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</si>
  <si>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</si>
  <si>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</si>
  <si>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</si>
  <si>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</si>
  <si>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</si>
  <si>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</si>
  <si>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</si>
  <si>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</si>
  <si>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</si>
  <si>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</si>
  <si>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</si>
  <si>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</si>
  <si>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</si>
  <si>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</si>
  <si>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</si>
  <si>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</si>
  <si>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</si>
  <si>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</si>
  <si>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</si>
  <si>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</si>
  <si>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</si>
  <si>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</si>
  <si>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</si>
  <si>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</si>
  <si>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</si>
  <si>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</si>
  <si>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</si>
  <si>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</si>
  <si>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</si>
  <si>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</si>
  <si>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</si>
  <si>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</si>
  <si>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</si>
  <si>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</si>
  <si>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</si>
  <si>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</si>
  <si>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</si>
  <si>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</si>
  <si>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</si>
  <si>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</si>
  <si>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</si>
  <si>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</si>
  <si>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</si>
  <si>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</si>
  <si>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</si>
  <si>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</si>
  <si>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</si>
  <si>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</si>
  <si>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</si>
  <si>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</si>
  <si>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</si>
  <si>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</si>
  <si>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</si>
  <si>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</si>
  <si>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</si>
  <si>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</si>
  <si>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</si>
  <si>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</si>
  <si>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</si>
  <si>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</si>
  <si>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</si>
  <si>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</si>
  <si>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</si>
  <si>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</si>
  <si>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</si>
  <si>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</si>
  <si>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</si>
  <si>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</si>
  <si>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</si>
  <si>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</si>
  <si>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</si>
  <si>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</si>
  <si>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</si>
  <si>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</si>
  <si>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</si>
  <si>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</si>
  <si>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</si>
  <si>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</si>
  <si>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</si>
  <si>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</si>
  <si>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</si>
  <si>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</si>
  <si>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</si>
  <si>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</si>
  <si>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</si>
  <si>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</si>
  <si>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</si>
  <si>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</si>
  <si>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</si>
  <si>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</si>
  <si>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</si>
  <si>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</si>
  <si>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</si>
  <si>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</si>
  <si>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</si>
  <si>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</si>
  <si>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</si>
  <si>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</si>
  <si>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</si>
  <si>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</si>
  <si>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</si>
  <si>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</si>
  <si>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</si>
  <si>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</si>
  <si>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</si>
  <si>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</si>
  <si>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</si>
  <si>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</si>
  <si>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</si>
  <si>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</si>
  <si>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</si>
  <si>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</si>
  <si>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</si>
  <si>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</si>
  <si>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</si>
  <si>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</si>
  <si>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</si>
  <si>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</si>
  <si>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</si>
  <si>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</si>
  <si>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</si>
  <si>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</si>
  <si>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</si>
  <si>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</si>
  <si>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</si>
  <si>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</si>
  <si>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</si>
  <si>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</si>
  <si>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</si>
  <si>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</si>
  <si>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</si>
  <si>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</si>
  <si>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</si>
  <si>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</si>
  <si>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</si>
  <si>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</si>
  <si>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</si>
  <si>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</si>
  <si>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</si>
  <si>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</si>
  <si>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</si>
  <si>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</si>
  <si>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</si>
  <si>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</si>
  <si>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</si>
  <si>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</si>
  <si>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</si>
  <si>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</si>
  <si>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</si>
  <si>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</si>
  <si>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</si>
  <si>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</si>
  <si>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</si>
  <si>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</si>
  <si>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</si>
  <si>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</si>
  <si>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</si>
  <si>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</si>
  <si>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</si>
  <si>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</si>
  <si>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</si>
  <si>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</si>
  <si>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</si>
  <si>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</si>
  <si>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</si>
  <si>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</si>
  <si>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</si>
  <si>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</si>
  <si>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</si>
  <si>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</si>
  <si>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</si>
  <si>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</si>
  <si>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</si>
  <si>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</si>
  <si>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</si>
  <si>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</si>
  <si>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</si>
  <si>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</si>
  <si>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</si>
  <si>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</si>
  <si>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</si>
  <si>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</si>
  <si>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</si>
  <si>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</si>
  <si>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SZ159702</t>
  </si>
  <si>
    <t>SZ167508</t>
  </si>
  <si>
    <t>SZ159957</t>
  </si>
  <si>
    <t>SH512100</t>
  </si>
  <si>
    <t>SZ159886</t>
  </si>
  <si>
    <t>SZ166027</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</si>
  <si>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</si>
  <si>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</si>
  <si>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</si>
  <si>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</si>
  <si>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</si>
  <si>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</si>
  <si>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</si>
  <si>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</si>
  <si>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</si>
  <si>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</si>
  <si>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</si>
  <si>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</si>
  <si>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</si>
  <si>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</si>
  <si>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</si>
  <si>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</si>
  <si>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</si>
  <si>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</si>
  <si>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</si>
  <si>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</si>
  <si>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</si>
  <si>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</si>
  <si>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</si>
  <si>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</si>
  <si>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</si>
  <si>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</si>
  <si>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</si>
  <si>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</si>
  <si>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</si>
  <si>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</si>
  <si>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</si>
  <si>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</si>
  <si>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</si>
  <si>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</si>
  <si>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</si>
  <si>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</si>
  <si>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</si>
  <si>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</si>
  <si>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</si>
  <si>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</si>
  <si>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</si>
  <si>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</si>
  <si>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</si>
  <si>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</si>
  <si>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</si>
  <si>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</si>
  <si>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</si>
  <si>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</si>
  <si>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</si>
  <si>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</si>
  <si>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</si>
  <si>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</si>
  <si>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</si>
  <si>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</si>
  <si>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</si>
  <si>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</si>
  <si>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</si>
  <si>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</si>
  <si>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</si>
  <si>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</si>
  <si>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</si>
  <si>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</si>
  <si>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</si>
  <si>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</si>
  <si>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</si>
  <si>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</si>
  <si>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</si>
  <si>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</si>
  <si>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</si>
  <si>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</si>
  <si>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</si>
  <si>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</si>
  <si>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</si>
  <si>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</si>
  <si>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</si>
  <si>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</si>
  <si>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</si>
  <si>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</si>
  <si>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</si>
  <si>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</si>
  <si>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</si>
  <si>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</si>
  <si>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</si>
  <si>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</si>
  <si>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</si>
  <si>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</si>
  <si>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</si>
  <si>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</si>
  <si>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</si>
  <si>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</si>
  <si>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</si>
  <si>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</si>
  <si>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</si>
  <si>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</si>
  <si>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</si>
  <si>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</si>
  <si>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</si>
  <si>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</si>
  <si>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</si>
  <si>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</si>
  <si>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</si>
  <si>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</si>
  <si>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</si>
  <si>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</si>
  <si>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</si>
  <si>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</si>
  <si>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</si>
  <si>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</si>
  <si>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</si>
  <si>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</si>
  <si>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</si>
  <si>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</si>
  <si>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</si>
  <si>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</si>
  <si>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</si>
  <si>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</si>
  <si>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</si>
  <si>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</si>
  <si>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</si>
  <si>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</si>
  <si>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</si>
  <si>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</si>
  <si>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</si>
  <si>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</si>
  <si>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</si>
  <si>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</si>
  <si>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</si>
  <si>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</si>
  <si>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</si>
  <si>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</si>
  <si>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</si>
  <si>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</si>
  <si>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</si>
  <si>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</si>
  <si>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</si>
  <si>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</si>
  <si>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</si>
  <si>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</si>
  <si>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</si>
  <si>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</si>
  <si>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</si>
  <si>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</si>
  <si>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</si>
  <si>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</si>
  <si>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</si>
  <si>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</si>
  <si>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</si>
  <si>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</si>
  <si>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</si>
  <si>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</si>
  <si>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</si>
  <si>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</si>
  <si>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</si>
  <si>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</si>
  <si>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</si>
  <si>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</si>
  <si>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</si>
  <si>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</si>
  <si>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</si>
  <si>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</si>
  <si>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</si>
  <si>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</si>
  <si>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</si>
  <si>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</si>
  <si>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</si>
  <si>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</si>
  <si>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</si>
  <si>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</si>
  <si>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</si>
  <si>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</si>
  <si>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</si>
  <si>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</si>
  <si>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</si>
  <si>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</si>
  <si>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</si>
  <si>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</si>
  <si>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</si>
  <si>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</si>
  <si>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</si>
  <si>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</si>
  <si>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</si>
  <si>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</si>
  <si>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</si>
  <si>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</si>
  <si>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</si>
  <si>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</si>
  <si>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</si>
  <si>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</si>
  <si>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</si>
  <si>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</si>
  <si>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</si>
  <si>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</si>
  <si>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</si>
  <si>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</si>
  <si>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</si>
  <si>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</si>
  <si>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</si>
  <si>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</si>
  <si>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</si>
  <si>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</si>
  <si>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</si>
  <si>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</si>
  <si>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</si>
  <si>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</si>
  <si>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</si>
  <si>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</si>
  <si>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</si>
  <si>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</si>
  <si>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</si>
  <si>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</si>
  <si>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</si>
  <si>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</si>
  <si>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</si>
  <si>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</si>
  <si>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</si>
  <si>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</si>
  <si>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</si>
  <si>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</si>
  <si>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</si>
  <si>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</si>
  <si>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</si>
  <si>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</si>
  <si>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</si>
  <si>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</si>
  <si>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</si>
  <si>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</si>
  <si>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</si>
  <si>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</si>
  <si>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</si>
  <si>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</si>
  <si>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</si>
  <si>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</si>
  <si>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</si>
  <si>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</si>
  <si>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</si>
  <si>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</si>
  <si>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</si>
  <si>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</si>
  <si>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</si>
  <si>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</si>
  <si>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</si>
  <si>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</si>
  <si>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</si>
  <si>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</si>
  <si>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</si>
  <si>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</si>
  <si>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</si>
  <si>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</si>
  <si>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</si>
  <si>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</si>
  <si>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</si>
  <si>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</si>
  <si>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</si>
  <si>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</si>
  <si>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</si>
  <si>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</si>
  <si>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</si>
  <si>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</si>
  <si>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</si>
  <si>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</si>
  <si>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</si>
  <si>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</si>
  <si>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</si>
  <si>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</si>
  <si>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</si>
  <si>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</si>
  <si>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</si>
  <si>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</si>
  <si>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</si>
  <si>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</si>
  <si>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</si>
  <si>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</si>
  <si>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</si>
  <si>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</si>
  <si>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</si>
  <si>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</si>
  <si>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</si>
  <si>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</si>
  <si>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</si>
  <si>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</si>
  <si>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</si>
  <si>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</si>
  <si>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</si>
  <si>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</si>
  <si>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</si>
  <si>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</si>
  <si>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</si>
  <si>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</si>
  <si>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</si>
  <si>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</si>
  <si>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</si>
  <si>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</si>
  <si>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</si>
  <si>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</si>
  <si>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</si>
  <si>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</si>
  <si>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</si>
  <si>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</si>
  <si>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</si>
  <si>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</si>
  <si>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</si>
  <si>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</si>
  <si>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</si>
  <si>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</si>
  <si>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</si>
  <si>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</si>
  <si>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</si>
  <si>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</si>
  <si>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</si>
  <si>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</si>
  <si>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</si>
  <si>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</si>
  <si>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</si>
  <si>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</si>
  <si>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</si>
  <si>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</si>
  <si>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</si>
  <si>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</si>
  <si>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</si>
  <si>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</si>
  <si>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</si>
  <si>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</si>
  <si>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</si>
  <si>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</si>
  <si>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</si>
  <si>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</si>
  <si>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</si>
  <si>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</si>
  <si>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</si>
  <si>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</si>
  <si>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</si>
  <si>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</si>
  <si>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</si>
  <si>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</si>
  <si>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</si>
  <si>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</si>
  <si>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</si>
  <si>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</si>
  <si>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</si>
  <si>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</si>
  <si>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</si>
  <si>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</si>
  <si>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</si>
  <si>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</si>
  <si>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</si>
  <si>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</si>
  <si>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</si>
  <si>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</si>
  <si>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</si>
  <si>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</si>
  <si>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</si>
  <si>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</si>
  <si>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</si>
  <si>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</si>
  <si>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</si>
  <si>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</si>
  <si>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</si>
  <si>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</si>
  <si>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</si>
  <si>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</si>
  <si>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</si>
  <si>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</si>
  <si>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</si>
  <si>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</si>
  <si>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</si>
  <si>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</si>
  <si>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</si>
  <si>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</si>
  <si>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</si>
  <si>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</si>
  <si>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</si>
  <si>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</si>
  <si>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</si>
  <si>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</si>
  <si>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</si>
  <si>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</si>
  <si>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</si>
  <si>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</si>
  <si>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</si>
  <si>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</si>
  <si>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</si>
  <si>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</si>
  <si>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</si>
  <si>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</si>
  <si>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</si>
  <si>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</si>
  <si>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</si>
  <si>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</si>
  <si>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</si>
  <si>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</si>
  <si>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</si>
  <si>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</si>
  <si>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</si>
  <si>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</si>
  <si>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</si>
  <si>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</si>
  <si>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</si>
  <si>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</si>
  <si>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</si>
  <si>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</si>
  <si>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</si>
  <si>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</si>
  <si>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</si>
  <si>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</si>
  <si>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</si>
  <si>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</si>
  <si>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</si>
  <si>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</si>
  <si>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</si>
  <si>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</si>
  <si>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</si>
  <si>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</si>
  <si>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</si>
  <si>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</si>
  <si>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</si>
  <si>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</si>
  <si>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</si>
  <si>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</si>
  <si>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</si>
  <si>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</si>
  <si>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</si>
  <si>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</si>
  <si>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</si>
  <si>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</si>
  <si>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</si>
  <si>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</si>
  <si>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</si>
  <si>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</si>
  <si>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</si>
  <si>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</si>
  <si>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</si>
  <si>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</si>
  <si>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</si>
  <si>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</si>
  <si>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</si>
  <si>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</si>
  <si>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</si>
  <si>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</si>
  <si>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</si>
  <si>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</si>
  <si>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</si>
  <si>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</si>
  <si>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</si>
  <si>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</si>
  <si>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</si>
  <si>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</si>
  <si>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</si>
  <si>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</si>
  <si>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</si>
  <si>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</si>
  <si>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</si>
  <si>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</si>
  <si>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</si>
  <si>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</si>
  <si>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</si>
  <si>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</si>
  <si>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</si>
  <si>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</si>
  <si>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</si>
  <si>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</si>
  <si>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</si>
  <si>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</si>
  <si>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</si>
  <si>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</si>
  <si>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</si>
  <si>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</si>
  <si>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</si>
  <si>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</si>
  <si>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</si>
  <si>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</si>
  <si>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</si>
  <si>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</si>
  <si>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</si>
  <si>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</si>
  <si>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</si>
  <si>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</si>
  <si>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</si>
  <si>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</si>
  <si>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</si>
  <si>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</si>
  <si>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</si>
  <si>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</si>
  <si>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</si>
  <si>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</si>
  <si>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</si>
  <si>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</si>
  <si>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</si>
  <si>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</si>
  <si>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</si>
  <si>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</si>
  <si>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</si>
  <si>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</si>
  <si>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</si>
  <si>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</si>
  <si>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</si>
  <si>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</si>
  <si>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</si>
  <si>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</si>
  <si>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</si>
  <si>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</si>
  <si>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</si>
  <si>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</si>
  <si>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</si>
  <si>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</si>
  <si>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</si>
  <si>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</si>
  <si>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</si>
  <si>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</si>
  <si>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</si>
  <si>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</si>
  <si>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</si>
  <si>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</si>
  <si>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</si>
  <si>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</si>
  <si>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</si>
  <si>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</si>
  <si>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</si>
  <si>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</si>
  <si>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</si>
  <si>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</si>
  <si>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</si>
  <si>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</si>
  <si>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</si>
  <si>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</si>
  <si>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</si>
  <si>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</si>
  <si>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</si>
  <si>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</si>
  <si>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</si>
  <si>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</si>
  <si>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</si>
  <si>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</si>
  <si>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</si>
  <si>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</si>
  <si>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</si>
  <si>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</si>
  <si>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</si>
  <si>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</si>
  <si>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</si>
  <si>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</si>
  <si>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</si>
  <si>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</si>
  <si>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</si>
  <si>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</si>
  <si>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</si>
  <si>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</si>
  <si>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</si>
  <si>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</si>
  <si>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</si>
  <si>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</si>
  <si>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</si>
  <si>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</si>
  <si>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</si>
  <si>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</si>
  <si>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</si>
  <si>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</si>
  <si>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</si>
  <si>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</si>
  <si>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</si>
  <si>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</si>
  <si>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</si>
  <si>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</si>
  <si>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</si>
  <si>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</si>
  <si>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</si>
  <si>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</si>
  <si>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</si>
  <si>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</si>
  <si>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</si>
  <si>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</si>
  <si>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</si>
  <si>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</si>
  <si>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</si>
  <si>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</si>
  <si>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</si>
  <si>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</si>
  <si>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</si>
  <si>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</si>
  <si>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</si>
  <si>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</si>
  <si>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</si>
  <si>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</si>
  <si>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</si>
  <si>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</si>
  <si>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</si>
  <si>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</si>
  <si>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</si>
  <si>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</si>
  <si>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</si>
  <si>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</si>
  <si>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</si>
  <si>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</si>
  <si>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</si>
  <si>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</si>
  <si>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</si>
  <si>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</si>
  <si>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</si>
  <si>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</si>
  <si>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</si>
  <si>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</si>
  <si>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</si>
  <si>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</si>
  <si>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</si>
  <si>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</si>
  <si>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</si>
  <si>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</si>
  <si>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</si>
  <si>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</si>
  <si>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</si>
  <si>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</si>
  <si>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</si>
  <si>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</si>
  <si>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</si>
  <si>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</si>
  <si>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</si>
  <si>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</si>
  <si>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</si>
  <si>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</si>
  <si>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</si>
  <si>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</si>
  <si>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</si>
  <si>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</si>
  <si>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</si>
  <si>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</si>
  <si>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</si>
  <si>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</si>
  <si>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</si>
  <si>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</si>
  <si>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</si>
  <si>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</si>
  <si>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</si>
  <si>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</si>
  <si>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</si>
  <si>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</si>
  <si>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</si>
  <si>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</si>
  <si>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</si>
  <si>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</si>
  <si>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</si>
  <si>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</si>
  <si>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</si>
  <si>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</si>
  <si>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</si>
  <si>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</si>
  <si>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</si>
  <si>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</si>
  <si>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</si>
  <si>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</si>
  <si>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</si>
  <si>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</si>
  <si>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</si>
  <si>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</si>
  <si>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</si>
  <si>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</si>
  <si>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</si>
  <si>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</si>
  <si>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</si>
  <si>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</si>
  <si>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</si>
  <si>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</si>
  <si>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</si>
  <si>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</si>
  <si>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</si>
  <si>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</si>
  <si>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</si>
  <si>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</si>
  <si>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</si>
  <si>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</si>
  <si>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</si>
  <si>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</si>
  <si>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</si>
  <si>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</si>
  <si>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</si>
  <si>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</si>
  <si>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</si>
  <si>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</si>
  <si>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</si>
  <si>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</si>
  <si>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</si>
  <si>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</si>
  <si>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</si>
  <si>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</si>
  <si>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</si>
  <si>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</si>
  <si>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</si>
  <si>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</si>
  <si>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</si>
  <si>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</si>
  <si>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</si>
  <si>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</si>
  <si>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</si>
  <si>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</si>
  <si>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</si>
  <si>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</si>
  <si>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</si>
  <si>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</si>
  <si>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</si>
  <si>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</si>
  <si>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</si>
  <si>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</si>
  <si>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</si>
  <si>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</si>
  <si>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</si>
  <si>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</si>
  <si>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</si>
  <si>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</si>
  <si>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</si>
  <si>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</si>
  <si>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</si>
  <si>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</si>
  <si>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</si>
  <si>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</si>
  <si>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</si>
  <si>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</si>
  <si>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</si>
  <si>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</si>
  <si>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</si>
  <si>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</si>
  <si>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</si>
  <si>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</si>
  <si>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</si>
  <si>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</si>
  <si>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</si>
  <si>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</si>
  <si>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</si>
  <si>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</si>
  <si>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</si>
  <si>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</si>
  <si>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</si>
  <si>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</si>
  <si>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</si>
  <si>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</si>
  <si>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</si>
  <si>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</si>
  <si>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</si>
  <si>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</si>
  <si>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</si>
  <si>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</si>
  <si>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</si>
  <si>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</si>
  <si>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</si>
  <si>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</si>
  <si>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</si>
  <si>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</si>
  <si>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</si>
  <si>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</si>
  <si>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</si>
  <si>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</si>
  <si>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</si>
  <si>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</si>
  <si>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</si>
  <si>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</si>
  <si>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</si>
  <si>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</si>
  <si>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</si>
  <si>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</si>
  <si>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</si>
  <si>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</si>
  <si>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</si>
  <si>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</si>
  <si>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</si>
  <si>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</si>
  <si>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</si>
  <si>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</si>
  <si>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</si>
  <si>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</si>
  <si>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</si>
  <si>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</si>
  <si>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</si>
  <si>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</si>
  <si>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</si>
  <si>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</si>
  <si>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</si>
  <si>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</si>
  <si>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</si>
  <si>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</si>
  <si>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</si>
  <si>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</si>
  <si>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</si>
  <si>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</si>
  <si>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</si>
  <si>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</si>
  <si>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</si>
  <si>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</si>
  <si>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</si>
  <si>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</si>
  <si>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</si>
  <si>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</si>
  <si>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</si>
  <si>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</si>
  <si>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</si>
  <si>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</si>
  <si>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</si>
  <si>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</si>
  <si>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</si>
  <si>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</si>
  <si>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</si>
  <si>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</si>
  <si>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</si>
  <si>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</si>
  <si>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</si>
  <si>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</si>
  <si>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</si>
  <si>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</si>
  <si>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</si>
  <si>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</si>
  <si>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</si>
  <si>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</si>
  <si>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</si>
  <si>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</si>
  <si>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</si>
  <si>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</si>
  <si>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</si>
  <si>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</si>
  <si>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</si>
  <si>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</si>
  <si>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</si>
  <si>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</si>
  <si>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</si>
  <si>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</si>
  <si>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</si>
  <si>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</si>
  <si>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</si>
  <si>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</si>
  <si>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</si>
  <si>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</si>
  <si>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</si>
  <si>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</si>
  <si>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</si>
  <si>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</si>
  <si>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</si>
  <si>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</si>
  <si>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</si>
  <si>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</si>
  <si>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</si>
  <si>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</si>
  <si>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</si>
  <si>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</si>
  <si>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</si>
  <si>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</si>
  <si>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</si>
  <si>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</si>
  <si>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</si>
  <si>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</si>
  <si>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</si>
  <si>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</si>
  <si>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</si>
  <si>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</si>
  <si>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</si>
  <si>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</si>
  <si>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</si>
  <si>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</si>
  <si>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</si>
  <si>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</si>
  <si>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</si>
  <si>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</si>
  <si>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</si>
  <si>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</si>
  <si>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</si>
  <si>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</si>
  <si>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</si>
  <si>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</si>
  <si>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</si>
  <si>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</si>
  <si>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</si>
  <si>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</si>
  <si>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</si>
  <si>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</si>
  <si>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</si>
  <si>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</si>
  <si>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</si>
  <si>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</si>
  <si>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</si>
  <si>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</si>
  <si>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</si>
  <si>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</si>
  <si>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</si>
  <si>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</si>
  <si>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</si>
  <si>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</si>
  <si>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</si>
  <si>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</si>
  <si>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</si>
  <si>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</si>
  <si>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</si>
  <si>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</si>
  <si>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</si>
  <si>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</si>
  <si>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</si>
  <si>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</si>
  <si>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</si>
  <si>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</si>
  <si>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</si>
  <si>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</si>
  <si>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</si>
  <si>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</si>
  <si>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</si>
  <si>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</si>
  <si>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</si>
  <si>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</si>
  <si>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</si>
  <si>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</si>
  <si>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</si>
  <si>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</si>
  <si>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</si>
  <si>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</si>
  <si>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</si>
  <si>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</si>
  <si>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</si>
  <si>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</si>
  <si>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</si>
  <si>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</si>
  <si>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</si>
  <si>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</si>
  <si>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</si>
  <si>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</si>
  <si>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</si>
  <si>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</si>
  <si>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</si>
  <si>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</si>
  <si>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</si>
  <si>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</si>
  <si>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</si>
  <si>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</si>
  <si>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</si>
  <si>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</si>
  <si>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</si>
  <si>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</si>
  <si>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</si>
  <si>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</si>
  <si>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</si>
  <si>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</si>
  <si>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</si>
  <si>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</si>
  <si>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</si>
  <si>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</si>
  <si>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</si>
  <si>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</si>
  <si>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</si>
  <si>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</si>
  <si>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</si>
  <si>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</si>
  <si>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</si>
  <si>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</si>
  <si>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</si>
  <si>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</si>
  <si>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</si>
  <si>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</si>
  <si>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</si>
  <si>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</si>
  <si>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</si>
  <si>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</si>
  <si>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</si>
  <si>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</si>
  <si>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</si>
  <si>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</si>
  <si>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</si>
  <si>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</si>
  <si>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</si>
  <si>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</si>
  <si>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</si>
  <si>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</si>
  <si>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</si>
  <si>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</si>
  <si>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</si>
  <si>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</si>
  <si>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</si>
  <si>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</si>
  <si>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</si>
  <si>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</si>
  <si>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</si>
  <si>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</si>
  <si>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</si>
  <si>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</si>
  <si>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</si>
  <si>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</si>
  <si>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</si>
  <si>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</si>
  <si>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</si>
  <si>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</si>
  <si>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</si>
  <si>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</si>
  <si>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</si>
  <si>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</si>
  <si>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</si>
  <si>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</si>
  <si>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</si>
  <si>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</si>
  <si>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</si>
  <si>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</si>
  <si>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</si>
  <si>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</si>
  <si>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</si>
  <si>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</si>
  <si>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</si>
  <si>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</si>
  <si>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</si>
  <si>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</si>
  <si>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</si>
  <si>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</si>
  <si>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</si>
  <si>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</si>
  <si>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</si>
  <si>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</si>
  <si>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</si>
  <si>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</si>
  <si>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</si>
  <si>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</si>
  <si>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</si>
  <si>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</si>
  <si>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</si>
  <si>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</si>
  <si>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</si>
  <si>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</si>
  <si>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</si>
  <si>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</si>
  <si>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</si>
  <si>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</si>
  <si>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</si>
  <si>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</si>
  <si>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</si>
  <si>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</si>
  <si>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</si>
  <si>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</si>
  <si>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</si>
  <si>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</si>
  <si>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</si>
  <si>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</si>
  <si>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</si>
  <si>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</si>
  <si>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</si>
  <si>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</si>
  <si>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</si>
  <si>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</si>
  <si>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</si>
  <si>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</si>
  <si>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</si>
  <si>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</si>
  <si>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</si>
  <si>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</si>
  <si>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</si>
  <si>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</si>
  <si>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</si>
  <si>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</si>
  <si>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</si>
  <si>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</si>
  <si>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</si>
  <si>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</si>
  <si>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</si>
  <si>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</si>
  <si>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</si>
  <si>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</si>
  <si>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</si>
  <si>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</si>
  <si>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</si>
  <si>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</si>
  <si>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</si>
  <si>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</si>
  <si>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</si>
  <si>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</si>
  <si>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</si>
  <si>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</si>
  <si>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</si>
  <si>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</si>
  <si>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</si>
  <si>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</si>
  <si>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</si>
  <si>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</si>
  <si>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</si>
  <si>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</si>
  <si>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</si>
  <si>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</si>
  <si>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</si>
  <si>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</si>
  <si>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</si>
  <si>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</si>
  <si>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</si>
  <si>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</si>
  <si>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</si>
  <si>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</si>
  <si>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</si>
  <si>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</si>
  <si>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</si>
  <si>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</si>
  <si>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</si>
  <si>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</si>
  <si>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</si>
  <si>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</si>
  <si>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</si>
  <si>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</si>
  <si>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</si>
  <si>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</si>
  <si>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</si>
  <si>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</si>
  <si>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</si>
  <si>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</si>
  <si>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</si>
  <si>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</si>
  <si>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</si>
  <si>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</si>
  <si>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</si>
  <si>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</si>
  <si>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</si>
  <si>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</si>
  <si>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</si>
  <si>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</si>
  <si>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</si>
  <si>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</si>
  <si>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</si>
  <si>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</si>
  <si>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</si>
  <si>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</si>
  <si>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</si>
  <si>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</si>
  <si>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</si>
  <si>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</si>
  <si>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</si>
  <si>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</si>
  <si>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</si>
  <si>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</si>
  <si>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</si>
  <si>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</si>
  <si>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</si>
  <si>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</si>
  <si>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</si>
  <si>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</si>
  <si>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</si>
  <si>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</si>
  <si>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</si>
  <si>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</si>
  <si>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</si>
  <si>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</si>
  <si>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</si>
  <si>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</si>
  <si>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</si>
  <si>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</si>
  <si>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</si>
  <si>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</si>
  <si>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</si>
  <si>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</si>
  <si>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</si>
  <si>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</si>
  <si>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</si>
  <si>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</si>
  <si>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</si>
  <si>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</si>
  <si>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</si>
  <si>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</si>
  <si>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</si>
  <si>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</si>
  <si>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</si>
  <si>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</si>
  <si>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</si>
  <si>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</si>
  <si>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</si>
  <si>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</si>
  <si>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</si>
  <si>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</si>
  <si>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</si>
  <si>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</si>
  <si>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</si>
  <si>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</si>
  <si>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</si>
  <si>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</si>
  <si>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</si>
  <si>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</si>
  <si>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</si>
  <si>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</si>
  <si>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</si>
  <si>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</si>
  <si>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</si>
  <si>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</si>
  <si>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</si>
  <si>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</si>
  <si>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</si>
  <si>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</si>
  <si>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</si>
  <si>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</si>
  <si>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</si>
  <si>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</si>
  <si>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</si>
  <si>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</si>
  <si>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</si>
  <si>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</si>
  <si>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</si>
  <si>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</si>
  <si>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</si>
  <si>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</si>
  <si>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</si>
  <si>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</si>
  <si>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</si>
  <si>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</si>
  <si>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</si>
  <si>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</si>
  <si>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</si>
  <si>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</si>
  <si>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</si>
  <si>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</si>
  <si>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</si>
  <si>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</si>
  <si>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</si>
  <si>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</si>
  <si>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</si>
  <si>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</si>
  <si>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</si>
  <si>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</si>
  <si>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</si>
  <si>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</si>
  <si>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</si>
  <si>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</si>
  <si>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</si>
  <si>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</si>
  <si>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</si>
  <si>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</si>
  <si>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</si>
  <si>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</si>
  <si>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</si>
  <si>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</si>
  <si>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</si>
  <si>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</si>
  <si>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</si>
  <si>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</si>
  <si>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</si>
  <si>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</si>
  <si>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</si>
  <si>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</si>
  <si>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</si>
  <si>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</si>
  <si>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</si>
  <si>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</si>
  <si>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</si>
  <si>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</si>
  <si>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</si>
  <si>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</si>
  <si>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</si>
  <si>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</si>
  <si>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</si>
  <si>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</si>
  <si>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</si>
  <si>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</si>
  <si>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</si>
  <si>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</si>
  <si>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</si>
  <si>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</si>
  <si>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</si>
  <si>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</si>
  <si>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</si>
  <si>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</si>
  <si>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</si>
  <si>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</si>
  <si>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</si>
  <si>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</si>
  <si>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</si>
  <si>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</si>
  <si>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</si>
  <si>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</si>
  <si>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</si>
  <si>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</si>
  <si>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工银黄金ETF</t>
  </si>
  <si>
    <t>SZ161716</t>
  </si>
  <si>
    <t>招商双债C</t>
  </si>
  <si>
    <t>海富通中证ETF</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</si>
  <si>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</si>
  <si>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</si>
  <si>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</si>
  <si>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</si>
  <si>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</si>
  <si>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</si>
  <si>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</si>
  <si>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</si>
  <si>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</si>
  <si>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</si>
  <si>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</si>
  <si>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</si>
  <si>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</si>
  <si>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</si>
  <si>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</si>
  <si>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</si>
  <si>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</si>
  <si>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</si>
  <si>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</si>
  <si>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</si>
  <si>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</si>
  <si>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</si>
  <si>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</si>
  <si>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</si>
  <si>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</si>
  <si>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</si>
  <si>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</si>
  <si>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</si>
  <si>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</si>
  <si>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</si>
  <si>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</si>
  <si>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</si>
  <si>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</si>
  <si>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</si>
  <si>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</si>
  <si>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</si>
  <si>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</si>
  <si>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</si>
  <si>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</si>
  <si>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</si>
  <si>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</si>
  <si>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</si>
  <si>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</si>
  <si>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</si>
  <si>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</si>
  <si>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</si>
  <si>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</si>
  <si>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</si>
  <si>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</si>
  <si>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</si>
  <si>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</si>
  <si>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</si>
  <si>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</si>
  <si>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</si>
  <si>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</si>
  <si>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</si>
  <si>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</si>
  <si>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</si>
  <si>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</si>
  <si>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</si>
  <si>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</si>
  <si>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</si>
  <si>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</si>
  <si>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</si>
  <si>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</si>
  <si>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</si>
  <si>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</si>
  <si>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</si>
  <si>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</si>
  <si>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</si>
  <si>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药石转债</t>
  </si>
  <si>
    <t>冀东转债</t>
  </si>
  <si>
    <t>绿动转债</t>
  </si>
  <si>
    <t>景20转债</t>
  </si>
  <si>
    <t>华友转债</t>
  </si>
  <si>
    <t>紫银转债</t>
  </si>
  <si>
    <t>裕兴转债</t>
  </si>
  <si>
    <t>广汇转债</t>
  </si>
  <si>
    <t>重银转债</t>
  </si>
  <si>
    <t>中特转债</t>
  </si>
  <si>
    <t>海澜转债</t>
  </si>
  <si>
    <t>帝欧转债</t>
  </si>
  <si>
    <t>敖东转债</t>
  </si>
  <si>
    <t>巨星转债</t>
  </si>
  <si>
    <t>艾迪转债</t>
  </si>
  <si>
    <t>麒麟转债</t>
  </si>
  <si>
    <t>华安转债</t>
  </si>
  <si>
    <t>中信转债</t>
  </si>
  <si>
    <t>金田转债</t>
  </si>
  <si>
    <t>捷捷转债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</si>
  <si>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</si>
  <si>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</si>
  <si>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</si>
  <si>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</si>
  <si>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</si>
  <si>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</si>
  <si>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</si>
  <si>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</si>
  <si>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</si>
  <si>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</si>
  <si>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</si>
  <si>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</si>
  <si>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</si>
  <si>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</si>
  <si>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</si>
  <si>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</si>
  <si>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</si>
  <si>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</si>
  <si>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</si>
  <si>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</si>
  <si>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</si>
  <si>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</si>
  <si>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</si>
  <si>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</si>
  <si>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</si>
  <si>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</si>
  <si>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</si>
  <si>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</si>
  <si>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</si>
  <si>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</si>
  <si>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</si>
  <si>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</si>
  <si>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</si>
  <si>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</si>
  <si>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</si>
  <si>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</si>
  <si>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</si>
  <si>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</si>
  <si>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</si>
  <si>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</si>
  <si>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</si>
  <si>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</si>
  <si>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</si>
  <si>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</si>
  <si>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</si>
  <si>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</si>
  <si>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</si>
  <si>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</si>
  <si>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</si>
  <si>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</si>
  <si>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</si>
  <si>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</si>
  <si>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</si>
  <si>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</si>
  <si>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</si>
  <si>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</si>
  <si>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</si>
  <si>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</si>
  <si>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</si>
  <si>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</si>
  <si>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</si>
  <si>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</si>
  <si>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</si>
  <si>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</si>
  <si>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</si>
  <si>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</si>
  <si>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</si>
  <si>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</si>
  <si>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</si>
  <si>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</si>
  <si>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</si>
  <si>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</si>
  <si>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</si>
  <si>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</si>
  <si>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</si>
  <si>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</si>
  <si>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</si>
  <si>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</si>
  <si>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</si>
  <si>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华统转债!</t>
  </si>
  <si>
    <t>鼎胜转债!</t>
  </si>
  <si>
    <t>万顺转2!</t>
  </si>
  <si>
    <t>齐翔转2!</t>
  </si>
  <si>
    <t>天壕转债!</t>
  </si>
  <si>
    <t>川恒转债!</t>
  </si>
  <si>
    <t>文灿转债!</t>
  </si>
  <si>
    <t>明泰转债!</t>
  </si>
  <si>
    <t>金诚转债!</t>
  </si>
  <si>
    <t>精达转债!</t>
  </si>
  <si>
    <t>万顺转债!</t>
  </si>
  <si>
    <t>恩捷转债!</t>
  </si>
  <si>
    <t>台华转债!</t>
  </si>
  <si>
    <t>太阳转债!</t>
  </si>
  <si>
    <t>金禾转债!</t>
  </si>
  <si>
    <t>三角转债!</t>
  </si>
  <si>
    <t>寿仙转债!</t>
  </si>
  <si>
    <t>斯莱转债!</t>
  </si>
  <si>
    <t>苏试转债!</t>
  </si>
  <si>
    <t>润建转债!</t>
  </si>
  <si>
    <t>伊力转债!</t>
  </si>
  <si>
    <t>华通转债!</t>
  </si>
  <si>
    <t>华钰转债!</t>
  </si>
  <si>
    <t>节能转债!</t>
  </si>
  <si>
    <t>福能转债!</t>
  </si>
  <si>
    <t>火炬转债!</t>
  </si>
  <si>
    <t>楚江转债!</t>
  </si>
  <si>
    <t>国微转债!</t>
  </si>
  <si>
    <t>鸿达转债!</t>
  </si>
  <si>
    <t>贵轮转债</t>
  </si>
  <si>
    <t>天铁转债!</t>
  </si>
  <si>
    <t>美锦转债</t>
  </si>
  <si>
    <t>小康转债!</t>
  </si>
  <si>
    <t>湘佳转债</t>
  </si>
  <si>
    <t>中辰转债</t>
  </si>
  <si>
    <t>华锋转债!</t>
  </si>
  <si>
    <t>福莱转债</t>
  </si>
  <si>
    <t>晶瑞转债!</t>
  </si>
  <si>
    <t>新天转债!</t>
  </si>
  <si>
    <t>天康转债!</t>
  </si>
  <si>
    <t>昌红转债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</si>
  <si>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</si>
  <si>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</si>
  <si>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</si>
  <si>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拓尔转债!</t>
  </si>
  <si>
    <t>帝尔转债!</t>
  </si>
  <si>
    <t>美联转债!</t>
  </si>
  <si>
    <t>江丰转债!</t>
  </si>
  <si>
    <t>盛虹转债!</t>
  </si>
  <si>
    <t>朗新转债!</t>
  </si>
  <si>
    <t>上能转债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</si>
  <si>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</si>
  <si>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</si>
  <si>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</si>
  <si>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</si>
  <si>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</si>
  <si>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</si>
  <si>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</si>
  <si>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</si>
  <si>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</si>
  <si>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</si>
  <si>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</si>
  <si>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</si>
  <si>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</si>
  <si>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</si>
  <si>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</si>
  <si>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</si>
  <si>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</si>
  <si>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</si>
  <si>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</si>
  <si>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</si>
  <si>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</si>
  <si>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</si>
  <si>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</si>
  <si>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</si>
  <si>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</si>
  <si>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</si>
  <si>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</si>
  <si>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</si>
  <si>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</si>
  <si>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SZ164701</t>
  </si>
  <si>
    <t>汇添富贵金</t>
  </si>
  <si>
    <t>国泰标普500ETF</t>
  </si>
  <si>
    <t>广发恒生科技ETF</t>
  </si>
  <si>
    <t>SZ161126</t>
  </si>
  <si>
    <t>易方达标普医疗A</t>
  </si>
  <si>
    <t>SH513120</t>
  </si>
  <si>
    <t>广发香港创新药ETF</t>
  </si>
  <si>
    <t>SH513280</t>
  </si>
  <si>
    <t>汇添富港股生物ETF</t>
  </si>
  <si>
    <t>华泰高股息ETF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</si>
  <si>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</si>
  <si>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</si>
  <si>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</si>
  <si>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</si>
  <si>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</si>
  <si>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</si>
  <si>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</si>
  <si>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</si>
  <si>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</si>
  <si>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</si>
  <si>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</si>
  <si>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</si>
  <si>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</si>
  <si>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</si>
  <si>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</si>
  <si>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</si>
  <si>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</si>
  <si>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</si>
  <si>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</si>
  <si>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</si>
  <si>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</si>
  <si>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</si>
  <si>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</si>
  <si>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</si>
  <si>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</si>
  <si>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</si>
  <si>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</si>
  <si>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</si>
  <si>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</si>
  <si>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</si>
  <si>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</si>
  <si>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</si>
  <si>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</si>
  <si>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</si>
  <si>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</si>
  <si>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</si>
  <si>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</si>
  <si>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</si>
  <si>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</si>
  <si>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</si>
  <si>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</si>
  <si>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</si>
  <si>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</si>
  <si>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</si>
  <si>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</si>
  <si>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</si>
  <si>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</si>
  <si>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</si>
  <si>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</si>
  <si>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</si>
  <si>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</si>
  <si>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</si>
  <si>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</si>
  <si>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</si>
  <si>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</si>
  <si>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</si>
  <si>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</si>
  <si>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</si>
  <si>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</si>
  <si>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</si>
  <si>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</si>
  <si>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</si>
  <si>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</si>
  <si>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</si>
  <si>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</si>
  <si>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</si>
  <si>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</si>
  <si>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</si>
  <si>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</si>
  <si>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</si>
  <si>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</si>
  <si>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</si>
  <si>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</si>
  <si>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</si>
  <si>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</si>
  <si>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</si>
  <si>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</si>
  <si>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</si>
  <si>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</si>
  <si>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</si>
  <si>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</si>
  <si>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</si>
  <si>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</si>
  <si>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</si>
  <si>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</si>
  <si>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</si>
  <si>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</si>
  <si>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</si>
  <si>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</si>
  <si>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</si>
  <si>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</si>
  <si>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</si>
  <si>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</si>
  <si>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九典转债!</t>
  </si>
  <si>
    <t>上22转债!</t>
  </si>
  <si>
    <t>济川转债!</t>
  </si>
  <si>
    <t>伯特转债!</t>
  </si>
  <si>
    <t>川投转债</t>
  </si>
  <si>
    <t>亨通转债!</t>
  </si>
  <si>
    <t>科伦转债!</t>
  </si>
  <si>
    <t>贵广转债!</t>
  </si>
  <si>
    <t>旺能转债</t>
  </si>
  <si>
    <t>法兰转债!</t>
  </si>
  <si>
    <t>海波转债!</t>
  </si>
  <si>
    <t>小熊转债</t>
  </si>
  <si>
    <t>温氏转债</t>
  </si>
  <si>
    <t>爱迪转债</t>
  </si>
  <si>
    <t>天能转债</t>
  </si>
  <si>
    <t>东杰转债</t>
  </si>
  <si>
    <t>日丰转债</t>
  </si>
  <si>
    <t>银轮转债!</t>
  </si>
  <si>
    <t>博汇转债</t>
  </si>
  <si>
    <t>北方转债!</t>
  </si>
  <si>
    <t>泉峰转债!</t>
  </si>
  <si>
    <t>三花转债</t>
  </si>
  <si>
    <t>永和转债</t>
  </si>
  <si>
    <t>大中转债</t>
  </si>
  <si>
    <t>锂科转债</t>
  </si>
  <si>
    <t>京源转债</t>
  </si>
  <si>
    <t>永02转债</t>
  </si>
  <si>
    <t>新致转债</t>
  </si>
  <si>
    <t>科蓝转债</t>
  </si>
  <si>
    <t>天赐转债</t>
  </si>
  <si>
    <t>飞凯转债</t>
  </si>
  <si>
    <t>常银转债</t>
  </si>
  <si>
    <t>宙邦转债</t>
  </si>
  <si>
    <t>芳源转债</t>
  </si>
  <si>
    <t>再22转债</t>
  </si>
  <si>
    <t>博实转债</t>
  </si>
  <si>
    <t>泰福转债</t>
  </si>
  <si>
    <t>崧盛转债</t>
  </si>
  <si>
    <t>淮22转债</t>
  </si>
  <si>
    <t>嵘泰转债</t>
  </si>
  <si>
    <t>金盘转债</t>
  </si>
  <si>
    <t>永22转债</t>
  </si>
  <si>
    <t>密卫转债</t>
  </si>
  <si>
    <t>金沃转债</t>
  </si>
  <si>
    <t>嘉诚转债</t>
  </si>
  <si>
    <t>深科转债</t>
  </si>
  <si>
    <t>兴发转债</t>
  </si>
  <si>
    <t>天箭转债</t>
  </si>
  <si>
    <t>松霖转债</t>
  </si>
  <si>
    <t>强联转债</t>
  </si>
  <si>
    <t>瑞科转债</t>
  </si>
  <si>
    <t>中陆转债</t>
  </si>
  <si>
    <t>恒逸转2</t>
  </si>
  <si>
    <t>顺博转债</t>
  </si>
  <si>
    <t>火星转债</t>
  </si>
  <si>
    <t>芯海转债</t>
  </si>
  <si>
    <t>亚药转债</t>
  </si>
  <si>
    <t>欧22转债</t>
  </si>
  <si>
    <t>盛路转债!</t>
  </si>
  <si>
    <t>通光转债</t>
  </si>
  <si>
    <t>开润转债</t>
  </si>
  <si>
    <t>模塑转债</t>
  </si>
  <si>
    <t>蓝盾转债</t>
  </si>
  <si>
    <t>科达转债</t>
  </si>
  <si>
    <t>宝莱转债</t>
  </si>
  <si>
    <t>东时转债</t>
  </si>
  <si>
    <t>太平转债</t>
  </si>
  <si>
    <t>城地转债</t>
  </si>
  <si>
    <t>华体转债</t>
  </si>
  <si>
    <t>起步转债</t>
  </si>
  <si>
    <t>乐歌转债</t>
  </si>
  <si>
    <t>家悦转债</t>
  </si>
  <si>
    <t>横河转债</t>
  </si>
  <si>
    <t>750天净值增长率</t>
  </si>
  <si>
    <t>停牌</t>
  </si>
  <si>
    <t>原贴地址：https://www.jisilu.cn/question/457389</t>
    <phoneticPr fontId="2" type="noConversion"/>
  </si>
  <si>
    <t>项目地址：https://github.com/wbbyfd/UniversalRotation</t>
    <phoneticPr fontId="2" type="noConversion"/>
  </si>
  <si>
    <t>恒生医药ETF</t>
  </si>
  <si>
    <t>东京证券指数ETF</t>
  </si>
  <si>
    <t>更新时间:2022-11-19__07-00-07</t>
    <phoneticPr fontId="2" type="noConversion"/>
  </si>
  <si>
    <t>更新时间:2022-11-19__07-09-12</t>
    <phoneticPr fontId="2" type="noConversion"/>
  </si>
  <si>
    <t>更新时间:2022-11-19__07-10-43</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</si>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</sst>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9"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7">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18" fillId="2" borderId="0" xfId="5" applyFont="1" applyFill="1" applyAlignment="1">
      <alignment horizontal="center"/>
    </xf>
    <xf numFmtId="0" fontId="17" fillId="2" borderId="0" xfId="5" applyFill="1" applyAlignment="1">
      <alignment horizontal="center"/>
    </xf>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5</xdr:row>
      <xdr:rowOff>114300</xdr:rowOff>
    </xdr:from>
    <xdr:to>
      <xdr:col>4</xdr:col>
      <xdr:colOff>533400</xdr:colOff>
      <xdr:row>23</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123825</xdr:colOff>
          <xdr:row>1</xdr:row>
          <xdr:rowOff>123825</xdr:rowOff>
        </xdr:from>
        <xdr:to>
          <xdr:col>25</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171450</xdr:colOff>
          <xdr:row>1</xdr:row>
          <xdr:rowOff>133350</xdr:rowOff>
        </xdr:from>
        <xdr:to>
          <xdr:col>25</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8"/>
  <sheetViews>
    <sheetView workbookViewId="0">
      <selection activeCell="P17" sqref="P17"/>
    </sheetView>
  </sheetViews>
  <sheetFormatPr defaultRowHeight="14.25" x14ac:dyDescent="0.15"/>
  <sheetData>
    <row r="1" spans="1:10" x14ac:dyDescent="0.15">
      <c r="A1" s="62" t="s">
        <v>2104</v>
      </c>
      <c r="B1" s="62"/>
      <c r="C1" s="62"/>
      <c r="D1" s="62"/>
      <c r="E1" s="62"/>
      <c r="F1" s="62"/>
    </row>
    <row r="2" spans="1:10" x14ac:dyDescent="0.15">
      <c r="A2" s="63" t="s">
        <v>2105</v>
      </c>
      <c r="B2" s="63"/>
      <c r="C2" s="63"/>
      <c r="D2" s="63"/>
      <c r="E2" s="63"/>
      <c r="F2" s="63"/>
    </row>
    <row r="4" spans="1:10" x14ac:dyDescent="0.15">
      <c r="A4" s="51" t="s">
        <v>1819</v>
      </c>
    </row>
    <row r="5" spans="1:10" s="53" customFormat="1" x14ac:dyDescent="0.15">
      <c r="A5" s="52" t="s">
        <v>1923</v>
      </c>
      <c r="B5" s="52"/>
      <c r="C5" s="52"/>
      <c r="D5" s="52"/>
      <c r="E5" s="52"/>
      <c r="F5" s="52"/>
      <c r="G5" s="52"/>
      <c r="H5" s="52"/>
      <c r="I5" s="52"/>
      <c r="J5" s="52"/>
    </row>
    <row r="26" spans="1:1" s="51" customFormat="1" x14ac:dyDescent="0.15">
      <c r="A26" s="51" t="s">
        <v>1826</v>
      </c>
    </row>
    <row r="27" spans="1:1" x14ac:dyDescent="0.15">
      <c r="A27" s="52" t="s">
        <v>1887</v>
      </c>
    </row>
    <row r="28" spans="1:1" x14ac:dyDescent="0.15">
      <c r="A28" t="s">
        <v>1888</v>
      </c>
    </row>
    <row r="29" spans="1:1" x14ac:dyDescent="0.15">
      <c r="A29" t="s">
        <v>1827</v>
      </c>
    </row>
    <row r="30" spans="1:1" x14ac:dyDescent="0.15">
      <c r="A30" t="s">
        <v>1828</v>
      </c>
    </row>
    <row r="31" spans="1:1" x14ac:dyDescent="0.15">
      <c r="A31" t="s">
        <v>1829</v>
      </c>
    </row>
    <row r="32" spans="1:1" x14ac:dyDescent="0.15">
      <c r="A32" t="s">
        <v>1830</v>
      </c>
    </row>
    <row r="34" spans="1:1" x14ac:dyDescent="0.15">
      <c r="A34" t="s">
        <v>1831</v>
      </c>
    </row>
    <row r="35" spans="1:1" x14ac:dyDescent="0.15">
      <c r="A35" t="s">
        <v>1832</v>
      </c>
    </row>
    <row r="36" spans="1:1" x14ac:dyDescent="0.15">
      <c r="A36" t="s">
        <v>1833</v>
      </c>
    </row>
    <row r="37" spans="1:1" x14ac:dyDescent="0.15">
      <c r="A37" t="s">
        <v>1834</v>
      </c>
    </row>
    <row r="39" spans="1:1" x14ac:dyDescent="0.15">
      <c r="A39" t="s">
        <v>1835</v>
      </c>
    </row>
    <row r="40" spans="1:1" s="51" customFormat="1" x14ac:dyDescent="0.15"/>
    <row r="42" spans="1:1" s="51" customFormat="1" x14ac:dyDescent="0.15">
      <c r="A42" s="51" t="s">
        <v>1836</v>
      </c>
    </row>
    <row r="43" spans="1:1" x14ac:dyDescent="0.15">
      <c r="A43" t="s">
        <v>1821</v>
      </c>
    </row>
    <row r="44" spans="1:1" x14ac:dyDescent="0.15">
      <c r="A44" t="s">
        <v>1822</v>
      </c>
    </row>
    <row r="45" spans="1:1" x14ac:dyDescent="0.15">
      <c r="A45" t="s">
        <v>1820</v>
      </c>
    </row>
    <row r="46" spans="1:1" x14ac:dyDescent="0.15">
      <c r="A46" t="s">
        <v>1837</v>
      </c>
    </row>
    <row r="48" spans="1:1" x14ac:dyDescent="0.15">
      <c r="A48" t="s">
        <v>1838</v>
      </c>
    </row>
    <row r="50" spans="1:1" x14ac:dyDescent="0.15">
      <c r="A50" t="s">
        <v>1839</v>
      </c>
    </row>
    <row r="52" spans="1:1" x14ac:dyDescent="0.15">
      <c r="A52" t="s">
        <v>1840</v>
      </c>
    </row>
    <row r="53" spans="1:1" x14ac:dyDescent="0.15">
      <c r="A53" t="s">
        <v>1823</v>
      </c>
    </row>
    <row r="56" spans="1:1" s="51" customFormat="1" x14ac:dyDescent="0.15">
      <c r="A56" s="51" t="s">
        <v>1843</v>
      </c>
    </row>
    <row r="57" spans="1:1" x14ac:dyDescent="0.15">
      <c r="A57" t="s">
        <v>1841</v>
      </c>
    </row>
    <row r="58" spans="1:1" x14ac:dyDescent="0.15">
      <c r="A58" t="s">
        <v>1842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50"/>
  <sheetViews>
    <sheetView workbookViewId="0">
      <pane ySplit="1" topLeftCell="A428" activePane="bottomLeft" state="frozen"/>
      <selection pane="bottomLeft" activeCell="D450" sqref="D450"/>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1797</v>
      </c>
      <c r="C1" s="38" t="s">
        <v>1798</v>
      </c>
      <c r="D1" s="39" t="s">
        <v>1695</v>
      </c>
      <c r="E1" s="44" t="s">
        <v>1805</v>
      </c>
      <c r="F1" s="35" t="s">
        <v>1806</v>
      </c>
      <c r="G1" s="35" t="s">
        <v>1807</v>
      </c>
      <c r="H1" s="43" t="s">
        <v>35</v>
      </c>
      <c r="I1" s="40" t="s">
        <v>1799</v>
      </c>
      <c r="J1" s="35" t="s">
        <v>1808</v>
      </c>
      <c r="K1" s="41" t="s">
        <v>1809</v>
      </c>
      <c r="L1" s="42" t="s">
        <v>1800</v>
      </c>
      <c r="M1" s="39" t="s">
        <v>1810</v>
      </c>
      <c r="N1" s="43" t="s">
        <v>1811</v>
      </c>
      <c r="O1" s="54" t="s">
        <v>1812</v>
      </c>
      <c r="P1" s="39" t="s">
        <v>1813</v>
      </c>
      <c r="Q1" s="39" t="s">
        <v>1814</v>
      </c>
      <c r="R1" s="44" t="s">
        <v>1815</v>
      </c>
    </row>
    <row r="2" spans="1:21" x14ac:dyDescent="0.15">
      <c r="A2" s="29">
        <v>1</v>
      </c>
      <c r="B2" s="28">
        <v>128069</v>
      </c>
      <c r="C2" s="28" t="s">
        <v>153</v>
      </c>
      <c r="D2" s="28">
        <v>180.05</v>
      </c>
      <c r="E2" s="48">
        <v>3.9800000000000002E-2</v>
      </c>
      <c r="F2" s="28">
        <v>17.97</v>
      </c>
      <c r="G2" s="28">
        <v>185.31</v>
      </c>
      <c r="H2" s="48">
        <v>-2.8399999999999998E-2</v>
      </c>
      <c r="I2" s="45">
        <v>177.21</v>
      </c>
      <c r="J2" s="46">
        <v>45832</v>
      </c>
      <c r="K2" s="47">
        <v>2.597</v>
      </c>
      <c r="L2" s="47">
        <v>2.0921580000000004</v>
      </c>
      <c r="M2" s="47">
        <v>776290.8032654</v>
      </c>
      <c r="N2" s="48">
        <v>20.608046991923256</v>
      </c>
      <c r="O2" s="48">
        <v>-0.151086</v>
      </c>
      <c r="P2" s="28">
        <v>186.3</v>
      </c>
      <c r="Q2" s="28">
        <v>173</v>
      </c>
      <c r="R2" s="48">
        <v>7.6878612716763078E-2</v>
      </c>
    </row>
    <row r="3" spans="1:21" x14ac:dyDescent="0.15">
      <c r="A3" s="29">
        <v>2</v>
      </c>
      <c r="B3" s="28">
        <v>113642</v>
      </c>
      <c r="C3" s="28" t="s">
        <v>2030</v>
      </c>
      <c r="D3" s="28">
        <v>128.339</v>
      </c>
      <c r="E3" s="48" t="s">
        <v>2103</v>
      </c>
      <c r="F3" s="28">
        <v>102.4</v>
      </c>
      <c r="G3" s="28">
        <v>131.34</v>
      </c>
      <c r="H3" s="48">
        <v>-2.2799999999999997E-2</v>
      </c>
      <c r="I3" s="45">
        <v>126.059</v>
      </c>
      <c r="J3" s="46">
        <v>46813</v>
      </c>
      <c r="K3" s="47">
        <v>5.29</v>
      </c>
      <c r="L3" s="47">
        <v>5.484E-2</v>
      </c>
      <c r="M3" s="47">
        <v>0</v>
      </c>
      <c r="N3" s="48">
        <v>0</v>
      </c>
      <c r="O3" s="48">
        <v>-1.7474E-2</v>
      </c>
      <c r="R3" s="48" t="s">
        <v>2103</v>
      </c>
      <c r="T3" s="30"/>
      <c r="U3" s="30"/>
    </row>
    <row r="4" spans="1:21" x14ac:dyDescent="0.15">
      <c r="A4" s="29">
        <v>3</v>
      </c>
      <c r="B4" s="28">
        <v>128015</v>
      </c>
      <c r="C4" s="28" t="s">
        <v>145</v>
      </c>
      <c r="D4" s="28">
        <v>125.25</v>
      </c>
      <c r="E4" s="48">
        <v>-8.2200000000000009E-2</v>
      </c>
      <c r="F4" s="28">
        <v>5</v>
      </c>
      <c r="G4" s="28">
        <v>127</v>
      </c>
      <c r="H4" s="48">
        <v>-1.38E-2</v>
      </c>
      <c r="I4" s="45">
        <v>123.87</v>
      </c>
      <c r="J4" s="46">
        <v>45085</v>
      </c>
      <c r="K4" s="47">
        <v>0.55100000000000005</v>
      </c>
      <c r="L4" s="47">
        <v>3.1214789999999999</v>
      </c>
      <c r="M4" s="47">
        <v>140526.09883050001</v>
      </c>
      <c r="N4" s="48">
        <v>3.5943373667487619</v>
      </c>
      <c r="O4" s="48">
        <v>-0.23490200000000003</v>
      </c>
      <c r="P4" s="28">
        <v>134.98699999999999</v>
      </c>
      <c r="Q4" s="28">
        <v>124.4</v>
      </c>
      <c r="R4" s="48">
        <v>8.5104501607716945E-2</v>
      </c>
      <c r="T4" s="30"/>
      <c r="U4" s="30"/>
    </row>
    <row r="5" spans="1:21" x14ac:dyDescent="0.15">
      <c r="A5" s="29">
        <v>4</v>
      </c>
      <c r="B5" s="28">
        <v>123110</v>
      </c>
      <c r="C5" s="28" t="s">
        <v>2029</v>
      </c>
      <c r="D5" s="28">
        <v>141.72</v>
      </c>
      <c r="E5" s="48">
        <v>-1.24E-2</v>
      </c>
      <c r="F5" s="28">
        <v>18.7</v>
      </c>
      <c r="G5" s="28">
        <v>142.25</v>
      </c>
      <c r="H5" s="48">
        <v>-3.7000000000000002E-3</v>
      </c>
      <c r="I5" s="45">
        <v>141.35</v>
      </c>
      <c r="J5" s="46">
        <v>46478</v>
      </c>
      <c r="K5" s="47">
        <v>4.367</v>
      </c>
      <c r="L5" s="47">
        <v>0.560025</v>
      </c>
      <c r="M5" s="47">
        <v>23297.921769800003</v>
      </c>
      <c r="N5" s="48">
        <v>2.9354766101211944</v>
      </c>
      <c r="O5" s="48">
        <v>-3.6298999999999998E-2</v>
      </c>
      <c r="P5" s="28">
        <v>147.929</v>
      </c>
      <c r="Q5" s="28">
        <v>140.35</v>
      </c>
      <c r="R5" s="48">
        <v>5.4000712504453208E-2</v>
      </c>
      <c r="T5" s="30"/>
      <c r="U5" s="30"/>
    </row>
    <row r="6" spans="1:21" x14ac:dyDescent="0.15">
      <c r="A6" s="29">
        <v>5</v>
      </c>
      <c r="B6" s="28">
        <v>128029</v>
      </c>
      <c r="C6" s="28" t="s">
        <v>1858</v>
      </c>
      <c r="D6" s="28">
        <v>131</v>
      </c>
      <c r="E6" s="48">
        <v>2.2599999999999999E-2</v>
      </c>
      <c r="F6" s="28">
        <v>8.25</v>
      </c>
      <c r="G6" s="28">
        <v>131.38999999999999</v>
      </c>
      <c r="H6" s="48">
        <v>-3.0000000000000001E-3</v>
      </c>
      <c r="I6" s="45">
        <v>130.69999999999999</v>
      </c>
      <c r="J6" s="46">
        <v>44917</v>
      </c>
      <c r="K6" s="47">
        <v>0.09</v>
      </c>
      <c r="L6" s="47">
        <v>5.48116</v>
      </c>
      <c r="M6" s="47">
        <v>16988.724436299999</v>
      </c>
      <c r="N6" s="48">
        <v>0.23660122923079913</v>
      </c>
      <c r="O6" s="48">
        <v>-0.89702699999999991</v>
      </c>
      <c r="P6" s="28">
        <v>132.29300000000001</v>
      </c>
      <c r="Q6" s="28">
        <v>128.6</v>
      </c>
      <c r="R6" s="48">
        <v>2.871695178849154E-2</v>
      </c>
      <c r="T6" s="28" t="s">
        <v>2110</v>
      </c>
    </row>
    <row r="7" spans="1:21" x14ac:dyDescent="0.15">
      <c r="A7" s="29">
        <v>6</v>
      </c>
      <c r="B7" s="28">
        <v>123139</v>
      </c>
      <c r="C7" s="28" t="s">
        <v>748</v>
      </c>
      <c r="D7" s="28">
        <v>116.001</v>
      </c>
      <c r="E7" s="48">
        <v>-8.5000000000000006E-3</v>
      </c>
      <c r="F7" s="28">
        <v>76</v>
      </c>
      <c r="G7" s="28">
        <v>116.32</v>
      </c>
      <c r="H7" s="48">
        <v>-2.7000000000000001E-3</v>
      </c>
      <c r="I7" s="45">
        <v>115.73100000000001</v>
      </c>
      <c r="J7" s="46">
        <v>46823</v>
      </c>
      <c r="K7" s="47">
        <v>5.3120000000000003</v>
      </c>
      <c r="L7" s="47">
        <v>1.5465530000000001</v>
      </c>
      <c r="M7" s="47">
        <v>9105.3466088999994</v>
      </c>
      <c r="N7" s="48">
        <v>0.50753961001243719</v>
      </c>
      <c r="O7" s="48">
        <v>8.9510000000000006E-3</v>
      </c>
      <c r="P7" s="28">
        <v>117.99</v>
      </c>
      <c r="Q7" s="28">
        <v>114.94799999999999</v>
      </c>
      <c r="R7" s="48">
        <v>2.6464140306921406E-2</v>
      </c>
    </row>
    <row r="8" spans="1:21" x14ac:dyDescent="0.15">
      <c r="A8" s="29">
        <v>7</v>
      </c>
      <c r="B8" s="28">
        <v>128022</v>
      </c>
      <c r="C8" s="28" t="s">
        <v>141</v>
      </c>
      <c r="D8" s="28">
        <v>137</v>
      </c>
      <c r="E8" s="48">
        <v>-4.53E-2</v>
      </c>
      <c r="F8" s="28">
        <v>5.95</v>
      </c>
      <c r="G8" s="28">
        <v>137.13999999999999</v>
      </c>
      <c r="H8" s="48">
        <v>-1E-3</v>
      </c>
      <c r="I8" s="45">
        <v>136.9</v>
      </c>
      <c r="J8" s="46">
        <v>45261</v>
      </c>
      <c r="K8" s="47">
        <v>1.0329999999999999</v>
      </c>
      <c r="L8" s="47">
        <v>4.2213789999999998</v>
      </c>
      <c r="M8" s="47">
        <v>49639.1080047</v>
      </c>
      <c r="N8" s="48">
        <v>0.85831965220075979</v>
      </c>
      <c r="O8" s="48">
        <v>-0.211007</v>
      </c>
      <c r="P8" s="28">
        <v>144.28800000000001</v>
      </c>
      <c r="Q8" s="28">
        <v>137</v>
      </c>
      <c r="R8" s="48">
        <v>5.3197080291970886E-2</v>
      </c>
    </row>
    <row r="9" spans="1:21" x14ac:dyDescent="0.15">
      <c r="A9" s="29">
        <v>8</v>
      </c>
      <c r="B9" s="28">
        <v>110056</v>
      </c>
      <c r="C9" s="28" t="s">
        <v>2034</v>
      </c>
      <c r="D9" s="28">
        <v>108.26600000000001</v>
      </c>
      <c r="E9" s="48">
        <v>-1.89E-2</v>
      </c>
      <c r="F9" s="28">
        <v>14.88</v>
      </c>
      <c r="G9" s="28">
        <v>108.33</v>
      </c>
      <c r="H9" s="48">
        <v>-5.9999999999999995E-4</v>
      </c>
      <c r="I9" s="45">
        <v>108.206</v>
      </c>
      <c r="J9" s="46">
        <v>45735</v>
      </c>
      <c r="K9" s="47">
        <v>2.3319999999999999</v>
      </c>
      <c r="L9" s="47">
        <v>9.9525600000000001</v>
      </c>
      <c r="M9" s="47">
        <v>21886.5383</v>
      </c>
      <c r="N9" s="48">
        <v>0.2031188272759045</v>
      </c>
      <c r="O9" s="48">
        <v>2.0034E-2</v>
      </c>
      <c r="P9" s="28">
        <v>110.758</v>
      </c>
      <c r="Q9" s="28">
        <v>108.2</v>
      </c>
      <c r="R9" s="48">
        <v>2.3641404805914906E-2</v>
      </c>
    </row>
    <row r="10" spans="1:21" x14ac:dyDescent="0.15">
      <c r="A10" s="29">
        <v>9</v>
      </c>
      <c r="B10" s="28">
        <v>113626</v>
      </c>
      <c r="C10" s="28" t="s">
        <v>2032</v>
      </c>
      <c r="D10" s="28">
        <v>221.76</v>
      </c>
      <c r="E10" s="48">
        <v>-3.1099999999999999E-2</v>
      </c>
      <c r="F10" s="28">
        <v>35.880000000000003</v>
      </c>
      <c r="G10" s="28">
        <v>221.54</v>
      </c>
      <c r="H10" s="48">
        <v>1E-3</v>
      </c>
      <c r="I10" s="45">
        <v>221.85999999999999</v>
      </c>
      <c r="J10" s="46">
        <v>46567</v>
      </c>
      <c r="K10" s="47">
        <v>4.6109999999999998</v>
      </c>
      <c r="L10" s="47">
        <v>8.1364300000000007</v>
      </c>
      <c r="M10" s="47">
        <v>40415.285300000003</v>
      </c>
      <c r="N10" s="48">
        <v>0.22398995554259904</v>
      </c>
      <c r="O10" s="48">
        <v>-0.12512399999999999</v>
      </c>
      <c r="P10" s="28">
        <v>230.8</v>
      </c>
      <c r="Q10" s="28">
        <v>219.839</v>
      </c>
      <c r="R10" s="48">
        <v>4.9859215152907414E-2</v>
      </c>
    </row>
    <row r="11" spans="1:21" x14ac:dyDescent="0.15">
      <c r="A11" s="29">
        <v>10</v>
      </c>
      <c r="B11" s="28">
        <v>123067</v>
      </c>
      <c r="C11" s="28" t="s">
        <v>1862</v>
      </c>
      <c r="D11" s="28">
        <v>233.101</v>
      </c>
      <c r="E11" s="48">
        <v>-0.03</v>
      </c>
      <c r="F11" s="28">
        <v>9.9600000000000009</v>
      </c>
      <c r="G11" s="28">
        <v>232.73</v>
      </c>
      <c r="H11" s="48">
        <v>1.6000000000000001E-3</v>
      </c>
      <c r="I11" s="45">
        <v>233.261</v>
      </c>
      <c r="J11" s="46">
        <v>46282</v>
      </c>
      <c r="K11" s="47">
        <v>3.83</v>
      </c>
      <c r="L11" s="47">
        <v>2.3953660000000001</v>
      </c>
      <c r="M11" s="47">
        <v>37776.468547299999</v>
      </c>
      <c r="N11" s="48">
        <v>0.67655847535957514</v>
      </c>
      <c r="O11" s="48">
        <v>-0.16136900000000001</v>
      </c>
      <c r="P11" s="28">
        <v>243.63399999999999</v>
      </c>
      <c r="Q11" s="28">
        <v>232.39</v>
      </c>
      <c r="R11" s="48">
        <v>4.8384181763414948E-2</v>
      </c>
    </row>
    <row r="12" spans="1:21" x14ac:dyDescent="0.15">
      <c r="A12" s="29">
        <v>11</v>
      </c>
      <c r="B12" s="28">
        <v>110038</v>
      </c>
      <c r="C12" s="28" t="s">
        <v>2031</v>
      </c>
      <c r="D12" s="28">
        <v>134.33199999999999</v>
      </c>
      <c r="E12" s="48" t="s">
        <v>2103</v>
      </c>
      <c r="F12" s="28">
        <v>22.67</v>
      </c>
      <c r="G12" s="28">
        <v>133.83000000000001</v>
      </c>
      <c r="H12" s="48">
        <v>3.8E-3</v>
      </c>
      <c r="I12" s="45">
        <v>134.71199999999999</v>
      </c>
      <c r="J12" s="46">
        <v>44878</v>
      </c>
      <c r="K12" s="47">
        <v>-3.0000000000000001E-3</v>
      </c>
      <c r="L12" s="47">
        <v>7.5090000000000004E-2</v>
      </c>
      <c r="M12" s="47">
        <v>0</v>
      </c>
      <c r="N12" s="48">
        <v>0</v>
      </c>
      <c r="O12" s="48">
        <v>-1.857156</v>
      </c>
      <c r="R12" s="48" t="s">
        <v>2103</v>
      </c>
    </row>
    <row r="13" spans="1:21" x14ac:dyDescent="0.15">
      <c r="A13" s="29">
        <v>12</v>
      </c>
      <c r="B13" s="28">
        <v>128081</v>
      </c>
      <c r="C13" s="28" t="s">
        <v>90</v>
      </c>
      <c r="D13" s="28">
        <v>127.1</v>
      </c>
      <c r="E13" s="48">
        <v>-1.6E-2</v>
      </c>
      <c r="F13" s="28">
        <v>9.6199999999999992</v>
      </c>
      <c r="G13" s="28">
        <v>126.3</v>
      </c>
      <c r="H13" s="48">
        <v>6.3E-3</v>
      </c>
      <c r="I13" s="45">
        <v>127.72999999999999</v>
      </c>
      <c r="J13" s="46">
        <v>45982</v>
      </c>
      <c r="K13" s="47">
        <v>3.008</v>
      </c>
      <c r="L13" s="47">
        <v>29.251431</v>
      </c>
      <c r="M13" s="47">
        <v>15881.444155399999</v>
      </c>
      <c r="N13" s="48">
        <v>4.2716663571441285E-2</v>
      </c>
      <c r="O13" s="48">
        <v>-3.5400000000000001E-2</v>
      </c>
      <c r="P13" s="28">
        <v>129.47999999999999</v>
      </c>
      <c r="Q13" s="28">
        <v>126.617</v>
      </c>
      <c r="R13" s="48">
        <v>2.2611497666190049E-2</v>
      </c>
    </row>
    <row r="14" spans="1:21" x14ac:dyDescent="0.15">
      <c r="A14" s="29">
        <v>13</v>
      </c>
      <c r="B14" s="28">
        <v>128106</v>
      </c>
      <c r="C14" s="28" t="s">
        <v>1845</v>
      </c>
      <c r="D14" s="28">
        <v>194.3</v>
      </c>
      <c r="E14" s="48">
        <v>-1.37E-2</v>
      </c>
      <c r="F14" s="28">
        <v>8.85</v>
      </c>
      <c r="G14" s="28">
        <v>192.66</v>
      </c>
      <c r="H14" s="48">
        <v>8.5000000000000006E-3</v>
      </c>
      <c r="I14" s="45">
        <v>195.15</v>
      </c>
      <c r="J14" s="46">
        <v>46122</v>
      </c>
      <c r="K14" s="47">
        <v>3.3919999999999999</v>
      </c>
      <c r="L14" s="47">
        <v>2.8702049999999999</v>
      </c>
      <c r="M14" s="47">
        <v>52102.064123000004</v>
      </c>
      <c r="N14" s="48">
        <v>0.93426313367917879</v>
      </c>
      <c r="O14" s="48">
        <v>-0.151562</v>
      </c>
      <c r="P14" s="28">
        <v>197.9</v>
      </c>
      <c r="Q14" s="28">
        <v>191.3</v>
      </c>
      <c r="R14" s="48">
        <v>3.4500784108729712E-2</v>
      </c>
    </row>
    <row r="15" spans="1:21" x14ac:dyDescent="0.15">
      <c r="A15" s="29">
        <v>14</v>
      </c>
      <c r="B15" s="28">
        <v>123057</v>
      </c>
      <c r="C15" s="28" t="s">
        <v>1891</v>
      </c>
      <c r="D15" s="28">
        <v>216.8</v>
      </c>
      <c r="E15" s="48">
        <v>-2.1700000000000001E-2</v>
      </c>
      <c r="F15" s="28">
        <v>9.5</v>
      </c>
      <c r="G15" s="28">
        <v>214.63</v>
      </c>
      <c r="H15" s="48">
        <v>1.01E-2</v>
      </c>
      <c r="I15" s="45">
        <v>217.81</v>
      </c>
      <c r="J15" s="46">
        <v>46204</v>
      </c>
      <c r="K15" s="47">
        <v>3.6160000000000001</v>
      </c>
      <c r="L15" s="47">
        <v>2.0595089999999998</v>
      </c>
      <c r="M15" s="47">
        <v>52406.650268600002</v>
      </c>
      <c r="N15" s="48">
        <v>1.173717092981065</v>
      </c>
      <c r="O15" s="48">
        <v>-0.15917999999999999</v>
      </c>
      <c r="P15" s="28">
        <v>223</v>
      </c>
      <c r="Q15" s="28">
        <v>213.75200000000001</v>
      </c>
      <c r="R15" s="48">
        <v>4.3265092256446674E-2</v>
      </c>
    </row>
    <row r="16" spans="1:21" x14ac:dyDescent="0.15">
      <c r="A16" s="29">
        <v>15</v>
      </c>
      <c r="B16" s="28">
        <v>110061</v>
      </c>
      <c r="C16" s="28" t="s">
        <v>2033</v>
      </c>
      <c r="D16" s="28">
        <v>130.565</v>
      </c>
      <c r="E16" s="48">
        <v>6.1999999999999998E-3</v>
      </c>
      <c r="F16" s="28">
        <v>8.8000000000000007</v>
      </c>
      <c r="G16" s="28">
        <v>129.19999999999999</v>
      </c>
      <c r="H16" s="48">
        <v>1.06E-2</v>
      </c>
      <c r="I16" s="45">
        <v>131.625</v>
      </c>
      <c r="J16" s="46">
        <v>45972</v>
      </c>
      <c r="K16" s="47">
        <v>2.9809999999999999</v>
      </c>
      <c r="L16" s="47">
        <v>35.111510000000003</v>
      </c>
      <c r="M16" s="47">
        <v>8381.0529999999999</v>
      </c>
      <c r="N16" s="48">
        <v>1.8281941162626793E-2</v>
      </c>
      <c r="O16" s="48">
        <v>-5.8644000000000002E-2</v>
      </c>
      <c r="P16" s="28">
        <v>130.86600000000001</v>
      </c>
      <c r="Q16" s="28">
        <v>129.369</v>
      </c>
      <c r="R16" s="48">
        <v>1.1571551144401008E-2</v>
      </c>
    </row>
    <row r="17" spans="1:18" x14ac:dyDescent="0.15">
      <c r="A17" s="29">
        <v>16</v>
      </c>
      <c r="B17" s="28">
        <v>128091</v>
      </c>
      <c r="C17" s="28" t="s">
        <v>1883</v>
      </c>
      <c r="D17" s="28">
        <v>215.5</v>
      </c>
      <c r="E17" s="48">
        <v>-6.8999999999999999E-3</v>
      </c>
      <c r="F17" s="28">
        <v>8.2100000000000009</v>
      </c>
      <c r="G17" s="28">
        <v>212.91</v>
      </c>
      <c r="H17" s="48">
        <v>1.2199999999999999E-2</v>
      </c>
      <c r="I17" s="45">
        <v>216.72</v>
      </c>
      <c r="J17" s="46">
        <v>46021</v>
      </c>
      <c r="K17" s="47">
        <v>3.1150000000000002</v>
      </c>
      <c r="L17" s="47">
        <v>1.5272330000000001</v>
      </c>
      <c r="M17" s="47">
        <v>381381.68552579999</v>
      </c>
      <c r="N17" s="48">
        <v>11.58796726529479</v>
      </c>
      <c r="O17" s="48">
        <v>-0.17801900000000001</v>
      </c>
      <c r="P17" s="28">
        <v>225.8</v>
      </c>
      <c r="Q17" s="28">
        <v>212.001</v>
      </c>
      <c r="R17" s="48">
        <v>6.50893156164358E-2</v>
      </c>
    </row>
    <row r="18" spans="1:18" x14ac:dyDescent="0.15">
      <c r="A18" s="29">
        <v>17</v>
      </c>
      <c r="B18" s="28">
        <v>113615</v>
      </c>
      <c r="C18" s="28" t="s">
        <v>1853</v>
      </c>
      <c r="D18" s="28">
        <v>192.67099999999999</v>
      </c>
      <c r="E18" s="48">
        <v>-4.99E-2</v>
      </c>
      <c r="F18" s="28">
        <v>12.55</v>
      </c>
      <c r="G18" s="28">
        <v>189.64</v>
      </c>
      <c r="H18" s="48">
        <v>1.6E-2</v>
      </c>
      <c r="I18" s="45">
        <v>194.27099999999999</v>
      </c>
      <c r="J18" s="46">
        <v>46379</v>
      </c>
      <c r="K18" s="47">
        <v>4.0960000000000001</v>
      </c>
      <c r="L18" s="47">
        <v>8.4789300000000001</v>
      </c>
      <c r="M18" s="47">
        <v>26445.0101</v>
      </c>
      <c r="N18" s="48">
        <v>0.16187744307914348</v>
      </c>
      <c r="O18" s="48">
        <v>-0.11678699999999999</v>
      </c>
      <c r="P18" s="28">
        <v>202.99</v>
      </c>
      <c r="Q18" s="28">
        <v>188.601</v>
      </c>
      <c r="R18" s="48">
        <v>7.6293338847620157E-2</v>
      </c>
    </row>
    <row r="19" spans="1:18" x14ac:dyDescent="0.15">
      <c r="A19" s="29">
        <v>18</v>
      </c>
      <c r="B19" s="28">
        <v>128040</v>
      </c>
      <c r="C19" s="28" t="s">
        <v>1866</v>
      </c>
      <c r="D19" s="28">
        <v>159</v>
      </c>
      <c r="E19" s="48">
        <v>-5.5199999999999999E-2</v>
      </c>
      <c r="F19" s="28">
        <v>9.73</v>
      </c>
      <c r="G19" s="28">
        <v>156.32</v>
      </c>
      <c r="H19" s="48">
        <v>1.7100000000000001E-2</v>
      </c>
      <c r="I19" s="45">
        <v>160.71</v>
      </c>
      <c r="J19" s="46">
        <v>45457</v>
      </c>
      <c r="K19" s="47">
        <v>1.57</v>
      </c>
      <c r="L19" s="47">
        <v>2.0037470000000002</v>
      </c>
      <c r="M19" s="47">
        <v>40798.625268999996</v>
      </c>
      <c r="N19" s="48">
        <v>1.2805764773596036</v>
      </c>
      <c r="O19" s="48">
        <v>-0.21152000000000001</v>
      </c>
      <c r="P19" s="28">
        <v>167.5</v>
      </c>
      <c r="Q19" s="28">
        <v>158.56299999999999</v>
      </c>
      <c r="R19" s="48">
        <v>5.6362455301678278E-2</v>
      </c>
    </row>
    <row r="20" spans="1:18" x14ac:dyDescent="0.15">
      <c r="A20" s="29">
        <v>19</v>
      </c>
      <c r="B20" s="28">
        <v>123085</v>
      </c>
      <c r="C20" s="28" t="s">
        <v>1847</v>
      </c>
      <c r="D20" s="28">
        <v>161.28</v>
      </c>
      <c r="E20" s="48">
        <v>-2.2000000000000002E-2</v>
      </c>
      <c r="F20" s="28">
        <v>6.2</v>
      </c>
      <c r="G20" s="28">
        <v>158.06</v>
      </c>
      <c r="H20" s="48">
        <v>2.0400000000000001E-2</v>
      </c>
      <c r="I20" s="45">
        <v>163.32</v>
      </c>
      <c r="J20" s="46">
        <v>46367</v>
      </c>
      <c r="K20" s="47">
        <v>4.0629999999999997</v>
      </c>
      <c r="L20" s="47">
        <v>6.0832689999999996</v>
      </c>
      <c r="M20" s="47">
        <v>9655.7978114999987</v>
      </c>
      <c r="N20" s="48">
        <v>9.8417114378960086E-2</v>
      </c>
      <c r="O20" s="48">
        <v>-8.561400000000001E-2</v>
      </c>
      <c r="P20" s="28">
        <v>166.5</v>
      </c>
      <c r="Q20" s="28">
        <v>160.01599999999999</v>
      </c>
      <c r="R20" s="48">
        <v>4.0520947905209534E-2</v>
      </c>
    </row>
    <row r="21" spans="1:18" x14ac:dyDescent="0.15">
      <c r="A21" s="29">
        <v>20</v>
      </c>
      <c r="B21" s="28">
        <v>110068</v>
      </c>
      <c r="C21" s="28" t="s">
        <v>1700</v>
      </c>
      <c r="D21" s="28">
        <v>154.078</v>
      </c>
      <c r="E21" s="48">
        <v>8.0000000000000004E-4</v>
      </c>
      <c r="F21" s="28">
        <v>10.3</v>
      </c>
      <c r="G21" s="28">
        <v>150.58000000000001</v>
      </c>
      <c r="H21" s="48">
        <v>2.3199999999999998E-2</v>
      </c>
      <c r="I21" s="45">
        <v>156.398</v>
      </c>
      <c r="J21" s="46">
        <v>46105</v>
      </c>
      <c r="K21" s="47">
        <v>3.3450000000000002</v>
      </c>
      <c r="L21" s="47">
        <v>19.751159999999999</v>
      </c>
      <c r="M21" s="47">
        <v>19771.504499999999</v>
      </c>
      <c r="N21" s="48">
        <v>6.4969044300109413E-2</v>
      </c>
      <c r="O21" s="48">
        <v>-8.6880000000000013E-2</v>
      </c>
      <c r="P21" s="28">
        <v>156.9</v>
      </c>
      <c r="Q21" s="28">
        <v>151.07</v>
      </c>
      <c r="R21" s="48">
        <v>3.8591381478784756E-2</v>
      </c>
    </row>
    <row r="22" spans="1:18" x14ac:dyDescent="0.15">
      <c r="A22" s="29">
        <v>21</v>
      </c>
      <c r="B22" s="28">
        <v>123098</v>
      </c>
      <c r="C22" s="28" t="s">
        <v>1898</v>
      </c>
      <c r="D22" s="28">
        <v>147.99199999999999</v>
      </c>
      <c r="E22" s="48">
        <v>2.8500000000000001E-2</v>
      </c>
      <c r="F22" s="28">
        <v>25.31</v>
      </c>
      <c r="G22" s="28">
        <v>144.53</v>
      </c>
      <c r="H22" s="48">
        <v>2.4E-2</v>
      </c>
      <c r="I22" s="45">
        <v>150.392</v>
      </c>
      <c r="J22" s="46">
        <v>46415</v>
      </c>
      <c r="K22" s="47">
        <v>4.1950000000000003</v>
      </c>
      <c r="L22" s="47">
        <v>4.2358450000000003</v>
      </c>
      <c r="M22" s="47">
        <v>33397.4449905</v>
      </c>
      <c r="N22" s="48">
        <v>0.53276408959570487</v>
      </c>
      <c r="O22" s="48">
        <v>-4.2839999999999996E-2</v>
      </c>
      <c r="P22" s="28">
        <v>149.107</v>
      </c>
      <c r="Q22" s="28">
        <v>143.43700000000001</v>
      </c>
      <c r="R22" s="48">
        <v>3.9529549558342598E-2</v>
      </c>
    </row>
    <row r="23" spans="1:18" x14ac:dyDescent="0.15">
      <c r="A23" s="29">
        <v>22</v>
      </c>
      <c r="B23" s="28">
        <v>128087</v>
      </c>
      <c r="C23" s="28" t="s">
        <v>112</v>
      </c>
      <c r="D23" s="28">
        <v>127.30500000000001</v>
      </c>
      <c r="E23" s="48">
        <v>-2.0000000000000001E-4</v>
      </c>
      <c r="F23" s="28">
        <v>4.16</v>
      </c>
      <c r="G23" s="28">
        <v>124.04</v>
      </c>
      <c r="H23" s="48">
        <v>2.63E-2</v>
      </c>
      <c r="I23" s="45">
        <v>129.935</v>
      </c>
      <c r="J23" s="46">
        <v>46008</v>
      </c>
      <c r="K23" s="47">
        <v>3.0790000000000002</v>
      </c>
      <c r="L23" s="47">
        <v>6.4603440000000001</v>
      </c>
      <c r="M23" s="47">
        <v>5500.8894726000008</v>
      </c>
      <c r="N23" s="48">
        <v>6.688547471408246E-2</v>
      </c>
      <c r="O23" s="48">
        <v>-4.0735E-2</v>
      </c>
      <c r="P23" s="28">
        <v>128.679</v>
      </c>
      <c r="Q23" s="28">
        <v>126.666</v>
      </c>
      <c r="R23" s="48">
        <v>1.5892188906257442E-2</v>
      </c>
    </row>
    <row r="24" spans="1:18" x14ac:dyDescent="0.15">
      <c r="A24" s="29">
        <v>23</v>
      </c>
      <c r="B24" s="28">
        <v>128078</v>
      </c>
      <c r="C24" s="28" t="s">
        <v>1916</v>
      </c>
      <c r="D24" s="28">
        <v>144.01</v>
      </c>
      <c r="E24" s="48">
        <v>-3.9300000000000002E-2</v>
      </c>
      <c r="F24" s="28">
        <v>22.02</v>
      </c>
      <c r="G24" s="28">
        <v>140.28</v>
      </c>
      <c r="H24" s="48">
        <v>2.6600000000000002E-2</v>
      </c>
      <c r="I24" s="45">
        <v>146.66999999999999</v>
      </c>
      <c r="J24" s="46">
        <v>45951</v>
      </c>
      <c r="K24" s="47">
        <v>2.923</v>
      </c>
      <c r="L24" s="47">
        <v>6.9908239999999999</v>
      </c>
      <c r="M24" s="47">
        <v>108342.44096219999</v>
      </c>
      <c r="N24" s="48">
        <v>1.0761618621625579</v>
      </c>
      <c r="O24" s="48">
        <v>-7.4130000000000001E-2</v>
      </c>
      <c r="P24" s="28">
        <v>154.44</v>
      </c>
      <c r="Q24" s="28">
        <v>142.5</v>
      </c>
      <c r="R24" s="48">
        <v>8.3789473684210511E-2</v>
      </c>
    </row>
    <row r="25" spans="1:18" x14ac:dyDescent="0.15">
      <c r="A25" s="29">
        <v>24</v>
      </c>
      <c r="B25" s="28">
        <v>113025</v>
      </c>
      <c r="C25" s="28" t="s">
        <v>1852</v>
      </c>
      <c r="D25" s="28">
        <v>203.51400000000001</v>
      </c>
      <c r="E25" s="48">
        <v>-4.5100000000000001E-2</v>
      </c>
      <c r="F25" s="28">
        <v>7.66</v>
      </c>
      <c r="G25" s="28">
        <v>197.78</v>
      </c>
      <c r="H25" s="48">
        <v>2.8999999999999998E-2</v>
      </c>
      <c r="I25" s="45">
        <v>206.41400000000002</v>
      </c>
      <c r="J25" s="46">
        <v>45757</v>
      </c>
      <c r="K25" s="47">
        <v>2.3919999999999999</v>
      </c>
      <c r="L25" s="47">
        <v>10.146599999999999</v>
      </c>
      <c r="M25" s="47">
        <v>30257.199100000002</v>
      </c>
      <c r="N25" s="48">
        <v>0.14652572969139036</v>
      </c>
      <c r="O25" s="48">
        <v>-0.21936800000000001</v>
      </c>
      <c r="P25" s="28">
        <v>213.8</v>
      </c>
      <c r="Q25" s="28">
        <v>201.71</v>
      </c>
      <c r="R25" s="48">
        <v>5.9937534083585361E-2</v>
      </c>
    </row>
    <row r="26" spans="1:18" x14ac:dyDescent="0.15">
      <c r="A26" s="29">
        <v>25</v>
      </c>
      <c r="B26" s="28">
        <v>127058</v>
      </c>
      <c r="C26" s="28" t="s">
        <v>2035</v>
      </c>
      <c r="D26" s="28">
        <v>154</v>
      </c>
      <c r="E26" s="48">
        <v>5.1999999999999998E-3</v>
      </c>
      <c r="F26" s="28">
        <v>16.649999999999999</v>
      </c>
      <c r="G26" s="28">
        <v>148.94999999999999</v>
      </c>
      <c r="H26" s="48">
        <v>3.39E-2</v>
      </c>
      <c r="I26" s="45">
        <v>157.38999999999999</v>
      </c>
      <c r="J26" s="46">
        <v>46830</v>
      </c>
      <c r="K26" s="47">
        <v>5.3319999999999999</v>
      </c>
      <c r="L26" s="47">
        <v>29.992777</v>
      </c>
      <c r="M26" s="47">
        <v>37550.2249218</v>
      </c>
      <c r="N26" s="48">
        <v>8.1297116756590321E-2</v>
      </c>
      <c r="O26" s="48">
        <v>-5.7967000000000005E-2</v>
      </c>
      <c r="P26" s="28">
        <v>156.44900000000001</v>
      </c>
      <c r="Q26" s="28">
        <v>152.667</v>
      </c>
      <c r="R26" s="48">
        <v>2.4772871674952745E-2</v>
      </c>
    </row>
    <row r="27" spans="1:18" x14ac:dyDescent="0.15">
      <c r="A27" s="29">
        <v>26</v>
      </c>
      <c r="B27" s="28">
        <v>113647</v>
      </c>
      <c r="C27" s="28" t="s">
        <v>1740</v>
      </c>
      <c r="D27" s="28">
        <v>137.15299999999999</v>
      </c>
      <c r="E27" s="48">
        <v>-1.8E-3</v>
      </c>
      <c r="F27" s="28">
        <v>10.26</v>
      </c>
      <c r="G27" s="28">
        <v>132.07</v>
      </c>
      <c r="H27" s="48">
        <v>3.85E-2</v>
      </c>
      <c r="I27" s="45">
        <v>141.00299999999999</v>
      </c>
      <c r="J27" s="46">
        <v>46865</v>
      </c>
      <c r="K27" s="47">
        <v>5.4269999999999996</v>
      </c>
      <c r="L27" s="47">
        <v>14.998699999999999</v>
      </c>
      <c r="M27" s="47">
        <v>19683.033800000001</v>
      </c>
      <c r="N27" s="48">
        <v>9.5682630885622177E-2</v>
      </c>
      <c r="O27" s="48">
        <v>-2.9180999999999999E-2</v>
      </c>
      <c r="P27" s="28">
        <v>137.85</v>
      </c>
      <c r="Q27" s="28">
        <v>135.05000000000001</v>
      </c>
      <c r="R27" s="48">
        <v>2.0733061828952112E-2</v>
      </c>
    </row>
    <row r="28" spans="1:18" x14ac:dyDescent="0.15">
      <c r="A28" s="29">
        <v>27</v>
      </c>
      <c r="B28" s="28">
        <v>128111</v>
      </c>
      <c r="C28" s="28" t="s">
        <v>1844</v>
      </c>
      <c r="D28" s="28">
        <v>730</v>
      </c>
      <c r="E28" s="48">
        <v>-2.3E-2</v>
      </c>
      <c r="F28" s="28">
        <v>10.96</v>
      </c>
      <c r="G28" s="28">
        <v>702.65</v>
      </c>
      <c r="H28" s="48">
        <v>3.8900000000000004E-2</v>
      </c>
      <c r="I28" s="45">
        <v>733.89</v>
      </c>
      <c r="J28" s="46">
        <v>46184</v>
      </c>
      <c r="K28" s="47">
        <v>3.5619999999999998</v>
      </c>
      <c r="L28" s="47">
        <v>1.1477010000000001</v>
      </c>
      <c r="M28" s="47">
        <v>45029.441046</v>
      </c>
      <c r="N28" s="48">
        <v>0.53745850022295316</v>
      </c>
      <c r="O28" s="48">
        <v>-0.39683300000000005</v>
      </c>
      <c r="P28" s="28">
        <v>746.56</v>
      </c>
      <c r="Q28" s="28">
        <v>722.85599999999999</v>
      </c>
      <c r="R28" s="48">
        <v>3.2792146706951249E-2</v>
      </c>
    </row>
    <row r="29" spans="1:18" x14ac:dyDescent="0.15">
      <c r="A29" s="29">
        <v>28</v>
      </c>
      <c r="B29" s="28">
        <v>123105</v>
      </c>
      <c r="C29" s="28" t="s">
        <v>1889</v>
      </c>
      <c r="D29" s="28">
        <v>142</v>
      </c>
      <c r="E29" s="48">
        <v>-1.3899999999999999E-2</v>
      </c>
      <c r="F29" s="28">
        <v>9.91</v>
      </c>
      <c r="G29" s="28">
        <v>136.53</v>
      </c>
      <c r="H29" s="48">
        <v>4.0099999999999997E-2</v>
      </c>
      <c r="I29" s="45">
        <v>146.01</v>
      </c>
      <c r="J29" s="46">
        <v>46465</v>
      </c>
      <c r="K29" s="47">
        <v>4.3319999999999999</v>
      </c>
      <c r="L29" s="47">
        <v>7.9967379999999997</v>
      </c>
      <c r="M29" s="47">
        <v>16593.780787200001</v>
      </c>
      <c r="N29" s="48">
        <v>0.14613159913137683</v>
      </c>
      <c r="O29" s="48">
        <v>-3.755E-2</v>
      </c>
      <c r="P29" s="28">
        <v>147</v>
      </c>
      <c r="Q29" s="28">
        <v>140.62</v>
      </c>
      <c r="R29" s="48">
        <v>4.5370502062295516E-2</v>
      </c>
    </row>
    <row r="30" spans="1:18" x14ac:dyDescent="0.15">
      <c r="A30" s="29">
        <v>29</v>
      </c>
      <c r="B30" s="28">
        <v>110053</v>
      </c>
      <c r="C30" s="28" t="s">
        <v>1699</v>
      </c>
      <c r="D30" s="28">
        <v>122.712</v>
      </c>
      <c r="E30" s="48">
        <v>-3.3E-3</v>
      </c>
      <c r="F30" s="28">
        <v>5.97</v>
      </c>
      <c r="G30" s="28">
        <v>117.92</v>
      </c>
      <c r="H30" s="48">
        <v>4.0599999999999997E-2</v>
      </c>
      <c r="I30" s="45">
        <v>126.77200000000001</v>
      </c>
      <c r="J30" s="46">
        <v>45730</v>
      </c>
      <c r="K30" s="47">
        <v>2.3180000000000001</v>
      </c>
      <c r="L30" s="47">
        <v>199.99167</v>
      </c>
      <c r="M30" s="47">
        <v>17787.936399999999</v>
      </c>
      <c r="N30" s="48">
        <v>7.2481408902183471E-3</v>
      </c>
      <c r="O30" s="48">
        <v>-2.1684999999999999E-2</v>
      </c>
      <c r="P30" s="28">
        <v>123.5</v>
      </c>
      <c r="Q30" s="28">
        <v>122.4</v>
      </c>
      <c r="R30" s="48">
        <v>8.9869281045751159E-3</v>
      </c>
    </row>
    <row r="31" spans="1:18" x14ac:dyDescent="0.15">
      <c r="A31" s="29">
        <v>30</v>
      </c>
      <c r="B31" s="28">
        <v>123092</v>
      </c>
      <c r="C31" s="28" t="s">
        <v>1849</v>
      </c>
      <c r="D31" s="28">
        <v>253.9</v>
      </c>
      <c r="E31" s="48">
        <v>-3.3E-3</v>
      </c>
      <c r="F31" s="28">
        <v>5.14</v>
      </c>
      <c r="G31" s="28">
        <v>243.97</v>
      </c>
      <c r="H31" s="48">
        <v>4.07E-2</v>
      </c>
      <c r="I31" s="45">
        <v>257.97000000000003</v>
      </c>
      <c r="J31" s="46">
        <v>46380</v>
      </c>
      <c r="K31" s="47">
        <v>4.0990000000000002</v>
      </c>
      <c r="L31" s="47">
        <v>4.1420029999999999</v>
      </c>
      <c r="M31" s="47">
        <v>3540.0876072999999</v>
      </c>
      <c r="N31" s="48">
        <v>3.3662076276999617E-2</v>
      </c>
      <c r="O31" s="48">
        <v>-0.16825299999999999</v>
      </c>
      <c r="P31" s="28">
        <v>256.53699999999998</v>
      </c>
      <c r="Q31" s="28">
        <v>252.7</v>
      </c>
      <c r="R31" s="48">
        <v>1.5184012663236997E-2</v>
      </c>
    </row>
    <row r="32" spans="1:18" x14ac:dyDescent="0.15">
      <c r="A32" s="29">
        <v>31</v>
      </c>
      <c r="B32" s="28">
        <v>110052</v>
      </c>
      <c r="C32" s="28" t="s">
        <v>2036</v>
      </c>
      <c r="D32" s="28">
        <v>145.54</v>
      </c>
      <c r="E32" s="48">
        <v>1.78E-2</v>
      </c>
      <c r="F32" s="28">
        <v>7.94</v>
      </c>
      <c r="G32" s="28">
        <v>139.55000000000001</v>
      </c>
      <c r="H32" s="48">
        <v>4.2900000000000001E-2</v>
      </c>
      <c r="I32" s="45">
        <v>149.82999999999998</v>
      </c>
      <c r="J32" s="46">
        <v>45721</v>
      </c>
      <c r="K32" s="47">
        <v>2.2930000000000001</v>
      </c>
      <c r="L32" s="47">
        <v>3.5804100000000001</v>
      </c>
      <c r="M32" s="47">
        <v>102191.2901</v>
      </c>
      <c r="N32" s="48">
        <v>1.9610955303504083</v>
      </c>
      <c r="O32" s="48">
        <v>-9.3371999999999997E-2</v>
      </c>
      <c r="P32" s="28">
        <v>152</v>
      </c>
      <c r="Q32" s="28">
        <v>142.20099999999999</v>
      </c>
      <c r="R32" s="48">
        <v>6.8909501339653081E-2</v>
      </c>
    </row>
    <row r="33" spans="1:18" x14ac:dyDescent="0.15">
      <c r="A33" s="29">
        <v>32</v>
      </c>
      <c r="B33" s="28">
        <v>123012</v>
      </c>
      <c r="C33" s="28" t="s">
        <v>1855</v>
      </c>
      <c r="D33" s="28">
        <v>193.999</v>
      </c>
      <c r="E33" s="48">
        <v>-1.6799999999999999E-2</v>
      </c>
      <c r="F33" s="28">
        <v>5.27</v>
      </c>
      <c r="G33" s="28">
        <v>185.96</v>
      </c>
      <c r="H33" s="48">
        <v>4.3200000000000002E-2</v>
      </c>
      <c r="I33" s="45">
        <v>198.31899999999999</v>
      </c>
      <c r="J33" s="46">
        <v>45493</v>
      </c>
      <c r="K33" s="47">
        <v>1.6679999999999999</v>
      </c>
      <c r="L33" s="47">
        <v>1.223741</v>
      </c>
      <c r="M33" s="47">
        <v>6075.9651329999997</v>
      </c>
      <c r="N33" s="48">
        <v>0.25593299025807703</v>
      </c>
      <c r="O33" s="48">
        <v>-0.29853099999999999</v>
      </c>
      <c r="P33" s="28">
        <v>199.13</v>
      </c>
      <c r="Q33" s="28">
        <v>193.18100000000001</v>
      </c>
      <c r="R33" s="48">
        <v>3.0794953955099017E-2</v>
      </c>
    </row>
    <row r="34" spans="1:18" x14ac:dyDescent="0.15">
      <c r="A34" s="29">
        <v>33</v>
      </c>
      <c r="B34" s="28">
        <v>123123</v>
      </c>
      <c r="C34" s="28" t="s">
        <v>1892</v>
      </c>
      <c r="D34" s="28">
        <v>159.4</v>
      </c>
      <c r="E34" s="48">
        <v>-8.1000000000000013E-3</v>
      </c>
      <c r="F34" s="28">
        <v>53.59</v>
      </c>
      <c r="G34" s="28">
        <v>152.38</v>
      </c>
      <c r="H34" s="48">
        <v>4.6100000000000002E-2</v>
      </c>
      <c r="I34" s="45">
        <v>164.01000000000002</v>
      </c>
      <c r="J34" s="46">
        <v>46611</v>
      </c>
      <c r="K34" s="47">
        <v>4.7320000000000002</v>
      </c>
      <c r="L34" s="47">
        <v>5.1514360000000003</v>
      </c>
      <c r="M34" s="47">
        <v>49929.482497799996</v>
      </c>
      <c r="N34" s="48">
        <v>0.60805160485136256</v>
      </c>
      <c r="O34" s="48">
        <v>-5.7492000000000001E-2</v>
      </c>
      <c r="P34" s="28">
        <v>164.87</v>
      </c>
      <c r="Q34" s="28">
        <v>158.899</v>
      </c>
      <c r="R34" s="48">
        <v>3.7577328995147881E-2</v>
      </c>
    </row>
    <row r="35" spans="1:18" x14ac:dyDescent="0.15">
      <c r="A35" s="29">
        <v>34</v>
      </c>
      <c r="B35" s="28">
        <v>128140</v>
      </c>
      <c r="C35" s="28" t="s">
        <v>1864</v>
      </c>
      <c r="D35" s="28">
        <v>153.953</v>
      </c>
      <c r="E35" s="48">
        <v>-8.0000000000000002E-3</v>
      </c>
      <c r="F35" s="28">
        <v>26.2</v>
      </c>
      <c r="G35" s="28">
        <v>145.72999999999999</v>
      </c>
      <c r="H35" s="48">
        <v>5.6399999999999999E-2</v>
      </c>
      <c r="I35" s="45">
        <v>159.59299999999999</v>
      </c>
      <c r="J35" s="46">
        <v>46363</v>
      </c>
      <c r="K35" s="47">
        <v>4.0519999999999996</v>
      </c>
      <c r="L35" s="47">
        <v>10.895921</v>
      </c>
      <c r="M35" s="47">
        <v>21918.5390506</v>
      </c>
      <c r="N35" s="48">
        <v>0.13066506882174819</v>
      </c>
      <c r="O35" s="48">
        <v>-7.0986000000000007E-2</v>
      </c>
      <c r="P35" s="28">
        <v>160</v>
      </c>
      <c r="Q35" s="28">
        <v>153.02000000000001</v>
      </c>
      <c r="R35" s="48">
        <v>4.5614952293817734E-2</v>
      </c>
    </row>
    <row r="36" spans="1:18" x14ac:dyDescent="0.15">
      <c r="A36" s="29">
        <v>35</v>
      </c>
      <c r="B36" s="28">
        <v>128128</v>
      </c>
      <c r="C36" s="28" t="s">
        <v>1848</v>
      </c>
      <c r="D36" s="28">
        <v>144.934</v>
      </c>
      <c r="E36" s="48">
        <v>1.9199999999999998E-2</v>
      </c>
      <c r="F36" s="28">
        <v>5.69</v>
      </c>
      <c r="G36" s="28">
        <v>137.08000000000001</v>
      </c>
      <c r="H36" s="48">
        <v>5.7300000000000004E-2</v>
      </c>
      <c r="I36" s="45">
        <v>150.66399999999999</v>
      </c>
      <c r="J36" s="46">
        <v>46254</v>
      </c>
      <c r="K36" s="47">
        <v>3.7530000000000001</v>
      </c>
      <c r="L36" s="47">
        <v>6.7976359999999998</v>
      </c>
      <c r="M36" s="47">
        <v>18887.038143000002</v>
      </c>
      <c r="N36" s="48">
        <v>0.19170598594687738</v>
      </c>
      <c r="O36" s="48">
        <v>-6.2077E-2</v>
      </c>
      <c r="P36" s="28">
        <v>148.78800000000001</v>
      </c>
      <c r="Q36" s="28">
        <v>141</v>
      </c>
      <c r="R36" s="48">
        <v>5.5234042553191566E-2</v>
      </c>
    </row>
    <row r="37" spans="1:18" x14ac:dyDescent="0.15">
      <c r="A37" s="29">
        <v>36</v>
      </c>
      <c r="B37" s="28">
        <v>113570</v>
      </c>
      <c r="C37" s="28" t="s">
        <v>42</v>
      </c>
      <c r="D37" s="28">
        <v>130.96199999999999</v>
      </c>
      <c r="E37" s="48">
        <v>4.5400000000000003E-2</v>
      </c>
      <c r="F37" s="28">
        <v>11.09</v>
      </c>
      <c r="G37" s="28">
        <v>123.72</v>
      </c>
      <c r="H37" s="48">
        <v>5.8499999999999996E-2</v>
      </c>
      <c r="I37" s="45">
        <v>136.81199999999998</v>
      </c>
      <c r="J37" s="46">
        <v>46092</v>
      </c>
      <c r="K37" s="47">
        <v>3.31</v>
      </c>
      <c r="L37" s="47">
        <v>2.7983099999999999</v>
      </c>
      <c r="M37" s="47">
        <v>31606.820100000001</v>
      </c>
      <c r="N37" s="48">
        <v>0.86246142814683591</v>
      </c>
      <c r="O37" s="48">
        <v>-4.1043999999999997E-2</v>
      </c>
      <c r="P37" s="28">
        <v>132.446</v>
      </c>
      <c r="Q37" s="28">
        <v>125.04900000000001</v>
      </c>
      <c r="R37" s="48">
        <v>5.9152812097657645E-2</v>
      </c>
    </row>
    <row r="38" spans="1:18" x14ac:dyDescent="0.15">
      <c r="A38" s="29">
        <v>37</v>
      </c>
      <c r="B38" s="28">
        <v>127028</v>
      </c>
      <c r="C38" s="28" t="s">
        <v>62</v>
      </c>
      <c r="D38" s="28">
        <v>130.07</v>
      </c>
      <c r="E38" s="48">
        <v>1.5300000000000001E-2</v>
      </c>
      <c r="F38" s="28">
        <v>10.83</v>
      </c>
      <c r="G38" s="28">
        <v>122.81</v>
      </c>
      <c r="H38" s="48">
        <v>5.91E-2</v>
      </c>
      <c r="I38" s="45">
        <v>135.97999999999999</v>
      </c>
      <c r="J38" s="46">
        <v>46392</v>
      </c>
      <c r="K38" s="47">
        <v>4.1319999999999997</v>
      </c>
      <c r="L38" s="47">
        <v>5.9813150000000004</v>
      </c>
      <c r="M38" s="47">
        <v>19390.725424200002</v>
      </c>
      <c r="N38" s="48">
        <v>0.24924143428318027</v>
      </c>
      <c r="O38" s="48">
        <v>-3.4554999999999995E-2</v>
      </c>
      <c r="P38" s="28">
        <v>131.30000000000001</v>
      </c>
      <c r="Q38" s="28">
        <v>127.111</v>
      </c>
      <c r="R38" s="48">
        <v>3.2955448387629767E-2</v>
      </c>
    </row>
    <row r="39" spans="1:18" x14ac:dyDescent="0.15">
      <c r="A39" s="29">
        <v>38</v>
      </c>
      <c r="B39" s="28">
        <v>128025</v>
      </c>
      <c r="C39" s="28" t="s">
        <v>50</v>
      </c>
      <c r="D39" s="28">
        <v>223.553</v>
      </c>
      <c r="E39" s="48">
        <v>0.2</v>
      </c>
      <c r="F39" s="28">
        <v>13.15</v>
      </c>
      <c r="G39" s="28">
        <v>210.27</v>
      </c>
      <c r="H39" s="48">
        <v>6.3200000000000006E-2</v>
      </c>
      <c r="I39" s="45">
        <v>229.87299999999999</v>
      </c>
      <c r="J39" s="46">
        <v>45266</v>
      </c>
      <c r="K39" s="47">
        <v>1.0469999999999999</v>
      </c>
      <c r="L39" s="47">
        <v>2.6569180000000001</v>
      </c>
      <c r="M39" s="47">
        <v>714050.22826580005</v>
      </c>
      <c r="N39" s="48">
        <v>12.021816895753799</v>
      </c>
      <c r="O39" s="48">
        <v>-0.50564200000000004</v>
      </c>
      <c r="P39" s="28">
        <v>223.553</v>
      </c>
      <c r="Q39" s="28">
        <v>189.1</v>
      </c>
      <c r="R39" s="48">
        <v>0.18219460602855633</v>
      </c>
    </row>
    <row r="40" spans="1:18" x14ac:dyDescent="0.15">
      <c r="A40" s="29">
        <v>39</v>
      </c>
      <c r="B40" s="28">
        <v>123060</v>
      </c>
      <c r="C40" s="28" t="s">
        <v>1863</v>
      </c>
      <c r="D40" s="28">
        <v>236.65</v>
      </c>
      <c r="E40" s="48">
        <v>1.8700000000000001E-2</v>
      </c>
      <c r="F40" s="28">
        <v>14.54</v>
      </c>
      <c r="G40" s="28">
        <v>222.42</v>
      </c>
      <c r="H40" s="48">
        <v>6.4000000000000001E-2</v>
      </c>
      <c r="I40" s="45">
        <v>243.05</v>
      </c>
      <c r="J40" s="46">
        <v>46224</v>
      </c>
      <c r="K40" s="47">
        <v>3.6709999999999998</v>
      </c>
      <c r="L40" s="47">
        <v>3.0957680000000001</v>
      </c>
      <c r="M40" s="47">
        <v>36696.408302999997</v>
      </c>
      <c r="N40" s="48">
        <v>0.50089724586362694</v>
      </c>
      <c r="O40" s="48">
        <v>-0.17792100000000002</v>
      </c>
      <c r="P40" s="28">
        <v>241.32300000000001</v>
      </c>
      <c r="Q40" s="28">
        <v>230</v>
      </c>
      <c r="R40" s="48">
        <v>4.9230434782608731E-2</v>
      </c>
    </row>
    <row r="41" spans="1:18" x14ac:dyDescent="0.15">
      <c r="A41" s="29">
        <v>40</v>
      </c>
      <c r="B41" s="28">
        <v>113591</v>
      </c>
      <c r="C41" s="28" t="s">
        <v>41</v>
      </c>
      <c r="D41" s="28">
        <v>124.895</v>
      </c>
      <c r="E41" s="48">
        <v>-2.1600000000000001E-2</v>
      </c>
      <c r="F41" s="28">
        <v>8.74</v>
      </c>
      <c r="G41" s="28">
        <v>116.7</v>
      </c>
      <c r="H41" s="48">
        <v>7.0199999999999999E-2</v>
      </c>
      <c r="I41" s="45">
        <v>131.91499999999999</v>
      </c>
      <c r="J41" s="46">
        <v>46204</v>
      </c>
      <c r="K41" s="47">
        <v>3.6160000000000001</v>
      </c>
      <c r="L41" s="47">
        <v>4.74308</v>
      </c>
      <c r="M41" s="47">
        <v>4717.5324000000001</v>
      </c>
      <c r="N41" s="48">
        <v>7.9635991106290632E-2</v>
      </c>
      <c r="O41" s="48">
        <v>-8.8859999999999998E-3</v>
      </c>
      <c r="P41" s="28">
        <v>127.81</v>
      </c>
      <c r="Q41" s="28">
        <v>124.2</v>
      </c>
      <c r="R41" s="48">
        <v>2.9066022544283407E-2</v>
      </c>
    </row>
    <row r="42" spans="1:18" x14ac:dyDescent="0.15">
      <c r="A42" s="29">
        <v>41</v>
      </c>
      <c r="B42" s="28">
        <v>123080</v>
      </c>
      <c r="C42" s="28" t="s">
        <v>2039</v>
      </c>
      <c r="D42" s="28">
        <v>134.291</v>
      </c>
      <c r="E42" s="48">
        <v>-7.9000000000000008E-3</v>
      </c>
      <c r="F42" s="28">
        <v>11.53</v>
      </c>
      <c r="G42" s="28">
        <v>124.89</v>
      </c>
      <c r="H42" s="48">
        <v>7.5300000000000006E-2</v>
      </c>
      <c r="I42" s="45">
        <v>141.821</v>
      </c>
      <c r="J42" s="46">
        <v>46358</v>
      </c>
      <c r="K42" s="47">
        <v>4.0380000000000003</v>
      </c>
      <c r="L42" s="47">
        <v>1.971244</v>
      </c>
      <c r="M42" s="47">
        <v>3756.4754359999997</v>
      </c>
      <c r="N42" s="48">
        <v>0.14190355022313353</v>
      </c>
      <c r="O42" s="48">
        <v>-1.6032000000000001E-2</v>
      </c>
      <c r="P42" s="28">
        <v>137.20400000000001</v>
      </c>
      <c r="Q42" s="28">
        <v>133.142</v>
      </c>
      <c r="R42" s="48">
        <v>3.050878009944279E-2</v>
      </c>
    </row>
    <row r="43" spans="1:18" x14ac:dyDescent="0.15">
      <c r="A43" s="29">
        <v>42</v>
      </c>
      <c r="B43" s="28">
        <v>113622</v>
      </c>
      <c r="C43" s="28" t="s">
        <v>1778</v>
      </c>
      <c r="D43" s="28">
        <v>131.751</v>
      </c>
      <c r="E43" s="48">
        <v>-1.5300000000000001E-2</v>
      </c>
      <c r="F43" s="28">
        <v>15.45</v>
      </c>
      <c r="G43" s="28">
        <v>122.27</v>
      </c>
      <c r="H43" s="48">
        <v>7.7499999999999999E-2</v>
      </c>
      <c r="I43" s="45">
        <v>139.501</v>
      </c>
      <c r="J43" s="46">
        <v>46471</v>
      </c>
      <c r="K43" s="47">
        <v>4.3479999999999999</v>
      </c>
      <c r="L43" s="47">
        <v>11.49968</v>
      </c>
      <c r="M43" s="47">
        <v>5718.9049000000005</v>
      </c>
      <c r="N43" s="48">
        <v>3.7746196723353075E-2</v>
      </c>
      <c r="O43" s="48">
        <v>-3.6629000000000002E-2</v>
      </c>
      <c r="P43" s="28">
        <v>134.46799999999999</v>
      </c>
      <c r="Q43" s="28">
        <v>131.61099999999999</v>
      </c>
      <c r="R43" s="48">
        <v>2.1707911952648332E-2</v>
      </c>
    </row>
    <row r="44" spans="1:18" x14ac:dyDescent="0.15">
      <c r="A44" s="29">
        <v>43</v>
      </c>
      <c r="B44" s="28">
        <v>113534</v>
      </c>
      <c r="C44" s="28" t="s">
        <v>1846</v>
      </c>
      <c r="D44" s="28">
        <v>323.78699999999998</v>
      </c>
      <c r="E44" s="48">
        <v>-2.29E-2</v>
      </c>
      <c r="F44" s="28">
        <v>14.98</v>
      </c>
      <c r="G44" s="28">
        <v>300.33</v>
      </c>
      <c r="H44" s="48">
        <v>7.8100000000000003E-2</v>
      </c>
      <c r="I44" s="45">
        <v>331.59699999999998</v>
      </c>
      <c r="J44" s="46">
        <v>45756</v>
      </c>
      <c r="K44" s="47">
        <v>2.3889999999999998</v>
      </c>
      <c r="L44" s="47">
        <v>3.93336</v>
      </c>
      <c r="M44" s="47">
        <v>50510.4519</v>
      </c>
      <c r="N44" s="48">
        <v>0.39660496722170263</v>
      </c>
      <c r="O44" s="48">
        <v>-0.35899000000000003</v>
      </c>
      <c r="P44" s="28">
        <v>339.9</v>
      </c>
      <c r="Q44" s="28">
        <v>323.02600000000001</v>
      </c>
      <c r="R44" s="48">
        <v>5.2237281209561975E-2</v>
      </c>
    </row>
    <row r="45" spans="1:18" x14ac:dyDescent="0.15">
      <c r="A45" s="29">
        <v>44</v>
      </c>
      <c r="B45" s="28">
        <v>111000</v>
      </c>
      <c r="C45" s="28" t="s">
        <v>82</v>
      </c>
      <c r="D45" s="28">
        <v>141.09100000000001</v>
      </c>
      <c r="E45" s="48">
        <v>-5.0000000000000001E-4</v>
      </c>
      <c r="F45" s="28">
        <v>19.86</v>
      </c>
      <c r="G45" s="28">
        <v>130.51</v>
      </c>
      <c r="H45" s="48">
        <v>8.1099999999999992E-2</v>
      </c>
      <c r="I45" s="45">
        <v>149.20100000000002</v>
      </c>
      <c r="J45" s="46">
        <v>46531</v>
      </c>
      <c r="K45" s="47">
        <v>4.5119999999999996</v>
      </c>
      <c r="L45" s="47">
        <v>9.9930599999999998</v>
      </c>
      <c r="M45" s="47">
        <v>10113.108099999999</v>
      </c>
      <c r="N45" s="48">
        <v>7.1727689726779453E-2</v>
      </c>
      <c r="O45" s="48">
        <v>-3.5691000000000001E-2</v>
      </c>
      <c r="P45" s="28">
        <v>144.17099999999999</v>
      </c>
      <c r="Q45" s="28">
        <v>138.25899999999999</v>
      </c>
      <c r="R45" s="48">
        <v>4.2760326633347605E-2</v>
      </c>
    </row>
    <row r="46" spans="1:18" x14ac:dyDescent="0.15">
      <c r="A46" s="29">
        <v>45</v>
      </c>
      <c r="B46" s="28">
        <v>113567</v>
      </c>
      <c r="C46" s="28" t="s">
        <v>43</v>
      </c>
      <c r="D46" s="28">
        <v>134.41900000000001</v>
      </c>
      <c r="E46" s="48">
        <v>-1.26E-2</v>
      </c>
      <c r="F46" s="28">
        <v>7.45</v>
      </c>
      <c r="G46" s="28">
        <v>123.89</v>
      </c>
      <c r="H46" s="48">
        <v>8.5000000000000006E-2</v>
      </c>
      <c r="I46" s="45">
        <v>142.91900000000001</v>
      </c>
      <c r="J46" s="46">
        <v>46085</v>
      </c>
      <c r="K46" s="47">
        <v>3.29</v>
      </c>
      <c r="L46" s="47">
        <v>1.93404</v>
      </c>
      <c r="M46" s="47">
        <v>2450.6457999999998</v>
      </c>
      <c r="N46" s="48">
        <v>9.4265859916710257E-2</v>
      </c>
      <c r="O46" s="48">
        <v>-3.9652E-2</v>
      </c>
      <c r="P46" s="28">
        <v>137.49</v>
      </c>
      <c r="Q46" s="28">
        <v>133.80000000000001</v>
      </c>
      <c r="R46" s="48">
        <v>2.757847533632285E-2</v>
      </c>
    </row>
    <row r="47" spans="1:18" x14ac:dyDescent="0.15">
      <c r="A47" s="29">
        <v>46</v>
      </c>
      <c r="B47" s="28">
        <v>128141</v>
      </c>
      <c r="C47" s="28" t="s">
        <v>2037</v>
      </c>
      <c r="D47" s="28">
        <v>130.25</v>
      </c>
      <c r="E47" s="48">
        <v>-1.3300000000000001E-2</v>
      </c>
      <c r="F47" s="28">
        <v>15.67</v>
      </c>
      <c r="G47" s="28">
        <v>119.91</v>
      </c>
      <c r="H47" s="48">
        <v>8.6199999999999999E-2</v>
      </c>
      <c r="I47" s="45">
        <v>138.87</v>
      </c>
      <c r="J47" s="46">
        <v>46373</v>
      </c>
      <c r="K47" s="47">
        <v>4.0789999999999997</v>
      </c>
      <c r="L47" s="47">
        <v>12.701475</v>
      </c>
      <c r="M47" s="47">
        <v>3349.8044897999998</v>
      </c>
      <c r="N47" s="48">
        <v>2.0248253557717172E-2</v>
      </c>
      <c r="O47" s="48">
        <v>-3.1073E-2</v>
      </c>
      <c r="P47" s="28">
        <v>132.87299999999999</v>
      </c>
      <c r="Q47" s="28">
        <v>130</v>
      </c>
      <c r="R47" s="48">
        <v>2.2099999999999925E-2</v>
      </c>
    </row>
    <row r="48" spans="1:18" x14ac:dyDescent="0.15">
      <c r="A48" s="29">
        <v>47</v>
      </c>
      <c r="B48" s="28">
        <v>113537</v>
      </c>
      <c r="C48" s="28" t="s">
        <v>1851</v>
      </c>
      <c r="D48" s="28">
        <v>379.005</v>
      </c>
      <c r="E48" s="48">
        <v>9.0000000000000011E-3</v>
      </c>
      <c r="F48" s="28">
        <v>19.13</v>
      </c>
      <c r="G48" s="28">
        <v>347.62</v>
      </c>
      <c r="H48" s="48">
        <v>9.0299999999999991E-2</v>
      </c>
      <c r="I48" s="45">
        <v>388.03499999999997</v>
      </c>
      <c r="J48" s="46">
        <v>45818</v>
      </c>
      <c r="K48" s="47">
        <v>2.5590000000000002</v>
      </c>
      <c r="L48" s="47">
        <v>1.2393099999999999</v>
      </c>
      <c r="M48" s="47">
        <v>61652.381099999999</v>
      </c>
      <c r="N48" s="48">
        <v>1.3125775165847131</v>
      </c>
      <c r="O48" s="48">
        <v>-0.36717700000000003</v>
      </c>
      <c r="P48" s="28">
        <v>393.39800000000002</v>
      </c>
      <c r="Q48" s="28">
        <v>369.14</v>
      </c>
      <c r="R48" s="48">
        <v>6.5714904914124822E-2</v>
      </c>
    </row>
    <row r="49" spans="1:18" x14ac:dyDescent="0.15">
      <c r="A49" s="29">
        <v>48</v>
      </c>
      <c r="B49" s="28">
        <v>127007</v>
      </c>
      <c r="C49" s="28" t="s">
        <v>768</v>
      </c>
      <c r="D49" s="28">
        <v>138.98500000000001</v>
      </c>
      <c r="E49" s="48">
        <v>-8.5000000000000006E-3</v>
      </c>
      <c r="F49" s="28">
        <v>5.58</v>
      </c>
      <c r="G49" s="28">
        <v>127.24</v>
      </c>
      <c r="H49" s="48">
        <v>9.2300000000000007E-2</v>
      </c>
      <c r="I49" s="45">
        <v>148.215</v>
      </c>
      <c r="J49" s="46">
        <v>45471</v>
      </c>
      <c r="K49" s="47">
        <v>1.6080000000000001</v>
      </c>
      <c r="L49" s="47">
        <v>3.6851539999999998</v>
      </c>
      <c r="M49" s="47">
        <v>72056.515165000004</v>
      </c>
      <c r="N49" s="48">
        <v>1.4068561125884931</v>
      </c>
      <c r="O49" s="48">
        <v>-0.137324</v>
      </c>
      <c r="P49" s="28">
        <v>143.53200000000001</v>
      </c>
      <c r="Q49" s="28">
        <v>137.4</v>
      </c>
      <c r="R49" s="48">
        <v>4.4628820960698722E-2</v>
      </c>
    </row>
    <row r="50" spans="1:18" x14ac:dyDescent="0.15">
      <c r="A50" s="29">
        <v>49</v>
      </c>
      <c r="B50" s="28">
        <v>110077</v>
      </c>
      <c r="C50" s="28" t="s">
        <v>1698</v>
      </c>
      <c r="D50" s="28">
        <v>126.124</v>
      </c>
      <c r="E50" s="48">
        <v>8.0000000000000004E-4</v>
      </c>
      <c r="F50" s="28">
        <v>6.21</v>
      </c>
      <c r="G50" s="28">
        <v>115.46</v>
      </c>
      <c r="H50" s="48">
        <v>9.2399999999999996E-2</v>
      </c>
      <c r="I50" s="45">
        <v>135.364</v>
      </c>
      <c r="J50" s="46">
        <v>46346</v>
      </c>
      <c r="K50" s="47">
        <v>4.0049999999999999</v>
      </c>
      <c r="L50" s="47">
        <v>17.672170000000001</v>
      </c>
      <c r="M50" s="47">
        <v>3346.7238000000002</v>
      </c>
      <c r="N50" s="48">
        <v>1.501523921930429E-2</v>
      </c>
      <c r="O50" s="48">
        <v>-2.6762999999999999E-2</v>
      </c>
      <c r="P50" s="28">
        <v>126.9</v>
      </c>
      <c r="Q50" s="28">
        <v>125.52200000000001</v>
      </c>
      <c r="R50" s="48">
        <v>1.0978155223785473E-2</v>
      </c>
    </row>
    <row r="51" spans="1:18" x14ac:dyDescent="0.15">
      <c r="A51" s="29">
        <v>50</v>
      </c>
      <c r="B51" s="28">
        <v>110084</v>
      </c>
      <c r="C51" s="28" t="s">
        <v>246</v>
      </c>
      <c r="D51" s="28">
        <v>120.56399999999999</v>
      </c>
      <c r="E51" s="48">
        <v>-4.8999999999999998E-3</v>
      </c>
      <c r="F51" s="28">
        <v>7.18</v>
      </c>
      <c r="G51" s="28">
        <v>110.31</v>
      </c>
      <c r="H51" s="48">
        <v>9.3000000000000013E-2</v>
      </c>
      <c r="I51" s="45">
        <v>129.864</v>
      </c>
      <c r="J51" s="46">
        <v>46748</v>
      </c>
      <c r="K51" s="47">
        <v>5.1070000000000002</v>
      </c>
      <c r="L51" s="47">
        <v>9.9947800000000004</v>
      </c>
      <c r="M51" s="47">
        <v>3919.6192000000001</v>
      </c>
      <c r="N51" s="48">
        <v>3.2527672520932645E-2</v>
      </c>
      <c r="O51" s="48">
        <v>-9.2100000000000012E-3</v>
      </c>
      <c r="P51" s="28">
        <v>121.46</v>
      </c>
      <c r="Q51" s="28">
        <v>120.44</v>
      </c>
      <c r="R51" s="48">
        <v>8.4689471936233475E-3</v>
      </c>
    </row>
    <row r="52" spans="1:18" x14ac:dyDescent="0.15">
      <c r="A52" s="29">
        <v>51</v>
      </c>
      <c r="B52" s="28">
        <v>110085</v>
      </c>
      <c r="C52" s="28" t="s">
        <v>1706</v>
      </c>
      <c r="D52" s="28">
        <v>125.60599999999999</v>
      </c>
      <c r="E52" s="48">
        <v>-9.1999999999999998E-3</v>
      </c>
      <c r="F52" s="28">
        <v>38.36</v>
      </c>
      <c r="G52" s="28">
        <v>114.55</v>
      </c>
      <c r="H52" s="48">
        <v>9.6500000000000002E-2</v>
      </c>
      <c r="I52" s="45">
        <v>135.256</v>
      </c>
      <c r="J52" s="46">
        <v>46807</v>
      </c>
      <c r="K52" s="47">
        <v>5.2679999999999998</v>
      </c>
      <c r="L52" s="47">
        <v>119.84902</v>
      </c>
      <c r="M52" s="47">
        <v>27334.7736</v>
      </c>
      <c r="N52" s="48">
        <v>1.8158108573625906E-2</v>
      </c>
      <c r="O52" s="48">
        <v>-1.933E-2</v>
      </c>
      <c r="P52" s="28">
        <v>127.413</v>
      </c>
      <c r="Q52" s="28">
        <v>125.24</v>
      </c>
      <c r="R52" s="48">
        <v>1.7350686681571397E-2</v>
      </c>
    </row>
    <row r="53" spans="1:18" x14ac:dyDescent="0.15">
      <c r="A53" s="29">
        <v>52</v>
      </c>
      <c r="B53" s="28">
        <v>113504</v>
      </c>
      <c r="C53" s="28" t="s">
        <v>118</v>
      </c>
      <c r="D53" s="28">
        <v>144.47900000000001</v>
      </c>
      <c r="E53" s="48">
        <v>4.6999999999999993E-3</v>
      </c>
      <c r="F53" s="28">
        <v>20.51</v>
      </c>
      <c r="G53" s="28">
        <v>131.63999999999999</v>
      </c>
      <c r="H53" s="48">
        <v>9.7500000000000003E-2</v>
      </c>
      <c r="I53" s="45">
        <v>154.22900000000001</v>
      </c>
      <c r="J53" s="46">
        <v>45353</v>
      </c>
      <c r="K53" s="47">
        <v>1.2849999999999999</v>
      </c>
      <c r="L53" s="47">
        <v>4.6274199999999999</v>
      </c>
      <c r="M53" s="47">
        <v>6169.5375999999997</v>
      </c>
      <c r="N53" s="48">
        <v>9.2280293900316987E-2</v>
      </c>
      <c r="O53" s="48">
        <v>-0.20555199999999998</v>
      </c>
      <c r="P53" s="28">
        <v>145.38</v>
      </c>
      <c r="Q53" s="28">
        <v>142.798</v>
      </c>
      <c r="R53" s="48">
        <v>1.8081485735094285E-2</v>
      </c>
    </row>
    <row r="54" spans="1:18" x14ac:dyDescent="0.15">
      <c r="A54" s="29">
        <v>53</v>
      </c>
      <c r="B54" s="28">
        <v>113598</v>
      </c>
      <c r="C54" s="28" t="s">
        <v>2038</v>
      </c>
      <c r="D54" s="28">
        <v>139.53899999999999</v>
      </c>
      <c r="E54" s="48">
        <v>-1.5300000000000001E-2</v>
      </c>
      <c r="F54" s="28">
        <v>9.48</v>
      </c>
      <c r="G54" s="28">
        <v>126.9</v>
      </c>
      <c r="H54" s="48">
        <v>9.9600000000000008E-2</v>
      </c>
      <c r="I54" s="45">
        <v>149.499</v>
      </c>
      <c r="J54" s="46">
        <v>46234</v>
      </c>
      <c r="K54" s="47">
        <v>3.6989999999999998</v>
      </c>
      <c r="L54" s="47">
        <v>2.7525400000000002</v>
      </c>
      <c r="M54" s="47">
        <v>7250.4598999999998</v>
      </c>
      <c r="N54" s="48">
        <v>0.1887714491360262</v>
      </c>
      <c r="O54" s="48">
        <v>-4.0669000000000004E-2</v>
      </c>
      <c r="P54" s="28">
        <v>145.03399999999999</v>
      </c>
      <c r="Q54" s="28">
        <v>138.721</v>
      </c>
      <c r="R54" s="48">
        <v>4.5508610808745527E-2</v>
      </c>
    </row>
    <row r="55" spans="1:18" x14ac:dyDescent="0.15">
      <c r="A55" s="29">
        <v>54</v>
      </c>
      <c r="B55" s="28">
        <v>113585</v>
      </c>
      <c r="C55" s="28" t="s">
        <v>1861</v>
      </c>
      <c r="D55" s="28">
        <v>199.124</v>
      </c>
      <c r="E55" s="48">
        <v>7.8000000000000005E-3</v>
      </c>
      <c r="F55" s="28">
        <v>21.64</v>
      </c>
      <c r="G55" s="28">
        <v>181.05</v>
      </c>
      <c r="H55" s="48">
        <v>9.98E-2</v>
      </c>
      <c r="I55" s="45">
        <v>209.10399999999998</v>
      </c>
      <c r="J55" s="46">
        <v>46182</v>
      </c>
      <c r="K55" s="47">
        <v>3.556</v>
      </c>
      <c r="L55" s="47">
        <v>1.00143</v>
      </c>
      <c r="M55" s="47">
        <v>25257.658800000001</v>
      </c>
      <c r="N55" s="48">
        <v>1.2666274242958824</v>
      </c>
      <c r="O55" s="48">
        <v>-0.14200599999999999</v>
      </c>
      <c r="P55" s="28">
        <v>202.327</v>
      </c>
      <c r="Q55" s="28">
        <v>194.95099999999999</v>
      </c>
      <c r="R55" s="48">
        <v>3.7835148319321291E-2</v>
      </c>
    </row>
    <row r="56" spans="1:18" x14ac:dyDescent="0.15">
      <c r="A56" s="29">
        <v>55</v>
      </c>
      <c r="B56" s="28">
        <v>128095</v>
      </c>
      <c r="C56" s="28" t="s">
        <v>1856</v>
      </c>
      <c r="D56" s="28">
        <v>261.8</v>
      </c>
      <c r="E56" s="48">
        <v>-1.5700000000000002E-2</v>
      </c>
      <c r="F56" s="28">
        <v>64.62</v>
      </c>
      <c r="G56" s="28">
        <v>237.87</v>
      </c>
      <c r="H56" s="48">
        <v>0.10060000000000001</v>
      </c>
      <c r="I56" s="45">
        <v>271.86</v>
      </c>
      <c r="J56" s="46">
        <v>46064</v>
      </c>
      <c r="K56" s="47">
        <v>3.2330000000000001</v>
      </c>
      <c r="L56" s="47">
        <v>4.5392349999999997</v>
      </c>
      <c r="M56" s="47">
        <v>16713.4143348</v>
      </c>
      <c r="N56" s="48">
        <v>0.14064129944633494</v>
      </c>
      <c r="O56" s="48">
        <v>-0.22925300000000001</v>
      </c>
      <c r="P56" s="28">
        <v>270</v>
      </c>
      <c r="Q56" s="28">
        <v>261.291</v>
      </c>
      <c r="R56" s="48">
        <v>3.3330654327933237E-2</v>
      </c>
    </row>
    <row r="57" spans="1:18" x14ac:dyDescent="0.15">
      <c r="A57" s="29">
        <v>56</v>
      </c>
      <c r="B57" s="28">
        <v>110083</v>
      </c>
      <c r="C57" s="28" t="s">
        <v>1712</v>
      </c>
      <c r="D57" s="28">
        <v>120.158</v>
      </c>
      <c r="E57" s="48">
        <v>-1.49E-2</v>
      </c>
      <c r="F57" s="28">
        <v>5.07</v>
      </c>
      <c r="G57" s="28">
        <v>108.48</v>
      </c>
      <c r="H57" s="48">
        <v>0.10769999999999999</v>
      </c>
      <c r="I57" s="45">
        <v>130.928</v>
      </c>
      <c r="J57" s="46">
        <v>46702</v>
      </c>
      <c r="K57" s="47">
        <v>4.9809999999999999</v>
      </c>
      <c r="L57" s="47">
        <v>49.981180000000002</v>
      </c>
      <c r="M57" s="47">
        <v>3681.2350000000001</v>
      </c>
      <c r="N57" s="48">
        <v>6.129631216559143E-3</v>
      </c>
      <c r="O57" s="48">
        <v>-1.7228E-2</v>
      </c>
      <c r="P57" s="28">
        <v>122.42400000000001</v>
      </c>
      <c r="Q57" s="28">
        <v>120.05</v>
      </c>
      <c r="R57" s="48">
        <v>1.9775093710953848E-2</v>
      </c>
    </row>
    <row r="58" spans="1:18" x14ac:dyDescent="0.15">
      <c r="A58" s="29">
        <v>57</v>
      </c>
      <c r="B58" s="28">
        <v>113039</v>
      </c>
      <c r="C58" s="28" t="s">
        <v>45</v>
      </c>
      <c r="D58" s="28">
        <v>131.571</v>
      </c>
      <c r="E58" s="48">
        <v>6.7000000000000002E-3</v>
      </c>
      <c r="F58" s="28">
        <v>3.36</v>
      </c>
      <c r="G58" s="28">
        <v>118.45</v>
      </c>
      <c r="H58" s="48">
        <v>0.1108</v>
      </c>
      <c r="I58" s="45">
        <v>142.65100000000001</v>
      </c>
      <c r="J58" s="46">
        <v>46258</v>
      </c>
      <c r="K58" s="47">
        <v>3.7639999999999998</v>
      </c>
      <c r="L58" s="47">
        <v>2.8824100000000001</v>
      </c>
      <c r="M58" s="47">
        <v>2883.3508000000002</v>
      </c>
      <c r="N58" s="48">
        <v>7.6029398084588556E-2</v>
      </c>
      <c r="O58" s="48">
        <v>-4.1893E-2</v>
      </c>
      <c r="P58" s="28">
        <v>132.4</v>
      </c>
      <c r="Q58" s="28">
        <v>130.51300000000001</v>
      </c>
      <c r="R58" s="48">
        <v>1.4458329821550346E-2</v>
      </c>
    </row>
    <row r="59" spans="1:18" x14ac:dyDescent="0.15">
      <c r="A59" s="29">
        <v>58</v>
      </c>
      <c r="B59" s="28">
        <v>113582</v>
      </c>
      <c r="C59" s="28" t="s">
        <v>1870</v>
      </c>
      <c r="D59" s="28">
        <v>197.09399999999999</v>
      </c>
      <c r="E59" s="48">
        <v>-4.2500000000000003E-2</v>
      </c>
      <c r="F59" s="28">
        <v>24.51</v>
      </c>
      <c r="G59" s="28">
        <v>177.4</v>
      </c>
      <c r="H59" s="48">
        <v>0.111</v>
      </c>
      <c r="I59" s="45">
        <v>208.19399999999999</v>
      </c>
      <c r="J59" s="46">
        <v>46169</v>
      </c>
      <c r="K59" s="47">
        <v>3.5209999999999999</v>
      </c>
      <c r="L59" s="47">
        <v>4.1754100000000003</v>
      </c>
      <c r="M59" s="47">
        <v>15142.390600000001</v>
      </c>
      <c r="N59" s="48">
        <v>0.18400173331509628</v>
      </c>
      <c r="O59" s="48">
        <v>-0.145506</v>
      </c>
      <c r="P59" s="28">
        <v>206.399</v>
      </c>
      <c r="Q59" s="28">
        <v>196.779</v>
      </c>
      <c r="R59" s="48">
        <v>4.8887330457010172E-2</v>
      </c>
    </row>
    <row r="60" spans="1:18" x14ac:dyDescent="0.15">
      <c r="A60" s="29">
        <v>59</v>
      </c>
      <c r="B60" s="28">
        <v>127057</v>
      </c>
      <c r="C60" s="28" t="s">
        <v>740</v>
      </c>
      <c r="D60" s="28">
        <v>197</v>
      </c>
      <c r="E60" s="48">
        <v>6.1999999999999998E-3</v>
      </c>
      <c r="F60" s="28">
        <v>26.41</v>
      </c>
      <c r="G60" s="28">
        <v>177.17</v>
      </c>
      <c r="H60" s="48">
        <v>0.1119</v>
      </c>
      <c r="I60" s="45">
        <v>208.19</v>
      </c>
      <c r="J60" s="46">
        <v>46815</v>
      </c>
      <c r="K60" s="47">
        <v>5.29</v>
      </c>
      <c r="L60" s="47">
        <v>2.75047</v>
      </c>
      <c r="M60" s="47">
        <v>264754.1681746</v>
      </c>
      <c r="N60" s="48">
        <v>4.8861823167979468</v>
      </c>
      <c r="O60" s="48">
        <v>-8.8941999999999993E-2</v>
      </c>
      <c r="P60" s="28">
        <v>203.68</v>
      </c>
      <c r="Q60" s="28">
        <v>196</v>
      </c>
      <c r="R60" s="48">
        <v>3.9183673469387788E-2</v>
      </c>
    </row>
    <row r="61" spans="1:18" x14ac:dyDescent="0.15">
      <c r="A61" s="29">
        <v>60</v>
      </c>
      <c r="B61" s="28">
        <v>110074</v>
      </c>
      <c r="C61" s="28" t="s">
        <v>1854</v>
      </c>
      <c r="D61" s="28">
        <v>135.40100000000001</v>
      </c>
      <c r="E61" s="48">
        <v>-1.24E-2</v>
      </c>
      <c r="F61" s="28">
        <v>3.69</v>
      </c>
      <c r="G61" s="28">
        <v>121.68</v>
      </c>
      <c r="H61" s="48">
        <v>0.1128</v>
      </c>
      <c r="I61" s="45">
        <v>146.68100000000001</v>
      </c>
      <c r="J61" s="46">
        <v>46253</v>
      </c>
      <c r="K61" s="47">
        <v>3.7509999999999999</v>
      </c>
      <c r="L61" s="47">
        <v>5.09537</v>
      </c>
      <c r="M61" s="47">
        <v>4545.6448</v>
      </c>
      <c r="N61" s="48">
        <v>6.5886721696614123E-2</v>
      </c>
      <c r="O61" s="48">
        <v>-4.0382000000000001E-2</v>
      </c>
      <c r="P61" s="28">
        <v>137.988</v>
      </c>
      <c r="Q61" s="28">
        <v>134.86699999999999</v>
      </c>
      <c r="R61" s="48">
        <v>2.3141317001193838E-2</v>
      </c>
    </row>
    <row r="62" spans="1:18" x14ac:dyDescent="0.15">
      <c r="A62" s="29">
        <v>61</v>
      </c>
      <c r="B62" s="28">
        <v>123148</v>
      </c>
      <c r="C62" s="28" t="s">
        <v>1895</v>
      </c>
      <c r="D62" s="28">
        <v>177.8</v>
      </c>
      <c r="E62" s="48">
        <v>-4.3200000000000002E-2</v>
      </c>
      <c r="F62" s="28">
        <v>36.31</v>
      </c>
      <c r="G62" s="28">
        <v>159.76</v>
      </c>
      <c r="H62" s="48">
        <v>0.11289999999999999</v>
      </c>
      <c r="I62" s="45">
        <v>189.09</v>
      </c>
      <c r="J62" s="46">
        <v>46918</v>
      </c>
      <c r="K62" s="47">
        <v>5.5730000000000004</v>
      </c>
      <c r="L62" s="47">
        <v>4.2</v>
      </c>
      <c r="M62" s="47">
        <v>58734.990035199997</v>
      </c>
      <c r="N62" s="48">
        <v>0.78653101445176488</v>
      </c>
      <c r="O62" s="48">
        <v>-7.1962999999999999E-2</v>
      </c>
      <c r="P62" s="28">
        <v>189.71</v>
      </c>
      <c r="Q62" s="28">
        <v>175.9</v>
      </c>
      <c r="R62" s="48">
        <v>7.8510517339397401E-2</v>
      </c>
    </row>
    <row r="63" spans="1:18" x14ac:dyDescent="0.15">
      <c r="A63" s="29">
        <v>62</v>
      </c>
      <c r="B63" s="28">
        <v>113649</v>
      </c>
      <c r="C63" s="28" t="s">
        <v>1896</v>
      </c>
      <c r="D63" s="28">
        <v>140.03200000000001</v>
      </c>
      <c r="E63" s="48">
        <v>-0.1275</v>
      </c>
      <c r="F63" s="28">
        <v>13.8</v>
      </c>
      <c r="G63" s="28">
        <v>125.8</v>
      </c>
      <c r="H63" s="48">
        <v>0.11310000000000001</v>
      </c>
      <c r="I63" s="45">
        <v>151.34200000000001</v>
      </c>
      <c r="J63" s="46">
        <v>46931</v>
      </c>
      <c r="K63" s="47">
        <v>5.6079999999999997</v>
      </c>
      <c r="L63" s="47">
        <v>5</v>
      </c>
      <c r="M63" s="47">
        <v>158069.7078</v>
      </c>
      <c r="N63" s="48">
        <v>2.2576226548217546</v>
      </c>
      <c r="O63" s="48">
        <v>-2.7014E-2</v>
      </c>
      <c r="P63" s="28">
        <v>170</v>
      </c>
      <c r="Q63" s="28">
        <v>139.321</v>
      </c>
      <c r="R63" s="48">
        <v>0.220203702241586</v>
      </c>
    </row>
    <row r="64" spans="1:18" x14ac:dyDescent="0.15">
      <c r="A64" s="29">
        <v>63</v>
      </c>
      <c r="B64" s="28">
        <v>113525</v>
      </c>
      <c r="C64" s="28" t="s">
        <v>1857</v>
      </c>
      <c r="D64" s="28">
        <v>148.416</v>
      </c>
      <c r="E64" s="48">
        <v>-5.1000000000000004E-3</v>
      </c>
      <c r="F64" s="28">
        <v>7.61</v>
      </c>
      <c r="G64" s="28">
        <v>133.25</v>
      </c>
      <c r="H64" s="48">
        <v>0.11380000000000001</v>
      </c>
      <c r="I64" s="45">
        <v>159.79599999999999</v>
      </c>
      <c r="J64" s="46">
        <v>45643</v>
      </c>
      <c r="K64" s="47">
        <v>2.0790000000000002</v>
      </c>
      <c r="L64" s="47">
        <v>1.8532200000000001</v>
      </c>
      <c r="M64" s="47">
        <v>9442.2746000000006</v>
      </c>
      <c r="N64" s="48">
        <v>0.34329614399251818</v>
      </c>
      <c r="O64" s="48">
        <v>-0.12374</v>
      </c>
      <c r="P64" s="28">
        <v>151.46299999999999</v>
      </c>
      <c r="Q64" s="28">
        <v>147.85599999999999</v>
      </c>
      <c r="R64" s="48">
        <v>2.4395357645276481E-2</v>
      </c>
    </row>
    <row r="65" spans="1:18" x14ac:dyDescent="0.15">
      <c r="A65" s="29">
        <v>64</v>
      </c>
      <c r="B65" s="28">
        <v>123083</v>
      </c>
      <c r="C65" s="28" t="s">
        <v>1894</v>
      </c>
      <c r="D65" s="28">
        <v>188.999</v>
      </c>
      <c r="E65" s="48">
        <v>-4.2999999999999997E-2</v>
      </c>
      <c r="F65" s="28">
        <v>15.2</v>
      </c>
      <c r="G65" s="28">
        <v>169.34</v>
      </c>
      <c r="H65" s="48">
        <v>0.11609999999999999</v>
      </c>
      <c r="I65" s="45">
        <v>200.60899999999998</v>
      </c>
      <c r="J65" s="46">
        <v>46365</v>
      </c>
      <c r="K65" s="47">
        <v>4.0579999999999998</v>
      </c>
      <c r="L65" s="47">
        <v>5.4825809999999997</v>
      </c>
      <c r="M65" s="47">
        <v>34470.240354599999</v>
      </c>
      <c r="N65" s="48">
        <v>0.33265936078068187</v>
      </c>
      <c r="O65" s="48">
        <v>-0.11755399999999999</v>
      </c>
      <c r="P65" s="28">
        <v>205.97</v>
      </c>
      <c r="Q65" s="28">
        <v>188.999</v>
      </c>
      <c r="R65" s="48">
        <v>8.9794125894846019E-2</v>
      </c>
    </row>
    <row r="66" spans="1:18" x14ac:dyDescent="0.15">
      <c r="A66" s="29">
        <v>65</v>
      </c>
      <c r="B66" s="28">
        <v>123089</v>
      </c>
      <c r="C66" s="28" t="s">
        <v>758</v>
      </c>
      <c r="D66" s="28">
        <v>129.55000000000001</v>
      </c>
      <c r="E66" s="48">
        <v>6.6E-3</v>
      </c>
      <c r="F66" s="28">
        <v>5.63</v>
      </c>
      <c r="G66" s="28">
        <v>115.99</v>
      </c>
      <c r="H66" s="48">
        <v>0.11689999999999999</v>
      </c>
      <c r="I66" s="45">
        <v>141.24</v>
      </c>
      <c r="J66" s="46">
        <v>46377</v>
      </c>
      <c r="K66" s="47">
        <v>4.09</v>
      </c>
      <c r="L66" s="47">
        <v>3.0623369999999999</v>
      </c>
      <c r="M66" s="47">
        <v>2814.7625350000003</v>
      </c>
      <c r="N66" s="48">
        <v>7.0949830601035893E-2</v>
      </c>
      <c r="O66" s="48">
        <v>-1.7717E-2</v>
      </c>
      <c r="P66" s="28">
        <v>130.43700000000001</v>
      </c>
      <c r="Q66" s="28">
        <v>127.5</v>
      </c>
      <c r="R66" s="48">
        <v>2.303529411764715E-2</v>
      </c>
    </row>
    <row r="67" spans="1:18" x14ac:dyDescent="0.15">
      <c r="A67" s="29">
        <v>66</v>
      </c>
      <c r="B67" s="28">
        <v>123112</v>
      </c>
      <c r="C67" s="28" t="s">
        <v>117</v>
      </c>
      <c r="D67" s="28">
        <v>133.80000000000001</v>
      </c>
      <c r="E67" s="48">
        <v>1.9799999999999998E-2</v>
      </c>
      <c r="F67" s="28">
        <v>8.73</v>
      </c>
      <c r="G67" s="28">
        <v>119.7</v>
      </c>
      <c r="H67" s="48">
        <v>0.11779999999999999</v>
      </c>
      <c r="I67" s="45">
        <v>145.58000000000001</v>
      </c>
      <c r="J67" s="46">
        <v>46485</v>
      </c>
      <c r="K67" s="47">
        <v>4.3860000000000001</v>
      </c>
      <c r="L67" s="47">
        <v>2.45248</v>
      </c>
      <c r="M67" s="47">
        <v>6472.0857299999998</v>
      </c>
      <c r="N67" s="48">
        <v>0.19723440465790792</v>
      </c>
      <c r="O67" s="48">
        <v>-1.7554E-2</v>
      </c>
      <c r="P67" s="28">
        <v>134.99</v>
      </c>
      <c r="Q67" s="28">
        <v>131.19</v>
      </c>
      <c r="R67" s="48">
        <v>2.8965622379754641E-2</v>
      </c>
    </row>
    <row r="68" spans="1:18" x14ac:dyDescent="0.15">
      <c r="A68" s="29">
        <v>67</v>
      </c>
      <c r="B68" s="28">
        <v>127006</v>
      </c>
      <c r="C68" s="28" t="s">
        <v>1758</v>
      </c>
      <c r="D68" s="28">
        <v>122.807</v>
      </c>
      <c r="E68" s="48">
        <v>-3.2000000000000002E-3</v>
      </c>
      <c r="F68" s="28">
        <v>14.5</v>
      </c>
      <c r="G68" s="28">
        <v>109.66</v>
      </c>
      <c r="H68" s="48">
        <v>0.11990000000000001</v>
      </c>
      <c r="I68" s="45">
        <v>134.797</v>
      </c>
      <c r="J68" s="46">
        <v>45364</v>
      </c>
      <c r="K68" s="47">
        <v>1.3149999999999999</v>
      </c>
      <c r="L68" s="47">
        <v>24.072153</v>
      </c>
      <c r="M68" s="47">
        <v>6643.404931</v>
      </c>
      <c r="N68" s="48">
        <v>2.2472566132048635E-2</v>
      </c>
      <c r="O68" s="48">
        <v>-0.10288800000000001</v>
      </c>
      <c r="P68" s="28">
        <v>124.98</v>
      </c>
      <c r="Q68" s="28">
        <v>122</v>
      </c>
      <c r="R68" s="48">
        <v>2.4426229508196753E-2</v>
      </c>
    </row>
    <row r="69" spans="1:18" x14ac:dyDescent="0.15">
      <c r="A69" s="29">
        <v>68</v>
      </c>
      <c r="B69" s="28">
        <v>128017</v>
      </c>
      <c r="C69" s="28" t="s">
        <v>1859</v>
      </c>
      <c r="D69" s="28">
        <v>183.14599999999999</v>
      </c>
      <c r="E69" s="48">
        <v>8.0000000000000004E-4</v>
      </c>
      <c r="F69" s="28">
        <v>21.33</v>
      </c>
      <c r="G69" s="28">
        <v>163.24</v>
      </c>
      <c r="H69" s="48">
        <v>0.12189999999999999</v>
      </c>
      <c r="I69" s="45">
        <v>195.33599999999998</v>
      </c>
      <c r="J69" s="46">
        <v>45231</v>
      </c>
      <c r="K69" s="47">
        <v>0.95099999999999996</v>
      </c>
      <c r="L69" s="47">
        <v>5.5179169999999997</v>
      </c>
      <c r="M69" s="47">
        <v>3785.0458060000001</v>
      </c>
      <c r="N69" s="48">
        <v>3.7454028632502946E-2</v>
      </c>
      <c r="O69" s="48">
        <v>-0.43648300000000001</v>
      </c>
      <c r="P69" s="28">
        <v>185.42500000000001</v>
      </c>
      <c r="Q69" s="28">
        <v>180.499</v>
      </c>
      <c r="R69" s="48">
        <v>2.7291009922492736E-2</v>
      </c>
    </row>
    <row r="70" spans="1:18" x14ac:dyDescent="0.15">
      <c r="A70" s="29">
        <v>69</v>
      </c>
      <c r="B70" s="28">
        <v>111004</v>
      </c>
      <c r="C70" s="28" t="s">
        <v>776</v>
      </c>
      <c r="D70" s="28">
        <v>132.72399999999999</v>
      </c>
      <c r="E70" s="48">
        <v>8.0000000000000004E-4</v>
      </c>
      <c r="F70" s="28">
        <v>24.51</v>
      </c>
      <c r="G70" s="28">
        <v>118.28</v>
      </c>
      <c r="H70" s="48">
        <v>0.12210000000000001</v>
      </c>
      <c r="I70" s="45">
        <v>144.934</v>
      </c>
      <c r="J70" s="46">
        <v>46842</v>
      </c>
      <c r="K70" s="47">
        <v>5.3639999999999999</v>
      </c>
      <c r="L70" s="47">
        <v>6.72966</v>
      </c>
      <c r="M70" s="47">
        <v>8492.6664999999994</v>
      </c>
      <c r="N70" s="48">
        <v>9.5082695507918508E-2</v>
      </c>
      <c r="O70" s="48">
        <v>-1.7419E-2</v>
      </c>
      <c r="P70" s="28">
        <v>135.13200000000001</v>
      </c>
      <c r="Q70" s="28">
        <v>131.33000000000001</v>
      </c>
      <c r="R70" s="48">
        <v>2.894997334957734E-2</v>
      </c>
    </row>
    <row r="71" spans="1:18" x14ac:dyDescent="0.15">
      <c r="A71" s="29">
        <v>70</v>
      </c>
      <c r="B71" s="28">
        <v>128083</v>
      </c>
      <c r="C71" s="28" t="s">
        <v>169</v>
      </c>
      <c r="D71" s="28">
        <v>125.666</v>
      </c>
      <c r="E71" s="48">
        <v>-9.4999999999999998E-3</v>
      </c>
      <c r="F71" s="28">
        <v>6.65</v>
      </c>
      <c r="G71" s="28">
        <v>111.88</v>
      </c>
      <c r="H71" s="48">
        <v>0.1232</v>
      </c>
      <c r="I71" s="45">
        <v>137.98599999999999</v>
      </c>
      <c r="J71" s="46">
        <v>46003</v>
      </c>
      <c r="K71" s="47">
        <v>3.0659999999999998</v>
      </c>
      <c r="L71" s="47">
        <v>8.7680919999999993</v>
      </c>
      <c r="M71" s="47">
        <v>1806.7913649999998</v>
      </c>
      <c r="N71" s="48">
        <v>1.639778231543872E-2</v>
      </c>
      <c r="O71" s="48">
        <v>-3.1082000000000002E-2</v>
      </c>
      <c r="P71" s="28">
        <v>128</v>
      </c>
      <c r="Q71" s="28">
        <v>125.523</v>
      </c>
      <c r="R71" s="48">
        <v>1.9733435306676896E-2</v>
      </c>
    </row>
    <row r="72" spans="1:18" x14ac:dyDescent="0.15">
      <c r="A72" s="29">
        <v>71</v>
      </c>
      <c r="B72" s="28">
        <v>110063</v>
      </c>
      <c r="C72" s="28" t="s">
        <v>1724</v>
      </c>
      <c r="D72" s="28">
        <v>116.71599999999999</v>
      </c>
      <c r="E72" s="48">
        <v>2.3E-3</v>
      </c>
      <c r="F72" s="28">
        <v>2.4</v>
      </c>
      <c r="G72" s="28">
        <v>103.75</v>
      </c>
      <c r="H72" s="48">
        <v>0.125</v>
      </c>
      <c r="I72" s="45">
        <v>129.21600000000001</v>
      </c>
      <c r="J72" s="46">
        <v>46004</v>
      </c>
      <c r="K72" s="47">
        <v>3.0680000000000001</v>
      </c>
      <c r="L72" s="47">
        <v>18.444610000000001</v>
      </c>
      <c r="M72" s="47">
        <v>1290.0217</v>
      </c>
      <c r="N72" s="48">
        <v>5.9923496148520695E-3</v>
      </c>
      <c r="O72" s="48">
        <v>-3.7669999999999999E-3</v>
      </c>
      <c r="P72" s="28">
        <v>116.998</v>
      </c>
      <c r="Q72" s="28">
        <v>116.185</v>
      </c>
      <c r="R72" s="48">
        <v>6.9974609459052574E-3</v>
      </c>
    </row>
    <row r="73" spans="1:18" x14ac:dyDescent="0.15">
      <c r="A73" s="29">
        <v>72</v>
      </c>
      <c r="B73" s="28">
        <v>113634</v>
      </c>
      <c r="C73" s="28" t="s">
        <v>222</v>
      </c>
      <c r="D73" s="28">
        <v>136.203</v>
      </c>
      <c r="E73" s="48">
        <v>-1.09E-2</v>
      </c>
      <c r="F73" s="28">
        <v>138.91999999999999</v>
      </c>
      <c r="G73" s="28">
        <v>121.04</v>
      </c>
      <c r="H73" s="48">
        <v>0.12529999999999999</v>
      </c>
      <c r="I73" s="45">
        <v>148.733</v>
      </c>
      <c r="J73" s="46">
        <v>46729</v>
      </c>
      <c r="K73" s="47">
        <v>5.0549999999999997</v>
      </c>
      <c r="L73" s="47">
        <v>7.5093899999999998</v>
      </c>
      <c r="M73" s="47">
        <v>7924.8566000000001</v>
      </c>
      <c r="N73" s="48">
        <v>7.7481867371967023E-2</v>
      </c>
      <c r="O73" s="48">
        <v>-2.5014999999999999E-2</v>
      </c>
      <c r="P73" s="28">
        <v>139.4</v>
      </c>
      <c r="Q73" s="28">
        <v>135.703</v>
      </c>
      <c r="R73" s="48">
        <v>2.7243318128560182E-2</v>
      </c>
    </row>
    <row r="74" spans="1:18" x14ac:dyDescent="0.15">
      <c r="A74" s="29">
        <v>73</v>
      </c>
      <c r="B74" s="28">
        <v>110048</v>
      </c>
      <c r="C74" s="28" t="s">
        <v>1869</v>
      </c>
      <c r="D74" s="28">
        <v>165.613</v>
      </c>
      <c r="E74" s="48">
        <v>-7.000000000000001E-4</v>
      </c>
      <c r="F74" s="28">
        <v>7.64</v>
      </c>
      <c r="G74" s="28">
        <v>147.12</v>
      </c>
      <c r="H74" s="48">
        <v>0.12570000000000001</v>
      </c>
      <c r="I74" s="45">
        <v>178.18299999999999</v>
      </c>
      <c r="J74" s="46">
        <v>45633</v>
      </c>
      <c r="K74" s="47">
        <v>2.052</v>
      </c>
      <c r="L74" s="47">
        <v>12.761749999999999</v>
      </c>
      <c r="M74" s="47">
        <v>10642.893</v>
      </c>
      <c r="N74" s="48">
        <v>5.035644224799881E-2</v>
      </c>
      <c r="O74" s="48">
        <v>-0.175124</v>
      </c>
      <c r="P74" s="28">
        <v>167.4</v>
      </c>
      <c r="Q74" s="28">
        <v>162.21</v>
      </c>
      <c r="R74" s="48">
        <v>3.1995561309413709E-2</v>
      </c>
    </row>
    <row r="75" spans="1:18" x14ac:dyDescent="0.15">
      <c r="A75" s="29">
        <v>74</v>
      </c>
      <c r="B75" s="28">
        <v>127064</v>
      </c>
      <c r="C75" s="28" t="s">
        <v>1909</v>
      </c>
      <c r="D75" s="28">
        <v>158.30000000000001</v>
      </c>
      <c r="E75" s="48">
        <v>-1.9400000000000001E-2</v>
      </c>
      <c r="F75" s="28">
        <v>28.69</v>
      </c>
      <c r="G75" s="28">
        <v>140.47</v>
      </c>
      <c r="H75" s="48">
        <v>0.12689999999999999</v>
      </c>
      <c r="I75" s="45">
        <v>170.99</v>
      </c>
      <c r="J75" s="46">
        <v>46892</v>
      </c>
      <c r="K75" s="47">
        <v>5.5010000000000003</v>
      </c>
      <c r="L75" s="47">
        <v>11.37</v>
      </c>
      <c r="M75" s="47">
        <v>6455.0658210000001</v>
      </c>
      <c r="N75" s="48">
        <v>3.5864047040037872E-2</v>
      </c>
      <c r="O75" s="48">
        <v>-6.0978000000000004E-2</v>
      </c>
      <c r="P75" s="28">
        <v>163.55000000000001</v>
      </c>
      <c r="Q75" s="28">
        <v>158.023</v>
      </c>
      <c r="R75" s="48">
        <v>3.4975921226656978E-2</v>
      </c>
    </row>
    <row r="76" spans="1:18" x14ac:dyDescent="0.15">
      <c r="A76" s="29">
        <v>75</v>
      </c>
      <c r="B76" s="28">
        <v>111002</v>
      </c>
      <c r="C76" s="28" t="s">
        <v>219</v>
      </c>
      <c r="D76" s="28">
        <v>133.49299999999999</v>
      </c>
      <c r="E76" s="48">
        <v>-9.5999999999999992E-3</v>
      </c>
      <c r="F76" s="28">
        <v>14.7</v>
      </c>
      <c r="G76" s="28">
        <v>118.23</v>
      </c>
      <c r="H76" s="48">
        <v>0.12909999999999999</v>
      </c>
      <c r="I76" s="45">
        <v>146.40299999999999</v>
      </c>
      <c r="J76" s="46">
        <v>46729</v>
      </c>
      <c r="K76" s="47">
        <v>5.0549999999999997</v>
      </c>
      <c r="L76" s="47">
        <v>6.6996799999999999</v>
      </c>
      <c r="M76" s="47">
        <v>3951.6179999999999</v>
      </c>
      <c r="N76" s="48">
        <v>4.4183732625799506E-2</v>
      </c>
      <c r="O76" s="48">
        <v>-2.6046999999999997E-2</v>
      </c>
      <c r="P76" s="28">
        <v>137.18899999999999</v>
      </c>
      <c r="Q76" s="28">
        <v>132.75</v>
      </c>
      <c r="R76" s="48">
        <v>3.3438794726930267E-2</v>
      </c>
    </row>
    <row r="77" spans="1:18" x14ac:dyDescent="0.15">
      <c r="A77" s="29">
        <v>76</v>
      </c>
      <c r="B77" s="28">
        <v>110047</v>
      </c>
      <c r="C77" s="28" t="s">
        <v>1729</v>
      </c>
      <c r="D77" s="28">
        <v>117.16200000000001</v>
      </c>
      <c r="E77" s="48">
        <v>5.1000000000000004E-3</v>
      </c>
      <c r="F77" s="28">
        <v>2.4</v>
      </c>
      <c r="G77" s="28">
        <v>103.75</v>
      </c>
      <c r="H77" s="48">
        <v>0.1293</v>
      </c>
      <c r="I77" s="45">
        <v>130.09200000000001</v>
      </c>
      <c r="J77" s="46">
        <v>45617</v>
      </c>
      <c r="K77" s="47">
        <v>2.008</v>
      </c>
      <c r="L77" s="47">
        <v>22.461279999999999</v>
      </c>
      <c r="M77" s="47">
        <v>2844.8085999999998</v>
      </c>
      <c r="N77" s="48">
        <v>1.0810151333923839E-2</v>
      </c>
      <c r="O77" s="48">
        <v>-2.875E-3</v>
      </c>
      <c r="P77" s="28">
        <v>117.20099999999999</v>
      </c>
      <c r="Q77" s="28">
        <v>116.42100000000001</v>
      </c>
      <c r="R77" s="48">
        <v>6.6998221970261968E-3</v>
      </c>
    </row>
    <row r="78" spans="1:18" x14ac:dyDescent="0.15">
      <c r="A78" s="29">
        <v>77</v>
      </c>
      <c r="B78" s="28">
        <v>113044</v>
      </c>
      <c r="C78" s="28" t="s">
        <v>1709</v>
      </c>
      <c r="D78" s="28">
        <v>109.297</v>
      </c>
      <c r="E78" s="48">
        <v>4.3E-3</v>
      </c>
      <c r="F78" s="28">
        <v>6.7</v>
      </c>
      <c r="G78" s="28">
        <v>96.72</v>
      </c>
      <c r="H78" s="48">
        <v>0.13</v>
      </c>
      <c r="I78" s="45">
        <v>122.297</v>
      </c>
      <c r="J78" s="46">
        <v>46370</v>
      </c>
      <c r="K78" s="47">
        <v>4.0709999999999997</v>
      </c>
      <c r="L78" s="47">
        <v>319.98863999999998</v>
      </c>
      <c r="M78" s="47">
        <v>19797.088100000001</v>
      </c>
      <c r="N78" s="48">
        <v>5.6605484715893731E-3</v>
      </c>
      <c r="O78" s="48">
        <v>1.0433E-2</v>
      </c>
      <c r="P78" s="28">
        <v>109.73</v>
      </c>
      <c r="Q78" s="28">
        <v>108.83</v>
      </c>
      <c r="R78" s="48">
        <v>8.2697785537076702E-3</v>
      </c>
    </row>
    <row r="79" spans="1:18" x14ac:dyDescent="0.15">
      <c r="A79" s="29">
        <v>78</v>
      </c>
      <c r="B79" s="28">
        <v>113631</v>
      </c>
      <c r="C79" s="28" t="s">
        <v>199</v>
      </c>
      <c r="D79" s="28">
        <v>117.706</v>
      </c>
      <c r="E79" s="48">
        <v>-3.7000000000000002E-3</v>
      </c>
      <c r="F79" s="28">
        <v>7.81</v>
      </c>
      <c r="G79" s="28">
        <v>104.1</v>
      </c>
      <c r="H79" s="48">
        <v>0.13070000000000001</v>
      </c>
      <c r="I79" s="45">
        <v>130.77600000000001</v>
      </c>
      <c r="J79" s="46">
        <v>46699</v>
      </c>
      <c r="K79" s="47">
        <v>4.9729999999999999</v>
      </c>
      <c r="L79" s="47">
        <v>9.2996700000000008</v>
      </c>
      <c r="M79" s="47">
        <v>2861.9868000000001</v>
      </c>
      <c r="N79" s="48">
        <v>2.6145773056708201E-2</v>
      </c>
      <c r="O79" s="48">
        <v>-5.9699999999999996E-3</v>
      </c>
      <c r="P79" s="28">
        <v>118.8</v>
      </c>
      <c r="Q79" s="28">
        <v>117.6</v>
      </c>
      <c r="R79" s="48">
        <v>1.0204081632653086E-2</v>
      </c>
    </row>
    <row r="80" spans="1:18" x14ac:dyDescent="0.15">
      <c r="A80" s="29">
        <v>79</v>
      </c>
      <c r="B80" s="28">
        <v>128082</v>
      </c>
      <c r="C80" s="28" t="s">
        <v>1880</v>
      </c>
      <c r="D80" s="28">
        <v>142.80000000000001</v>
      </c>
      <c r="E80" s="48">
        <v>-4.8999999999999998E-3</v>
      </c>
      <c r="F80" s="28">
        <v>9.1300000000000008</v>
      </c>
      <c r="G80" s="28">
        <v>126.18</v>
      </c>
      <c r="H80" s="48">
        <v>0.13170000000000001</v>
      </c>
      <c r="I80" s="45">
        <v>155.97</v>
      </c>
      <c r="J80" s="46">
        <v>45995</v>
      </c>
      <c r="K80" s="47">
        <v>3.044</v>
      </c>
      <c r="L80" s="47">
        <v>2.025652</v>
      </c>
      <c r="M80" s="47">
        <v>4049.5898285999997</v>
      </c>
      <c r="N80" s="48">
        <v>0.1399967624699387</v>
      </c>
      <c r="O80" s="48">
        <v>-5.5374999999999994E-2</v>
      </c>
      <c r="P80" s="28">
        <v>144.86000000000001</v>
      </c>
      <c r="Q80" s="28">
        <v>142.15</v>
      </c>
      <c r="R80" s="48">
        <v>1.9064368624692282E-2</v>
      </c>
    </row>
    <row r="81" spans="1:18" x14ac:dyDescent="0.15">
      <c r="A81" s="29">
        <v>80</v>
      </c>
      <c r="B81" s="28">
        <v>123156</v>
      </c>
      <c r="C81" s="28" t="s">
        <v>2047</v>
      </c>
      <c r="D81" s="28">
        <v>133.86500000000001</v>
      </c>
      <c r="E81" s="48">
        <v>-5.7999999999999996E-3</v>
      </c>
      <c r="F81" s="28">
        <v>15.05</v>
      </c>
      <c r="G81" s="28">
        <v>117.94</v>
      </c>
      <c r="H81" s="48">
        <v>0.13500000000000001</v>
      </c>
      <c r="I81" s="45">
        <v>147.36500000000001</v>
      </c>
      <c r="J81" s="46">
        <v>46981</v>
      </c>
      <c r="K81" s="47">
        <v>5.7450000000000001</v>
      </c>
      <c r="L81" s="47">
        <v>3.97</v>
      </c>
      <c r="M81" s="47">
        <v>2206.1015093999999</v>
      </c>
      <c r="N81" s="48">
        <v>4.1511453734405346E-2</v>
      </c>
      <c r="O81" s="48">
        <v>-1.7332E-2</v>
      </c>
      <c r="P81" s="28">
        <v>136.22999999999999</v>
      </c>
      <c r="Q81" s="28">
        <v>133.107</v>
      </c>
      <c r="R81" s="48">
        <v>2.3462327300592684E-2</v>
      </c>
    </row>
    <row r="82" spans="1:18" x14ac:dyDescent="0.15">
      <c r="A82" s="29">
        <v>81</v>
      </c>
      <c r="B82" s="28">
        <v>127070</v>
      </c>
      <c r="C82" s="28" t="s">
        <v>2052</v>
      </c>
      <c r="D82" s="28">
        <v>148.999</v>
      </c>
      <c r="E82" s="48">
        <v>6.6E-3</v>
      </c>
      <c r="F82" s="28">
        <v>11.36</v>
      </c>
      <c r="G82" s="28">
        <v>130.9</v>
      </c>
      <c r="H82" s="48">
        <v>0.13830000000000001</v>
      </c>
      <c r="I82" s="45">
        <v>162.82900000000001</v>
      </c>
      <c r="J82" s="46">
        <v>46982</v>
      </c>
      <c r="K82" s="47">
        <v>5.7480000000000002</v>
      </c>
      <c r="L82" s="47">
        <v>15.2</v>
      </c>
      <c r="M82" s="47">
        <v>118413.1672526</v>
      </c>
      <c r="N82" s="48">
        <v>0.52284511646581178</v>
      </c>
      <c r="O82" s="48">
        <v>-4.1673999999999996E-2</v>
      </c>
      <c r="P82" s="28">
        <v>153.08000000000001</v>
      </c>
      <c r="Q82" s="28">
        <v>145.72399999999999</v>
      </c>
      <c r="R82" s="48">
        <v>5.0478987675331613E-2</v>
      </c>
    </row>
    <row r="83" spans="1:18" x14ac:dyDescent="0.15">
      <c r="A83" s="29">
        <v>82</v>
      </c>
      <c r="B83" s="28">
        <v>123046</v>
      </c>
      <c r="C83" s="28" t="s">
        <v>1875</v>
      </c>
      <c r="D83" s="28">
        <v>352.36799999999999</v>
      </c>
      <c r="E83" s="48">
        <v>2.8000000000000004E-3</v>
      </c>
      <c r="F83" s="28">
        <v>3.94</v>
      </c>
      <c r="G83" s="28">
        <v>309.39</v>
      </c>
      <c r="H83" s="48">
        <v>0.1389</v>
      </c>
      <c r="I83" s="45">
        <v>366.25799999999998</v>
      </c>
      <c r="J83" s="46">
        <v>46100</v>
      </c>
      <c r="K83" s="47">
        <v>3.3319999999999999</v>
      </c>
      <c r="L83" s="47">
        <v>0.58530099999999996</v>
      </c>
      <c r="M83" s="47">
        <v>18093.053269</v>
      </c>
      <c r="N83" s="48">
        <v>0.87727576955086062</v>
      </c>
      <c r="O83" s="48">
        <v>-0.28541100000000003</v>
      </c>
      <c r="P83" s="28">
        <v>363.226</v>
      </c>
      <c r="Q83" s="28">
        <v>350.86</v>
      </c>
      <c r="R83" s="48">
        <v>3.5244826996522788E-2</v>
      </c>
    </row>
    <row r="84" spans="1:18" x14ac:dyDescent="0.15">
      <c r="A84" s="29">
        <v>83</v>
      </c>
      <c r="B84" s="28">
        <v>128130</v>
      </c>
      <c r="C84" s="28" t="s">
        <v>99</v>
      </c>
      <c r="D84" s="28">
        <v>117.301</v>
      </c>
      <c r="E84" s="48">
        <v>-9.3999999999999986E-3</v>
      </c>
      <c r="F84" s="28">
        <v>3.4</v>
      </c>
      <c r="G84" s="28">
        <v>102.94</v>
      </c>
      <c r="H84" s="48">
        <v>0.13949999999999999</v>
      </c>
      <c r="I84" s="45">
        <v>131.251</v>
      </c>
      <c r="J84" s="46">
        <v>46265</v>
      </c>
      <c r="K84" s="47">
        <v>3.7839999999999998</v>
      </c>
      <c r="L84" s="47">
        <v>9.9866789999999988</v>
      </c>
      <c r="M84" s="47">
        <v>1077.5705710000002</v>
      </c>
      <c r="N84" s="48">
        <v>9.198625053894096E-3</v>
      </c>
      <c r="O84" s="48">
        <v>-6.9449999999999998E-3</v>
      </c>
      <c r="P84" s="28">
        <v>118.22</v>
      </c>
      <c r="Q84" s="28">
        <v>117.285</v>
      </c>
      <c r="R84" s="48">
        <v>7.9720339344332373E-3</v>
      </c>
    </row>
    <row r="85" spans="1:18" x14ac:dyDescent="0.15">
      <c r="A85" s="29">
        <v>84</v>
      </c>
      <c r="B85" s="28">
        <v>118013</v>
      </c>
      <c r="C85" s="28" t="s">
        <v>1908</v>
      </c>
      <c r="D85" s="28">
        <v>135.21899999999999</v>
      </c>
      <c r="E85" s="48">
        <v>-1.8600000000000002E-2</v>
      </c>
      <c r="F85" s="28">
        <v>34.729999999999997</v>
      </c>
      <c r="G85" s="28">
        <v>118.51</v>
      </c>
      <c r="H85" s="48">
        <v>0.14099999999999999</v>
      </c>
      <c r="I85" s="45">
        <v>149.31899999999999</v>
      </c>
      <c r="J85" s="46">
        <v>46942</v>
      </c>
      <c r="K85" s="47">
        <v>5.6379999999999999</v>
      </c>
      <c r="L85" s="47">
        <v>12.8</v>
      </c>
      <c r="M85" s="47">
        <v>4769.8504000000003</v>
      </c>
      <c r="N85" s="48">
        <v>2.7558594761091272E-2</v>
      </c>
      <c r="O85" s="48">
        <v>-2.1139000000000002E-2</v>
      </c>
      <c r="P85" s="28">
        <v>139.5</v>
      </c>
      <c r="Q85" s="28">
        <v>134.5</v>
      </c>
      <c r="R85" s="48">
        <v>3.717472118959108E-2</v>
      </c>
    </row>
    <row r="86" spans="1:18" x14ac:dyDescent="0.15">
      <c r="A86" s="29">
        <v>85</v>
      </c>
      <c r="B86" s="28">
        <v>123162</v>
      </c>
      <c r="C86" s="28" t="s">
        <v>2044</v>
      </c>
      <c r="D86" s="28">
        <v>125.876</v>
      </c>
      <c r="E86" s="48">
        <v>4.0000000000000001E-3</v>
      </c>
      <c r="F86" s="28">
        <v>8.06</v>
      </c>
      <c r="G86" s="28">
        <v>110.17</v>
      </c>
      <c r="H86" s="48">
        <v>0.1426</v>
      </c>
      <c r="I86" s="45">
        <v>140.136</v>
      </c>
      <c r="J86" s="46">
        <v>47040</v>
      </c>
      <c r="K86" s="47">
        <v>5.907</v>
      </c>
      <c r="L86" s="47">
        <v>5.7</v>
      </c>
      <c r="M86" s="47">
        <v>4843.9599401000005</v>
      </c>
      <c r="N86" s="48">
        <v>6.7512276633423143E-2</v>
      </c>
      <c r="O86" s="48">
        <v>-5.8109999999999993E-3</v>
      </c>
      <c r="P86" s="28">
        <v>127.27</v>
      </c>
      <c r="Q86" s="28">
        <v>125.19799999999999</v>
      </c>
      <c r="R86" s="48">
        <v>1.6549785140337728E-2</v>
      </c>
    </row>
    <row r="87" spans="1:18" x14ac:dyDescent="0.15">
      <c r="A87" s="29">
        <v>86</v>
      </c>
      <c r="B87" s="28">
        <v>123071</v>
      </c>
      <c r="C87" s="28" t="s">
        <v>2043</v>
      </c>
      <c r="D87" s="28">
        <v>134.631</v>
      </c>
      <c r="E87" s="48">
        <v>-7.0999999999999995E-3</v>
      </c>
      <c r="F87" s="28">
        <v>7.76</v>
      </c>
      <c r="G87" s="28">
        <v>117.65</v>
      </c>
      <c r="H87" s="48">
        <v>0.14429999999999998</v>
      </c>
      <c r="I87" s="45">
        <v>149.06100000000001</v>
      </c>
      <c r="J87" s="46">
        <v>46316</v>
      </c>
      <c r="K87" s="47">
        <v>3.923</v>
      </c>
      <c r="L87" s="47">
        <v>6.9414309999999997</v>
      </c>
      <c r="M87" s="47">
        <v>15097.890537499999</v>
      </c>
      <c r="N87" s="48">
        <v>0.16155566441502331</v>
      </c>
      <c r="O87" s="48">
        <v>-2.9188000000000002E-2</v>
      </c>
      <c r="P87" s="28">
        <v>138.303</v>
      </c>
      <c r="Q87" s="28">
        <v>133.5</v>
      </c>
      <c r="R87" s="48">
        <v>3.597752808988762E-2</v>
      </c>
    </row>
    <row r="88" spans="1:18" x14ac:dyDescent="0.15">
      <c r="A88" s="29">
        <v>87</v>
      </c>
      <c r="B88" s="28">
        <v>127037</v>
      </c>
      <c r="C88" s="28" t="s">
        <v>2046</v>
      </c>
      <c r="D88" s="28">
        <v>141.69800000000001</v>
      </c>
      <c r="E88" s="48">
        <v>-2.29E-2</v>
      </c>
      <c r="F88" s="28">
        <v>10.69</v>
      </c>
      <c r="G88" s="28">
        <v>123.57</v>
      </c>
      <c r="H88" s="48">
        <v>0.1467</v>
      </c>
      <c r="I88" s="45">
        <v>156.36799999999999</v>
      </c>
      <c r="J88" s="46">
        <v>46545</v>
      </c>
      <c r="K88" s="47">
        <v>4.5510000000000002</v>
      </c>
      <c r="L88" s="47">
        <v>6.9951990000000004</v>
      </c>
      <c r="M88" s="47">
        <v>9153.511840000001</v>
      </c>
      <c r="N88" s="48">
        <v>9.2347247065137E-2</v>
      </c>
      <c r="O88" s="48">
        <v>-4.5974000000000001E-2</v>
      </c>
      <c r="P88" s="28">
        <v>146.65</v>
      </c>
      <c r="Q88" s="28">
        <v>141.6</v>
      </c>
      <c r="R88" s="48">
        <v>3.5663841807909685E-2</v>
      </c>
    </row>
    <row r="89" spans="1:18" x14ac:dyDescent="0.15">
      <c r="A89" s="29">
        <v>88</v>
      </c>
      <c r="B89" s="28">
        <v>127027</v>
      </c>
      <c r="C89" s="28" t="s">
        <v>211</v>
      </c>
      <c r="D89" s="28">
        <v>122.91500000000001</v>
      </c>
      <c r="E89" s="48">
        <v>1E-4</v>
      </c>
      <c r="F89" s="28">
        <v>3.08</v>
      </c>
      <c r="G89" s="28">
        <v>107.14</v>
      </c>
      <c r="H89" s="48">
        <v>0.1472</v>
      </c>
      <c r="I89" s="45">
        <v>137.63500000000002</v>
      </c>
      <c r="J89" s="46">
        <v>46366</v>
      </c>
      <c r="K89" s="47">
        <v>4.0599999999999996</v>
      </c>
      <c r="L89" s="47">
        <v>19.465357000000001</v>
      </c>
      <c r="M89" s="47">
        <v>5000.5511150000002</v>
      </c>
      <c r="N89" s="48">
        <v>2.0900208191953325E-2</v>
      </c>
      <c r="O89" s="48">
        <v>-1.6816000000000001E-2</v>
      </c>
      <c r="P89" s="28">
        <v>124.35</v>
      </c>
      <c r="Q89" s="28">
        <v>121.533</v>
      </c>
      <c r="R89" s="48">
        <v>2.3178889684283225E-2</v>
      </c>
    </row>
    <row r="90" spans="1:18" x14ac:dyDescent="0.15">
      <c r="A90" s="29">
        <v>89</v>
      </c>
      <c r="B90" s="28">
        <v>113050</v>
      </c>
      <c r="C90" s="28" t="s">
        <v>1701</v>
      </c>
      <c r="D90" s="28">
        <v>116.83799999999999</v>
      </c>
      <c r="E90" s="48">
        <v>-1.06E-2</v>
      </c>
      <c r="F90" s="28">
        <v>9.64</v>
      </c>
      <c r="G90" s="28">
        <v>101.66</v>
      </c>
      <c r="H90" s="48">
        <v>0.14929999999999999</v>
      </c>
      <c r="I90" s="45">
        <v>131.768</v>
      </c>
      <c r="J90" s="46">
        <v>46553</v>
      </c>
      <c r="K90" s="47">
        <v>4.5730000000000004</v>
      </c>
      <c r="L90" s="47">
        <v>166.54132999999999</v>
      </c>
      <c r="M90" s="47">
        <v>12022.202300000001</v>
      </c>
      <c r="N90" s="48">
        <v>6.1784265601887607E-3</v>
      </c>
      <c r="O90" s="48">
        <v>-1.1311E-2</v>
      </c>
      <c r="P90" s="28">
        <v>118.65</v>
      </c>
      <c r="Q90" s="28">
        <v>116.8</v>
      </c>
      <c r="R90" s="48">
        <v>1.5839041095890485E-2</v>
      </c>
    </row>
    <row r="91" spans="1:18" x14ac:dyDescent="0.15">
      <c r="A91" s="29">
        <v>90</v>
      </c>
      <c r="B91" s="28">
        <v>123114</v>
      </c>
      <c r="C91" s="28" t="s">
        <v>1860</v>
      </c>
      <c r="D91" s="28">
        <v>148.9</v>
      </c>
      <c r="E91" s="48">
        <v>-2.0299999999999999E-2</v>
      </c>
      <c r="F91" s="28">
        <v>31.66</v>
      </c>
      <c r="G91" s="28">
        <v>129.25</v>
      </c>
      <c r="H91" s="48">
        <v>0.152</v>
      </c>
      <c r="I91" s="45">
        <v>164.1</v>
      </c>
      <c r="J91" s="46">
        <v>46532</v>
      </c>
      <c r="K91" s="47">
        <v>4.5149999999999997</v>
      </c>
      <c r="L91" s="47">
        <v>9.0080789999999986</v>
      </c>
      <c r="M91" s="47">
        <v>7443.3024033999991</v>
      </c>
      <c r="N91" s="48">
        <v>5.5493073587171898E-2</v>
      </c>
      <c r="O91" s="48">
        <v>-4.6445E-2</v>
      </c>
      <c r="P91" s="28">
        <v>152.62899999999999</v>
      </c>
      <c r="Q91" s="28">
        <v>148.30000000000001</v>
      </c>
      <c r="R91" s="48">
        <v>2.9190829399864997E-2</v>
      </c>
    </row>
    <row r="92" spans="1:18" x14ac:dyDescent="0.15">
      <c r="A92" s="29">
        <v>91</v>
      </c>
      <c r="B92" s="28">
        <v>111007</v>
      </c>
      <c r="C92" s="28" t="s">
        <v>2051</v>
      </c>
      <c r="D92" s="28">
        <v>147.779</v>
      </c>
      <c r="E92" s="48">
        <v>2.98E-2</v>
      </c>
      <c r="F92" s="28">
        <v>33.64</v>
      </c>
      <c r="G92" s="28">
        <v>128.24</v>
      </c>
      <c r="H92" s="48">
        <v>0.15240000000000001</v>
      </c>
      <c r="I92" s="45">
        <v>163.01900000000001</v>
      </c>
      <c r="J92" s="46">
        <v>47037</v>
      </c>
      <c r="K92" s="47">
        <v>5.899</v>
      </c>
      <c r="L92" s="47">
        <v>8</v>
      </c>
      <c r="M92" s="47">
        <v>16262.478300000001</v>
      </c>
      <c r="N92" s="48">
        <v>0.13755741935593013</v>
      </c>
      <c r="O92" s="48">
        <v>-3.4789E-2</v>
      </c>
      <c r="P92" s="28">
        <v>151.24</v>
      </c>
      <c r="Q92" s="28">
        <v>142</v>
      </c>
      <c r="R92" s="48">
        <v>6.5070422535211336E-2</v>
      </c>
    </row>
    <row r="93" spans="1:18" x14ac:dyDescent="0.15">
      <c r="A93" s="29">
        <v>92</v>
      </c>
      <c r="B93" s="28">
        <v>127038</v>
      </c>
      <c r="C93" s="28" t="s">
        <v>1872</v>
      </c>
      <c r="D93" s="28">
        <v>166.042</v>
      </c>
      <c r="E93" s="48">
        <v>-5.7500000000000002E-2</v>
      </c>
      <c r="F93" s="28">
        <v>98.18</v>
      </c>
      <c r="G93" s="28">
        <v>144.06</v>
      </c>
      <c r="H93" s="48">
        <v>0.15259999999999999</v>
      </c>
      <c r="I93" s="45">
        <v>181.30199999999999</v>
      </c>
      <c r="J93" s="46">
        <v>46548</v>
      </c>
      <c r="K93" s="47">
        <v>4.5590000000000002</v>
      </c>
      <c r="L93" s="47">
        <v>14.935926</v>
      </c>
      <c r="M93" s="47">
        <v>26170.3432073</v>
      </c>
      <c r="N93" s="48">
        <v>0.10552595934672659</v>
      </c>
      <c r="O93" s="48">
        <v>-7.9694000000000001E-2</v>
      </c>
      <c r="P93" s="28">
        <v>176.78399999999999</v>
      </c>
      <c r="Q93" s="28">
        <v>166</v>
      </c>
      <c r="R93" s="48">
        <v>6.49638554216867E-2</v>
      </c>
    </row>
    <row r="94" spans="1:18" x14ac:dyDescent="0.15">
      <c r="A94" s="29">
        <v>93</v>
      </c>
      <c r="B94" s="28">
        <v>123118</v>
      </c>
      <c r="C94" s="28" t="s">
        <v>212</v>
      </c>
      <c r="D94" s="28">
        <v>137.499</v>
      </c>
      <c r="E94" s="48">
        <v>4.8999999999999998E-3</v>
      </c>
      <c r="F94" s="28">
        <v>17.059999999999999</v>
      </c>
      <c r="G94" s="28">
        <v>119.23</v>
      </c>
      <c r="H94" s="48">
        <v>0.1532</v>
      </c>
      <c r="I94" s="45">
        <v>152.81899999999999</v>
      </c>
      <c r="J94" s="46">
        <v>46575</v>
      </c>
      <c r="K94" s="47">
        <v>4.633</v>
      </c>
      <c r="L94" s="47">
        <v>3.1992880000000001</v>
      </c>
      <c r="M94" s="47">
        <v>11718.872618400001</v>
      </c>
      <c r="N94" s="48">
        <v>0.26639922489991169</v>
      </c>
      <c r="O94" s="48">
        <v>-2.7434E-2</v>
      </c>
      <c r="P94" s="28">
        <v>138.69999999999999</v>
      </c>
      <c r="Q94" s="28">
        <v>135.80000000000001</v>
      </c>
      <c r="R94" s="48">
        <v>2.1354933726067577E-2</v>
      </c>
    </row>
    <row r="95" spans="1:18" x14ac:dyDescent="0.15">
      <c r="A95" s="29">
        <v>94</v>
      </c>
      <c r="B95" s="28">
        <v>128119</v>
      </c>
      <c r="C95" s="28" t="s">
        <v>216</v>
      </c>
      <c r="D95" s="28">
        <v>120.453</v>
      </c>
      <c r="E95" s="48">
        <v>3.7000000000000002E-3</v>
      </c>
      <c r="F95" s="28">
        <v>9.3000000000000007</v>
      </c>
      <c r="G95" s="28">
        <v>104.41</v>
      </c>
      <c r="H95" s="48">
        <v>0.1537</v>
      </c>
      <c r="I95" s="45">
        <v>135.82300000000001</v>
      </c>
      <c r="J95" s="46">
        <v>46216</v>
      </c>
      <c r="K95" s="47">
        <v>3.649</v>
      </c>
      <c r="L95" s="47">
        <v>9.4606110000000001</v>
      </c>
      <c r="M95" s="47">
        <v>2008.5344969999999</v>
      </c>
      <c r="N95" s="48">
        <v>1.7625542318749809E-2</v>
      </c>
      <c r="O95" s="48">
        <v>-2.6779999999999998E-3</v>
      </c>
      <c r="P95" s="28">
        <v>120.85</v>
      </c>
      <c r="Q95" s="28">
        <v>119.62</v>
      </c>
      <c r="R95" s="48">
        <v>1.0282561444574401E-2</v>
      </c>
    </row>
    <row r="96" spans="1:18" x14ac:dyDescent="0.15">
      <c r="A96" s="29">
        <v>95</v>
      </c>
      <c r="B96" s="28">
        <v>128048</v>
      </c>
      <c r="C96" s="28" t="s">
        <v>1703</v>
      </c>
      <c r="D96" s="28">
        <v>115.202</v>
      </c>
      <c r="E96" s="48">
        <v>-1.1599999999999999E-2</v>
      </c>
      <c r="F96" s="28">
        <v>4.53</v>
      </c>
      <c r="G96" s="28">
        <v>99.78</v>
      </c>
      <c r="H96" s="48">
        <v>0.15460000000000002</v>
      </c>
      <c r="I96" s="45">
        <v>130.66200000000001</v>
      </c>
      <c r="J96" s="46">
        <v>45608</v>
      </c>
      <c r="K96" s="47">
        <v>1.984</v>
      </c>
      <c r="L96" s="47">
        <v>24.970385</v>
      </c>
      <c r="M96" s="47">
        <v>5169.6442900000002</v>
      </c>
      <c r="N96" s="48">
        <v>1.7971130757012895E-2</v>
      </c>
      <c r="O96" s="48">
        <v>-1.9581000000000001E-2</v>
      </c>
      <c r="P96" s="28">
        <v>117</v>
      </c>
      <c r="Q96" s="28">
        <v>114.88</v>
      </c>
      <c r="R96" s="48">
        <v>1.8454038997214525E-2</v>
      </c>
    </row>
    <row r="97" spans="1:18" x14ac:dyDescent="0.15">
      <c r="A97" s="29">
        <v>96</v>
      </c>
      <c r="B97" s="28">
        <v>113595</v>
      </c>
      <c r="C97" s="28" t="s">
        <v>125</v>
      </c>
      <c r="D97" s="28">
        <v>112.68600000000001</v>
      </c>
      <c r="E97" s="48">
        <v>1.2199999999999999E-2</v>
      </c>
      <c r="F97" s="28">
        <v>4.4800000000000004</v>
      </c>
      <c r="G97" s="28">
        <v>97.54</v>
      </c>
      <c r="H97" s="48">
        <v>0.15529999999999999</v>
      </c>
      <c r="I97" s="45">
        <v>128.21600000000001</v>
      </c>
      <c r="J97" s="46">
        <v>46224</v>
      </c>
      <c r="K97" s="47">
        <v>3.6709999999999998</v>
      </c>
      <c r="L97" s="47">
        <v>3.29758</v>
      </c>
      <c r="M97" s="47">
        <v>4112.5060999999996</v>
      </c>
      <c r="N97" s="48">
        <v>0.11067289020991283</v>
      </c>
      <c r="O97" s="48">
        <v>2.6905999999999999E-2</v>
      </c>
      <c r="P97" s="28">
        <v>113.495</v>
      </c>
      <c r="Q97" s="28">
        <v>110.97</v>
      </c>
      <c r="R97" s="48">
        <v>2.2753897449761248E-2</v>
      </c>
    </row>
    <row r="98" spans="1:18" x14ac:dyDescent="0.15">
      <c r="A98" s="29">
        <v>97</v>
      </c>
      <c r="B98" s="28">
        <v>123119</v>
      </c>
      <c r="C98" s="28" t="s">
        <v>1785</v>
      </c>
      <c r="D98" s="28">
        <v>130.31299999999999</v>
      </c>
      <c r="E98" s="48">
        <v>-3.0000000000000001E-3</v>
      </c>
      <c r="F98" s="28">
        <v>33.659999999999997</v>
      </c>
      <c r="G98" s="28">
        <v>112.72</v>
      </c>
      <c r="H98" s="48">
        <v>0.15609999999999999</v>
      </c>
      <c r="I98" s="45">
        <v>145.923</v>
      </c>
      <c r="J98" s="46">
        <v>46583</v>
      </c>
      <c r="K98" s="47">
        <v>4.6550000000000002</v>
      </c>
      <c r="L98" s="47">
        <v>19.993981999999999</v>
      </c>
      <c r="M98" s="47">
        <v>13367.330585899999</v>
      </c>
      <c r="N98" s="48">
        <v>5.1304758643905532E-2</v>
      </c>
      <c r="O98" s="48">
        <v>-2.3639999999999998E-2</v>
      </c>
      <c r="P98" s="28">
        <v>135.27000000000001</v>
      </c>
      <c r="Q98" s="28">
        <v>129.30600000000001</v>
      </c>
      <c r="R98" s="48">
        <v>4.6123149737831173E-2</v>
      </c>
    </row>
    <row r="99" spans="1:18" x14ac:dyDescent="0.15">
      <c r="A99" s="29">
        <v>98</v>
      </c>
      <c r="B99" s="28">
        <v>113027</v>
      </c>
      <c r="C99" s="28" t="s">
        <v>1867</v>
      </c>
      <c r="D99" s="28">
        <v>141.27600000000001</v>
      </c>
      <c r="E99" s="48">
        <v>-1.3999999999999999E-2</v>
      </c>
      <c r="F99" s="28">
        <v>10.17</v>
      </c>
      <c r="G99" s="28">
        <v>122.12</v>
      </c>
      <c r="H99" s="48">
        <v>0.15689999999999998</v>
      </c>
      <c r="I99" s="45">
        <v>156.96600000000001</v>
      </c>
      <c r="J99" s="46">
        <v>45822</v>
      </c>
      <c r="K99" s="47">
        <v>2.57</v>
      </c>
      <c r="L99" s="47">
        <v>2.3866999999999998</v>
      </c>
      <c r="M99" s="47">
        <v>4247.3087999999998</v>
      </c>
      <c r="N99" s="48">
        <v>0.12596433964970183</v>
      </c>
      <c r="O99" s="48">
        <v>-8.3434000000000008E-2</v>
      </c>
      <c r="P99" s="28">
        <v>144.25</v>
      </c>
      <c r="Q99" s="28">
        <v>141.02000000000001</v>
      </c>
      <c r="R99" s="48">
        <v>2.290455254573812E-2</v>
      </c>
    </row>
    <row r="100" spans="1:18" x14ac:dyDescent="0.15">
      <c r="A100" s="29">
        <v>99</v>
      </c>
      <c r="B100" s="28">
        <v>127069</v>
      </c>
      <c r="C100" s="28" t="s">
        <v>2040</v>
      </c>
      <c r="D100" s="28">
        <v>134.5</v>
      </c>
      <c r="E100" s="48">
        <v>-1.9E-2</v>
      </c>
      <c r="F100" s="28">
        <v>55.23</v>
      </c>
      <c r="G100" s="28">
        <v>116.22</v>
      </c>
      <c r="H100" s="48">
        <v>0.1573</v>
      </c>
      <c r="I100" s="45">
        <v>150.22999999999999</v>
      </c>
      <c r="J100" s="46">
        <v>46977</v>
      </c>
      <c r="K100" s="47">
        <v>5.734</v>
      </c>
      <c r="L100" s="47">
        <v>5.36</v>
      </c>
      <c r="M100" s="47">
        <v>1512.9349106</v>
      </c>
      <c r="N100" s="48">
        <v>2.098616920878877E-2</v>
      </c>
      <c r="O100" s="48">
        <v>-1.8464000000000001E-2</v>
      </c>
      <c r="P100" s="28">
        <v>137.9</v>
      </c>
      <c r="Q100" s="28">
        <v>134.21</v>
      </c>
      <c r="R100" s="48">
        <v>2.7494225467550835E-2</v>
      </c>
    </row>
    <row r="101" spans="1:18" x14ac:dyDescent="0.15">
      <c r="A101" s="29">
        <v>100</v>
      </c>
      <c r="B101" s="28">
        <v>128133</v>
      </c>
      <c r="C101" s="28" t="s">
        <v>201</v>
      </c>
      <c r="D101" s="28">
        <v>125.78</v>
      </c>
      <c r="E101" s="48">
        <v>-1E-3</v>
      </c>
      <c r="F101" s="28">
        <v>23.26</v>
      </c>
      <c r="G101" s="28">
        <v>108.64</v>
      </c>
      <c r="H101" s="48">
        <v>0.1578</v>
      </c>
      <c r="I101" s="45">
        <v>141.56</v>
      </c>
      <c r="J101" s="46">
        <v>46287</v>
      </c>
      <c r="K101" s="47">
        <v>3.8439999999999999</v>
      </c>
      <c r="L101" s="47">
        <v>7.9940480000000003</v>
      </c>
      <c r="M101" s="47">
        <v>3907.9213215000004</v>
      </c>
      <c r="N101" s="48">
        <v>3.8865787284831976E-2</v>
      </c>
      <c r="O101" s="48">
        <v>-2.0512000000000002E-2</v>
      </c>
      <c r="P101" s="28">
        <v>127.3</v>
      </c>
      <c r="Q101" s="28">
        <v>124.681</v>
      </c>
      <c r="R101" s="48">
        <v>2.1005606307296219E-2</v>
      </c>
    </row>
    <row r="102" spans="1:18" x14ac:dyDescent="0.15">
      <c r="A102" s="29">
        <v>101</v>
      </c>
      <c r="B102" s="28">
        <v>128100</v>
      </c>
      <c r="C102" s="28" t="s">
        <v>48</v>
      </c>
      <c r="D102" s="28">
        <v>91.46</v>
      </c>
      <c r="E102" s="48">
        <v>-1.4000000000000002E-3</v>
      </c>
      <c r="F102" s="28">
        <v>1.6</v>
      </c>
      <c r="G102" s="28">
        <v>78.75</v>
      </c>
      <c r="H102" s="48">
        <v>0.16140000000000002</v>
      </c>
      <c r="I102" s="45">
        <v>107.6</v>
      </c>
      <c r="J102" s="46">
        <v>46093</v>
      </c>
      <c r="K102" s="47">
        <v>3.3119999999999998</v>
      </c>
      <c r="L102" s="47">
        <v>7.9813140000000002</v>
      </c>
      <c r="M102" s="47">
        <v>1579.9279800000002</v>
      </c>
      <c r="N102" s="48">
        <v>2.1643709498923077E-2</v>
      </c>
      <c r="O102" s="48">
        <v>7.6915999999999998E-2</v>
      </c>
      <c r="P102" s="28">
        <v>92.066000000000003</v>
      </c>
      <c r="Q102" s="28">
        <v>91.427000000000007</v>
      </c>
      <c r="R102" s="48">
        <v>6.9891826265763481E-3</v>
      </c>
    </row>
    <row r="103" spans="1:18" x14ac:dyDescent="0.15">
      <c r="A103" s="29">
        <v>102</v>
      </c>
      <c r="B103" s="28">
        <v>113051</v>
      </c>
      <c r="C103" s="28" t="s">
        <v>1868</v>
      </c>
      <c r="D103" s="28">
        <v>128.73599999999999</v>
      </c>
      <c r="E103" s="48">
        <v>0</v>
      </c>
      <c r="F103" s="28">
        <v>4</v>
      </c>
      <c r="G103" s="28">
        <v>110.75</v>
      </c>
      <c r="H103" s="48">
        <v>0.16239999999999999</v>
      </c>
      <c r="I103" s="45">
        <v>144.976</v>
      </c>
      <c r="J103" s="46">
        <v>46559</v>
      </c>
      <c r="K103" s="47">
        <v>4.5890000000000004</v>
      </c>
      <c r="L103" s="47">
        <v>29.988759999999999</v>
      </c>
      <c r="M103" s="47">
        <v>0</v>
      </c>
      <c r="N103" s="48">
        <v>0</v>
      </c>
      <c r="O103" s="48">
        <v>-2.5958000000000002E-2</v>
      </c>
      <c r="R103" s="48" t="s">
        <v>2103</v>
      </c>
    </row>
    <row r="104" spans="1:18" x14ac:dyDescent="0.15">
      <c r="A104" s="29">
        <v>103</v>
      </c>
      <c r="B104" s="28">
        <v>128145</v>
      </c>
      <c r="C104" s="28" t="s">
        <v>2045</v>
      </c>
      <c r="D104" s="28">
        <v>127.395</v>
      </c>
      <c r="E104" s="48">
        <v>-3.4000000000000002E-3</v>
      </c>
      <c r="F104" s="28">
        <v>10.43</v>
      </c>
      <c r="G104" s="28">
        <v>109.01</v>
      </c>
      <c r="H104" s="48">
        <v>0.16870000000000002</v>
      </c>
      <c r="I104" s="45">
        <v>144.26499999999999</v>
      </c>
      <c r="J104" s="46">
        <v>46468</v>
      </c>
      <c r="K104" s="47">
        <v>4.34</v>
      </c>
      <c r="L104" s="47">
        <v>3.7669199999999998</v>
      </c>
      <c r="M104" s="47">
        <v>3334.5797085999998</v>
      </c>
      <c r="N104" s="48">
        <v>6.9486801750639787E-2</v>
      </c>
      <c r="O104" s="48">
        <v>-2.3572000000000003E-2</v>
      </c>
      <c r="P104" s="28">
        <v>128.768</v>
      </c>
      <c r="Q104" s="28">
        <v>127.08199999999999</v>
      </c>
      <c r="R104" s="48">
        <v>1.3267024440912224E-2</v>
      </c>
    </row>
    <row r="105" spans="1:18" x14ac:dyDescent="0.15">
      <c r="A105" s="29">
        <v>104</v>
      </c>
      <c r="B105" s="28">
        <v>110079</v>
      </c>
      <c r="C105" s="28" t="s">
        <v>1708</v>
      </c>
      <c r="D105" s="28">
        <v>117.82</v>
      </c>
      <c r="E105" s="48">
        <v>-4.3E-3</v>
      </c>
      <c r="F105" s="28">
        <v>12.64</v>
      </c>
      <c r="G105" s="28">
        <v>100.47</v>
      </c>
      <c r="H105" s="48">
        <v>0.17269999999999999</v>
      </c>
      <c r="I105" s="45">
        <v>135.09</v>
      </c>
      <c r="J105" s="46">
        <v>46475</v>
      </c>
      <c r="K105" s="47">
        <v>4.359</v>
      </c>
      <c r="L105" s="47">
        <v>149.98985999999999</v>
      </c>
      <c r="M105" s="47">
        <v>12887.4275</v>
      </c>
      <c r="N105" s="48">
        <v>7.2926490969249325E-3</v>
      </c>
      <c r="O105" s="48">
        <v>-1.1329000000000001E-2</v>
      </c>
      <c r="P105" s="28">
        <v>118.57</v>
      </c>
      <c r="Q105" s="28">
        <v>117.501</v>
      </c>
      <c r="R105" s="48">
        <v>9.0977949123836246E-3</v>
      </c>
    </row>
    <row r="106" spans="1:18" x14ac:dyDescent="0.15">
      <c r="A106" s="29">
        <v>105</v>
      </c>
      <c r="B106" s="28">
        <v>110080</v>
      </c>
      <c r="C106" s="28" t="s">
        <v>206</v>
      </c>
      <c r="D106" s="28">
        <v>114.297</v>
      </c>
      <c r="E106" s="48">
        <v>-4.3E-3</v>
      </c>
      <c r="F106" s="28">
        <v>5.84</v>
      </c>
      <c r="G106" s="28">
        <v>97.43</v>
      </c>
      <c r="H106" s="48">
        <v>0.17309999999999998</v>
      </c>
      <c r="I106" s="45">
        <v>131.607</v>
      </c>
      <c r="J106" s="46">
        <v>46489</v>
      </c>
      <c r="K106" s="47">
        <v>4.3970000000000002</v>
      </c>
      <c r="L106" s="47">
        <v>15.491110000000001</v>
      </c>
      <c r="M106" s="47">
        <v>3154.3703</v>
      </c>
      <c r="N106" s="48">
        <v>1.7815388839816142E-2</v>
      </c>
      <c r="O106" s="48">
        <v>1.018E-3</v>
      </c>
      <c r="P106" s="28">
        <v>115.3</v>
      </c>
      <c r="Q106" s="28">
        <v>114.13</v>
      </c>
      <c r="R106" s="48">
        <v>1.0251467624638586E-2</v>
      </c>
    </row>
    <row r="107" spans="1:18" x14ac:dyDescent="0.15">
      <c r="A107" s="29">
        <v>106</v>
      </c>
      <c r="B107" s="28">
        <v>110075</v>
      </c>
      <c r="C107" s="28" t="s">
        <v>1721</v>
      </c>
      <c r="D107" s="28">
        <v>133.30099999999999</v>
      </c>
      <c r="E107" s="48">
        <v>-4.6999999999999993E-3</v>
      </c>
      <c r="F107" s="28">
        <v>6.2</v>
      </c>
      <c r="G107" s="28">
        <v>113.55</v>
      </c>
      <c r="H107" s="48">
        <v>0.1739</v>
      </c>
      <c r="I107" s="45">
        <v>150.69099999999997</v>
      </c>
      <c r="J107" s="46">
        <v>46310</v>
      </c>
      <c r="K107" s="47">
        <v>3.907</v>
      </c>
      <c r="L107" s="47">
        <v>58.964179999999999</v>
      </c>
      <c r="M107" s="47">
        <v>8507.3430000000008</v>
      </c>
      <c r="N107" s="48">
        <v>1.0823613418032511E-2</v>
      </c>
      <c r="O107" s="48">
        <v>-4.9814999999999998E-2</v>
      </c>
      <c r="P107" s="28">
        <v>135.71700000000001</v>
      </c>
      <c r="Q107" s="28">
        <v>132.6</v>
      </c>
      <c r="R107" s="48">
        <v>2.3506787330316883E-2</v>
      </c>
    </row>
    <row r="108" spans="1:18" x14ac:dyDescent="0.15">
      <c r="A108" s="29">
        <v>107</v>
      </c>
      <c r="B108" s="28">
        <v>127029</v>
      </c>
      <c r="C108" s="28" t="s">
        <v>1705</v>
      </c>
      <c r="D108" s="28">
        <v>121.657</v>
      </c>
      <c r="E108" s="48">
        <v>-6.5000000000000006E-3</v>
      </c>
      <c r="F108" s="28">
        <v>5.54</v>
      </c>
      <c r="G108" s="28">
        <v>103.61</v>
      </c>
      <c r="H108" s="48">
        <v>0.17420000000000002</v>
      </c>
      <c r="I108" s="45">
        <v>139.077</v>
      </c>
      <c r="J108" s="46">
        <v>46465</v>
      </c>
      <c r="K108" s="47">
        <v>4.3319999999999999</v>
      </c>
      <c r="L108" s="47">
        <v>8.1883850000000002</v>
      </c>
      <c r="M108" s="47">
        <v>2294.0834478000002</v>
      </c>
      <c r="N108" s="48">
        <v>2.3028935032457773E-2</v>
      </c>
      <c r="O108" s="48">
        <v>-8.515E-3</v>
      </c>
      <c r="P108" s="28">
        <v>124.15</v>
      </c>
      <c r="Q108" s="28">
        <v>121.361</v>
      </c>
      <c r="R108" s="48">
        <v>2.2981023557815124E-2</v>
      </c>
    </row>
    <row r="109" spans="1:18" x14ac:dyDescent="0.15">
      <c r="A109" s="29">
        <v>108</v>
      </c>
      <c r="B109" s="28">
        <v>113055</v>
      </c>
      <c r="C109" s="28" t="s">
        <v>1707</v>
      </c>
      <c r="D109" s="28">
        <v>121.729</v>
      </c>
      <c r="E109" s="48">
        <v>-2.8000000000000004E-3</v>
      </c>
      <c r="F109" s="28">
        <v>13.9</v>
      </c>
      <c r="G109" s="28">
        <v>103.6</v>
      </c>
      <c r="H109" s="48">
        <v>0.17499999999999999</v>
      </c>
      <c r="I109" s="45">
        <v>139.22899999999998</v>
      </c>
      <c r="J109" s="46">
        <v>46815</v>
      </c>
      <c r="K109" s="47">
        <v>5.29</v>
      </c>
      <c r="L109" s="47">
        <v>69.963489999999993</v>
      </c>
      <c r="M109" s="47">
        <v>6664.3912</v>
      </c>
      <c r="N109" s="48">
        <v>7.8251912854950412E-3</v>
      </c>
      <c r="O109" s="48">
        <v>-1.7195999999999999E-2</v>
      </c>
      <c r="P109" s="28">
        <v>123.187</v>
      </c>
      <c r="Q109" s="28">
        <v>121.11199999999999</v>
      </c>
      <c r="R109" s="48">
        <v>1.7132901776867718E-2</v>
      </c>
    </row>
    <row r="110" spans="1:18" x14ac:dyDescent="0.15">
      <c r="A110" s="29">
        <v>109</v>
      </c>
      <c r="B110" s="28">
        <v>110057</v>
      </c>
      <c r="C110" s="28" t="s">
        <v>1718</v>
      </c>
      <c r="D110" s="28">
        <v>118.336</v>
      </c>
      <c r="E110" s="48">
        <v>8.0000000000000004E-4</v>
      </c>
      <c r="F110" s="28">
        <v>9.69</v>
      </c>
      <c r="G110" s="28">
        <v>100.52</v>
      </c>
      <c r="H110" s="48">
        <v>0.1772</v>
      </c>
      <c r="I110" s="45">
        <v>136.05599999999998</v>
      </c>
      <c r="J110" s="46">
        <v>45748</v>
      </c>
      <c r="K110" s="47">
        <v>2.367</v>
      </c>
      <c r="L110" s="47">
        <v>16.15483</v>
      </c>
      <c r="M110" s="47">
        <v>4048.3730999999998</v>
      </c>
      <c r="N110" s="48">
        <v>2.1176844766320035E-2</v>
      </c>
      <c r="O110" s="48">
        <v>-3.3557999999999998E-2</v>
      </c>
      <c r="P110" s="28">
        <v>119.27</v>
      </c>
      <c r="Q110" s="28">
        <v>117.72499999999999</v>
      </c>
      <c r="R110" s="48">
        <v>1.3123805478870263E-2</v>
      </c>
    </row>
    <row r="111" spans="1:18" x14ac:dyDescent="0.15">
      <c r="A111" s="29">
        <v>110</v>
      </c>
      <c r="B111" s="28">
        <v>127043</v>
      </c>
      <c r="C111" s="28" t="s">
        <v>1850</v>
      </c>
      <c r="D111" s="28">
        <v>129</v>
      </c>
      <c r="E111" s="48">
        <v>-2.46E-2</v>
      </c>
      <c r="F111" s="28">
        <v>20.7</v>
      </c>
      <c r="G111" s="28">
        <v>109.47</v>
      </c>
      <c r="H111" s="48">
        <v>0.1784</v>
      </c>
      <c r="I111" s="45">
        <v>146.84</v>
      </c>
      <c r="J111" s="46">
        <v>46611</v>
      </c>
      <c r="K111" s="47">
        <v>4.7320000000000002</v>
      </c>
      <c r="L111" s="47">
        <v>10.445142000000001</v>
      </c>
      <c r="M111" s="47">
        <v>5185.1569197999997</v>
      </c>
      <c r="N111" s="48">
        <v>3.8482018609388505E-2</v>
      </c>
      <c r="O111" s="48">
        <v>-1.439E-2</v>
      </c>
      <c r="P111" s="28">
        <v>132.5</v>
      </c>
      <c r="Q111" s="28">
        <v>128.999</v>
      </c>
      <c r="R111" s="48">
        <v>2.7139745269343211E-2</v>
      </c>
    </row>
    <row r="112" spans="1:18" x14ac:dyDescent="0.15">
      <c r="A112" s="29">
        <v>111</v>
      </c>
      <c r="B112" s="28">
        <v>123052</v>
      </c>
      <c r="C112" s="28" t="s">
        <v>754</v>
      </c>
      <c r="D112" s="28">
        <v>138.785</v>
      </c>
      <c r="E112" s="48">
        <v>4.0000000000000001E-3</v>
      </c>
      <c r="F112" s="28">
        <v>7.08</v>
      </c>
      <c r="G112" s="28">
        <v>117.66</v>
      </c>
      <c r="H112" s="48">
        <v>0.17949999999999999</v>
      </c>
      <c r="I112" s="45">
        <v>156.73499999999999</v>
      </c>
      <c r="J112" s="46">
        <v>46178</v>
      </c>
      <c r="K112" s="47">
        <v>3.5449999999999999</v>
      </c>
      <c r="L112" s="47">
        <v>1.503649</v>
      </c>
      <c r="M112" s="47">
        <v>1485.3580543999999</v>
      </c>
      <c r="N112" s="48">
        <v>7.1177405924893827E-2</v>
      </c>
      <c r="O112" s="48">
        <v>-2.7521E-2</v>
      </c>
      <c r="P112" s="28">
        <v>139.197</v>
      </c>
      <c r="Q112" s="28">
        <v>137.72</v>
      </c>
      <c r="R112" s="48">
        <v>1.0724658727853643E-2</v>
      </c>
    </row>
    <row r="113" spans="1:18" x14ac:dyDescent="0.15">
      <c r="A113" s="29">
        <v>112</v>
      </c>
      <c r="B113" s="28">
        <v>127032</v>
      </c>
      <c r="C113" s="28" t="s">
        <v>1730</v>
      </c>
      <c r="D113" s="28">
        <v>116.9</v>
      </c>
      <c r="E113" s="48">
        <v>1.4000000000000002E-3</v>
      </c>
      <c r="F113" s="28">
        <v>7.11</v>
      </c>
      <c r="G113" s="28">
        <v>98.87</v>
      </c>
      <c r="H113" s="48">
        <v>0.18239999999999998</v>
      </c>
      <c r="I113" s="45">
        <v>135.14000000000001</v>
      </c>
      <c r="J113" s="46">
        <v>46489</v>
      </c>
      <c r="K113" s="47">
        <v>4.3970000000000002</v>
      </c>
      <c r="L113" s="47">
        <v>49.995362</v>
      </c>
      <c r="M113" s="47">
        <v>3419.0681</v>
      </c>
      <c r="N113" s="48">
        <v>5.8501031346086824E-3</v>
      </c>
      <c r="O113" s="48">
        <v>-3.9900000000000005E-3</v>
      </c>
      <c r="P113" s="28">
        <v>117.23099999999999</v>
      </c>
      <c r="Q113" s="28">
        <v>116.036</v>
      </c>
      <c r="R113" s="48">
        <v>1.0298528043021072E-2</v>
      </c>
    </row>
    <row r="114" spans="1:18" x14ac:dyDescent="0.15">
      <c r="A114" s="29">
        <v>113</v>
      </c>
      <c r="B114" s="28">
        <v>123125</v>
      </c>
      <c r="C114" s="28" t="s">
        <v>200</v>
      </c>
      <c r="D114" s="28">
        <v>130.01300000000001</v>
      </c>
      <c r="E114" s="48">
        <v>3.5999999999999999E-3</v>
      </c>
      <c r="F114" s="28">
        <v>17.510000000000002</v>
      </c>
      <c r="G114" s="28">
        <v>109.94</v>
      </c>
      <c r="H114" s="48">
        <v>0.18260000000000001</v>
      </c>
      <c r="I114" s="45">
        <v>148.273</v>
      </c>
      <c r="J114" s="46">
        <v>46636</v>
      </c>
      <c r="K114" s="47">
        <v>4.8</v>
      </c>
      <c r="L114" s="47">
        <v>8.9983269999999997</v>
      </c>
      <c r="M114" s="47">
        <v>3140.9832822999997</v>
      </c>
      <c r="N114" s="48">
        <v>2.684831743106213E-2</v>
      </c>
      <c r="O114" s="48">
        <v>-3.6192000000000002E-2</v>
      </c>
      <c r="P114" s="28">
        <v>130.79900000000001</v>
      </c>
      <c r="Q114" s="28">
        <v>128.49799999999999</v>
      </c>
      <c r="R114" s="48">
        <v>1.7906893492505845E-2</v>
      </c>
    </row>
    <row r="115" spans="1:18" x14ac:dyDescent="0.15">
      <c r="A115" s="29">
        <v>114</v>
      </c>
      <c r="B115" s="28">
        <v>128090</v>
      </c>
      <c r="C115" s="28" t="s">
        <v>113</v>
      </c>
      <c r="D115" s="28">
        <v>124.45</v>
      </c>
      <c r="E115" s="48">
        <v>3.5999999999999999E-3</v>
      </c>
      <c r="F115" s="28">
        <v>4.2300000000000004</v>
      </c>
      <c r="G115" s="28">
        <v>105.2</v>
      </c>
      <c r="H115" s="48">
        <v>0.183</v>
      </c>
      <c r="I115" s="45">
        <v>142.75</v>
      </c>
      <c r="J115" s="46">
        <v>46018</v>
      </c>
      <c r="K115" s="47">
        <v>3.1070000000000002</v>
      </c>
      <c r="L115" s="47">
        <v>3.0987399999999998</v>
      </c>
      <c r="M115" s="47">
        <v>4664.5592749999996</v>
      </c>
      <c r="N115" s="48">
        <v>0.12095688030049451</v>
      </c>
      <c r="O115" s="48">
        <v>-2.7569E-2</v>
      </c>
      <c r="P115" s="28">
        <v>125.94</v>
      </c>
      <c r="Q115" s="28">
        <v>123.855</v>
      </c>
      <c r="R115" s="48">
        <v>1.6834201283759183E-2</v>
      </c>
    </row>
    <row r="116" spans="1:18" x14ac:dyDescent="0.15">
      <c r="A116" s="29">
        <v>115</v>
      </c>
      <c r="B116" s="28">
        <v>128034</v>
      </c>
      <c r="C116" s="28" t="s">
        <v>1710</v>
      </c>
      <c r="D116" s="28">
        <v>111.253</v>
      </c>
      <c r="E116" s="48">
        <v>-7.0999999999999995E-3</v>
      </c>
      <c r="F116" s="28">
        <v>4.1399999999999997</v>
      </c>
      <c r="G116" s="28">
        <v>93.96</v>
      </c>
      <c r="H116" s="48">
        <v>0.184</v>
      </c>
      <c r="I116" s="45">
        <v>129.65299999999999</v>
      </c>
      <c r="J116" s="46">
        <v>45317</v>
      </c>
      <c r="K116" s="47">
        <v>1.1859999999999999</v>
      </c>
      <c r="L116" s="47">
        <v>17.579526999999999</v>
      </c>
      <c r="M116" s="47">
        <v>4674.0529528999996</v>
      </c>
      <c r="N116" s="48">
        <v>2.3898723894588504E-2</v>
      </c>
      <c r="O116" s="48">
        <v>-3.0266999999999999E-2</v>
      </c>
      <c r="P116" s="28">
        <v>112.4</v>
      </c>
      <c r="Q116" s="28">
        <v>111.009</v>
      </c>
      <c r="R116" s="48">
        <v>1.2530515543784787E-2</v>
      </c>
    </row>
    <row r="117" spans="1:18" x14ac:dyDescent="0.15">
      <c r="A117" s="29">
        <v>116</v>
      </c>
      <c r="B117" s="28">
        <v>127040</v>
      </c>
      <c r="C117" s="28" t="s">
        <v>1697</v>
      </c>
      <c r="D117" s="28">
        <v>117.2</v>
      </c>
      <c r="E117" s="48">
        <v>-1.1999999999999999E-3</v>
      </c>
      <c r="F117" s="28">
        <v>8.77</v>
      </c>
      <c r="G117" s="28">
        <v>98.86</v>
      </c>
      <c r="H117" s="48">
        <v>0.1855</v>
      </c>
      <c r="I117" s="45">
        <v>135.75</v>
      </c>
      <c r="J117" s="46">
        <v>46575</v>
      </c>
      <c r="K117" s="47">
        <v>4.633</v>
      </c>
      <c r="L117" s="47">
        <v>39.872905000000003</v>
      </c>
      <c r="M117" s="47">
        <v>3480.7238656000004</v>
      </c>
      <c r="N117" s="48">
        <v>7.4484186923802452E-3</v>
      </c>
      <c r="O117" s="48">
        <v>-9.3150000000000004E-3</v>
      </c>
      <c r="P117" s="28">
        <v>117.86799999999999</v>
      </c>
      <c r="Q117" s="28">
        <v>116.68</v>
      </c>
      <c r="R117" s="48">
        <v>1.0181693520740385E-2</v>
      </c>
    </row>
    <row r="118" spans="1:18" x14ac:dyDescent="0.15">
      <c r="A118" s="29">
        <v>117</v>
      </c>
      <c r="B118" s="28">
        <v>128037</v>
      </c>
      <c r="C118" s="28" t="s">
        <v>72</v>
      </c>
      <c r="D118" s="28">
        <v>115.96299999999999</v>
      </c>
      <c r="E118" s="48">
        <v>-2.9999999999999997E-4</v>
      </c>
      <c r="F118" s="28">
        <v>3.1</v>
      </c>
      <c r="G118" s="28">
        <v>97.74</v>
      </c>
      <c r="H118" s="48">
        <v>0.18640000000000001</v>
      </c>
      <c r="I118" s="45">
        <v>134.60300000000001</v>
      </c>
      <c r="J118" s="46">
        <v>45366</v>
      </c>
      <c r="K118" s="47">
        <v>1.321</v>
      </c>
      <c r="L118" s="47">
        <v>6.0191359999999996</v>
      </c>
      <c r="M118" s="47">
        <v>3811.1515340000005</v>
      </c>
      <c r="N118" s="48">
        <v>5.4601254201467865E-2</v>
      </c>
      <c r="O118" s="48">
        <v>-4.0917000000000002E-2</v>
      </c>
      <c r="P118" s="28">
        <v>116.794</v>
      </c>
      <c r="Q118" s="28">
        <v>115.15</v>
      </c>
      <c r="R118" s="48">
        <v>1.4277029960920461E-2</v>
      </c>
    </row>
    <row r="119" spans="1:18" x14ac:dyDescent="0.15">
      <c r="A119" s="29">
        <v>118</v>
      </c>
      <c r="B119" s="28">
        <v>113621</v>
      </c>
      <c r="C119" s="28" t="s">
        <v>218</v>
      </c>
      <c r="D119" s="28">
        <v>140.42400000000001</v>
      </c>
      <c r="E119" s="48">
        <v>-1.7500000000000002E-2</v>
      </c>
      <c r="F119" s="28">
        <v>32.53</v>
      </c>
      <c r="G119" s="28">
        <v>118.26</v>
      </c>
      <c r="H119" s="48">
        <v>0.18739999999999998</v>
      </c>
      <c r="I119" s="45">
        <v>159.16400000000002</v>
      </c>
      <c r="J119" s="46">
        <v>46413</v>
      </c>
      <c r="K119" s="47">
        <v>4.1890000000000001</v>
      </c>
      <c r="L119" s="47">
        <v>5.3667213466000003</v>
      </c>
      <c r="M119" s="47">
        <v>85427.960699999996</v>
      </c>
      <c r="N119" s="48">
        <v>1.1335734176647834</v>
      </c>
      <c r="O119" s="48">
        <v>-4.7823999999999998E-2</v>
      </c>
      <c r="P119" s="28">
        <v>153.52199999999999</v>
      </c>
      <c r="Q119" s="28">
        <v>139.089</v>
      </c>
      <c r="R119" s="48">
        <v>0.10376809093458141</v>
      </c>
    </row>
    <row r="120" spans="1:18" x14ac:dyDescent="0.15">
      <c r="A120" s="29">
        <v>119</v>
      </c>
      <c r="B120" s="28">
        <v>123121</v>
      </c>
      <c r="C120" s="28" t="s">
        <v>1890</v>
      </c>
      <c r="D120" s="28">
        <v>134.68799999999999</v>
      </c>
      <c r="E120" s="48">
        <v>-2.0499999999999997E-2</v>
      </c>
      <c r="F120" s="28">
        <v>119.68</v>
      </c>
      <c r="G120" s="28">
        <v>113.08</v>
      </c>
      <c r="H120" s="48">
        <v>0.19109999999999999</v>
      </c>
      <c r="I120" s="45">
        <v>153.798</v>
      </c>
      <c r="J120" s="46">
        <v>46604</v>
      </c>
      <c r="K120" s="47">
        <v>4.7119999999999997</v>
      </c>
      <c r="L120" s="47">
        <v>8.3093669999999999</v>
      </c>
      <c r="M120" s="47">
        <v>25292.442609999998</v>
      </c>
      <c r="N120" s="48">
        <v>0.22599244889621423</v>
      </c>
      <c r="O120" s="48">
        <v>-2.3594E-2</v>
      </c>
      <c r="P120" s="28">
        <v>139.5</v>
      </c>
      <c r="Q120" s="28">
        <v>134.22999999999999</v>
      </c>
      <c r="R120" s="48">
        <v>3.926096997690539E-2</v>
      </c>
    </row>
    <row r="121" spans="1:18" x14ac:dyDescent="0.15">
      <c r="A121" s="29">
        <v>120</v>
      </c>
      <c r="B121" s="28">
        <v>127045</v>
      </c>
      <c r="C121" s="28" t="s">
        <v>1713</v>
      </c>
      <c r="D121" s="28">
        <v>118.52</v>
      </c>
      <c r="E121" s="48">
        <v>-3.8E-3</v>
      </c>
      <c r="F121" s="28">
        <v>47.46</v>
      </c>
      <c r="G121" s="28">
        <v>99.45</v>
      </c>
      <c r="H121" s="48">
        <v>0.1918</v>
      </c>
      <c r="I121" s="45">
        <v>137.69999999999999</v>
      </c>
      <c r="J121" s="46">
        <v>46615</v>
      </c>
      <c r="K121" s="47">
        <v>4.742</v>
      </c>
      <c r="L121" s="47">
        <v>95.439631000000006</v>
      </c>
      <c r="M121" s="47">
        <v>18901.2247346</v>
      </c>
      <c r="N121" s="48">
        <v>1.6709734579187504E-2</v>
      </c>
      <c r="O121" s="48">
        <v>-1.4113000000000001E-2</v>
      </c>
      <c r="P121" s="28">
        <v>119.4</v>
      </c>
      <c r="Q121" s="28">
        <v>118.3</v>
      </c>
      <c r="R121" s="48">
        <v>9.2983939137786017E-3</v>
      </c>
    </row>
    <row r="122" spans="1:18" x14ac:dyDescent="0.15">
      <c r="A122" s="29">
        <v>121</v>
      </c>
      <c r="B122" s="28">
        <v>113637</v>
      </c>
      <c r="C122" s="28" t="s">
        <v>243</v>
      </c>
      <c r="D122" s="28">
        <v>125.08199999999999</v>
      </c>
      <c r="E122" s="48">
        <v>2.2000000000000001E-3</v>
      </c>
      <c r="F122" s="28">
        <v>12.75</v>
      </c>
      <c r="G122" s="28">
        <v>104.94</v>
      </c>
      <c r="H122" s="48">
        <v>0.19190000000000002</v>
      </c>
      <c r="I122" s="45">
        <v>144.27199999999999</v>
      </c>
      <c r="J122" s="46">
        <v>46743</v>
      </c>
      <c r="K122" s="47">
        <v>5.093</v>
      </c>
      <c r="L122" s="47">
        <v>7.9979699999999996</v>
      </c>
      <c r="M122" s="47">
        <v>1322.1379999999999</v>
      </c>
      <c r="N122" s="48">
        <v>1.3216066037382814E-2</v>
      </c>
      <c r="O122" s="48">
        <v>-6.6269999999999992E-3</v>
      </c>
      <c r="P122" s="28">
        <v>127.07599999999999</v>
      </c>
      <c r="Q122" s="28">
        <v>124.5</v>
      </c>
      <c r="R122" s="48">
        <v>2.0690763052208783E-2</v>
      </c>
    </row>
    <row r="123" spans="1:18" x14ac:dyDescent="0.15">
      <c r="A123" s="29">
        <v>122</v>
      </c>
      <c r="B123" s="28">
        <v>123107</v>
      </c>
      <c r="C123" s="28" t="s">
        <v>2041</v>
      </c>
      <c r="D123" s="28">
        <v>119.08499999999999</v>
      </c>
      <c r="E123" s="48">
        <v>-1.0800000000000001E-2</v>
      </c>
      <c r="F123" s="28">
        <v>17.48</v>
      </c>
      <c r="G123" s="28">
        <v>99.89</v>
      </c>
      <c r="H123" s="48">
        <v>0.19219999999999998</v>
      </c>
      <c r="I123" s="45">
        <v>138.30500000000001</v>
      </c>
      <c r="J123" s="46">
        <v>46475</v>
      </c>
      <c r="K123" s="47">
        <v>4.359</v>
      </c>
      <c r="L123" s="47">
        <v>77.387197</v>
      </c>
      <c r="M123" s="47">
        <v>14365.563937000001</v>
      </c>
      <c r="N123" s="48">
        <v>1.5588219115014217E-2</v>
      </c>
      <c r="O123" s="48">
        <v>-1.26E-2</v>
      </c>
      <c r="P123" s="28">
        <v>120.88</v>
      </c>
      <c r="Q123" s="28">
        <v>118.83</v>
      </c>
      <c r="R123" s="48">
        <v>1.7251535807456007E-2</v>
      </c>
    </row>
    <row r="124" spans="1:18" x14ac:dyDescent="0.15">
      <c r="A124" s="29">
        <v>123</v>
      </c>
      <c r="B124" s="28">
        <v>127060</v>
      </c>
      <c r="C124" s="28" t="s">
        <v>1878</v>
      </c>
      <c r="D124" s="28">
        <v>121.965</v>
      </c>
      <c r="E124" s="48">
        <v>-4.8999999999999998E-3</v>
      </c>
      <c r="F124" s="28">
        <v>42.56</v>
      </c>
      <c r="G124" s="28">
        <v>102.21</v>
      </c>
      <c r="H124" s="48">
        <v>0.19329999999999997</v>
      </c>
      <c r="I124" s="45">
        <v>141.29500000000002</v>
      </c>
      <c r="J124" s="46">
        <v>46862</v>
      </c>
      <c r="K124" s="47">
        <v>5.4189999999999996</v>
      </c>
      <c r="L124" s="47">
        <v>6.3996930000000001</v>
      </c>
      <c r="M124" s="47">
        <v>2686.2619503000001</v>
      </c>
      <c r="N124" s="48">
        <v>3.4415493342215442E-2</v>
      </c>
      <c r="O124" s="48">
        <v>-1.2234E-2</v>
      </c>
      <c r="P124" s="28">
        <v>123.1</v>
      </c>
      <c r="Q124" s="28">
        <v>121.602</v>
      </c>
      <c r="R124" s="48">
        <v>1.2318876334270739E-2</v>
      </c>
    </row>
    <row r="125" spans="1:18" x14ac:dyDescent="0.15">
      <c r="A125" s="29">
        <v>124</v>
      </c>
      <c r="B125" s="28">
        <v>123031</v>
      </c>
      <c r="C125" s="28" t="s">
        <v>1882</v>
      </c>
      <c r="D125" s="28">
        <v>341.04599999999999</v>
      </c>
      <c r="E125" s="48">
        <v>-1.15E-2</v>
      </c>
      <c r="F125" s="28">
        <v>6.25</v>
      </c>
      <c r="G125" s="28">
        <v>285.76</v>
      </c>
      <c r="H125" s="48">
        <v>0.19350000000000001</v>
      </c>
      <c r="I125" s="45">
        <v>360.39600000000002</v>
      </c>
      <c r="J125" s="46">
        <v>45898</v>
      </c>
      <c r="K125" s="47">
        <v>2.778</v>
      </c>
      <c r="L125" s="47">
        <v>0.52919899999999997</v>
      </c>
      <c r="M125" s="47">
        <v>45423.337483999996</v>
      </c>
      <c r="N125" s="48">
        <v>2.5167904990593661</v>
      </c>
      <c r="O125" s="48">
        <v>-0.328065</v>
      </c>
      <c r="P125" s="28">
        <v>362.34699999999998</v>
      </c>
      <c r="Q125" s="28">
        <v>340</v>
      </c>
      <c r="R125" s="48">
        <v>6.5726470588235233E-2</v>
      </c>
    </row>
    <row r="126" spans="1:18" x14ac:dyDescent="0.15">
      <c r="A126" s="29">
        <v>125</v>
      </c>
      <c r="B126" s="28">
        <v>110043</v>
      </c>
      <c r="C126" s="28" t="s">
        <v>1696</v>
      </c>
      <c r="D126" s="28">
        <v>111.45</v>
      </c>
      <c r="E126" s="48">
        <v>-9.4999999999999998E-3</v>
      </c>
      <c r="F126" s="28">
        <v>5.43</v>
      </c>
      <c r="G126" s="28">
        <v>93.37</v>
      </c>
      <c r="H126" s="48">
        <v>0.19359999999999999</v>
      </c>
      <c r="I126" s="45">
        <v>130.81</v>
      </c>
      <c r="J126" s="46">
        <v>45321</v>
      </c>
      <c r="K126" s="47">
        <v>1.1970000000000001</v>
      </c>
      <c r="L126" s="47">
        <v>29.2133</v>
      </c>
      <c r="M126" s="47">
        <v>4088.3469</v>
      </c>
      <c r="N126" s="48">
        <v>1.2557033345571563E-2</v>
      </c>
      <c r="O126" s="48">
        <v>-3.1435999999999999E-2</v>
      </c>
      <c r="P126" s="28">
        <v>112.536</v>
      </c>
      <c r="Q126" s="28">
        <v>111.303</v>
      </c>
      <c r="R126" s="48">
        <v>1.107786852106416E-2</v>
      </c>
    </row>
    <row r="127" spans="1:18" x14ac:dyDescent="0.15">
      <c r="A127" s="29">
        <v>126</v>
      </c>
      <c r="B127" s="28">
        <v>127012</v>
      </c>
      <c r="C127" s="28" t="s">
        <v>1723</v>
      </c>
      <c r="D127" s="28">
        <v>113.355</v>
      </c>
      <c r="E127" s="48">
        <v>-4.6999999999999993E-3</v>
      </c>
      <c r="F127" s="28">
        <v>8.2799999999999994</v>
      </c>
      <c r="G127" s="28">
        <v>94.93</v>
      </c>
      <c r="H127" s="48">
        <v>0.19409999999999999</v>
      </c>
      <c r="I127" s="45">
        <v>132.76500000000001</v>
      </c>
      <c r="J127" s="46">
        <v>45738</v>
      </c>
      <c r="K127" s="47">
        <v>2.34</v>
      </c>
      <c r="L127" s="47">
        <v>49.998221000000001</v>
      </c>
      <c r="M127" s="47">
        <v>3883.9731124</v>
      </c>
      <c r="N127" s="48">
        <v>6.8530039417412144E-3</v>
      </c>
      <c r="O127" s="48">
        <v>-2.3444E-2</v>
      </c>
      <c r="P127" s="28">
        <v>114.2</v>
      </c>
      <c r="Q127" s="28">
        <v>112.96</v>
      </c>
      <c r="R127" s="48">
        <v>1.0977337110481667E-2</v>
      </c>
    </row>
    <row r="128" spans="1:18" x14ac:dyDescent="0.15">
      <c r="A128" s="29">
        <v>127</v>
      </c>
      <c r="B128" s="28">
        <v>118021</v>
      </c>
      <c r="C128" s="28" t="s">
        <v>2056</v>
      </c>
      <c r="D128" s="28">
        <v>127.18300000000001</v>
      </c>
      <c r="E128" s="48">
        <v>-1.43E-2</v>
      </c>
      <c r="F128" s="28">
        <v>10.7</v>
      </c>
      <c r="G128" s="28">
        <v>106.45</v>
      </c>
      <c r="H128" s="48">
        <v>0.1948</v>
      </c>
      <c r="I128" s="45">
        <v>146.66300000000001</v>
      </c>
      <c r="J128" s="46">
        <v>47023</v>
      </c>
      <c r="K128" s="47">
        <v>5.86</v>
      </c>
      <c r="L128" s="47">
        <v>4.8480999999999996</v>
      </c>
      <c r="M128" s="47">
        <v>5353.1670000000004</v>
      </c>
      <c r="N128" s="48">
        <v>8.6818076150552467E-2</v>
      </c>
      <c r="O128" s="48">
        <v>-1.2667999999999999E-2</v>
      </c>
      <c r="P128" s="28">
        <v>130.49799999999999</v>
      </c>
      <c r="Q128" s="28">
        <v>127</v>
      </c>
      <c r="R128" s="48">
        <v>2.7543307086614097E-2</v>
      </c>
    </row>
    <row r="129" spans="1:18" x14ac:dyDescent="0.15">
      <c r="A129" s="29">
        <v>128</v>
      </c>
      <c r="B129" s="28">
        <v>128021</v>
      </c>
      <c r="C129" s="28" t="s">
        <v>51</v>
      </c>
      <c r="D129" s="28">
        <v>124.4</v>
      </c>
      <c r="E129" s="48">
        <v>-9.8999999999999991E-3</v>
      </c>
      <c r="F129" s="28">
        <v>5.19</v>
      </c>
      <c r="G129" s="28">
        <v>104.05</v>
      </c>
      <c r="H129" s="48">
        <v>0.1956</v>
      </c>
      <c r="I129" s="45">
        <v>143.96</v>
      </c>
      <c r="J129" s="46">
        <v>45258</v>
      </c>
      <c r="K129" s="47">
        <v>1.0249999999999999</v>
      </c>
      <c r="L129" s="47">
        <v>2.6515119999999999</v>
      </c>
      <c r="M129" s="47">
        <v>2073.0773020000001</v>
      </c>
      <c r="N129" s="48">
        <v>6.2849455469096469E-2</v>
      </c>
      <c r="O129" s="48">
        <v>-0.13406000000000001</v>
      </c>
      <c r="P129" s="28">
        <v>126.64100000000001</v>
      </c>
      <c r="Q129" s="28">
        <v>124.136</v>
      </c>
      <c r="R129" s="48">
        <v>2.017948056969783E-2</v>
      </c>
    </row>
    <row r="130" spans="1:18" x14ac:dyDescent="0.15">
      <c r="A130" s="29">
        <v>129</v>
      </c>
      <c r="B130" s="28">
        <v>127050</v>
      </c>
      <c r="C130" s="28" t="s">
        <v>1761</v>
      </c>
      <c r="D130" s="28">
        <v>126.65</v>
      </c>
      <c r="E130" s="48">
        <v>-4.0000000000000002E-4</v>
      </c>
      <c r="F130" s="28">
        <v>28.52</v>
      </c>
      <c r="G130" s="28">
        <v>105.86</v>
      </c>
      <c r="H130" s="48">
        <v>0.19640000000000002</v>
      </c>
      <c r="I130" s="45">
        <v>146.29000000000002</v>
      </c>
      <c r="J130" s="46">
        <v>46702</v>
      </c>
      <c r="K130" s="47">
        <v>4.9809999999999999</v>
      </c>
      <c r="L130" s="47">
        <v>21.988821999999999</v>
      </c>
      <c r="M130" s="47">
        <v>5345.5971045000006</v>
      </c>
      <c r="N130" s="48">
        <v>1.9195041935519991E-2</v>
      </c>
      <c r="O130" s="48">
        <v>-1.9847999999999998E-2</v>
      </c>
      <c r="P130" s="28">
        <v>127.999</v>
      </c>
      <c r="Q130" s="28">
        <v>126.1</v>
      </c>
      <c r="R130" s="48">
        <v>1.5059476605868366E-2</v>
      </c>
    </row>
    <row r="131" spans="1:18" x14ac:dyDescent="0.15">
      <c r="A131" s="29">
        <v>130</v>
      </c>
      <c r="B131" s="28">
        <v>123063</v>
      </c>
      <c r="C131" s="28" t="s">
        <v>89</v>
      </c>
      <c r="D131" s="28">
        <v>120.26600000000001</v>
      </c>
      <c r="E131" s="48">
        <v>-1.2999999999999999E-3</v>
      </c>
      <c r="F131" s="28">
        <v>4.72</v>
      </c>
      <c r="G131" s="28">
        <v>100.42</v>
      </c>
      <c r="H131" s="48">
        <v>0.19760000000000003</v>
      </c>
      <c r="I131" s="45">
        <v>140.02600000000001</v>
      </c>
      <c r="J131" s="46">
        <v>46231</v>
      </c>
      <c r="K131" s="47">
        <v>3.69</v>
      </c>
      <c r="L131" s="47">
        <v>6.3456169999999998</v>
      </c>
      <c r="M131" s="47">
        <v>816.52742499999999</v>
      </c>
      <c r="N131" s="48">
        <v>1.0699267687431568E-2</v>
      </c>
      <c r="O131" s="48">
        <v>1.1854E-2</v>
      </c>
      <c r="P131" s="28">
        <v>121.37</v>
      </c>
      <c r="Q131" s="28">
        <v>120.02</v>
      </c>
      <c r="R131" s="48">
        <v>1.1248125312447997E-2</v>
      </c>
    </row>
    <row r="132" spans="1:18" x14ac:dyDescent="0.15">
      <c r="A132" s="29">
        <v>131</v>
      </c>
      <c r="B132" s="28">
        <v>113618</v>
      </c>
      <c r="C132" s="28" t="s">
        <v>1716</v>
      </c>
      <c r="D132" s="28">
        <v>138.80799999999999</v>
      </c>
      <c r="E132" s="48">
        <v>1.9900000000000001E-2</v>
      </c>
      <c r="F132" s="28">
        <v>26.51</v>
      </c>
      <c r="G132" s="28">
        <v>115.81</v>
      </c>
      <c r="H132" s="48">
        <v>0.1986</v>
      </c>
      <c r="I132" s="45">
        <v>158.66800000000001</v>
      </c>
      <c r="J132" s="46">
        <v>46401</v>
      </c>
      <c r="K132" s="47">
        <v>4.1559999999999997</v>
      </c>
      <c r="L132" s="47">
        <v>4.76905</v>
      </c>
      <c r="M132" s="47">
        <v>117207.4541</v>
      </c>
      <c r="N132" s="48">
        <v>1.7705527088204638</v>
      </c>
      <c r="O132" s="48">
        <v>-4.5328E-2</v>
      </c>
      <c r="P132" s="28">
        <v>142.19999999999999</v>
      </c>
      <c r="Q132" s="28">
        <v>135.49799999999999</v>
      </c>
      <c r="R132" s="48">
        <v>4.9461984678740634E-2</v>
      </c>
    </row>
    <row r="133" spans="1:18" x14ac:dyDescent="0.15">
      <c r="A133" s="29">
        <v>132</v>
      </c>
      <c r="B133" s="28">
        <v>113060</v>
      </c>
      <c r="C133" s="28" t="s">
        <v>1897</v>
      </c>
      <c r="D133" s="28">
        <v>124.898</v>
      </c>
      <c r="E133" s="48">
        <v>-6.7000000000000002E-3</v>
      </c>
      <c r="F133" s="28">
        <v>10.32</v>
      </c>
      <c r="G133" s="28">
        <v>104.17</v>
      </c>
      <c r="H133" s="48">
        <v>0.19899999999999998</v>
      </c>
      <c r="I133" s="45">
        <v>144.798</v>
      </c>
      <c r="J133" s="46">
        <v>46918</v>
      </c>
      <c r="K133" s="47">
        <v>5.5730000000000004</v>
      </c>
      <c r="L133" s="47">
        <v>70</v>
      </c>
      <c r="M133" s="47">
        <v>5664.4540999999999</v>
      </c>
      <c r="N133" s="48">
        <v>6.478948650670377E-3</v>
      </c>
      <c r="O133" s="48">
        <v>-2.3290999999999999E-2</v>
      </c>
      <c r="P133" s="28">
        <v>125.999</v>
      </c>
      <c r="Q133" s="28">
        <v>124.67100000000001</v>
      </c>
      <c r="R133" s="48">
        <v>1.0652036159170847E-2</v>
      </c>
    </row>
    <row r="134" spans="1:18" x14ac:dyDescent="0.15">
      <c r="A134" s="29">
        <v>133</v>
      </c>
      <c r="B134" s="28">
        <v>123147</v>
      </c>
      <c r="C134" s="28" t="s">
        <v>1879</v>
      </c>
      <c r="D134" s="28">
        <v>123.47</v>
      </c>
      <c r="E134" s="48">
        <v>4.6999999999999993E-3</v>
      </c>
      <c r="F134" s="28">
        <v>7.78</v>
      </c>
      <c r="G134" s="28">
        <v>102.83</v>
      </c>
      <c r="H134" s="48">
        <v>0.20069999999999999</v>
      </c>
      <c r="I134" s="45">
        <v>143.54</v>
      </c>
      <c r="J134" s="46">
        <v>46904</v>
      </c>
      <c r="K134" s="47">
        <v>5.5339999999999998</v>
      </c>
      <c r="L134" s="47">
        <v>5.7053700000000003</v>
      </c>
      <c r="M134" s="47">
        <v>1317.535061</v>
      </c>
      <c r="N134" s="48">
        <v>1.8703243100155947E-2</v>
      </c>
      <c r="O134" s="48">
        <v>-5.0680000000000005E-3</v>
      </c>
      <c r="P134" s="28">
        <v>125</v>
      </c>
      <c r="Q134" s="28">
        <v>122.435</v>
      </c>
      <c r="R134" s="48">
        <v>2.0949891779311454E-2</v>
      </c>
    </row>
    <row r="135" spans="1:18" x14ac:dyDescent="0.15">
      <c r="A135" s="29">
        <v>134</v>
      </c>
      <c r="B135" s="28">
        <v>123141</v>
      </c>
      <c r="C135" s="28" t="s">
        <v>750</v>
      </c>
      <c r="D135" s="28">
        <v>123.35</v>
      </c>
      <c r="E135" s="48">
        <v>2.3999999999999998E-3</v>
      </c>
      <c r="F135" s="28">
        <v>5.39</v>
      </c>
      <c r="G135" s="28">
        <v>102.6</v>
      </c>
      <c r="H135" s="48">
        <v>0.20219999999999999</v>
      </c>
      <c r="I135" s="45">
        <v>143.57</v>
      </c>
      <c r="J135" s="46">
        <v>46827</v>
      </c>
      <c r="K135" s="47">
        <v>5.3230000000000004</v>
      </c>
      <c r="L135" s="47">
        <v>3.2117559999999998</v>
      </c>
      <c r="M135" s="47">
        <v>2865.9122989999996</v>
      </c>
      <c r="N135" s="48">
        <v>7.2340448716131864E-2</v>
      </c>
      <c r="O135" s="48">
        <v>-2.5840000000000004E-3</v>
      </c>
      <c r="P135" s="28">
        <v>124.18</v>
      </c>
      <c r="Q135" s="28">
        <v>123.02</v>
      </c>
      <c r="R135" s="48">
        <v>9.4293610794993557E-3</v>
      </c>
    </row>
    <row r="136" spans="1:18" x14ac:dyDescent="0.15">
      <c r="A136" s="29">
        <v>135</v>
      </c>
      <c r="B136" s="28">
        <v>128033</v>
      </c>
      <c r="C136" s="28" t="s">
        <v>68</v>
      </c>
      <c r="D136" s="28">
        <v>123.15</v>
      </c>
      <c r="E136" s="48">
        <v>-1.41E-2</v>
      </c>
      <c r="F136" s="28">
        <v>8.26</v>
      </c>
      <c r="G136" s="28">
        <v>102.42</v>
      </c>
      <c r="H136" s="48">
        <v>0.2024</v>
      </c>
      <c r="I136" s="45">
        <v>143.39000000000001</v>
      </c>
      <c r="J136" s="46">
        <v>45287</v>
      </c>
      <c r="K136" s="47">
        <v>1.1040000000000001</v>
      </c>
      <c r="L136" s="47">
        <v>2.9722949999999999</v>
      </c>
      <c r="M136" s="47">
        <v>2318.3458519999999</v>
      </c>
      <c r="N136" s="48">
        <v>6.3336184586841093E-2</v>
      </c>
      <c r="O136" s="48">
        <v>-0.11685499999999999</v>
      </c>
      <c r="P136" s="28">
        <v>125.59</v>
      </c>
      <c r="Q136" s="28">
        <v>123.033</v>
      </c>
      <c r="R136" s="48">
        <v>2.0783041948095243E-2</v>
      </c>
    </row>
    <row r="137" spans="1:18" x14ac:dyDescent="0.15">
      <c r="A137" s="29">
        <v>136</v>
      </c>
      <c r="B137" s="28">
        <v>123150</v>
      </c>
      <c r="C137" s="28" t="s">
        <v>1900</v>
      </c>
      <c r="D137" s="28">
        <v>126.6</v>
      </c>
      <c r="E137" s="48">
        <v>-6.0000000000000001E-3</v>
      </c>
      <c r="F137" s="28">
        <v>17.63</v>
      </c>
      <c r="G137" s="28">
        <v>105.22</v>
      </c>
      <c r="H137" s="48">
        <v>0.20319999999999999</v>
      </c>
      <c r="I137" s="45">
        <v>146.91999999999999</v>
      </c>
      <c r="J137" s="46">
        <v>46934</v>
      </c>
      <c r="K137" s="47">
        <v>5.6159999999999997</v>
      </c>
      <c r="L137" s="47">
        <v>11.39</v>
      </c>
      <c r="M137" s="47">
        <v>2869.3816812</v>
      </c>
      <c r="N137" s="48">
        <v>1.9898983485139122E-2</v>
      </c>
      <c r="O137" s="48">
        <v>-1.6334000000000001E-2</v>
      </c>
      <c r="P137" s="28">
        <v>128.71299999999999</v>
      </c>
      <c r="Q137" s="28">
        <v>126</v>
      </c>
      <c r="R137" s="48">
        <v>2.1531746031745982E-2</v>
      </c>
    </row>
    <row r="138" spans="1:18" x14ac:dyDescent="0.15">
      <c r="A138" s="29">
        <v>137</v>
      </c>
      <c r="B138" s="28">
        <v>127063</v>
      </c>
      <c r="C138" s="28" t="s">
        <v>1874</v>
      </c>
      <c r="D138" s="28">
        <v>121.679</v>
      </c>
      <c r="E138" s="48">
        <v>-1.0800000000000001E-2</v>
      </c>
      <c r="F138" s="28">
        <v>4.5999999999999996</v>
      </c>
      <c r="G138" s="28">
        <v>101.09</v>
      </c>
      <c r="H138" s="48">
        <v>0.20370000000000002</v>
      </c>
      <c r="I138" s="45">
        <v>142.04900000000001</v>
      </c>
      <c r="J138" s="46">
        <v>46865</v>
      </c>
      <c r="K138" s="47">
        <v>5.4269999999999996</v>
      </c>
      <c r="L138" s="47">
        <v>17.99944</v>
      </c>
      <c r="M138" s="47">
        <v>1633.2129323000001</v>
      </c>
      <c r="N138" s="48">
        <v>7.4570693973023882E-3</v>
      </c>
      <c r="O138" s="48">
        <v>-1.0367999999999999E-2</v>
      </c>
      <c r="P138" s="28">
        <v>123.72</v>
      </c>
      <c r="Q138" s="28">
        <v>121.351</v>
      </c>
      <c r="R138" s="48">
        <v>1.9521882802778716E-2</v>
      </c>
    </row>
    <row r="139" spans="1:18" x14ac:dyDescent="0.15">
      <c r="A139" s="29">
        <v>138</v>
      </c>
      <c r="B139" s="28">
        <v>113057</v>
      </c>
      <c r="C139" s="28" t="s">
        <v>1725</v>
      </c>
      <c r="D139" s="28">
        <v>117.755</v>
      </c>
      <c r="E139" s="48">
        <v>-1E-4</v>
      </c>
      <c r="F139" s="28">
        <v>9.93</v>
      </c>
      <c r="G139" s="28">
        <v>97.78</v>
      </c>
      <c r="H139" s="48">
        <v>0.20430000000000001</v>
      </c>
      <c r="I139" s="45">
        <v>138.185</v>
      </c>
      <c r="J139" s="46">
        <v>46836</v>
      </c>
      <c r="K139" s="47">
        <v>5.3479999999999999</v>
      </c>
      <c r="L139" s="47">
        <v>77.998199999999997</v>
      </c>
      <c r="M139" s="47">
        <v>10815.7217</v>
      </c>
      <c r="N139" s="48">
        <v>1.1775831065301466E-2</v>
      </c>
      <c r="O139" s="48">
        <v>-1.2825999999999999E-2</v>
      </c>
      <c r="P139" s="28">
        <v>119.224</v>
      </c>
      <c r="Q139" s="28">
        <v>117.2</v>
      </c>
      <c r="R139" s="48">
        <v>1.7269624573378849E-2</v>
      </c>
    </row>
    <row r="140" spans="1:18" x14ac:dyDescent="0.15">
      <c r="A140" s="29">
        <v>139</v>
      </c>
      <c r="B140" s="28">
        <v>113632</v>
      </c>
      <c r="C140" s="28" t="s">
        <v>1790</v>
      </c>
      <c r="D140" s="28">
        <v>124.015</v>
      </c>
      <c r="E140" s="48">
        <v>-3.8E-3</v>
      </c>
      <c r="F140" s="28">
        <v>27.23</v>
      </c>
      <c r="G140" s="28">
        <v>102.79</v>
      </c>
      <c r="H140" s="48">
        <v>0.20649999999999999</v>
      </c>
      <c r="I140" s="45">
        <v>144.66499999999999</v>
      </c>
      <c r="J140" s="46">
        <v>46708</v>
      </c>
      <c r="K140" s="47">
        <v>4.9969999999999999</v>
      </c>
      <c r="L140" s="47">
        <v>20.499179999999999</v>
      </c>
      <c r="M140" s="47">
        <v>5908.6605</v>
      </c>
      <c r="N140" s="48">
        <v>2.324225867985771E-2</v>
      </c>
      <c r="O140" s="48">
        <v>-1.2115000000000001E-2</v>
      </c>
      <c r="P140" s="28">
        <v>125.75</v>
      </c>
      <c r="Q140" s="28">
        <v>123.654</v>
      </c>
      <c r="R140" s="48">
        <v>1.6950523234185742E-2</v>
      </c>
    </row>
    <row r="141" spans="1:18" x14ac:dyDescent="0.15">
      <c r="A141" s="29">
        <v>140</v>
      </c>
      <c r="B141" s="28">
        <v>123025</v>
      </c>
      <c r="C141" s="28" t="s">
        <v>66</v>
      </c>
      <c r="D141" s="28">
        <v>137.499</v>
      </c>
      <c r="E141" s="48">
        <v>-1.0800000000000001E-2</v>
      </c>
      <c r="F141" s="28">
        <v>49.08</v>
      </c>
      <c r="G141" s="28">
        <v>113.65</v>
      </c>
      <c r="H141" s="48">
        <v>0.20980000000000001</v>
      </c>
      <c r="I141" s="45">
        <v>158.47899999999998</v>
      </c>
      <c r="J141" s="46">
        <v>45745</v>
      </c>
      <c r="K141" s="47">
        <v>2.359</v>
      </c>
      <c r="L141" s="47">
        <v>3.0864560000000001</v>
      </c>
      <c r="M141" s="47">
        <v>3265.4647743999999</v>
      </c>
      <c r="N141" s="48">
        <v>7.6945880462780683E-2</v>
      </c>
      <c r="O141" s="48">
        <v>-7.2371999999999992E-2</v>
      </c>
      <c r="P141" s="28">
        <v>140.89500000000001</v>
      </c>
      <c r="Q141" s="28">
        <v>136.78</v>
      </c>
      <c r="R141" s="48">
        <v>3.0084807720427029E-2</v>
      </c>
    </row>
    <row r="142" spans="1:18" x14ac:dyDescent="0.15">
      <c r="A142" s="29">
        <v>141</v>
      </c>
      <c r="B142" s="28">
        <v>127035</v>
      </c>
      <c r="C142" s="28" t="s">
        <v>203</v>
      </c>
      <c r="D142" s="28">
        <v>120</v>
      </c>
      <c r="E142" s="48">
        <v>-3.8E-3</v>
      </c>
      <c r="F142" s="28">
        <v>4.38</v>
      </c>
      <c r="G142" s="28">
        <v>99.09</v>
      </c>
      <c r="H142" s="48">
        <v>0.21100000000000002</v>
      </c>
      <c r="I142" s="45">
        <v>141.1</v>
      </c>
      <c r="J142" s="46">
        <v>46168</v>
      </c>
      <c r="K142" s="47">
        <v>3.5179999999999998</v>
      </c>
      <c r="L142" s="47">
        <v>6.2618489999999998</v>
      </c>
      <c r="M142" s="47">
        <v>2097.6841328999999</v>
      </c>
      <c r="N142" s="48">
        <v>2.7916197128835269E-2</v>
      </c>
      <c r="O142" s="48">
        <v>-1.4515999999999999E-2</v>
      </c>
      <c r="P142" s="28">
        <v>121.241</v>
      </c>
      <c r="Q142" s="28">
        <v>120</v>
      </c>
      <c r="R142" s="48">
        <v>1.0341666666666664E-2</v>
      </c>
    </row>
    <row r="143" spans="1:18" x14ac:dyDescent="0.15">
      <c r="A143" s="29">
        <v>142</v>
      </c>
      <c r="B143" s="28">
        <v>128121</v>
      </c>
      <c r="C143" s="28" t="s">
        <v>47</v>
      </c>
      <c r="D143" s="28">
        <v>123.6</v>
      </c>
      <c r="E143" s="48">
        <v>-3.2000000000000002E-3</v>
      </c>
      <c r="F143" s="28">
        <v>19.510000000000002</v>
      </c>
      <c r="G143" s="28">
        <v>102</v>
      </c>
      <c r="H143" s="48">
        <v>0.21179999999999999</v>
      </c>
      <c r="I143" s="45">
        <v>144.78</v>
      </c>
      <c r="J143" s="46">
        <v>46220</v>
      </c>
      <c r="K143" s="47">
        <v>3.66</v>
      </c>
      <c r="L143" s="47">
        <v>6.6985720000000004</v>
      </c>
      <c r="M143" s="47">
        <v>2290.8638124000004</v>
      </c>
      <c r="N143" s="48">
        <v>2.7669325438433257E-2</v>
      </c>
      <c r="O143" s="48">
        <v>-2.6314000000000001E-2</v>
      </c>
      <c r="P143" s="28">
        <v>126.178</v>
      </c>
      <c r="Q143" s="28">
        <v>123</v>
      </c>
      <c r="R143" s="48">
        <v>2.5837398373983717E-2</v>
      </c>
    </row>
    <row r="144" spans="1:18" x14ac:dyDescent="0.15">
      <c r="A144" s="29">
        <v>143</v>
      </c>
      <c r="B144" s="28">
        <v>128075</v>
      </c>
      <c r="C144" s="28" t="s">
        <v>116</v>
      </c>
      <c r="D144" s="28">
        <v>117.6</v>
      </c>
      <c r="E144" s="48">
        <v>-1.04E-2</v>
      </c>
      <c r="F144" s="28">
        <v>5.21</v>
      </c>
      <c r="G144" s="28">
        <v>96.93</v>
      </c>
      <c r="H144" s="48">
        <v>0.2132</v>
      </c>
      <c r="I144" s="45">
        <v>138.91999999999999</v>
      </c>
      <c r="J144" s="46">
        <v>45923</v>
      </c>
      <c r="K144" s="47">
        <v>2.847</v>
      </c>
      <c r="L144" s="47">
        <v>5.4374310000000001</v>
      </c>
      <c r="M144" s="47">
        <v>3562.0785197999999</v>
      </c>
      <c r="N144" s="48">
        <v>5.5706055546512048E-2</v>
      </c>
      <c r="O144" s="48">
        <v>-1.3181E-2</v>
      </c>
      <c r="P144" s="28">
        <v>119.157</v>
      </c>
      <c r="Q144" s="28">
        <v>117.35</v>
      </c>
      <c r="R144" s="48">
        <v>1.5398380911802319E-2</v>
      </c>
    </row>
    <row r="145" spans="1:18" x14ac:dyDescent="0.15">
      <c r="A145" s="29">
        <v>144</v>
      </c>
      <c r="B145" s="28">
        <v>113640</v>
      </c>
      <c r="C145" s="28" t="s">
        <v>744</v>
      </c>
      <c r="D145" s="28">
        <v>117.00700000000001</v>
      </c>
      <c r="E145" s="48">
        <v>-1.3300000000000001E-2</v>
      </c>
      <c r="F145" s="28">
        <v>19.71</v>
      </c>
      <c r="G145" s="28">
        <v>96.25</v>
      </c>
      <c r="H145" s="48">
        <v>0.2157</v>
      </c>
      <c r="I145" s="45">
        <v>138.577</v>
      </c>
      <c r="J145" s="46">
        <v>46799</v>
      </c>
      <c r="K145" s="47">
        <v>5.2469999999999999</v>
      </c>
      <c r="L145" s="47">
        <v>9.5717300000000005</v>
      </c>
      <c r="M145" s="47">
        <v>3201.9926999999998</v>
      </c>
      <c r="N145" s="48">
        <v>2.8590256623384727E-2</v>
      </c>
      <c r="O145" s="48">
        <v>5.7330000000000002E-3</v>
      </c>
      <c r="P145" s="28">
        <v>118.58</v>
      </c>
      <c r="Q145" s="28">
        <v>116.666</v>
      </c>
      <c r="R145" s="48">
        <v>1.6405808033188776E-2</v>
      </c>
    </row>
    <row r="146" spans="1:18" x14ac:dyDescent="0.15">
      <c r="A146" s="29">
        <v>145</v>
      </c>
      <c r="B146" s="28">
        <v>110090</v>
      </c>
      <c r="C146" s="28" t="s">
        <v>2042</v>
      </c>
      <c r="D146" s="28">
        <v>131.09399999999999</v>
      </c>
      <c r="E146" s="48">
        <v>-1.2800000000000001E-2</v>
      </c>
      <c r="F146" s="28">
        <v>18.93</v>
      </c>
      <c r="G146" s="28">
        <v>107.66</v>
      </c>
      <c r="H146" s="48">
        <v>0.2177</v>
      </c>
      <c r="I146" s="45">
        <v>152.864</v>
      </c>
      <c r="J146" s="46">
        <v>47019</v>
      </c>
      <c r="K146" s="47">
        <v>5.8490000000000002</v>
      </c>
      <c r="L146" s="47">
        <v>15.7</v>
      </c>
      <c r="M146" s="47">
        <v>6486.4216999999999</v>
      </c>
      <c r="N146" s="48">
        <v>3.1515391931048846E-2</v>
      </c>
      <c r="O146" s="48">
        <v>-2.3065000000000002E-2</v>
      </c>
      <c r="P146" s="28">
        <v>134.37899999999999</v>
      </c>
      <c r="Q146" s="28">
        <v>129.80000000000001</v>
      </c>
      <c r="R146" s="48">
        <v>3.5277349768875033E-2</v>
      </c>
    </row>
    <row r="147" spans="1:18" x14ac:dyDescent="0.15">
      <c r="A147" s="29">
        <v>146</v>
      </c>
      <c r="B147" s="28">
        <v>123078</v>
      </c>
      <c r="C147" s="28" t="s">
        <v>2059</v>
      </c>
      <c r="D147" s="28">
        <v>145.65</v>
      </c>
      <c r="E147" s="48">
        <v>-6.4000000000000003E-3</v>
      </c>
      <c r="F147" s="28">
        <v>15.49</v>
      </c>
      <c r="G147" s="28">
        <v>119.5</v>
      </c>
      <c r="H147" s="48">
        <v>0.21879999999999999</v>
      </c>
      <c r="I147" s="45">
        <v>167.53</v>
      </c>
      <c r="J147" s="46">
        <v>46353</v>
      </c>
      <c r="K147" s="47">
        <v>4.0250000000000004</v>
      </c>
      <c r="L147" s="47">
        <v>6.183573</v>
      </c>
      <c r="M147" s="47">
        <v>8560.8430694999988</v>
      </c>
      <c r="N147" s="48">
        <v>9.5053159003672241E-2</v>
      </c>
      <c r="O147" s="48">
        <v>-5.8342999999999999E-2</v>
      </c>
      <c r="P147" s="28">
        <v>148.666</v>
      </c>
      <c r="Q147" s="28">
        <v>143.71199999999999</v>
      </c>
      <c r="R147" s="48">
        <v>3.4471721220218271E-2</v>
      </c>
    </row>
    <row r="148" spans="1:18" x14ac:dyDescent="0.15">
      <c r="A148" s="29">
        <v>147</v>
      </c>
      <c r="B148" s="28">
        <v>127014</v>
      </c>
      <c r="C148" s="28" t="s">
        <v>2048</v>
      </c>
      <c r="D148" s="28">
        <v>129.4</v>
      </c>
      <c r="E148" s="48">
        <v>-9.1999999999999998E-3</v>
      </c>
      <c r="F148" s="28">
        <v>7.8</v>
      </c>
      <c r="G148" s="28">
        <v>106.03</v>
      </c>
      <c r="H148" s="48">
        <v>0.22039999999999998</v>
      </c>
      <c r="I148" s="45">
        <v>151.44</v>
      </c>
      <c r="J148" s="46">
        <v>45954</v>
      </c>
      <c r="K148" s="47">
        <v>2.9319999999999999</v>
      </c>
      <c r="L148" s="47">
        <v>5.3440160000000008</v>
      </c>
      <c r="M148" s="47">
        <v>2088.5977302000001</v>
      </c>
      <c r="N148" s="48">
        <v>3.0203187282681131E-2</v>
      </c>
      <c r="O148" s="48">
        <v>-4.4884000000000007E-2</v>
      </c>
      <c r="P148" s="28">
        <v>132.001</v>
      </c>
      <c r="Q148" s="28">
        <v>128.72999999999999</v>
      </c>
      <c r="R148" s="48">
        <v>2.5409772391827977E-2</v>
      </c>
    </row>
    <row r="149" spans="1:18" x14ac:dyDescent="0.15">
      <c r="A149" s="29">
        <v>148</v>
      </c>
      <c r="B149" s="28">
        <v>127036</v>
      </c>
      <c r="C149" s="28" t="s">
        <v>2050</v>
      </c>
      <c r="D149" s="28">
        <v>127.5</v>
      </c>
      <c r="E149" s="48">
        <v>-1.1599999999999999E-2</v>
      </c>
      <c r="F149" s="28">
        <v>21.3</v>
      </c>
      <c r="G149" s="28">
        <v>104.41</v>
      </c>
      <c r="H149" s="48">
        <v>0.22109999999999999</v>
      </c>
      <c r="I149" s="45">
        <v>149.61000000000001</v>
      </c>
      <c r="J149" s="46">
        <v>46539</v>
      </c>
      <c r="K149" s="47">
        <v>4.5339999999999998</v>
      </c>
      <c r="L149" s="47">
        <v>29.984491999999999</v>
      </c>
      <c r="M149" s="47">
        <v>17779.2399439</v>
      </c>
      <c r="N149" s="48">
        <v>4.6505713409399477E-2</v>
      </c>
      <c r="O149" s="48">
        <v>-2.4167999999999999E-2</v>
      </c>
      <c r="P149" s="28">
        <v>130.30000000000001</v>
      </c>
      <c r="Q149" s="28">
        <v>126.55500000000001</v>
      </c>
      <c r="R149" s="48">
        <v>2.9591877049504202E-2</v>
      </c>
    </row>
    <row r="150" spans="1:18" x14ac:dyDescent="0.15">
      <c r="A150" s="29">
        <v>149</v>
      </c>
      <c r="B150" s="28">
        <v>127049</v>
      </c>
      <c r="C150" s="28" t="s">
        <v>1717</v>
      </c>
      <c r="D150" s="28">
        <v>114.136</v>
      </c>
      <c r="E150" s="48">
        <v>-4.8999999999999998E-3</v>
      </c>
      <c r="F150" s="28">
        <v>14.4</v>
      </c>
      <c r="G150" s="28">
        <v>93.47</v>
      </c>
      <c r="H150" s="48">
        <v>0.22109999999999999</v>
      </c>
      <c r="I150" s="45">
        <v>136.24599999999998</v>
      </c>
      <c r="J150" s="46">
        <v>46693</v>
      </c>
      <c r="K150" s="47">
        <v>4.9560000000000004</v>
      </c>
      <c r="L150" s="47">
        <v>81.436384000000004</v>
      </c>
      <c r="M150" s="47">
        <v>8798.0482774000011</v>
      </c>
      <c r="N150" s="48">
        <v>9.4655359868771327E-3</v>
      </c>
      <c r="O150" s="48">
        <v>-5.6839999999999998E-3</v>
      </c>
      <c r="P150" s="28">
        <v>114.87</v>
      </c>
      <c r="Q150" s="28">
        <v>113.8</v>
      </c>
      <c r="R150" s="48">
        <v>9.4024604569420689E-3</v>
      </c>
    </row>
    <row r="151" spans="1:18" x14ac:dyDescent="0.15">
      <c r="A151" s="29">
        <v>150</v>
      </c>
      <c r="B151" s="28">
        <v>123133</v>
      </c>
      <c r="C151" s="28" t="s">
        <v>248</v>
      </c>
      <c r="D151" s="28">
        <v>122.827</v>
      </c>
      <c r="E151" s="48">
        <v>-6.8999999999999999E-3</v>
      </c>
      <c r="F151" s="28">
        <v>17.829999999999998</v>
      </c>
      <c r="G151" s="28">
        <v>100.56</v>
      </c>
      <c r="H151" s="48">
        <v>0.22140000000000001</v>
      </c>
      <c r="I151" s="45">
        <v>144.96699999999998</v>
      </c>
      <c r="J151" s="46">
        <v>46743</v>
      </c>
      <c r="K151" s="47">
        <v>5.093</v>
      </c>
      <c r="L151" s="47">
        <v>7.1984700000000004</v>
      </c>
      <c r="M151" s="47">
        <v>2450.7229355999998</v>
      </c>
      <c r="N151" s="48">
        <v>2.771789030407712E-2</v>
      </c>
      <c r="O151" s="48">
        <v>-3.8229999999999996E-3</v>
      </c>
      <c r="P151" s="28">
        <v>123.999</v>
      </c>
      <c r="Q151" s="28">
        <v>122.65</v>
      </c>
      <c r="R151" s="48">
        <v>1.0998777007745531E-2</v>
      </c>
    </row>
    <row r="152" spans="1:18" x14ac:dyDescent="0.15">
      <c r="A152" s="29">
        <v>151</v>
      </c>
      <c r="B152" s="28">
        <v>123146</v>
      </c>
      <c r="C152" s="28" t="s">
        <v>1715</v>
      </c>
      <c r="D152" s="28">
        <v>115.568</v>
      </c>
      <c r="E152" s="48">
        <v>3.9000000000000003E-3</v>
      </c>
      <c r="F152" s="28">
        <v>7.47</v>
      </c>
      <c r="G152" s="28">
        <v>94.38</v>
      </c>
      <c r="H152" s="48">
        <v>0.22450000000000001</v>
      </c>
      <c r="I152" s="45">
        <v>138.018</v>
      </c>
      <c r="J152" s="46">
        <v>46879</v>
      </c>
      <c r="K152" s="47">
        <v>5.4660000000000002</v>
      </c>
      <c r="L152" s="47">
        <v>8.6399000000000008</v>
      </c>
      <c r="M152" s="47">
        <v>2046.8768143</v>
      </c>
      <c r="N152" s="48">
        <v>2.0499600296230821E-2</v>
      </c>
      <c r="O152" s="48">
        <v>8.6009999999999993E-3</v>
      </c>
      <c r="P152" s="28">
        <v>116.432</v>
      </c>
      <c r="Q152" s="28">
        <v>114.80800000000001</v>
      </c>
      <c r="R152" s="48">
        <v>1.4145355724339725E-2</v>
      </c>
    </row>
    <row r="153" spans="1:18" x14ac:dyDescent="0.15">
      <c r="A153" s="29">
        <v>152</v>
      </c>
      <c r="B153" s="28">
        <v>118009</v>
      </c>
      <c r="C153" s="28" t="s">
        <v>1917</v>
      </c>
      <c r="D153" s="28">
        <v>137.946</v>
      </c>
      <c r="E153" s="48">
        <v>7.3000000000000001E-3</v>
      </c>
      <c r="F153" s="28">
        <v>130.91</v>
      </c>
      <c r="G153" s="28">
        <v>112.64</v>
      </c>
      <c r="H153" s="48">
        <v>0.22469999999999998</v>
      </c>
      <c r="I153" s="45">
        <v>160.416</v>
      </c>
      <c r="J153" s="46">
        <v>46928</v>
      </c>
      <c r="K153" s="47">
        <v>5.6</v>
      </c>
      <c r="L153" s="47">
        <v>4</v>
      </c>
      <c r="M153" s="47">
        <v>1436.1279999999999</v>
      </c>
      <c r="N153" s="48">
        <v>2.60269960709263E-2</v>
      </c>
      <c r="O153" s="48">
        <v>-2.6353000000000001E-2</v>
      </c>
      <c r="P153" s="28">
        <v>139</v>
      </c>
      <c r="Q153" s="28">
        <v>136.21299999999999</v>
      </c>
      <c r="R153" s="48">
        <v>2.0460602145169742E-2</v>
      </c>
    </row>
    <row r="154" spans="1:18" x14ac:dyDescent="0.15">
      <c r="A154" s="29">
        <v>153</v>
      </c>
      <c r="B154" s="28">
        <v>123022</v>
      </c>
      <c r="C154" s="28" t="s">
        <v>1744</v>
      </c>
      <c r="D154" s="28">
        <v>135.50200000000001</v>
      </c>
      <c r="E154" s="48">
        <v>-1.0200000000000001E-2</v>
      </c>
      <c r="F154" s="28">
        <v>6</v>
      </c>
      <c r="G154" s="28">
        <v>110.33</v>
      </c>
      <c r="H154" s="48">
        <v>0.22820000000000001</v>
      </c>
      <c r="I154" s="45">
        <v>158.322</v>
      </c>
      <c r="J154" s="46">
        <v>45734</v>
      </c>
      <c r="K154" s="47">
        <v>2.3290000000000002</v>
      </c>
      <c r="L154" s="47">
        <v>2.5625559999999998</v>
      </c>
      <c r="M154" s="47">
        <v>2380.2992410000002</v>
      </c>
      <c r="N154" s="48">
        <v>6.8550793746251934E-2</v>
      </c>
      <c r="O154" s="48">
        <v>-7.5117000000000003E-2</v>
      </c>
      <c r="P154" s="28">
        <v>137.816</v>
      </c>
      <c r="Q154" s="28">
        <v>135</v>
      </c>
      <c r="R154" s="48">
        <v>2.0859259259259279E-2</v>
      </c>
    </row>
    <row r="155" spans="1:18" x14ac:dyDescent="0.15">
      <c r="A155" s="29">
        <v>154</v>
      </c>
      <c r="B155" s="28">
        <v>127065</v>
      </c>
      <c r="C155" s="28" t="s">
        <v>1899</v>
      </c>
      <c r="D155" s="28">
        <v>167.5</v>
      </c>
      <c r="E155" s="48">
        <v>-1.8700000000000001E-2</v>
      </c>
      <c r="F155" s="28">
        <v>17.36</v>
      </c>
      <c r="G155" s="28">
        <v>136.18</v>
      </c>
      <c r="H155" s="48">
        <v>0.23</v>
      </c>
      <c r="I155" s="45">
        <v>190.5</v>
      </c>
      <c r="J155" s="46">
        <v>46926</v>
      </c>
      <c r="K155" s="47">
        <v>5.5949999999999998</v>
      </c>
      <c r="L155" s="47">
        <v>4.3979999999999997</v>
      </c>
      <c r="M155" s="47">
        <v>28255.3886293</v>
      </c>
      <c r="N155" s="48">
        <v>0.38355817948864135</v>
      </c>
      <c r="O155" s="48">
        <v>-5.6927000000000005E-2</v>
      </c>
      <c r="P155" s="28">
        <v>173.8</v>
      </c>
      <c r="Q155" s="28">
        <v>166</v>
      </c>
      <c r="R155" s="48">
        <v>4.6987951807228985E-2</v>
      </c>
    </row>
    <row r="156" spans="1:18" x14ac:dyDescent="0.15">
      <c r="A156" s="29">
        <v>155</v>
      </c>
      <c r="B156" s="28">
        <v>123130</v>
      </c>
      <c r="C156" s="28" t="s">
        <v>70</v>
      </c>
      <c r="D156" s="28">
        <v>124.018</v>
      </c>
      <c r="E156" s="48">
        <v>-7.000000000000001E-4</v>
      </c>
      <c r="F156" s="28">
        <v>9.26</v>
      </c>
      <c r="G156" s="28">
        <v>100.65</v>
      </c>
      <c r="H156" s="48">
        <v>0.23219999999999999</v>
      </c>
      <c r="I156" s="45">
        <v>147.238</v>
      </c>
      <c r="J156" s="46">
        <v>46702</v>
      </c>
      <c r="K156" s="47">
        <v>4.9809999999999999</v>
      </c>
      <c r="L156" s="47">
        <v>3.7553939999999999</v>
      </c>
      <c r="M156" s="47">
        <v>1543.8070261</v>
      </c>
      <c r="N156" s="48">
        <v>3.3147652837795832E-2</v>
      </c>
      <c r="O156" s="48">
        <v>-1.2161E-2</v>
      </c>
      <c r="P156" s="28">
        <v>125.098</v>
      </c>
      <c r="Q156" s="28">
        <v>123.7</v>
      </c>
      <c r="R156" s="48">
        <v>1.130153597413093E-2</v>
      </c>
    </row>
    <row r="157" spans="1:18" x14ac:dyDescent="0.15">
      <c r="A157" s="29">
        <v>156</v>
      </c>
      <c r="B157" s="28">
        <v>128042</v>
      </c>
      <c r="C157" s="28" t="s">
        <v>184</v>
      </c>
      <c r="D157" s="28">
        <v>121.999</v>
      </c>
      <c r="E157" s="48">
        <v>-4.0999999999999995E-3</v>
      </c>
      <c r="F157" s="28">
        <v>10.08</v>
      </c>
      <c r="G157" s="28">
        <v>98.91</v>
      </c>
      <c r="H157" s="48">
        <v>0.2334</v>
      </c>
      <c r="I157" s="45">
        <v>145.339</v>
      </c>
      <c r="J157" s="46">
        <v>45503</v>
      </c>
      <c r="K157" s="47">
        <v>1.696</v>
      </c>
      <c r="L157" s="47">
        <v>4.1542519999999996</v>
      </c>
      <c r="M157" s="47">
        <v>1510.7198349999999</v>
      </c>
      <c r="N157" s="48">
        <v>2.9808136260464895E-2</v>
      </c>
      <c r="O157" s="48">
        <v>-4.0492E-2</v>
      </c>
      <c r="P157" s="28">
        <v>123.392</v>
      </c>
      <c r="Q157" s="28">
        <v>121.82</v>
      </c>
      <c r="R157" s="48">
        <v>1.2904285010671505E-2</v>
      </c>
    </row>
    <row r="158" spans="1:18" x14ac:dyDescent="0.15">
      <c r="A158" s="29">
        <v>157</v>
      </c>
      <c r="B158" s="28">
        <v>110055</v>
      </c>
      <c r="C158" s="28" t="s">
        <v>1865</v>
      </c>
      <c r="D158" s="28">
        <v>175.94</v>
      </c>
      <c r="E158" s="48">
        <v>-1.0800000000000001E-2</v>
      </c>
      <c r="F158" s="28">
        <v>16</v>
      </c>
      <c r="G158" s="28">
        <v>142.56</v>
      </c>
      <c r="H158" s="48">
        <v>0.2341</v>
      </c>
      <c r="I158" s="45">
        <v>199.35</v>
      </c>
      <c r="J158" s="46">
        <v>45731</v>
      </c>
      <c r="K158" s="47">
        <v>2.3210000000000002</v>
      </c>
      <c r="L158" s="47">
        <v>2.43445</v>
      </c>
      <c r="M158" s="47">
        <v>18481.363099999999</v>
      </c>
      <c r="N158" s="48">
        <v>0.43148783170436467</v>
      </c>
      <c r="O158" s="48">
        <v>-0.17507400000000001</v>
      </c>
      <c r="P158" s="28">
        <v>181.542</v>
      </c>
      <c r="Q158" s="28">
        <v>174.74</v>
      </c>
      <c r="R158" s="48">
        <v>3.8926404944488908E-2</v>
      </c>
    </row>
    <row r="159" spans="1:18" x14ac:dyDescent="0.15">
      <c r="A159" s="29">
        <v>158</v>
      </c>
      <c r="B159" s="28">
        <v>128066</v>
      </c>
      <c r="C159" s="28" t="s">
        <v>95</v>
      </c>
      <c r="D159" s="28">
        <v>114.619</v>
      </c>
      <c r="E159" s="48">
        <v>-3.3E-3</v>
      </c>
      <c r="F159" s="28">
        <v>8.77</v>
      </c>
      <c r="G159" s="28">
        <v>92.82</v>
      </c>
      <c r="H159" s="48">
        <v>0.2349</v>
      </c>
      <c r="I159" s="45">
        <v>138.10900000000001</v>
      </c>
      <c r="J159" s="46">
        <v>45764</v>
      </c>
      <c r="K159" s="47">
        <v>2.411</v>
      </c>
      <c r="L159" s="47">
        <v>4.6105019999999994</v>
      </c>
      <c r="M159" s="47">
        <v>1724.8031420000002</v>
      </c>
      <c r="N159" s="48">
        <v>3.2638839207686461E-2</v>
      </c>
      <c r="O159" s="48">
        <v>3.2360000000000002E-3</v>
      </c>
      <c r="P159" s="28">
        <v>115.53400000000001</v>
      </c>
      <c r="Q159" s="28">
        <v>114.4</v>
      </c>
      <c r="R159" s="48">
        <v>9.9125874125874144E-3</v>
      </c>
    </row>
    <row r="160" spans="1:18" x14ac:dyDescent="0.15">
      <c r="A160" s="29">
        <v>159</v>
      </c>
      <c r="B160" s="28">
        <v>118022</v>
      </c>
      <c r="C160" s="28" t="s">
        <v>2053</v>
      </c>
      <c r="D160" s="28">
        <v>123.19</v>
      </c>
      <c r="E160" s="48">
        <v>-5.3E-3</v>
      </c>
      <c r="F160" s="28">
        <v>15.76</v>
      </c>
      <c r="G160" s="28">
        <v>99.68</v>
      </c>
      <c r="H160" s="48">
        <v>0.2359</v>
      </c>
      <c r="I160" s="45">
        <v>146.78</v>
      </c>
      <c r="J160" s="46">
        <v>47037</v>
      </c>
      <c r="K160" s="47">
        <v>5.899</v>
      </c>
      <c r="L160" s="47">
        <v>32.5</v>
      </c>
      <c r="M160" s="47">
        <v>7889.4607999999998</v>
      </c>
      <c r="N160" s="48">
        <v>1.9705547528208456E-2</v>
      </c>
      <c r="O160" s="48">
        <v>-1.1634E-2</v>
      </c>
      <c r="P160" s="28">
        <v>124.636</v>
      </c>
      <c r="Q160" s="28">
        <v>123</v>
      </c>
      <c r="R160" s="48">
        <v>1.3300813008130047E-2</v>
      </c>
    </row>
    <row r="161" spans="1:18" x14ac:dyDescent="0.15">
      <c r="A161" s="29">
        <v>160</v>
      </c>
      <c r="B161" s="28">
        <v>118016</v>
      </c>
      <c r="C161" s="28" t="s">
        <v>2054</v>
      </c>
      <c r="D161" s="28">
        <v>118.902</v>
      </c>
      <c r="E161" s="48">
        <v>4.6999999999999993E-3</v>
      </c>
      <c r="F161" s="28">
        <v>13.9</v>
      </c>
      <c r="G161" s="28">
        <v>96.19</v>
      </c>
      <c r="H161" s="48">
        <v>0.2361</v>
      </c>
      <c r="I161" s="45">
        <v>142.512</v>
      </c>
      <c r="J161" s="46">
        <v>46970</v>
      </c>
      <c r="K161" s="47">
        <v>5.7149999999999999</v>
      </c>
      <c r="L161" s="47">
        <v>3.3250000000000002</v>
      </c>
      <c r="M161" s="47">
        <v>850.13170000000002</v>
      </c>
      <c r="N161" s="48">
        <v>2.1503314222377862E-2</v>
      </c>
      <c r="O161" s="48">
        <v>4.1660000000000004E-3</v>
      </c>
      <c r="P161" s="28">
        <v>119.55</v>
      </c>
      <c r="Q161" s="28">
        <v>118.3</v>
      </c>
      <c r="R161" s="48">
        <v>1.0566356720202874E-2</v>
      </c>
    </row>
    <row r="162" spans="1:18" x14ac:dyDescent="0.15">
      <c r="A162" s="29">
        <v>161</v>
      </c>
      <c r="B162" s="28">
        <v>113011</v>
      </c>
      <c r="C162" s="28" t="s">
        <v>1711</v>
      </c>
      <c r="D162" s="28">
        <v>104.358</v>
      </c>
      <c r="E162" s="48">
        <v>-1.1000000000000001E-3</v>
      </c>
      <c r="F162" s="28">
        <v>3.35</v>
      </c>
      <c r="G162" s="28">
        <v>84.18</v>
      </c>
      <c r="H162" s="48">
        <v>0.2397</v>
      </c>
      <c r="I162" s="45">
        <v>128.328</v>
      </c>
      <c r="J162" s="46">
        <v>45002</v>
      </c>
      <c r="K162" s="47">
        <v>0.32300000000000001</v>
      </c>
      <c r="L162" s="47">
        <v>241.98827</v>
      </c>
      <c r="M162" s="47">
        <v>11855.604600000001</v>
      </c>
      <c r="N162" s="48">
        <v>4.6946545900514378E-3</v>
      </c>
      <c r="O162" s="48">
        <v>1.899E-2</v>
      </c>
      <c r="P162" s="28">
        <v>104.508</v>
      </c>
      <c r="Q162" s="28">
        <v>104.32899999999999</v>
      </c>
      <c r="R162" s="48">
        <v>1.7157262122708169E-3</v>
      </c>
    </row>
    <row r="163" spans="1:18" x14ac:dyDescent="0.15">
      <c r="A163" s="29">
        <v>162</v>
      </c>
      <c r="B163" s="28">
        <v>113545</v>
      </c>
      <c r="C163" s="28" t="s">
        <v>83</v>
      </c>
      <c r="D163" s="28">
        <v>117.88500000000001</v>
      </c>
      <c r="E163" s="48">
        <v>-9.3999999999999986E-3</v>
      </c>
      <c r="F163" s="28">
        <v>10.08</v>
      </c>
      <c r="G163" s="28">
        <v>95.04</v>
      </c>
      <c r="H163" s="48">
        <v>0.2404</v>
      </c>
      <c r="I163" s="45">
        <v>141.92500000000001</v>
      </c>
      <c r="J163" s="46">
        <v>45944</v>
      </c>
      <c r="K163" s="47">
        <v>2.9039999999999999</v>
      </c>
      <c r="L163" s="47">
        <v>9.8652700000000006</v>
      </c>
      <c r="M163" s="47">
        <v>1998.0347999999999</v>
      </c>
      <c r="N163" s="48">
        <v>1.7180489144546545E-2</v>
      </c>
      <c r="O163" s="48">
        <v>-1.3752E-2</v>
      </c>
      <c r="P163" s="28">
        <v>120.167</v>
      </c>
      <c r="Q163" s="28">
        <v>117.61</v>
      </c>
      <c r="R163" s="48">
        <v>2.1741348524785327E-2</v>
      </c>
    </row>
    <row r="164" spans="1:18" x14ac:dyDescent="0.15">
      <c r="A164" s="29">
        <v>163</v>
      </c>
      <c r="B164" s="28">
        <v>127016</v>
      </c>
      <c r="C164" s="28" t="s">
        <v>1735</v>
      </c>
      <c r="D164" s="28">
        <v>114.73</v>
      </c>
      <c r="E164" s="48">
        <v>5.4000000000000003E-3</v>
      </c>
      <c r="F164" s="28">
        <v>8.61</v>
      </c>
      <c r="G164" s="28">
        <v>92.1</v>
      </c>
      <c r="H164" s="48">
        <v>0.2457</v>
      </c>
      <c r="I164" s="45">
        <v>139.30000000000001</v>
      </c>
      <c r="J164" s="46">
        <v>46121</v>
      </c>
      <c r="K164" s="47">
        <v>3.3889999999999998</v>
      </c>
      <c r="L164" s="47">
        <v>13.998524</v>
      </c>
      <c r="M164" s="47">
        <v>4676.3779409999997</v>
      </c>
      <c r="N164" s="48">
        <v>2.9117250543699236E-2</v>
      </c>
      <c r="O164" s="48">
        <v>1.4920000000000001E-3</v>
      </c>
      <c r="P164" s="28">
        <v>115.68</v>
      </c>
      <c r="Q164" s="28">
        <v>113.879</v>
      </c>
      <c r="R164" s="48">
        <v>1.5815031744219759E-2</v>
      </c>
    </row>
    <row r="165" spans="1:18" x14ac:dyDescent="0.15">
      <c r="A165" s="29">
        <v>164</v>
      </c>
      <c r="B165" s="28">
        <v>123090</v>
      </c>
      <c r="C165" s="28" t="s">
        <v>163</v>
      </c>
      <c r="D165" s="28">
        <v>128.06</v>
      </c>
      <c r="E165" s="48">
        <v>-7.3000000000000001E-3</v>
      </c>
      <c r="F165" s="28">
        <v>35.01</v>
      </c>
      <c r="G165" s="28">
        <v>102.71</v>
      </c>
      <c r="H165" s="48">
        <v>0.24679999999999999</v>
      </c>
      <c r="I165" s="45">
        <v>152.74</v>
      </c>
      <c r="J165" s="46">
        <v>46377</v>
      </c>
      <c r="K165" s="47">
        <v>4.09</v>
      </c>
      <c r="L165" s="47">
        <v>4.9994680000000002</v>
      </c>
      <c r="M165" s="47">
        <v>3268.3068856</v>
      </c>
      <c r="N165" s="48">
        <v>5.1048800100842361E-2</v>
      </c>
      <c r="O165" s="48">
        <v>-2.2682000000000001E-2</v>
      </c>
      <c r="P165" s="28">
        <v>130.941</v>
      </c>
      <c r="Q165" s="28">
        <v>127.5</v>
      </c>
      <c r="R165" s="48">
        <v>2.6988235294117667E-2</v>
      </c>
    </row>
    <row r="166" spans="1:18" x14ac:dyDescent="0.15">
      <c r="A166" s="29">
        <v>165</v>
      </c>
      <c r="B166" s="28">
        <v>113033</v>
      </c>
      <c r="C166" s="28" t="s">
        <v>88</v>
      </c>
      <c r="D166" s="28">
        <v>105.47799999999999</v>
      </c>
      <c r="E166" s="48">
        <v>2.9999999999999997E-4</v>
      </c>
      <c r="F166" s="28">
        <v>6.9</v>
      </c>
      <c r="G166" s="28">
        <v>84.35</v>
      </c>
      <c r="H166" s="48">
        <v>0.2505</v>
      </c>
      <c r="I166" s="45">
        <v>130.52799999999999</v>
      </c>
      <c r="J166" s="46">
        <v>46113</v>
      </c>
      <c r="K166" s="47">
        <v>3.367</v>
      </c>
      <c r="L166" s="47">
        <v>17.997959999999999</v>
      </c>
      <c r="M166" s="47">
        <v>1162.8502000000001</v>
      </c>
      <c r="N166" s="48">
        <v>6.1254585191392796E-3</v>
      </c>
      <c r="O166" s="48">
        <v>2.4641000000000003E-2</v>
      </c>
      <c r="P166" s="28">
        <v>105.949</v>
      </c>
      <c r="Q166" s="28">
        <v>105.24299999999999</v>
      </c>
      <c r="R166" s="48">
        <v>6.7082846365079211E-3</v>
      </c>
    </row>
    <row r="167" spans="1:18" x14ac:dyDescent="0.15">
      <c r="A167" s="29">
        <v>166</v>
      </c>
      <c r="B167" s="28">
        <v>127020</v>
      </c>
      <c r="C167" s="28" t="s">
        <v>1722</v>
      </c>
      <c r="D167" s="28">
        <v>114.1</v>
      </c>
      <c r="E167" s="48">
        <v>1.6000000000000001E-3</v>
      </c>
      <c r="F167" s="28">
        <v>4.54</v>
      </c>
      <c r="G167" s="28">
        <v>91.19</v>
      </c>
      <c r="H167" s="48">
        <v>0.25120000000000003</v>
      </c>
      <c r="I167" s="45">
        <v>139.22</v>
      </c>
      <c r="J167" s="46">
        <v>46223</v>
      </c>
      <c r="K167" s="47">
        <v>3.6680000000000001</v>
      </c>
      <c r="L167" s="47">
        <v>30.227889999999999</v>
      </c>
      <c r="M167" s="47">
        <v>3048.4442855000002</v>
      </c>
      <c r="N167" s="48">
        <v>8.838626551733517E-3</v>
      </c>
      <c r="O167" s="48">
        <v>-2.4260000000000002E-3</v>
      </c>
      <c r="P167" s="28">
        <v>114.755</v>
      </c>
      <c r="Q167" s="28">
        <v>113.33199999999999</v>
      </c>
      <c r="R167" s="48">
        <v>1.2556030070942028E-2</v>
      </c>
    </row>
    <row r="168" spans="1:18" x14ac:dyDescent="0.15">
      <c r="A168" s="29">
        <v>167</v>
      </c>
      <c r="B168" s="28">
        <v>128079</v>
      </c>
      <c r="C168" s="28" t="s">
        <v>92</v>
      </c>
      <c r="D168" s="28">
        <v>134.5</v>
      </c>
      <c r="E168" s="48">
        <v>1.5100000000000001E-2</v>
      </c>
      <c r="F168" s="28">
        <v>8.2899999999999991</v>
      </c>
      <c r="G168" s="28">
        <v>107.36</v>
      </c>
      <c r="H168" s="48">
        <v>0.25280000000000002</v>
      </c>
      <c r="I168" s="45">
        <v>159.78</v>
      </c>
      <c r="J168" s="46">
        <v>45951</v>
      </c>
      <c r="K168" s="47">
        <v>2.923</v>
      </c>
      <c r="L168" s="47">
        <v>1.519339</v>
      </c>
      <c r="M168" s="47">
        <v>51664.287327799997</v>
      </c>
      <c r="N168" s="48">
        <v>2.5282119090866342</v>
      </c>
      <c r="O168" s="48">
        <v>-5.0374000000000002E-2</v>
      </c>
      <c r="P168" s="28">
        <v>139.61199999999999</v>
      </c>
      <c r="Q168" s="28">
        <v>132.501</v>
      </c>
      <c r="R168" s="48">
        <v>5.3667519490418862E-2</v>
      </c>
    </row>
    <row r="169" spans="1:18" x14ac:dyDescent="0.15">
      <c r="A169" s="29">
        <v>168</v>
      </c>
      <c r="B169" s="28">
        <v>113654</v>
      </c>
      <c r="C169" s="28" t="s">
        <v>2055</v>
      </c>
      <c r="D169" s="28">
        <v>129.226</v>
      </c>
      <c r="E169" s="48">
        <v>-3.9000000000000003E-3</v>
      </c>
      <c r="F169" s="28">
        <v>14.07</v>
      </c>
      <c r="G169" s="28">
        <v>103.13</v>
      </c>
      <c r="H169" s="48">
        <v>0.253</v>
      </c>
      <c r="I169" s="45">
        <v>154.52600000000001</v>
      </c>
      <c r="J169" s="46">
        <v>46969</v>
      </c>
      <c r="K169" s="47">
        <v>5.7119999999999997</v>
      </c>
      <c r="L169" s="47">
        <v>6.1054700000000004</v>
      </c>
      <c r="M169" s="47">
        <v>718.9873</v>
      </c>
      <c r="N169" s="48">
        <v>9.1128079132387733E-3</v>
      </c>
      <c r="O169" s="48">
        <v>-1.5736E-2</v>
      </c>
      <c r="P169" s="28">
        <v>130.495</v>
      </c>
      <c r="Q169" s="28">
        <v>128.42699999999999</v>
      </c>
      <c r="R169" s="48">
        <v>1.6102532956465635E-2</v>
      </c>
    </row>
    <row r="170" spans="1:18" x14ac:dyDescent="0.15">
      <c r="A170" s="29">
        <v>169</v>
      </c>
      <c r="B170" s="28">
        <v>128137</v>
      </c>
      <c r="C170" s="28" t="s">
        <v>1911</v>
      </c>
      <c r="D170" s="28">
        <v>126.259</v>
      </c>
      <c r="E170" s="48">
        <v>-4.5999999999999999E-3</v>
      </c>
      <c r="F170" s="28">
        <v>27.43</v>
      </c>
      <c r="G170" s="28">
        <v>100.62</v>
      </c>
      <c r="H170" s="48">
        <v>0.25480000000000003</v>
      </c>
      <c r="I170" s="45">
        <v>151.739</v>
      </c>
      <c r="J170" s="46">
        <v>46330</v>
      </c>
      <c r="K170" s="47">
        <v>3.9620000000000002</v>
      </c>
      <c r="L170" s="47">
        <v>5.9940619999999996</v>
      </c>
      <c r="M170" s="47">
        <v>8365.2562097000009</v>
      </c>
      <c r="N170" s="48">
        <v>0.11053394512223519</v>
      </c>
      <c r="O170" s="48">
        <v>-2.0853999999999998E-2</v>
      </c>
      <c r="P170" s="28">
        <v>131.601</v>
      </c>
      <c r="Q170" s="28">
        <v>124.9</v>
      </c>
      <c r="R170" s="48">
        <v>5.3650920736589218E-2</v>
      </c>
    </row>
    <row r="171" spans="1:18" x14ac:dyDescent="0.15">
      <c r="A171" s="29">
        <v>170</v>
      </c>
      <c r="B171" s="28">
        <v>113058</v>
      </c>
      <c r="C171" s="28" t="s">
        <v>1733</v>
      </c>
      <c r="D171" s="28">
        <v>110.664</v>
      </c>
      <c r="E171" s="48">
        <v>-6.6E-3</v>
      </c>
      <c r="F171" s="28">
        <v>6.73</v>
      </c>
      <c r="G171" s="28">
        <v>88.11</v>
      </c>
      <c r="H171" s="48">
        <v>0.25600000000000001</v>
      </c>
      <c r="I171" s="45">
        <v>136.26400000000001</v>
      </c>
      <c r="J171" s="46">
        <v>46842</v>
      </c>
      <c r="K171" s="47">
        <v>5.3639999999999999</v>
      </c>
      <c r="L171" s="47">
        <v>19.999960000000002</v>
      </c>
      <c r="M171" s="47">
        <v>2693.7530999999999</v>
      </c>
      <c r="N171" s="48">
        <v>1.2170888850561043E-2</v>
      </c>
      <c r="O171" s="48">
        <v>1.0786E-2</v>
      </c>
      <c r="P171" s="28">
        <v>112.232</v>
      </c>
      <c r="Q171" s="28">
        <v>110.66</v>
      </c>
      <c r="R171" s="48">
        <v>1.4205675040665125E-2</v>
      </c>
    </row>
    <row r="172" spans="1:18" x14ac:dyDescent="0.15">
      <c r="A172" s="29">
        <v>171</v>
      </c>
      <c r="B172" s="28">
        <v>123044</v>
      </c>
      <c r="C172" s="28" t="s">
        <v>150</v>
      </c>
      <c r="D172" s="28">
        <v>121.25</v>
      </c>
      <c r="E172" s="48">
        <v>-1.03E-2</v>
      </c>
      <c r="F172" s="28">
        <v>18.62</v>
      </c>
      <c r="G172" s="28">
        <v>96.46</v>
      </c>
      <c r="H172" s="48">
        <v>0.25700000000000001</v>
      </c>
      <c r="I172" s="45">
        <v>146.94999999999999</v>
      </c>
      <c r="J172" s="46">
        <v>46093</v>
      </c>
      <c r="K172" s="47">
        <v>3.3119999999999998</v>
      </c>
      <c r="L172" s="47">
        <v>5.4958799999999997</v>
      </c>
      <c r="M172" s="47">
        <v>1790.376211</v>
      </c>
      <c r="N172" s="48">
        <v>2.6867379508053606E-2</v>
      </c>
      <c r="O172" s="48">
        <v>7.476E-3</v>
      </c>
      <c r="P172" s="28">
        <v>122.687</v>
      </c>
      <c r="Q172" s="28">
        <v>120.517</v>
      </c>
      <c r="R172" s="48">
        <v>1.8005758523693769E-2</v>
      </c>
    </row>
    <row r="173" spans="1:18" x14ac:dyDescent="0.15">
      <c r="A173" s="29">
        <v>172</v>
      </c>
      <c r="B173" s="28">
        <v>127039</v>
      </c>
      <c r="C173" s="28" t="s">
        <v>1714</v>
      </c>
      <c r="D173" s="28">
        <v>115.9</v>
      </c>
      <c r="E173" s="48">
        <v>-2.3E-3</v>
      </c>
      <c r="F173" s="28">
        <v>8.17</v>
      </c>
      <c r="G173" s="28">
        <v>92.17</v>
      </c>
      <c r="H173" s="48">
        <v>0.25750000000000001</v>
      </c>
      <c r="I173" s="45">
        <v>141.65</v>
      </c>
      <c r="J173" s="46">
        <v>46567</v>
      </c>
      <c r="K173" s="47">
        <v>4.6109999999999998</v>
      </c>
      <c r="L173" s="47">
        <v>17.630973999999998</v>
      </c>
      <c r="M173" s="47">
        <v>1679.6995570000001</v>
      </c>
      <c r="N173" s="48">
        <v>8.2200009308604199E-3</v>
      </c>
      <c r="O173" s="48">
        <v>-5.9699999999999996E-3</v>
      </c>
      <c r="P173" s="28">
        <v>116.9</v>
      </c>
      <c r="Q173" s="28">
        <v>115.62</v>
      </c>
      <c r="R173" s="48">
        <v>1.1070749005362403E-2</v>
      </c>
    </row>
    <row r="174" spans="1:18" x14ac:dyDescent="0.15">
      <c r="A174" s="29">
        <v>173</v>
      </c>
      <c r="B174" s="28">
        <v>113017</v>
      </c>
      <c r="C174" s="28" t="s">
        <v>102</v>
      </c>
      <c r="D174" s="28">
        <v>110.126</v>
      </c>
      <c r="E174" s="48">
        <v>4.4000000000000003E-3</v>
      </c>
      <c r="F174" s="28">
        <v>2.23</v>
      </c>
      <c r="G174" s="28">
        <v>87.44</v>
      </c>
      <c r="H174" s="48">
        <v>0.25940000000000002</v>
      </c>
      <c r="I174" s="45">
        <v>136.066</v>
      </c>
      <c r="J174" s="46">
        <v>45287</v>
      </c>
      <c r="K174" s="47">
        <v>1.1040000000000001</v>
      </c>
      <c r="L174" s="47">
        <v>11.349740000000001</v>
      </c>
      <c r="M174" s="47">
        <v>3901.6967</v>
      </c>
      <c r="N174" s="48">
        <v>3.121603424160806E-2</v>
      </c>
      <c r="O174" s="48">
        <v>-2.1838000000000003E-2</v>
      </c>
      <c r="P174" s="28">
        <v>111.35</v>
      </c>
      <c r="Q174" s="28">
        <v>109.501</v>
      </c>
      <c r="R174" s="48">
        <v>1.6885690541638791E-2</v>
      </c>
    </row>
    <row r="175" spans="1:18" x14ac:dyDescent="0.15">
      <c r="A175" s="29">
        <v>174</v>
      </c>
      <c r="B175" s="28">
        <v>128044</v>
      </c>
      <c r="C175" s="28" t="s">
        <v>121</v>
      </c>
      <c r="D175" s="28">
        <v>110.92100000000001</v>
      </c>
      <c r="E175" s="48">
        <v>-2.5999999999999999E-3</v>
      </c>
      <c r="F175" s="28">
        <v>3.43</v>
      </c>
      <c r="G175" s="28">
        <v>88.05</v>
      </c>
      <c r="H175" s="48">
        <v>0.25980000000000003</v>
      </c>
      <c r="I175" s="45">
        <v>136.90100000000001</v>
      </c>
      <c r="J175" s="46">
        <v>45518</v>
      </c>
      <c r="K175" s="47">
        <v>1.7370000000000001</v>
      </c>
      <c r="L175" s="47">
        <v>6.5723700000000003</v>
      </c>
      <c r="M175" s="47">
        <v>1963.733964</v>
      </c>
      <c r="N175" s="48">
        <v>2.6936853895690619E-2</v>
      </c>
      <c r="O175" s="48">
        <v>-1.1141000000000002E-2</v>
      </c>
      <c r="P175" s="28">
        <v>111.934</v>
      </c>
      <c r="Q175" s="28">
        <v>110.711</v>
      </c>
      <c r="R175" s="48">
        <v>1.1046779452809559E-2</v>
      </c>
    </row>
    <row r="176" spans="1:18" x14ac:dyDescent="0.15">
      <c r="A176" s="29">
        <v>175</v>
      </c>
      <c r="B176" s="28">
        <v>113062</v>
      </c>
      <c r="C176" s="28" t="s">
        <v>2060</v>
      </c>
      <c r="D176" s="28">
        <v>112.78400000000001</v>
      </c>
      <c r="E176" s="48">
        <v>-1.5E-3</v>
      </c>
      <c r="F176" s="28">
        <v>8.08</v>
      </c>
      <c r="G176" s="28">
        <v>89.48</v>
      </c>
      <c r="H176" s="48">
        <v>0.26039999999999996</v>
      </c>
      <c r="I176" s="45">
        <v>138.82400000000001</v>
      </c>
      <c r="J176" s="46">
        <v>47011</v>
      </c>
      <c r="K176" s="47">
        <v>5.827</v>
      </c>
      <c r="L176" s="47">
        <v>60</v>
      </c>
      <c r="M176" s="47">
        <v>14500.0352</v>
      </c>
      <c r="N176" s="48">
        <v>2.1427441244620985E-2</v>
      </c>
      <c r="O176" s="48">
        <v>-3.3900000000000002E-3</v>
      </c>
      <c r="P176" s="28">
        <v>114.211</v>
      </c>
      <c r="Q176" s="28">
        <v>112.08</v>
      </c>
      <c r="R176" s="48">
        <v>1.9013204853675948E-2</v>
      </c>
    </row>
    <row r="177" spans="1:18" x14ac:dyDescent="0.15">
      <c r="A177" s="29">
        <v>176</v>
      </c>
      <c r="B177" s="28">
        <v>127059</v>
      </c>
      <c r="C177" s="28" t="s">
        <v>1773</v>
      </c>
      <c r="D177" s="28">
        <v>126.76</v>
      </c>
      <c r="E177" s="48">
        <v>-1.9E-3</v>
      </c>
      <c r="F177" s="28">
        <v>8.65</v>
      </c>
      <c r="G177" s="28">
        <v>100.35</v>
      </c>
      <c r="H177" s="48">
        <v>0.26319999999999999</v>
      </c>
      <c r="I177" s="45">
        <v>153.08000000000001</v>
      </c>
      <c r="J177" s="46">
        <v>46851</v>
      </c>
      <c r="K177" s="47">
        <v>5.3890000000000002</v>
      </c>
      <c r="L177" s="47">
        <v>3.7984769999999992</v>
      </c>
      <c r="M177" s="47">
        <v>1034.6050645</v>
      </c>
      <c r="N177" s="48">
        <v>2.1487350516865612E-2</v>
      </c>
      <c r="O177" s="48">
        <v>-9.528E-3</v>
      </c>
      <c r="P177" s="28">
        <v>127.839</v>
      </c>
      <c r="Q177" s="28">
        <v>125.4</v>
      </c>
      <c r="R177" s="48">
        <v>1.9449760765550182E-2</v>
      </c>
    </row>
    <row r="178" spans="1:18" x14ac:dyDescent="0.15">
      <c r="A178" s="29">
        <v>177</v>
      </c>
      <c r="B178" s="28">
        <v>128049</v>
      </c>
      <c r="C178" s="28" t="s">
        <v>182</v>
      </c>
      <c r="D178" s="28">
        <v>114.908</v>
      </c>
      <c r="E178" s="48">
        <v>-4.3E-3</v>
      </c>
      <c r="F178" s="28">
        <v>7.37</v>
      </c>
      <c r="G178" s="28">
        <v>90.64</v>
      </c>
      <c r="H178" s="48">
        <v>0.26769999999999999</v>
      </c>
      <c r="I178" s="45">
        <v>141.678</v>
      </c>
      <c r="J178" s="46">
        <v>45623</v>
      </c>
      <c r="K178" s="47">
        <v>2.0249999999999999</v>
      </c>
      <c r="L178" s="47">
        <v>3.6314389999999999</v>
      </c>
      <c r="M178" s="47">
        <v>739.09960000000001</v>
      </c>
      <c r="N178" s="48">
        <v>1.7712258755981376E-2</v>
      </c>
      <c r="O178" s="48">
        <v>-6.1970000000000003E-3</v>
      </c>
      <c r="P178" s="28">
        <v>115.84</v>
      </c>
      <c r="Q178" s="28">
        <v>114.9</v>
      </c>
      <c r="R178" s="48">
        <v>8.1810269799825735E-3</v>
      </c>
    </row>
    <row r="179" spans="1:18" x14ac:dyDescent="0.15">
      <c r="A179" s="29">
        <v>178</v>
      </c>
      <c r="B179" s="28">
        <v>113532</v>
      </c>
      <c r="C179" s="28" t="s">
        <v>179</v>
      </c>
      <c r="D179" s="28">
        <v>113.123</v>
      </c>
      <c r="E179" s="48">
        <v>-3.5999999999999999E-3</v>
      </c>
      <c r="F179" s="28">
        <v>7.32</v>
      </c>
      <c r="G179" s="28">
        <v>89.07</v>
      </c>
      <c r="H179" s="48">
        <v>0.27</v>
      </c>
      <c r="I179" s="45">
        <v>140.12299999999999</v>
      </c>
      <c r="J179" s="46">
        <v>45749</v>
      </c>
      <c r="K179" s="47">
        <v>2.37</v>
      </c>
      <c r="L179" s="47">
        <v>4.5854699999999999</v>
      </c>
      <c r="M179" s="47">
        <v>736.91650000000004</v>
      </c>
      <c r="N179" s="48">
        <v>1.4206382716202779E-2</v>
      </c>
      <c r="O179" s="48">
        <v>-6.9489999999999994E-3</v>
      </c>
      <c r="P179" s="28">
        <v>113.873</v>
      </c>
      <c r="Q179" s="28">
        <v>113</v>
      </c>
      <c r="R179" s="48">
        <v>7.7256637168142007E-3</v>
      </c>
    </row>
    <row r="180" spans="1:18" x14ac:dyDescent="0.15">
      <c r="A180" s="29">
        <v>179</v>
      </c>
      <c r="B180" s="28">
        <v>118019</v>
      </c>
      <c r="C180" s="28" t="s">
        <v>2069</v>
      </c>
      <c r="D180" s="28">
        <v>137.82400000000001</v>
      </c>
      <c r="E180" s="48">
        <v>-6.8999999999999999E-3</v>
      </c>
      <c r="F180" s="28">
        <v>34.76</v>
      </c>
      <c r="G180" s="28">
        <v>108.46</v>
      </c>
      <c r="H180" s="48">
        <v>0.2707</v>
      </c>
      <c r="I180" s="45">
        <v>164.89400000000001</v>
      </c>
      <c r="J180" s="46">
        <v>47012</v>
      </c>
      <c r="K180" s="47">
        <v>5.83</v>
      </c>
      <c r="L180" s="47">
        <v>9.7670200000000005</v>
      </c>
      <c r="M180" s="47">
        <v>14928.7466</v>
      </c>
      <c r="N180" s="48">
        <v>0.11090124439650038</v>
      </c>
      <c r="O180" s="48">
        <v>-3.0908999999999999E-2</v>
      </c>
      <c r="P180" s="28">
        <v>141.52500000000001</v>
      </c>
      <c r="Q180" s="28">
        <v>136.44999999999999</v>
      </c>
      <c r="R180" s="48">
        <v>3.7193111029681328E-2</v>
      </c>
    </row>
    <row r="181" spans="1:18" x14ac:dyDescent="0.15">
      <c r="A181" s="29">
        <v>180</v>
      </c>
      <c r="B181" s="28">
        <v>113594</v>
      </c>
      <c r="C181" s="28" t="s">
        <v>75</v>
      </c>
      <c r="D181" s="28">
        <v>130.46199999999999</v>
      </c>
      <c r="E181" s="48">
        <v>4.7800000000000002E-2</v>
      </c>
      <c r="F181" s="28">
        <v>18.03</v>
      </c>
      <c r="G181" s="28">
        <v>102.66</v>
      </c>
      <c r="H181" s="48">
        <v>0.27079999999999999</v>
      </c>
      <c r="I181" s="45">
        <v>157.54199999999997</v>
      </c>
      <c r="J181" s="46">
        <v>46224</v>
      </c>
      <c r="K181" s="47">
        <v>3.6709999999999998</v>
      </c>
      <c r="L181" s="47">
        <v>2.9973999999999998</v>
      </c>
      <c r="M181" s="47">
        <v>43581.447699999997</v>
      </c>
      <c r="N181" s="48">
        <v>1.1144816383547391</v>
      </c>
      <c r="O181" s="48">
        <v>-2.2515E-2</v>
      </c>
      <c r="P181" s="28">
        <v>133.47999999999999</v>
      </c>
      <c r="Q181" s="28">
        <v>125.13</v>
      </c>
      <c r="R181" s="48">
        <v>6.6730600175817112E-2</v>
      </c>
    </row>
    <row r="182" spans="1:18" x14ac:dyDescent="0.15">
      <c r="A182" s="29">
        <v>181</v>
      </c>
      <c r="B182" s="28">
        <v>113549</v>
      </c>
      <c r="C182" s="28" t="s">
        <v>96</v>
      </c>
      <c r="D182" s="28">
        <v>114.996</v>
      </c>
      <c r="E182" s="48">
        <v>8.0000000000000004E-4</v>
      </c>
      <c r="F182" s="28">
        <v>9.02</v>
      </c>
      <c r="G182" s="28">
        <v>90.47</v>
      </c>
      <c r="H182" s="48">
        <v>0.27110000000000001</v>
      </c>
      <c r="I182" s="45">
        <v>142.10599999999999</v>
      </c>
      <c r="J182" s="46">
        <v>45976</v>
      </c>
      <c r="K182" s="47">
        <v>2.992</v>
      </c>
      <c r="L182" s="47">
        <v>8.0468299999999999</v>
      </c>
      <c r="M182" s="47">
        <v>2409.7737999999999</v>
      </c>
      <c r="N182" s="48">
        <v>2.6041663191642452E-2</v>
      </c>
      <c r="O182" s="48">
        <v>-5.0200000000000002E-3</v>
      </c>
      <c r="P182" s="28">
        <v>118</v>
      </c>
      <c r="Q182" s="28">
        <v>114.85</v>
      </c>
      <c r="R182" s="48">
        <v>2.7427078798432789E-2</v>
      </c>
    </row>
    <row r="183" spans="1:18" x14ac:dyDescent="0.15">
      <c r="A183" s="29">
        <v>182</v>
      </c>
      <c r="B183" s="28">
        <v>128134</v>
      </c>
      <c r="C183" s="28" t="s">
        <v>1731</v>
      </c>
      <c r="D183" s="28">
        <v>126.404</v>
      </c>
      <c r="E183" s="48">
        <v>-5.1000000000000004E-3</v>
      </c>
      <c r="F183" s="28">
        <v>33.22</v>
      </c>
      <c r="G183" s="28">
        <v>99.4</v>
      </c>
      <c r="H183" s="48">
        <v>0.2717</v>
      </c>
      <c r="I183" s="45">
        <v>153.57400000000001</v>
      </c>
      <c r="J183" s="46">
        <v>46304</v>
      </c>
      <c r="K183" s="47">
        <v>3.89</v>
      </c>
      <c r="L183" s="47">
        <v>15.728154999999999</v>
      </c>
      <c r="M183" s="47">
        <v>5451.1501999000002</v>
      </c>
      <c r="N183" s="48">
        <v>2.7418869906064073E-2</v>
      </c>
      <c r="O183" s="48">
        <v>-2.5960999999999998E-2</v>
      </c>
      <c r="P183" s="28">
        <v>127.399</v>
      </c>
      <c r="Q183" s="28">
        <v>125.88</v>
      </c>
      <c r="R183" s="48">
        <v>1.2067047982205318E-2</v>
      </c>
    </row>
    <row r="184" spans="1:18" x14ac:dyDescent="0.15">
      <c r="A184" s="29">
        <v>183</v>
      </c>
      <c r="B184" s="28">
        <v>127030</v>
      </c>
      <c r="C184" s="28" t="s">
        <v>1893</v>
      </c>
      <c r="D184" s="28">
        <v>126.18</v>
      </c>
      <c r="E184" s="48">
        <v>-1.61E-2</v>
      </c>
      <c r="F184" s="28">
        <v>13.46</v>
      </c>
      <c r="G184" s="28">
        <v>99.18</v>
      </c>
      <c r="H184" s="48">
        <v>0.2722</v>
      </c>
      <c r="I184" s="45">
        <v>153.4</v>
      </c>
      <c r="J184" s="46">
        <v>46468</v>
      </c>
      <c r="K184" s="47">
        <v>4.34</v>
      </c>
      <c r="L184" s="47">
        <v>49.980428000000003</v>
      </c>
      <c r="M184" s="47">
        <v>20400.430707200001</v>
      </c>
      <c r="N184" s="48">
        <v>3.2348104895992491E-2</v>
      </c>
      <c r="O184" s="48">
        <v>-2.6911999999999998E-2</v>
      </c>
      <c r="P184" s="28">
        <v>128.43</v>
      </c>
      <c r="Q184" s="28">
        <v>125.905</v>
      </c>
      <c r="R184" s="48">
        <v>2.0054803224653552E-2</v>
      </c>
    </row>
    <row r="185" spans="1:18" x14ac:dyDescent="0.15">
      <c r="A185" s="29">
        <v>184</v>
      </c>
      <c r="B185" s="28">
        <v>113526</v>
      </c>
      <c r="C185" s="28" t="s">
        <v>128</v>
      </c>
      <c r="D185" s="28">
        <v>127.498</v>
      </c>
      <c r="E185" s="48">
        <v>-3.7000000000000002E-3</v>
      </c>
      <c r="F185" s="28">
        <v>5.72</v>
      </c>
      <c r="G185" s="28">
        <v>100.17</v>
      </c>
      <c r="H185" s="48">
        <v>0.27279999999999999</v>
      </c>
      <c r="I185" s="45">
        <v>154.77800000000002</v>
      </c>
      <c r="J185" s="46">
        <v>45680</v>
      </c>
      <c r="K185" s="47">
        <v>2.181</v>
      </c>
      <c r="L185" s="47">
        <v>1.92781</v>
      </c>
      <c r="M185" s="47">
        <v>1081.0381</v>
      </c>
      <c r="N185" s="48">
        <v>4.398184052294616E-2</v>
      </c>
      <c r="O185" s="48">
        <v>-6.9375000000000006E-2</v>
      </c>
      <c r="P185" s="28">
        <v>128.447</v>
      </c>
      <c r="Q185" s="28">
        <v>127.40300000000001</v>
      </c>
      <c r="R185" s="48">
        <v>8.1944695179862088E-3</v>
      </c>
    </row>
    <row r="186" spans="1:18" x14ac:dyDescent="0.15">
      <c r="A186" s="29">
        <v>185</v>
      </c>
      <c r="B186" s="28">
        <v>123103</v>
      </c>
      <c r="C186" s="28" t="s">
        <v>778</v>
      </c>
      <c r="D186" s="28">
        <v>129.1</v>
      </c>
      <c r="E186" s="48">
        <v>-1.3000000000000001E-2</v>
      </c>
      <c r="F186" s="28">
        <v>47.47</v>
      </c>
      <c r="G186" s="28">
        <v>101.33</v>
      </c>
      <c r="H186" s="48">
        <v>0.27410000000000001</v>
      </c>
      <c r="I186" s="45">
        <v>156.51</v>
      </c>
      <c r="J186" s="46">
        <v>46458</v>
      </c>
      <c r="K186" s="47">
        <v>4.3120000000000003</v>
      </c>
      <c r="L186" s="47">
        <v>2.494443</v>
      </c>
      <c r="M186" s="47">
        <v>2223.5258549999999</v>
      </c>
      <c r="N186" s="48">
        <v>6.9046609413784502E-2</v>
      </c>
      <c r="O186" s="48">
        <v>-1.5445E-2</v>
      </c>
      <c r="P186" s="28">
        <v>133.4</v>
      </c>
      <c r="Q186" s="28">
        <v>129.1</v>
      </c>
      <c r="R186" s="48">
        <v>3.3307513555383514E-2</v>
      </c>
    </row>
    <row r="187" spans="1:18" x14ac:dyDescent="0.15">
      <c r="A187" s="29">
        <v>186</v>
      </c>
      <c r="B187" s="28">
        <v>113516</v>
      </c>
      <c r="C187" s="28" t="s">
        <v>1719</v>
      </c>
      <c r="D187" s="28">
        <v>111.422</v>
      </c>
      <c r="E187" s="48">
        <v>-3.5999999999999999E-3</v>
      </c>
      <c r="F187" s="28">
        <v>5.21</v>
      </c>
      <c r="G187" s="28">
        <v>87.33</v>
      </c>
      <c r="H187" s="48">
        <v>0.27589999999999998</v>
      </c>
      <c r="I187" s="45">
        <v>139.012</v>
      </c>
      <c r="J187" s="46">
        <v>45506</v>
      </c>
      <c r="K187" s="47">
        <v>1.704</v>
      </c>
      <c r="L187" s="47">
        <v>12.88593</v>
      </c>
      <c r="M187" s="47">
        <v>2237.1008000000002</v>
      </c>
      <c r="N187" s="48">
        <v>1.5581125857633155E-2</v>
      </c>
      <c r="O187" s="48">
        <v>2.0050000000000003E-3</v>
      </c>
      <c r="P187" s="28">
        <v>112.17</v>
      </c>
      <c r="Q187" s="28">
        <v>111.30200000000001</v>
      </c>
      <c r="R187" s="48">
        <v>7.798602001760929E-3</v>
      </c>
    </row>
    <row r="188" spans="1:18" x14ac:dyDescent="0.15">
      <c r="A188" s="29">
        <v>187</v>
      </c>
      <c r="B188" s="28">
        <v>118003</v>
      </c>
      <c r="C188" s="28" t="s">
        <v>223</v>
      </c>
      <c r="D188" s="28">
        <v>127.5</v>
      </c>
      <c r="E188" s="48">
        <v>-5.4000000000000003E-3</v>
      </c>
      <c r="F188" s="28">
        <v>30.76</v>
      </c>
      <c r="G188" s="28">
        <v>99.84</v>
      </c>
      <c r="H188" s="48">
        <v>0.27699999999999997</v>
      </c>
      <c r="I188" s="45">
        <v>155.19999999999999</v>
      </c>
      <c r="J188" s="46">
        <v>46720</v>
      </c>
      <c r="K188" s="47">
        <v>5.03</v>
      </c>
      <c r="L188" s="47">
        <v>7.99892</v>
      </c>
      <c r="M188" s="47">
        <v>3334.4603000000002</v>
      </c>
      <c r="N188" s="48">
        <v>3.2695201107051416E-2</v>
      </c>
      <c r="O188" s="48">
        <v>-2.0508999999999999E-2</v>
      </c>
      <c r="P188" s="28">
        <v>131.30000000000001</v>
      </c>
      <c r="Q188" s="28">
        <v>126.70099999999999</v>
      </c>
      <c r="R188" s="48">
        <v>3.629805605322782E-2</v>
      </c>
    </row>
    <row r="189" spans="1:18" x14ac:dyDescent="0.15">
      <c r="A189" s="29">
        <v>188</v>
      </c>
      <c r="B189" s="28">
        <v>113045</v>
      </c>
      <c r="C189" s="28" t="s">
        <v>1771</v>
      </c>
      <c r="D189" s="28">
        <v>116.851</v>
      </c>
      <c r="E189" s="48">
        <v>-1.2199999999999999E-2</v>
      </c>
      <c r="F189" s="28">
        <v>19.52</v>
      </c>
      <c r="G189" s="28">
        <v>91.5</v>
      </c>
      <c r="H189" s="48">
        <v>0.27710000000000001</v>
      </c>
      <c r="I189" s="45">
        <v>144.56100000000001</v>
      </c>
      <c r="J189" s="46">
        <v>46450</v>
      </c>
      <c r="K189" s="47">
        <v>4.29</v>
      </c>
      <c r="L189" s="47">
        <v>34.499319999999997</v>
      </c>
      <c r="M189" s="47">
        <v>3587.9654999999998</v>
      </c>
      <c r="N189" s="48">
        <v>8.9003132087672049E-3</v>
      </c>
      <c r="O189" s="48">
        <v>-1.018E-2</v>
      </c>
      <c r="P189" s="28">
        <v>119.001</v>
      </c>
      <c r="Q189" s="28">
        <v>116.589</v>
      </c>
      <c r="R189" s="48">
        <v>2.0688058050073389E-2</v>
      </c>
    </row>
    <row r="190" spans="1:18" x14ac:dyDescent="0.15">
      <c r="A190" s="29">
        <v>189</v>
      </c>
      <c r="B190" s="28">
        <v>113577</v>
      </c>
      <c r="C190" s="28" t="s">
        <v>107</v>
      </c>
      <c r="D190" s="28">
        <v>129.58099999999999</v>
      </c>
      <c r="E190" s="48">
        <v>-2.5000000000000001E-3</v>
      </c>
      <c r="F190" s="28">
        <v>10.75</v>
      </c>
      <c r="G190" s="28">
        <v>101.21</v>
      </c>
      <c r="H190" s="48">
        <v>0.28029999999999999</v>
      </c>
      <c r="I190" s="45">
        <v>157.61099999999999</v>
      </c>
      <c r="J190" s="46">
        <v>46126</v>
      </c>
      <c r="K190" s="47">
        <v>3.403</v>
      </c>
      <c r="L190" s="47">
        <v>1.7774799999999999</v>
      </c>
      <c r="M190" s="47">
        <v>483.42140000000001</v>
      </c>
      <c r="N190" s="48">
        <v>2.0988423649338419E-2</v>
      </c>
      <c r="O190" s="48">
        <v>-3.0159999999999999E-2</v>
      </c>
      <c r="P190" s="28">
        <v>130.691</v>
      </c>
      <c r="Q190" s="28">
        <v>129.32</v>
      </c>
      <c r="R190" s="48">
        <v>1.0601608413238551E-2</v>
      </c>
    </row>
    <row r="191" spans="1:18" x14ac:dyDescent="0.15">
      <c r="A191" s="29">
        <v>190</v>
      </c>
      <c r="B191" s="28">
        <v>123157</v>
      </c>
      <c r="C191" s="28" t="s">
        <v>2057</v>
      </c>
      <c r="D191" s="28">
        <v>122.937</v>
      </c>
      <c r="E191" s="48">
        <v>-8.8000000000000005E-3</v>
      </c>
      <c r="F191" s="28">
        <v>16.02</v>
      </c>
      <c r="G191" s="28">
        <v>96</v>
      </c>
      <c r="H191" s="48">
        <v>0.28059999999999996</v>
      </c>
      <c r="I191" s="45">
        <v>150.99699999999999</v>
      </c>
      <c r="J191" s="46">
        <v>46995</v>
      </c>
      <c r="K191" s="47">
        <v>5.7839999999999998</v>
      </c>
      <c r="L191" s="47">
        <v>4.9459999999999997</v>
      </c>
      <c r="M191" s="47">
        <v>5427.4213829999999</v>
      </c>
      <c r="N191" s="48">
        <v>8.9259986822518858E-2</v>
      </c>
      <c r="O191" s="48">
        <v>-3.7990000000000003E-3</v>
      </c>
      <c r="P191" s="28">
        <v>125.099</v>
      </c>
      <c r="Q191" s="28">
        <v>122.04600000000001</v>
      </c>
      <c r="R191" s="48">
        <v>2.5015158219032146E-2</v>
      </c>
    </row>
    <row r="192" spans="1:18" x14ac:dyDescent="0.15">
      <c r="A192" s="29">
        <v>191</v>
      </c>
      <c r="B192" s="28">
        <v>127072</v>
      </c>
      <c r="C192" s="28" t="s">
        <v>2064</v>
      </c>
      <c r="D192" s="28">
        <v>130</v>
      </c>
      <c r="E192" s="48">
        <v>-1.1399999999999999E-2</v>
      </c>
      <c r="F192" s="28">
        <v>15.81</v>
      </c>
      <c r="G192" s="28">
        <v>101.39</v>
      </c>
      <c r="H192" s="48">
        <v>0.28220000000000001</v>
      </c>
      <c r="I192" s="45">
        <v>158.22</v>
      </c>
      <c r="J192" s="46">
        <v>47018</v>
      </c>
      <c r="K192" s="47">
        <v>5.8470000000000004</v>
      </c>
      <c r="L192" s="47">
        <v>4.5</v>
      </c>
      <c r="M192" s="47">
        <v>2309.2684715</v>
      </c>
      <c r="N192" s="48">
        <v>3.9474674726495726E-2</v>
      </c>
      <c r="O192" s="48">
        <v>-1.7995000000000001E-2</v>
      </c>
      <c r="P192" s="28">
        <v>132.82</v>
      </c>
      <c r="Q192" s="28">
        <v>129.751</v>
      </c>
      <c r="R192" s="48">
        <v>2.3652996894050822E-2</v>
      </c>
    </row>
    <row r="193" spans="1:18" x14ac:dyDescent="0.15">
      <c r="A193" s="29">
        <v>192</v>
      </c>
      <c r="B193" s="28">
        <v>113629</v>
      </c>
      <c r="C193" s="28" t="s">
        <v>2049</v>
      </c>
      <c r="D193" s="28">
        <v>129.136</v>
      </c>
      <c r="E193" s="48">
        <v>-9.5999999999999992E-3</v>
      </c>
      <c r="F193" s="28">
        <v>22.98</v>
      </c>
      <c r="G193" s="28">
        <v>100.61</v>
      </c>
      <c r="H193" s="48">
        <v>0.28350000000000003</v>
      </c>
      <c r="I193" s="45">
        <v>157.48599999999999</v>
      </c>
      <c r="J193" s="46">
        <v>46644</v>
      </c>
      <c r="K193" s="47">
        <v>4.8220000000000001</v>
      </c>
      <c r="L193" s="47">
        <v>6.19299</v>
      </c>
      <c r="M193" s="47">
        <v>2269.7748000000001</v>
      </c>
      <c r="N193" s="48">
        <v>2.8381481473458852E-2</v>
      </c>
      <c r="O193" s="48">
        <v>-1.4336999999999999E-2</v>
      </c>
      <c r="P193" s="28">
        <v>131.30000000000001</v>
      </c>
      <c r="Q193" s="28">
        <v>129</v>
      </c>
      <c r="R193" s="48">
        <v>1.7829457364341172E-2</v>
      </c>
    </row>
    <row r="194" spans="1:18" x14ac:dyDescent="0.15">
      <c r="A194" s="29">
        <v>193</v>
      </c>
      <c r="B194" s="28">
        <v>113609</v>
      </c>
      <c r="C194" s="28" t="s">
        <v>81</v>
      </c>
      <c r="D194" s="28">
        <v>111.953</v>
      </c>
      <c r="E194" s="48">
        <v>-7.6E-3</v>
      </c>
      <c r="F194" s="28">
        <v>16.399999999999999</v>
      </c>
      <c r="G194" s="28">
        <v>87.01</v>
      </c>
      <c r="H194" s="48">
        <v>0.28670000000000001</v>
      </c>
      <c r="I194" s="45">
        <v>140.62299999999999</v>
      </c>
      <c r="J194" s="46">
        <v>46350</v>
      </c>
      <c r="K194" s="47">
        <v>4.016</v>
      </c>
      <c r="L194" s="47">
        <v>7.3417399999999997</v>
      </c>
      <c r="M194" s="47">
        <v>1464.2638999999999</v>
      </c>
      <c r="N194" s="48">
        <v>1.7814950468290115E-2</v>
      </c>
      <c r="O194" s="48">
        <v>1.8031999999999999E-2</v>
      </c>
      <c r="P194" s="28">
        <v>113.16500000000001</v>
      </c>
      <c r="Q194" s="28">
        <v>111.79</v>
      </c>
      <c r="R194" s="48">
        <v>1.2299847929152875E-2</v>
      </c>
    </row>
    <row r="195" spans="1:18" x14ac:dyDescent="0.15">
      <c r="A195" s="29">
        <v>194</v>
      </c>
      <c r="B195" s="28">
        <v>123151</v>
      </c>
      <c r="C195" s="28" t="s">
        <v>1906</v>
      </c>
      <c r="D195" s="28">
        <v>127.23699999999999</v>
      </c>
      <c r="E195" s="48">
        <v>1.3000000000000001E-2</v>
      </c>
      <c r="F195" s="28">
        <v>28.22</v>
      </c>
      <c r="G195" s="28">
        <v>98.83</v>
      </c>
      <c r="H195" s="48">
        <v>0.28739999999999999</v>
      </c>
      <c r="I195" s="45">
        <v>155.977</v>
      </c>
      <c r="J195" s="46">
        <v>46935</v>
      </c>
      <c r="K195" s="47">
        <v>5.6189999999999998</v>
      </c>
      <c r="L195" s="47">
        <v>7</v>
      </c>
      <c r="M195" s="47">
        <v>30941.829275300002</v>
      </c>
      <c r="N195" s="48">
        <v>0.34740376816828894</v>
      </c>
      <c r="O195" s="48">
        <v>-8.1989999999999997E-3</v>
      </c>
      <c r="P195" s="28">
        <v>132.08000000000001</v>
      </c>
      <c r="Q195" s="28">
        <v>127.002</v>
      </c>
      <c r="R195" s="48">
        <v>3.9983622305160685E-2</v>
      </c>
    </row>
    <row r="196" spans="1:18" x14ac:dyDescent="0.15">
      <c r="A196" s="29">
        <v>195</v>
      </c>
      <c r="B196" s="28">
        <v>123077</v>
      </c>
      <c r="C196" s="28" t="s">
        <v>192</v>
      </c>
      <c r="D196" s="28">
        <v>121.179</v>
      </c>
      <c r="E196" s="48">
        <v>-6.7000000000000002E-3</v>
      </c>
      <c r="F196" s="28">
        <v>9.82</v>
      </c>
      <c r="G196" s="28">
        <v>93.99</v>
      </c>
      <c r="H196" s="48">
        <v>0.2893</v>
      </c>
      <c r="I196" s="45">
        <v>150.10900000000001</v>
      </c>
      <c r="J196" s="46">
        <v>46349</v>
      </c>
      <c r="K196" s="47">
        <v>4.0140000000000002</v>
      </c>
      <c r="L196" s="47">
        <v>9.3674339999999994</v>
      </c>
      <c r="M196" s="47">
        <v>8513.3080176999993</v>
      </c>
      <c r="N196" s="48">
        <v>7.4998113729180457E-2</v>
      </c>
      <c r="O196" s="48">
        <v>8.1310000000000011E-3</v>
      </c>
      <c r="P196" s="28">
        <v>125.6</v>
      </c>
      <c r="Q196" s="28">
        <v>120.93</v>
      </c>
      <c r="R196" s="48">
        <v>3.861738195650366E-2</v>
      </c>
    </row>
    <row r="197" spans="1:18" x14ac:dyDescent="0.15">
      <c r="A197" s="29">
        <v>196</v>
      </c>
      <c r="B197" s="28">
        <v>110060</v>
      </c>
      <c r="C197" s="28" t="s">
        <v>191</v>
      </c>
      <c r="D197" s="28">
        <v>113.506</v>
      </c>
      <c r="E197" s="48">
        <v>-4.6999999999999993E-3</v>
      </c>
      <c r="F197" s="28">
        <v>5.42</v>
      </c>
      <c r="G197" s="28">
        <v>88.01</v>
      </c>
      <c r="H197" s="48">
        <v>0.28970000000000001</v>
      </c>
      <c r="I197" s="45">
        <v>142.476</v>
      </c>
      <c r="J197" s="46">
        <v>45958</v>
      </c>
      <c r="K197" s="47">
        <v>2.9420000000000002</v>
      </c>
      <c r="L197" s="47">
        <v>7.0625099999999996</v>
      </c>
      <c r="M197" s="47">
        <v>846.73990000000003</v>
      </c>
      <c r="N197" s="48">
        <v>1.0562631531581058E-2</v>
      </c>
      <c r="O197" s="48">
        <v>-6.2600000000000004E-4</v>
      </c>
      <c r="P197" s="28">
        <v>114.566</v>
      </c>
      <c r="Q197" s="28">
        <v>113.37</v>
      </c>
      <c r="R197" s="48">
        <v>1.054952809385197E-2</v>
      </c>
    </row>
    <row r="198" spans="1:18" x14ac:dyDescent="0.15">
      <c r="A198" s="29">
        <v>197</v>
      </c>
      <c r="B198" s="28">
        <v>128085</v>
      </c>
      <c r="C198" s="28" t="s">
        <v>1873</v>
      </c>
      <c r="D198" s="28">
        <v>113.631</v>
      </c>
      <c r="E198" s="48">
        <v>-4.4000000000000003E-3</v>
      </c>
      <c r="F198" s="28">
        <v>3.91</v>
      </c>
      <c r="G198" s="28">
        <v>87.98</v>
      </c>
      <c r="H198" s="48">
        <v>0.29160000000000003</v>
      </c>
      <c r="I198" s="45">
        <v>142.791</v>
      </c>
      <c r="J198" s="46">
        <v>46007</v>
      </c>
      <c r="K198" s="47">
        <v>3.077</v>
      </c>
      <c r="L198" s="47">
        <v>3.3715570000000001</v>
      </c>
      <c r="M198" s="47">
        <v>1716.3993534000001</v>
      </c>
      <c r="N198" s="48">
        <v>4.4801340351674358E-2</v>
      </c>
      <c r="O198" s="48">
        <v>2.8986000000000001E-2</v>
      </c>
      <c r="P198" s="28">
        <v>114.3</v>
      </c>
      <c r="Q198" s="28">
        <v>113.08799999999999</v>
      </c>
      <c r="R198" s="48">
        <v>1.0717317487266583E-2</v>
      </c>
    </row>
    <row r="199" spans="1:18" x14ac:dyDescent="0.15">
      <c r="A199" s="29">
        <v>198</v>
      </c>
      <c r="B199" s="28">
        <v>113657</v>
      </c>
      <c r="C199" s="28" t="s">
        <v>2063</v>
      </c>
      <c r="D199" s="28">
        <v>119.005</v>
      </c>
      <c r="E199" s="48">
        <v>-1.5E-3</v>
      </c>
      <c r="F199" s="28">
        <v>6.04</v>
      </c>
      <c r="G199" s="28">
        <v>92.05</v>
      </c>
      <c r="H199" s="48">
        <v>0.2928</v>
      </c>
      <c r="I199" s="45">
        <v>148.285</v>
      </c>
      <c r="J199" s="46">
        <v>47025</v>
      </c>
      <c r="K199" s="47">
        <v>5.8659999999999997</v>
      </c>
      <c r="L199" s="47">
        <v>5.0999999999999996</v>
      </c>
      <c r="M199" s="47">
        <v>562.86749999999995</v>
      </c>
      <c r="N199" s="48">
        <v>9.2740789437912897E-3</v>
      </c>
      <c r="O199" s="48">
        <v>-5.7650000000000002E-3</v>
      </c>
      <c r="P199" s="28">
        <v>120.325</v>
      </c>
      <c r="Q199" s="28">
        <v>118.705</v>
      </c>
      <c r="R199" s="48">
        <v>1.3647276862811209E-2</v>
      </c>
    </row>
    <row r="200" spans="1:18" x14ac:dyDescent="0.15">
      <c r="A200" s="29">
        <v>199</v>
      </c>
      <c r="B200" s="28">
        <v>123120</v>
      </c>
      <c r="C200" s="28" t="s">
        <v>210</v>
      </c>
      <c r="D200" s="28">
        <v>123.04900000000001</v>
      </c>
      <c r="E200" s="48">
        <v>-7.000000000000001E-4</v>
      </c>
      <c r="F200" s="28">
        <v>7.75</v>
      </c>
      <c r="G200" s="28">
        <v>95.1</v>
      </c>
      <c r="H200" s="48">
        <v>0.29389999999999999</v>
      </c>
      <c r="I200" s="45">
        <v>152.43900000000002</v>
      </c>
      <c r="J200" s="46">
        <v>46598</v>
      </c>
      <c r="K200" s="47">
        <v>4.6959999999999997</v>
      </c>
      <c r="L200" s="47">
        <v>7.9825939999999997</v>
      </c>
      <c r="M200" s="47">
        <v>1588.1752927999999</v>
      </c>
      <c r="N200" s="48">
        <v>1.6168744766626067E-2</v>
      </c>
      <c r="O200" s="48">
        <v>-4.1770000000000002E-3</v>
      </c>
      <c r="P200" s="28">
        <v>124.125</v>
      </c>
      <c r="Q200" s="28">
        <v>122.336</v>
      </c>
      <c r="R200" s="48">
        <v>1.462365942976721E-2</v>
      </c>
    </row>
    <row r="201" spans="1:18" x14ac:dyDescent="0.15">
      <c r="A201" s="29">
        <v>200</v>
      </c>
      <c r="B201" s="28">
        <v>113546</v>
      </c>
      <c r="C201" s="28" t="s">
        <v>85</v>
      </c>
      <c r="D201" s="28">
        <v>119.943</v>
      </c>
      <c r="E201" s="48">
        <v>-4.1999999999999997E-3</v>
      </c>
      <c r="F201" s="28">
        <v>13.8</v>
      </c>
      <c r="G201" s="28">
        <v>92.54</v>
      </c>
      <c r="H201" s="48">
        <v>0.29609999999999997</v>
      </c>
      <c r="I201" s="45">
        <v>149.553</v>
      </c>
      <c r="J201" s="46">
        <v>45953</v>
      </c>
      <c r="K201" s="47">
        <v>2.9289999999999998</v>
      </c>
      <c r="L201" s="47">
        <v>2.2963100000000001</v>
      </c>
      <c r="M201" s="47">
        <v>650.12030000000004</v>
      </c>
      <c r="N201" s="48">
        <v>2.3604146576304316E-2</v>
      </c>
      <c r="O201" s="48">
        <v>-3.8920000000000001E-3</v>
      </c>
      <c r="P201" s="28">
        <v>121.06</v>
      </c>
      <c r="Q201" s="28">
        <v>119.67</v>
      </c>
      <c r="R201" s="48">
        <v>1.1615275340519766E-2</v>
      </c>
    </row>
    <row r="202" spans="1:18" x14ac:dyDescent="0.15">
      <c r="A202" s="29">
        <v>201</v>
      </c>
      <c r="B202" s="28">
        <v>118012</v>
      </c>
      <c r="C202" s="28" t="s">
        <v>1903</v>
      </c>
      <c r="D202" s="28">
        <v>127.229</v>
      </c>
      <c r="E202" s="48">
        <v>4.5000000000000005E-3</v>
      </c>
      <c r="F202" s="28">
        <v>25.36</v>
      </c>
      <c r="G202" s="28">
        <v>97.99</v>
      </c>
      <c r="H202" s="48">
        <v>0.2984</v>
      </c>
      <c r="I202" s="45">
        <v>157.06899999999999</v>
      </c>
      <c r="J202" s="46">
        <v>46939</v>
      </c>
      <c r="K202" s="47">
        <v>5.63</v>
      </c>
      <c r="L202" s="47">
        <v>5</v>
      </c>
      <c r="M202" s="47">
        <v>1230.6416999999999</v>
      </c>
      <c r="N202" s="48">
        <v>1.934530177868253E-2</v>
      </c>
      <c r="O202" s="48">
        <v>-8.3149999999999995E-3</v>
      </c>
      <c r="P202" s="28">
        <v>128.56399999999999</v>
      </c>
      <c r="Q202" s="28">
        <v>126.925</v>
      </c>
      <c r="R202" s="48">
        <v>1.2913137679732092E-2</v>
      </c>
    </row>
    <row r="203" spans="1:18" x14ac:dyDescent="0.15">
      <c r="A203" s="29">
        <v>202</v>
      </c>
      <c r="B203" s="28">
        <v>128144</v>
      </c>
      <c r="C203" s="28" t="s">
        <v>202</v>
      </c>
      <c r="D203" s="28">
        <v>118.39400000000001</v>
      </c>
      <c r="E203" s="48">
        <v>-1E-4</v>
      </c>
      <c r="F203" s="28">
        <v>11.2</v>
      </c>
      <c r="G203" s="28">
        <v>91.07</v>
      </c>
      <c r="H203" s="48">
        <v>0.3</v>
      </c>
      <c r="I203" s="45">
        <v>148.39400000000001</v>
      </c>
      <c r="J203" s="46">
        <v>46447</v>
      </c>
      <c r="K203" s="47">
        <v>4.282</v>
      </c>
      <c r="L203" s="47">
        <v>9.7941380000000002</v>
      </c>
      <c r="M203" s="47">
        <v>1718.8069920000003</v>
      </c>
      <c r="N203" s="48">
        <v>1.4822832432548583E-2</v>
      </c>
      <c r="O203" s="48">
        <v>-9.3419999999999996E-3</v>
      </c>
      <c r="P203" s="28">
        <v>120.455</v>
      </c>
      <c r="Q203" s="28">
        <v>118.255</v>
      </c>
      <c r="R203" s="48">
        <v>1.8603864530041037E-2</v>
      </c>
    </row>
    <row r="204" spans="1:18" x14ac:dyDescent="0.15">
      <c r="A204" s="29">
        <v>203</v>
      </c>
      <c r="B204" s="28">
        <v>113048</v>
      </c>
      <c r="C204" s="28" t="s">
        <v>1728</v>
      </c>
      <c r="D204" s="28">
        <v>118.206</v>
      </c>
      <c r="E204" s="48">
        <v>-6.6E-3</v>
      </c>
      <c r="F204" s="28">
        <v>5.45</v>
      </c>
      <c r="G204" s="28">
        <v>90.83</v>
      </c>
      <c r="H204" s="48">
        <v>0.3014</v>
      </c>
      <c r="I204" s="45">
        <v>148.346</v>
      </c>
      <c r="J204" s="46">
        <v>46500</v>
      </c>
      <c r="K204" s="47">
        <v>4.4269999999999996</v>
      </c>
      <c r="L204" s="47">
        <v>22.963419999999999</v>
      </c>
      <c r="M204" s="47">
        <v>6813.8013000000001</v>
      </c>
      <c r="N204" s="48">
        <v>2.5102291833335594E-2</v>
      </c>
      <c r="O204" s="48">
        <v>-2.7489999999999997E-3</v>
      </c>
      <c r="P204" s="28">
        <v>120</v>
      </c>
      <c r="Q204" s="28">
        <v>117.72799999999999</v>
      </c>
      <c r="R204" s="48">
        <v>1.9298722478934542E-2</v>
      </c>
    </row>
    <row r="205" spans="1:18" x14ac:dyDescent="0.15">
      <c r="A205" s="29">
        <v>204</v>
      </c>
      <c r="B205" s="28">
        <v>127021</v>
      </c>
      <c r="C205" s="28" t="s">
        <v>196</v>
      </c>
      <c r="D205" s="28">
        <v>119.679</v>
      </c>
      <c r="E205" s="48">
        <v>-1.8100000000000002E-2</v>
      </c>
      <c r="F205" s="28">
        <v>7.33</v>
      </c>
      <c r="G205" s="28">
        <v>91.81</v>
      </c>
      <c r="H205" s="48">
        <v>0.30359999999999998</v>
      </c>
      <c r="I205" s="45">
        <v>150.03899999999999</v>
      </c>
      <c r="J205" s="46">
        <v>45876</v>
      </c>
      <c r="K205" s="47">
        <v>2.718</v>
      </c>
      <c r="L205" s="47">
        <v>4.1592760000000002</v>
      </c>
      <c r="M205" s="47">
        <v>1580.4480779999999</v>
      </c>
      <c r="N205" s="48">
        <v>3.1750059305902328E-2</v>
      </c>
      <c r="O205" s="48">
        <v>-2.2734000000000001E-2</v>
      </c>
      <c r="P205" s="28">
        <v>121.98699999999999</v>
      </c>
      <c r="Q205" s="28">
        <v>119.43300000000001</v>
      </c>
      <c r="R205" s="48">
        <v>2.1384374502859241E-2</v>
      </c>
    </row>
    <row r="206" spans="1:18" x14ac:dyDescent="0.15">
      <c r="A206" s="29">
        <v>205</v>
      </c>
      <c r="B206" s="28">
        <v>123140</v>
      </c>
      <c r="C206" s="28" t="s">
        <v>751</v>
      </c>
      <c r="D206" s="28">
        <v>135.018</v>
      </c>
      <c r="E206" s="48">
        <v>-1.4499999999999999E-2</v>
      </c>
      <c r="F206" s="28">
        <v>12.32</v>
      </c>
      <c r="G206" s="28">
        <v>103.49</v>
      </c>
      <c r="H206" s="48">
        <v>0.30459999999999998</v>
      </c>
      <c r="I206" s="45">
        <v>165.47800000000001</v>
      </c>
      <c r="J206" s="46">
        <v>46826</v>
      </c>
      <c r="K206" s="47">
        <v>5.3209999999999997</v>
      </c>
      <c r="L206" s="47">
        <v>1.719738</v>
      </c>
      <c r="M206" s="47">
        <v>6985.3198884000003</v>
      </c>
      <c r="N206" s="48">
        <v>0.30083775623279868</v>
      </c>
      <c r="O206" s="48">
        <v>-2.4925000000000003E-2</v>
      </c>
      <c r="P206" s="28">
        <v>138.63999999999999</v>
      </c>
      <c r="Q206" s="28">
        <v>134.69999999999999</v>
      </c>
      <c r="R206" s="48">
        <v>2.9250185597624337E-2</v>
      </c>
    </row>
    <row r="207" spans="1:18" x14ac:dyDescent="0.15">
      <c r="A207" s="29">
        <v>206</v>
      </c>
      <c r="B207" s="28">
        <v>128127</v>
      </c>
      <c r="C207" s="28" t="s">
        <v>194</v>
      </c>
      <c r="D207" s="28">
        <v>106.676</v>
      </c>
      <c r="E207" s="48">
        <v>-4.4000000000000003E-3</v>
      </c>
      <c r="F207" s="28">
        <v>4.88</v>
      </c>
      <c r="G207" s="28">
        <v>81.760000000000005</v>
      </c>
      <c r="H207" s="48">
        <v>0.30469999999999997</v>
      </c>
      <c r="I207" s="45">
        <v>137.14600000000002</v>
      </c>
      <c r="J207" s="46">
        <v>46254</v>
      </c>
      <c r="K207" s="47">
        <v>3.7530000000000001</v>
      </c>
      <c r="L207" s="47">
        <v>9.4928129999999999</v>
      </c>
      <c r="M207" s="47">
        <v>1131.498083</v>
      </c>
      <c r="N207" s="48">
        <v>1.1173575659093474E-2</v>
      </c>
      <c r="O207" s="48">
        <v>3.2473000000000002E-2</v>
      </c>
      <c r="P207" s="28">
        <v>107.5</v>
      </c>
      <c r="Q207" s="28">
        <v>106.51</v>
      </c>
      <c r="R207" s="48">
        <v>9.2949018871466976E-3</v>
      </c>
    </row>
    <row r="208" spans="1:18" x14ac:dyDescent="0.15">
      <c r="A208" s="29">
        <v>207</v>
      </c>
      <c r="B208" s="28">
        <v>123149</v>
      </c>
      <c r="C208" s="28" t="s">
        <v>1902</v>
      </c>
      <c r="D208" s="28">
        <v>122.1</v>
      </c>
      <c r="E208" s="48">
        <v>-7.4999999999999997E-3</v>
      </c>
      <c r="F208" s="28">
        <v>2.77</v>
      </c>
      <c r="G208" s="28">
        <v>93.5</v>
      </c>
      <c r="H208" s="48">
        <v>0.30590000000000001</v>
      </c>
      <c r="I208" s="45">
        <v>152.69</v>
      </c>
      <c r="J208" s="46">
        <v>46924</v>
      </c>
      <c r="K208" s="47">
        <v>5.5890000000000004</v>
      </c>
      <c r="L208" s="47">
        <v>14.847200000000001</v>
      </c>
      <c r="M208" s="47">
        <v>2098.3996744000001</v>
      </c>
      <c r="N208" s="48">
        <v>1.1575186243363407E-2</v>
      </c>
      <c r="O208" s="48">
        <v>-7.5789999999999998E-3</v>
      </c>
      <c r="P208" s="28">
        <v>123.288</v>
      </c>
      <c r="Q208" s="28">
        <v>121.3</v>
      </c>
      <c r="R208" s="48">
        <v>1.6389117889530087E-2</v>
      </c>
    </row>
    <row r="209" spans="1:18" x14ac:dyDescent="0.15">
      <c r="A209" s="29">
        <v>208</v>
      </c>
      <c r="B209" s="28">
        <v>123158</v>
      </c>
      <c r="C209" s="28" t="s">
        <v>2061</v>
      </c>
      <c r="D209" s="28">
        <v>122</v>
      </c>
      <c r="E209" s="48">
        <v>-2.5000000000000001E-3</v>
      </c>
      <c r="F209" s="28">
        <v>42.77</v>
      </c>
      <c r="G209" s="28">
        <v>93.15</v>
      </c>
      <c r="H209" s="48">
        <v>0.30969999999999998</v>
      </c>
      <c r="I209" s="45">
        <v>152.97</v>
      </c>
      <c r="J209" s="46">
        <v>47022</v>
      </c>
      <c r="K209" s="47">
        <v>5.8579999999999997</v>
      </c>
      <c r="L209" s="47">
        <v>19.7</v>
      </c>
      <c r="M209" s="47">
        <v>3405.9560913</v>
      </c>
      <c r="N209" s="48">
        <v>1.4171407553049848E-2</v>
      </c>
      <c r="O209" s="48">
        <v>-1.0051000000000001E-2</v>
      </c>
      <c r="P209" s="28">
        <v>123.54600000000001</v>
      </c>
      <c r="Q209" s="28">
        <v>121.8</v>
      </c>
      <c r="R209" s="48">
        <v>1.4334975369458205E-2</v>
      </c>
    </row>
    <row r="210" spans="1:18" x14ac:dyDescent="0.15">
      <c r="A210" s="29">
        <v>209</v>
      </c>
      <c r="B210" s="28">
        <v>123087</v>
      </c>
      <c r="C210" s="28" t="s">
        <v>71</v>
      </c>
      <c r="D210" s="28">
        <v>120.66</v>
      </c>
      <c r="E210" s="48">
        <v>-1.1000000000000001E-2</v>
      </c>
      <c r="F210" s="28">
        <v>15.92</v>
      </c>
      <c r="G210" s="28">
        <v>91.96</v>
      </c>
      <c r="H210" s="48">
        <v>0.31209999999999999</v>
      </c>
      <c r="I210" s="45">
        <v>151.87</v>
      </c>
      <c r="J210" s="46">
        <v>46371</v>
      </c>
      <c r="K210" s="47">
        <v>4.0739999999999998</v>
      </c>
      <c r="L210" s="47">
        <v>4.1892120000000004</v>
      </c>
      <c r="M210" s="47">
        <v>403.84419600000001</v>
      </c>
      <c r="N210" s="48">
        <v>7.9894739628612755E-3</v>
      </c>
      <c r="O210" s="48">
        <v>2.9100000000000003E-4</v>
      </c>
      <c r="P210" s="28">
        <v>122.5</v>
      </c>
      <c r="Q210" s="28">
        <v>120.14400000000001</v>
      </c>
      <c r="R210" s="48">
        <v>1.9609801571447549E-2</v>
      </c>
    </row>
    <row r="211" spans="1:18" x14ac:dyDescent="0.15">
      <c r="A211" s="29">
        <v>210</v>
      </c>
      <c r="B211" s="28">
        <v>127019</v>
      </c>
      <c r="C211" s="28" t="s">
        <v>156</v>
      </c>
      <c r="D211" s="28">
        <v>114.12</v>
      </c>
      <c r="E211" s="48">
        <v>-2.46E-2</v>
      </c>
      <c r="F211" s="28">
        <v>21.23</v>
      </c>
      <c r="G211" s="28">
        <v>86.91</v>
      </c>
      <c r="H211" s="48">
        <v>0.31309999999999999</v>
      </c>
      <c r="I211" s="45">
        <v>145.43</v>
      </c>
      <c r="J211" s="46">
        <v>46218</v>
      </c>
      <c r="K211" s="47">
        <v>3.6549999999999998</v>
      </c>
      <c r="L211" s="47">
        <v>8.4977260000000001</v>
      </c>
      <c r="M211" s="47">
        <v>4743.4724590000005</v>
      </c>
      <c r="N211" s="48">
        <v>4.891385555954799E-2</v>
      </c>
      <c r="O211" s="48">
        <v>4.3899999999999999E-4</v>
      </c>
      <c r="P211" s="28">
        <v>117.42700000000001</v>
      </c>
      <c r="Q211" s="28">
        <v>113.95</v>
      </c>
      <c r="R211" s="48">
        <v>3.0513383062746851E-2</v>
      </c>
    </row>
    <row r="212" spans="1:18" x14ac:dyDescent="0.15">
      <c r="A212" s="29">
        <v>211</v>
      </c>
      <c r="B212" s="28">
        <v>123129</v>
      </c>
      <c r="C212" s="28" t="s">
        <v>217</v>
      </c>
      <c r="D212" s="28">
        <v>111.82</v>
      </c>
      <c r="E212" s="48">
        <v>2.8999999999999998E-3</v>
      </c>
      <c r="F212" s="28">
        <v>7.97</v>
      </c>
      <c r="G212" s="28">
        <v>85.07</v>
      </c>
      <c r="H212" s="48">
        <v>0.31440000000000001</v>
      </c>
      <c r="I212" s="45">
        <v>143.26</v>
      </c>
      <c r="J212" s="46">
        <v>46695</v>
      </c>
      <c r="K212" s="47">
        <v>4.9619999999999997</v>
      </c>
      <c r="L212" s="47">
        <v>5.9998779999999998</v>
      </c>
      <c r="M212" s="47">
        <v>486.98719500000004</v>
      </c>
      <c r="N212" s="48">
        <v>7.2586462957477975E-3</v>
      </c>
      <c r="O212" s="48">
        <v>1.0045E-2</v>
      </c>
      <c r="P212" s="28">
        <v>112.334</v>
      </c>
      <c r="Q212" s="28">
        <v>111.319</v>
      </c>
      <c r="R212" s="48">
        <v>9.1179403336357715E-3</v>
      </c>
    </row>
    <row r="213" spans="1:18" x14ac:dyDescent="0.15">
      <c r="A213" s="29">
        <v>212</v>
      </c>
      <c r="B213" s="28">
        <v>127005</v>
      </c>
      <c r="C213" s="28" t="s">
        <v>1745</v>
      </c>
      <c r="D213" s="28">
        <v>108.899</v>
      </c>
      <c r="E213" s="48">
        <v>8.9999999999999998E-4</v>
      </c>
      <c r="F213" s="28">
        <v>6.83</v>
      </c>
      <c r="G213" s="28">
        <v>82.28</v>
      </c>
      <c r="H213" s="48">
        <v>0.32350000000000001</v>
      </c>
      <c r="I213" s="45">
        <v>141.249</v>
      </c>
      <c r="J213" s="46">
        <v>45363</v>
      </c>
      <c r="K213" s="47">
        <v>1.3120000000000001</v>
      </c>
      <c r="L213" s="47">
        <v>49.964174999999997</v>
      </c>
      <c r="M213" s="47">
        <v>3277.7877336000001</v>
      </c>
      <c r="N213" s="48">
        <v>6.0241837894616582E-3</v>
      </c>
      <c r="O213" s="48">
        <v>-1.4879E-2</v>
      </c>
      <c r="P213" s="28">
        <v>109.4</v>
      </c>
      <c r="Q213" s="28">
        <v>108.444</v>
      </c>
      <c r="R213" s="48">
        <v>8.8156099000406014E-3</v>
      </c>
    </row>
    <row r="214" spans="1:18" x14ac:dyDescent="0.15">
      <c r="A214" s="29">
        <v>213</v>
      </c>
      <c r="B214" s="28">
        <v>127042</v>
      </c>
      <c r="C214" s="28" t="s">
        <v>91</v>
      </c>
      <c r="D214" s="28">
        <v>110.21</v>
      </c>
      <c r="E214" s="48">
        <v>-2E-3</v>
      </c>
      <c r="F214" s="28">
        <v>4.8600000000000003</v>
      </c>
      <c r="G214" s="28">
        <v>83.13</v>
      </c>
      <c r="H214" s="48">
        <v>0.32579999999999998</v>
      </c>
      <c r="I214" s="45">
        <v>142.79</v>
      </c>
      <c r="J214" s="46">
        <v>46608</v>
      </c>
      <c r="K214" s="47">
        <v>4.7229999999999999</v>
      </c>
      <c r="L214" s="47">
        <v>7.4980960000000012</v>
      </c>
      <c r="M214" s="47">
        <v>843.27116400000011</v>
      </c>
      <c r="N214" s="48">
        <v>1.0204582727528428E-2</v>
      </c>
      <c r="O214" s="48">
        <v>1.2593E-2</v>
      </c>
      <c r="P214" s="28">
        <v>111.1</v>
      </c>
      <c r="Q214" s="28">
        <v>110.21</v>
      </c>
      <c r="R214" s="48">
        <v>8.0754922420833014E-3</v>
      </c>
    </row>
    <row r="215" spans="1:18" x14ac:dyDescent="0.15">
      <c r="A215" s="29">
        <v>214</v>
      </c>
      <c r="B215" s="28">
        <v>123127</v>
      </c>
      <c r="C215" s="28" t="s">
        <v>106</v>
      </c>
      <c r="D215" s="28">
        <v>116.151</v>
      </c>
      <c r="E215" s="48">
        <v>5.0000000000000001E-4</v>
      </c>
      <c r="F215" s="28">
        <v>37</v>
      </c>
      <c r="G215" s="28">
        <v>87.59</v>
      </c>
      <c r="H215" s="48">
        <v>0.3261</v>
      </c>
      <c r="I215" s="45">
        <v>148.761</v>
      </c>
      <c r="J215" s="46">
        <v>46689</v>
      </c>
      <c r="K215" s="47">
        <v>4.9450000000000003</v>
      </c>
      <c r="L215" s="47">
        <v>3.9994390000000002</v>
      </c>
      <c r="M215" s="47">
        <v>1109.3006412</v>
      </c>
      <c r="N215" s="48">
        <v>2.3879610215107958E-2</v>
      </c>
      <c r="O215" s="48">
        <v>-6.2399999999999999E-4</v>
      </c>
      <c r="P215" s="28">
        <v>116.86</v>
      </c>
      <c r="Q215" s="28">
        <v>115.964</v>
      </c>
      <c r="R215" s="48">
        <v>7.72653582146184E-3</v>
      </c>
    </row>
    <row r="216" spans="1:18" x14ac:dyDescent="0.15">
      <c r="A216" s="29">
        <v>215</v>
      </c>
      <c r="B216" s="28">
        <v>110086</v>
      </c>
      <c r="C216" s="28" t="s">
        <v>1727</v>
      </c>
      <c r="D216" s="28">
        <v>115.80500000000001</v>
      </c>
      <c r="E216" s="48">
        <v>-3.9000000000000003E-3</v>
      </c>
      <c r="F216" s="28">
        <v>4.96</v>
      </c>
      <c r="G216" s="28">
        <v>87.3</v>
      </c>
      <c r="H216" s="48">
        <v>0.32650000000000001</v>
      </c>
      <c r="I216" s="45">
        <v>148.45500000000001</v>
      </c>
      <c r="J216" s="46">
        <v>46865</v>
      </c>
      <c r="K216" s="47">
        <v>5.4269999999999996</v>
      </c>
      <c r="L216" s="47">
        <v>19.999680000000001</v>
      </c>
      <c r="M216" s="47">
        <v>3343.6860000000001</v>
      </c>
      <c r="N216" s="48">
        <v>1.4436939250602295E-2</v>
      </c>
      <c r="O216" s="48">
        <v>2.0869999999999999E-3</v>
      </c>
      <c r="P216" s="28">
        <v>117.123</v>
      </c>
      <c r="Q216" s="28">
        <v>115.77800000000001</v>
      </c>
      <c r="R216" s="48">
        <v>1.1617060235968826E-2</v>
      </c>
    </row>
    <row r="217" spans="1:18" x14ac:dyDescent="0.15">
      <c r="A217" s="29">
        <v>216</v>
      </c>
      <c r="B217" s="28">
        <v>113600</v>
      </c>
      <c r="C217" s="28" t="s">
        <v>245</v>
      </c>
      <c r="D217" s="28">
        <v>117.949</v>
      </c>
      <c r="E217" s="48">
        <v>-8.6E-3</v>
      </c>
      <c r="F217" s="28">
        <v>23.85</v>
      </c>
      <c r="G217" s="28">
        <v>88.72</v>
      </c>
      <c r="H217" s="48">
        <v>0.32950000000000002</v>
      </c>
      <c r="I217" s="45">
        <v>150.899</v>
      </c>
      <c r="J217" s="46">
        <v>46247</v>
      </c>
      <c r="K217" s="47">
        <v>3.734</v>
      </c>
      <c r="L217" s="47">
        <v>4.5303300000000002</v>
      </c>
      <c r="M217" s="47">
        <v>1747.5798</v>
      </c>
      <c r="N217" s="48">
        <v>3.2704906715970088E-2</v>
      </c>
      <c r="O217" s="48">
        <v>1.5955999999999998E-2</v>
      </c>
      <c r="P217" s="28">
        <v>119.64100000000001</v>
      </c>
      <c r="Q217" s="28">
        <v>117.902</v>
      </c>
      <c r="R217" s="48">
        <v>1.474953775169212E-2</v>
      </c>
    </row>
    <row r="218" spans="1:18" x14ac:dyDescent="0.15">
      <c r="A218" s="29">
        <v>217</v>
      </c>
      <c r="B218" s="28">
        <v>123134</v>
      </c>
      <c r="C218" s="28" t="s">
        <v>250</v>
      </c>
      <c r="D218" s="28">
        <v>142.6</v>
      </c>
      <c r="E218" s="48">
        <v>-1.1599999999999999E-2</v>
      </c>
      <c r="F218" s="28">
        <v>75.7</v>
      </c>
      <c r="G218" s="28">
        <v>107</v>
      </c>
      <c r="H218" s="48">
        <v>0.33270000000000005</v>
      </c>
      <c r="I218" s="45">
        <v>175.87</v>
      </c>
      <c r="J218" s="46">
        <v>46748</v>
      </c>
      <c r="K218" s="47">
        <v>5.1070000000000002</v>
      </c>
      <c r="L218" s="47">
        <v>2.7857090000000002</v>
      </c>
      <c r="M218" s="47">
        <v>5031.3384219999998</v>
      </c>
      <c r="N218" s="48">
        <v>0.1266567259345551</v>
      </c>
      <c r="O218" s="48">
        <v>-3.2267999999999998E-2</v>
      </c>
      <c r="P218" s="28">
        <v>145.1</v>
      </c>
      <c r="Q218" s="28">
        <v>142.5</v>
      </c>
      <c r="R218" s="48">
        <v>1.824561403508768E-2</v>
      </c>
    </row>
    <row r="219" spans="1:18" x14ac:dyDescent="0.15">
      <c r="A219" s="29">
        <v>218</v>
      </c>
      <c r="B219" s="28">
        <v>123091</v>
      </c>
      <c r="C219" s="28" t="s">
        <v>214</v>
      </c>
      <c r="D219" s="28">
        <v>123.7</v>
      </c>
      <c r="E219" s="48">
        <v>-2.3999999999999998E-3</v>
      </c>
      <c r="F219" s="28">
        <v>15.99</v>
      </c>
      <c r="G219" s="28">
        <v>92.81</v>
      </c>
      <c r="H219" s="48">
        <v>0.33279999999999998</v>
      </c>
      <c r="I219" s="45">
        <v>156.98000000000002</v>
      </c>
      <c r="J219" s="46">
        <v>46379</v>
      </c>
      <c r="K219" s="47">
        <v>4.0960000000000001</v>
      </c>
      <c r="L219" s="47">
        <v>5.4975389999999997</v>
      </c>
      <c r="M219" s="47">
        <v>1305.1243036000001</v>
      </c>
      <c r="N219" s="48">
        <v>1.9191718215994868E-2</v>
      </c>
      <c r="O219" s="48">
        <v>-1.6102000000000002E-2</v>
      </c>
      <c r="P219" s="28">
        <v>124.95</v>
      </c>
      <c r="Q219" s="28">
        <v>123.26</v>
      </c>
      <c r="R219" s="48">
        <v>1.3710855103034218E-2</v>
      </c>
    </row>
    <row r="220" spans="1:18" x14ac:dyDescent="0.15">
      <c r="A220" s="29">
        <v>219</v>
      </c>
      <c r="B220" s="28">
        <v>113588</v>
      </c>
      <c r="C220" s="28" t="s">
        <v>195</v>
      </c>
      <c r="D220" s="28">
        <v>116.90600000000001</v>
      </c>
      <c r="E220" s="48">
        <v>-8.0000000000000004E-4</v>
      </c>
      <c r="F220" s="28">
        <v>13.25</v>
      </c>
      <c r="G220" s="28">
        <v>87.7</v>
      </c>
      <c r="H220" s="48">
        <v>0.33299999999999996</v>
      </c>
      <c r="I220" s="45">
        <v>150.20600000000002</v>
      </c>
      <c r="J220" s="46">
        <v>46190</v>
      </c>
      <c r="K220" s="47">
        <v>3.5779999999999998</v>
      </c>
      <c r="L220" s="47">
        <v>5.4988000000000001</v>
      </c>
      <c r="M220" s="47">
        <v>2583.4872999999998</v>
      </c>
      <c r="N220" s="48">
        <v>4.0188482323261068E-2</v>
      </c>
      <c r="O220" s="48">
        <v>-8.8800000000000007E-3</v>
      </c>
      <c r="P220" s="28">
        <v>119.02800000000001</v>
      </c>
      <c r="Q220" s="28">
        <v>116.685</v>
      </c>
      <c r="R220" s="48">
        <v>2.0079701761151848E-2</v>
      </c>
    </row>
    <row r="221" spans="1:18" x14ac:dyDescent="0.15">
      <c r="A221" s="29">
        <v>220</v>
      </c>
      <c r="B221" s="28">
        <v>123082</v>
      </c>
      <c r="C221" s="28" t="s">
        <v>74</v>
      </c>
      <c r="D221" s="28">
        <v>114.51600000000001</v>
      </c>
      <c r="E221" s="48">
        <v>1.7000000000000001E-3</v>
      </c>
      <c r="F221" s="28">
        <v>8.75</v>
      </c>
      <c r="G221" s="28">
        <v>85.83</v>
      </c>
      <c r="H221" s="48">
        <v>0.3342</v>
      </c>
      <c r="I221" s="45">
        <v>147.93600000000001</v>
      </c>
      <c r="J221" s="46">
        <v>46363</v>
      </c>
      <c r="K221" s="47">
        <v>4.0519999999999996</v>
      </c>
      <c r="L221" s="47">
        <v>4.9929649999999999</v>
      </c>
      <c r="M221" s="47">
        <v>1079.5639130000002</v>
      </c>
      <c r="N221" s="48">
        <v>1.888094239397865E-2</v>
      </c>
      <c r="O221" s="48">
        <v>1.4466000000000001E-2</v>
      </c>
      <c r="P221" s="28">
        <v>115.315</v>
      </c>
      <c r="Q221" s="28">
        <v>114</v>
      </c>
      <c r="R221" s="48">
        <v>1.1535087719298226E-2</v>
      </c>
    </row>
    <row r="222" spans="1:18" x14ac:dyDescent="0.15">
      <c r="A222" s="29">
        <v>221</v>
      </c>
      <c r="B222" s="28">
        <v>128101</v>
      </c>
      <c r="C222" s="28" t="s">
        <v>1905</v>
      </c>
      <c r="D222" s="28">
        <v>133.73400000000001</v>
      </c>
      <c r="E222" s="48">
        <v>-8.6999999999999994E-3</v>
      </c>
      <c r="F222" s="28">
        <v>13.66</v>
      </c>
      <c r="G222" s="28">
        <v>100.22</v>
      </c>
      <c r="H222" s="48">
        <v>0.33439999999999998</v>
      </c>
      <c r="I222" s="45">
        <v>167.17400000000001</v>
      </c>
      <c r="J222" s="46">
        <v>46097</v>
      </c>
      <c r="K222" s="47">
        <v>3.323</v>
      </c>
      <c r="L222" s="47">
        <v>2.9901110000000002</v>
      </c>
      <c r="M222" s="47">
        <v>1414.8124223</v>
      </c>
      <c r="N222" s="48">
        <v>3.5380968678578283E-2</v>
      </c>
      <c r="O222" s="48">
        <v>-4.7011000000000004E-2</v>
      </c>
      <c r="P222" s="28">
        <v>136.279</v>
      </c>
      <c r="Q222" s="28">
        <v>133.19999999999999</v>
      </c>
      <c r="R222" s="48">
        <v>2.3115615615615676E-2</v>
      </c>
    </row>
    <row r="223" spans="1:18" x14ac:dyDescent="0.15">
      <c r="A223" s="29">
        <v>222</v>
      </c>
      <c r="B223" s="28">
        <v>128076</v>
      </c>
      <c r="C223" s="28" t="s">
        <v>120</v>
      </c>
      <c r="D223" s="28">
        <v>118.786</v>
      </c>
      <c r="E223" s="48">
        <v>8.9999999999999998E-4</v>
      </c>
      <c r="F223" s="28">
        <v>14.51</v>
      </c>
      <c r="G223" s="28">
        <v>88.97</v>
      </c>
      <c r="H223" s="48">
        <v>0.33509999999999995</v>
      </c>
      <c r="I223" s="45">
        <v>152.29599999999999</v>
      </c>
      <c r="J223" s="46">
        <v>45944</v>
      </c>
      <c r="K223" s="47">
        <v>2.9039999999999999</v>
      </c>
      <c r="L223" s="47">
        <v>2.136962</v>
      </c>
      <c r="M223" s="47">
        <v>769.29918099999998</v>
      </c>
      <c r="N223" s="48">
        <v>3.0306320549232445E-2</v>
      </c>
      <c r="O223" s="48">
        <v>-1.6369000000000002E-2</v>
      </c>
      <c r="P223" s="28">
        <v>119.44799999999999</v>
      </c>
      <c r="Q223" s="28">
        <v>118.3</v>
      </c>
      <c r="R223" s="48">
        <v>9.7041420118342877E-3</v>
      </c>
    </row>
    <row r="224" spans="1:18" x14ac:dyDescent="0.15">
      <c r="A224" s="29">
        <v>223</v>
      </c>
      <c r="B224" s="28">
        <v>123014</v>
      </c>
      <c r="C224" s="28" t="s">
        <v>55</v>
      </c>
      <c r="D224" s="28">
        <v>136.4</v>
      </c>
      <c r="E224" s="48">
        <v>8.3000000000000001E-3</v>
      </c>
      <c r="F224" s="28">
        <v>8.0299999999999994</v>
      </c>
      <c r="G224" s="28">
        <v>101.99</v>
      </c>
      <c r="H224" s="48">
        <v>0.33740000000000003</v>
      </c>
      <c r="I224" s="45">
        <v>170.14000000000001</v>
      </c>
      <c r="J224" s="46">
        <v>45134</v>
      </c>
      <c r="K224" s="47">
        <v>0.68500000000000005</v>
      </c>
      <c r="L224" s="47">
        <v>1.1602950000000001</v>
      </c>
      <c r="M224" s="47">
        <v>1746.0763789999999</v>
      </c>
      <c r="N224" s="48">
        <v>0.11032665377000707</v>
      </c>
      <c r="O224" s="48">
        <v>-0.30696600000000002</v>
      </c>
      <c r="P224" s="28">
        <v>136.50700000000001</v>
      </c>
      <c r="Q224" s="28">
        <v>134.88499999999999</v>
      </c>
      <c r="R224" s="48">
        <v>1.2025058383067163E-2</v>
      </c>
    </row>
    <row r="225" spans="1:18" x14ac:dyDescent="0.15">
      <c r="A225" s="29">
        <v>224</v>
      </c>
      <c r="B225" s="28">
        <v>113530</v>
      </c>
      <c r="C225" s="28" t="s">
        <v>170</v>
      </c>
      <c r="D225" s="28">
        <v>117.59</v>
      </c>
      <c r="E225" s="48">
        <v>-1.6000000000000001E-3</v>
      </c>
      <c r="F225" s="28">
        <v>16.100000000000001</v>
      </c>
      <c r="G225" s="28">
        <v>87.89</v>
      </c>
      <c r="H225" s="48">
        <v>0.33789999999999998</v>
      </c>
      <c r="I225" s="45">
        <v>151.38</v>
      </c>
      <c r="J225" s="46">
        <v>45743</v>
      </c>
      <c r="K225" s="47">
        <v>2.3530000000000002</v>
      </c>
      <c r="L225" s="47">
        <v>6.2976000000000001</v>
      </c>
      <c r="M225" s="47">
        <v>4053.8516</v>
      </c>
      <c r="N225" s="48">
        <v>5.4742217213661626E-2</v>
      </c>
      <c r="O225" s="48">
        <v>8.8210000000000007E-3</v>
      </c>
      <c r="P225" s="28">
        <v>119.164</v>
      </c>
      <c r="Q225" s="28">
        <v>116.956</v>
      </c>
      <c r="R225" s="48">
        <v>1.8878894627039216E-2</v>
      </c>
    </row>
    <row r="226" spans="1:18" x14ac:dyDescent="0.15">
      <c r="A226" s="29">
        <v>225</v>
      </c>
      <c r="B226" s="28">
        <v>113016</v>
      </c>
      <c r="C226" s="28" t="s">
        <v>1877</v>
      </c>
      <c r="D226" s="28">
        <v>327.18700000000001</v>
      </c>
      <c r="E226" s="48">
        <v>-1.4499999999999999E-2</v>
      </c>
      <c r="F226" s="28">
        <v>20.170000000000002</v>
      </c>
      <c r="G226" s="28">
        <v>243.28</v>
      </c>
      <c r="H226" s="48">
        <v>0.34490000000000004</v>
      </c>
      <c r="I226" s="45">
        <v>361.67700000000002</v>
      </c>
      <c r="J226" s="46">
        <v>45236</v>
      </c>
      <c r="K226" s="47">
        <v>0.96399999999999997</v>
      </c>
      <c r="L226" s="47">
        <v>2.0636299999999999</v>
      </c>
      <c r="M226" s="47">
        <v>48886.978300000002</v>
      </c>
      <c r="N226" s="48">
        <v>0.72404460506200086</v>
      </c>
      <c r="O226" s="48">
        <v>-0.68820400000000004</v>
      </c>
      <c r="P226" s="28">
        <v>338</v>
      </c>
      <c r="Q226" s="28">
        <v>326</v>
      </c>
      <c r="R226" s="48">
        <v>3.6809815950920248E-2</v>
      </c>
    </row>
    <row r="227" spans="1:18" x14ac:dyDescent="0.15">
      <c r="A227" s="29">
        <v>226</v>
      </c>
      <c r="B227" s="28">
        <v>110067</v>
      </c>
      <c r="C227" s="28" t="s">
        <v>1762</v>
      </c>
      <c r="D227" s="28">
        <v>110.301</v>
      </c>
      <c r="E227" s="48">
        <v>4.0000000000000002E-4</v>
      </c>
      <c r="F227" s="28">
        <v>6.12</v>
      </c>
      <c r="G227" s="28">
        <v>81.86</v>
      </c>
      <c r="H227" s="48">
        <v>0.34740000000000004</v>
      </c>
      <c r="I227" s="45">
        <v>145.041</v>
      </c>
      <c r="J227" s="46">
        <v>46093</v>
      </c>
      <c r="K227" s="47">
        <v>3.3119999999999998</v>
      </c>
      <c r="L227" s="47">
        <v>27.994990000000001</v>
      </c>
      <c r="M227" s="47">
        <v>2618.4292</v>
      </c>
      <c r="N227" s="48">
        <v>8.4797113471361193E-3</v>
      </c>
      <c r="O227" s="48">
        <v>-1.1130000000000001E-3</v>
      </c>
      <c r="P227" s="28">
        <v>110.559</v>
      </c>
      <c r="Q227" s="28">
        <v>109.714</v>
      </c>
      <c r="R227" s="48">
        <v>7.7018429735494004E-3</v>
      </c>
    </row>
    <row r="228" spans="1:18" x14ac:dyDescent="0.15">
      <c r="A228" s="29">
        <v>227</v>
      </c>
      <c r="B228" s="28">
        <v>113061</v>
      </c>
      <c r="C228" s="28" t="s">
        <v>1904</v>
      </c>
      <c r="D228" s="28">
        <v>129.249</v>
      </c>
      <c r="E228" s="48">
        <v>-1.7000000000000001E-2</v>
      </c>
      <c r="F228" s="28">
        <v>71.38</v>
      </c>
      <c r="G228" s="28">
        <v>95.74</v>
      </c>
      <c r="H228" s="48">
        <v>0.35</v>
      </c>
      <c r="I228" s="45">
        <v>164.249</v>
      </c>
      <c r="J228" s="46">
        <v>46948</v>
      </c>
      <c r="K228" s="47">
        <v>5.6550000000000002</v>
      </c>
      <c r="L228" s="47">
        <v>25</v>
      </c>
      <c r="M228" s="47">
        <v>8203.9917000000005</v>
      </c>
      <c r="N228" s="48">
        <v>2.5389725877956505E-2</v>
      </c>
      <c r="O228" s="48">
        <v>-2.1482999999999999E-2</v>
      </c>
      <c r="P228" s="28">
        <v>133.309</v>
      </c>
      <c r="Q228" s="28">
        <v>129</v>
      </c>
      <c r="R228" s="48">
        <v>3.3403100775193782E-2</v>
      </c>
    </row>
    <row r="229" spans="1:18" x14ac:dyDescent="0.15">
      <c r="A229" s="29">
        <v>228</v>
      </c>
      <c r="B229" s="28">
        <v>128114</v>
      </c>
      <c r="C229" s="28" t="s">
        <v>1702</v>
      </c>
      <c r="D229" s="28">
        <v>90.391000000000005</v>
      </c>
      <c r="E229" s="48">
        <v>-1.4000000000000002E-3</v>
      </c>
      <c r="F229" s="28">
        <v>6.08</v>
      </c>
      <c r="G229" s="28">
        <v>66.94</v>
      </c>
      <c r="H229" s="48">
        <v>0.3503</v>
      </c>
      <c r="I229" s="45">
        <v>125.42100000000001</v>
      </c>
      <c r="J229" s="46">
        <v>46190</v>
      </c>
      <c r="K229" s="47">
        <v>3.5779999999999998</v>
      </c>
      <c r="L229" s="47">
        <v>13.330474000000001</v>
      </c>
      <c r="M229" s="47">
        <v>2989.3228220999999</v>
      </c>
      <c r="N229" s="48">
        <v>2.4808587303083801E-2</v>
      </c>
      <c r="O229" s="48">
        <v>6.9196999999999995E-2</v>
      </c>
      <c r="P229" s="28">
        <v>90.64</v>
      </c>
      <c r="Q229" s="28">
        <v>90.200999999999993</v>
      </c>
      <c r="R229" s="48">
        <v>4.8669083491314638E-3</v>
      </c>
    </row>
    <row r="230" spans="1:18" x14ac:dyDescent="0.15">
      <c r="A230" s="29">
        <v>229</v>
      </c>
      <c r="B230" s="28">
        <v>113563</v>
      </c>
      <c r="C230" s="28" t="s">
        <v>148</v>
      </c>
      <c r="D230" s="28">
        <v>118.943</v>
      </c>
      <c r="E230" s="48">
        <v>2.7000000000000001E-3</v>
      </c>
      <c r="F230" s="28">
        <v>23.39</v>
      </c>
      <c r="G230" s="28">
        <v>88.03</v>
      </c>
      <c r="H230" s="48">
        <v>0.35119999999999996</v>
      </c>
      <c r="I230" s="45">
        <v>154.06299999999999</v>
      </c>
      <c r="J230" s="46">
        <v>46038</v>
      </c>
      <c r="K230" s="47">
        <v>3.1619999999999999</v>
      </c>
      <c r="L230" s="47">
        <v>8.0190099999999997</v>
      </c>
      <c r="M230" s="47">
        <v>5125.3116</v>
      </c>
      <c r="N230" s="48">
        <v>5.3735417911354492E-2</v>
      </c>
      <c r="O230" s="48">
        <v>-1.839E-2</v>
      </c>
      <c r="P230" s="28">
        <v>120.482</v>
      </c>
      <c r="Q230" s="28">
        <v>117.801</v>
      </c>
      <c r="R230" s="48">
        <v>2.2758720214599175E-2</v>
      </c>
    </row>
    <row r="231" spans="1:18" x14ac:dyDescent="0.15">
      <c r="A231" s="29">
        <v>230</v>
      </c>
      <c r="B231" s="28">
        <v>110070</v>
      </c>
      <c r="C231" s="28" t="s">
        <v>87</v>
      </c>
      <c r="D231" s="28">
        <v>114.855</v>
      </c>
      <c r="E231" s="48">
        <v>-2.0999999999999999E-3</v>
      </c>
      <c r="F231" s="28">
        <v>2.59</v>
      </c>
      <c r="G231" s="28">
        <v>84.94</v>
      </c>
      <c r="H231" s="48">
        <v>0.35220000000000001</v>
      </c>
      <c r="I231" s="45">
        <v>150.07499999999999</v>
      </c>
      <c r="J231" s="46">
        <v>46125</v>
      </c>
      <c r="K231" s="47">
        <v>3.4</v>
      </c>
      <c r="L231" s="47">
        <v>2.1705299999999998</v>
      </c>
      <c r="M231" s="47">
        <v>782.53340000000003</v>
      </c>
      <c r="N231" s="48">
        <v>3.1389701380640435E-2</v>
      </c>
      <c r="O231" s="48">
        <v>4.7980000000000002E-3</v>
      </c>
      <c r="P231" s="28">
        <v>115.65</v>
      </c>
      <c r="Q231" s="28">
        <v>114.69199999999999</v>
      </c>
      <c r="R231" s="48">
        <v>8.3528057754683211E-3</v>
      </c>
    </row>
    <row r="232" spans="1:18" x14ac:dyDescent="0.15">
      <c r="A232" s="29">
        <v>231</v>
      </c>
      <c r="B232" s="28">
        <v>127073</v>
      </c>
      <c r="C232" s="28" t="s">
        <v>2058</v>
      </c>
      <c r="D232" s="28">
        <v>123.89400000000001</v>
      </c>
      <c r="E232" s="48">
        <v>6.5000000000000006E-3</v>
      </c>
      <c r="F232" s="28">
        <v>48.82</v>
      </c>
      <c r="G232" s="28">
        <v>91.58</v>
      </c>
      <c r="H232" s="48">
        <v>0.3528</v>
      </c>
      <c r="I232" s="45">
        <v>159.17400000000001</v>
      </c>
      <c r="J232" s="46">
        <v>46653</v>
      </c>
      <c r="K232" s="47">
        <v>4.8470000000000004</v>
      </c>
      <c r="L232" s="47">
        <v>34.104999999999997</v>
      </c>
      <c r="M232" s="47">
        <v>10236.7125741</v>
      </c>
      <c r="N232" s="48">
        <v>2.422658393466565E-2</v>
      </c>
      <c r="O232" s="48">
        <v>-2.0630000000000003E-2</v>
      </c>
      <c r="P232" s="28">
        <v>125.099</v>
      </c>
      <c r="Q232" s="28">
        <v>121</v>
      </c>
      <c r="R232" s="48">
        <v>3.3876033057851272E-2</v>
      </c>
    </row>
    <row r="233" spans="1:18" x14ac:dyDescent="0.15">
      <c r="A233" s="29">
        <v>232</v>
      </c>
      <c r="B233" s="28">
        <v>127052</v>
      </c>
      <c r="C233" s="28" t="s">
        <v>1792</v>
      </c>
      <c r="D233" s="28">
        <v>121.18</v>
      </c>
      <c r="E233" s="48">
        <v>-5.8999999999999999E-3</v>
      </c>
      <c r="F233" s="28">
        <v>18.8</v>
      </c>
      <c r="G233" s="28">
        <v>89.57</v>
      </c>
      <c r="H233" s="48">
        <v>0.35289999999999999</v>
      </c>
      <c r="I233" s="45">
        <v>156.47</v>
      </c>
      <c r="J233" s="46">
        <v>46745</v>
      </c>
      <c r="K233" s="47">
        <v>5.0990000000000002</v>
      </c>
      <c r="L233" s="47">
        <v>11.099648</v>
      </c>
      <c r="M233" s="47">
        <v>2460.5899717000002</v>
      </c>
      <c r="N233" s="48">
        <v>1.8293596479173644E-2</v>
      </c>
      <c r="O233" s="48">
        <v>-1.0233000000000001E-2</v>
      </c>
      <c r="P233" s="28">
        <v>123.14</v>
      </c>
      <c r="Q233" s="28">
        <v>120.80500000000001</v>
      </c>
      <c r="R233" s="48">
        <v>1.932867017093658E-2</v>
      </c>
    </row>
    <row r="234" spans="1:18" x14ac:dyDescent="0.15">
      <c r="A234" s="29">
        <v>233</v>
      </c>
      <c r="B234" s="28">
        <v>113505</v>
      </c>
      <c r="C234" s="28" t="s">
        <v>213</v>
      </c>
      <c r="D234" s="28">
        <v>112.7</v>
      </c>
      <c r="E234" s="48">
        <v>3.0999999999999999E-3</v>
      </c>
      <c r="F234" s="28">
        <v>7.03</v>
      </c>
      <c r="G234" s="28">
        <v>83.21</v>
      </c>
      <c r="H234" s="48">
        <v>0.35439999999999999</v>
      </c>
      <c r="I234" s="45">
        <v>148.13999999999999</v>
      </c>
      <c r="J234" s="46">
        <v>45357</v>
      </c>
      <c r="K234" s="47">
        <v>1.296</v>
      </c>
      <c r="L234" s="47">
        <v>7.4973799999999997</v>
      </c>
      <c r="M234" s="47">
        <v>769.75729999999999</v>
      </c>
      <c r="N234" s="48">
        <v>9.1100419503423197E-3</v>
      </c>
      <c r="O234" s="48">
        <v>-2.0124E-2</v>
      </c>
      <c r="P234" s="28">
        <v>113.123</v>
      </c>
      <c r="Q234" s="28">
        <v>112.343</v>
      </c>
      <c r="R234" s="48">
        <v>6.9430227072447871E-3</v>
      </c>
    </row>
    <row r="235" spans="1:18" x14ac:dyDescent="0.15">
      <c r="A235" s="29">
        <v>234</v>
      </c>
      <c r="B235" s="28">
        <v>123145</v>
      </c>
      <c r="C235" s="28" t="s">
        <v>1746</v>
      </c>
      <c r="D235" s="28">
        <v>129.6</v>
      </c>
      <c r="E235" s="48">
        <v>6.3E-3</v>
      </c>
      <c r="F235" s="28">
        <v>92.88</v>
      </c>
      <c r="G235" s="28">
        <v>95.67</v>
      </c>
      <c r="H235" s="48">
        <v>0.35470000000000002</v>
      </c>
      <c r="I235" s="45">
        <v>165.07</v>
      </c>
      <c r="J235" s="46">
        <v>46863</v>
      </c>
      <c r="K235" s="47">
        <v>5.4219999999999997</v>
      </c>
      <c r="L235" s="47">
        <v>11.494399</v>
      </c>
      <c r="M235" s="47">
        <v>12702.945815000001</v>
      </c>
      <c r="N235" s="48">
        <v>8.5273320696894375E-2</v>
      </c>
      <c r="O235" s="48">
        <v>-2.2017999999999999E-2</v>
      </c>
      <c r="P235" s="28">
        <v>132.85</v>
      </c>
      <c r="Q235" s="28">
        <v>128.375</v>
      </c>
      <c r="R235" s="48">
        <v>3.4858812074001905E-2</v>
      </c>
    </row>
    <row r="236" spans="1:18" x14ac:dyDescent="0.15">
      <c r="A236" s="29">
        <v>235</v>
      </c>
      <c r="B236" s="28">
        <v>128109</v>
      </c>
      <c r="C236" s="28" t="s">
        <v>1871</v>
      </c>
      <c r="D236" s="28">
        <v>120.309</v>
      </c>
      <c r="E236" s="48">
        <v>-4.7999999999999996E-3</v>
      </c>
      <c r="F236" s="28">
        <v>8.3800000000000008</v>
      </c>
      <c r="G236" s="28">
        <v>88.66</v>
      </c>
      <c r="H236" s="48">
        <v>0.35700000000000004</v>
      </c>
      <c r="I236" s="45">
        <v>156.00900000000001</v>
      </c>
      <c r="J236" s="46">
        <v>46177</v>
      </c>
      <c r="K236" s="47">
        <v>3.5419999999999998</v>
      </c>
      <c r="L236" s="47">
        <v>18.225275</v>
      </c>
      <c r="M236" s="47">
        <v>862.73365069999988</v>
      </c>
      <c r="N236" s="48">
        <v>3.9346357248399993E-3</v>
      </c>
      <c r="O236" s="48">
        <v>-1.4624E-2</v>
      </c>
      <c r="P236" s="28">
        <v>121.79900000000001</v>
      </c>
      <c r="Q236" s="28">
        <v>120</v>
      </c>
      <c r="R236" s="48">
        <v>1.4991666666666721E-2</v>
      </c>
    </row>
    <row r="237" spans="1:18" x14ac:dyDescent="0.15">
      <c r="A237" s="29">
        <v>236</v>
      </c>
      <c r="B237" s="28">
        <v>128143</v>
      </c>
      <c r="C237" s="28" t="s">
        <v>109</v>
      </c>
      <c r="D237" s="28">
        <v>123.078</v>
      </c>
      <c r="E237" s="48">
        <v>-7.4000000000000003E-3</v>
      </c>
      <c r="F237" s="28">
        <v>12.63</v>
      </c>
      <c r="G237" s="28">
        <v>90.66</v>
      </c>
      <c r="H237" s="48">
        <v>0.35759999999999997</v>
      </c>
      <c r="I237" s="45">
        <v>158.83799999999999</v>
      </c>
      <c r="J237" s="46">
        <v>46395</v>
      </c>
      <c r="K237" s="47">
        <v>4.1399999999999997</v>
      </c>
      <c r="L237" s="47">
        <v>2.4408439999999998</v>
      </c>
      <c r="M237" s="47">
        <v>12077.3038399</v>
      </c>
      <c r="N237" s="48">
        <v>0.40202173955353354</v>
      </c>
      <c r="O237" s="48">
        <v>-3.7990000000000003E-3</v>
      </c>
      <c r="P237" s="28">
        <v>124.479</v>
      </c>
      <c r="Q237" s="28">
        <v>122.5</v>
      </c>
      <c r="R237" s="48">
        <v>1.615510204081632E-2</v>
      </c>
    </row>
    <row r="238" spans="1:18" x14ac:dyDescent="0.15">
      <c r="A238" s="29">
        <v>237</v>
      </c>
      <c r="B238" s="28">
        <v>113013</v>
      </c>
      <c r="C238" s="28" t="s">
        <v>1742</v>
      </c>
      <c r="D238" s="28">
        <v>105.586</v>
      </c>
      <c r="E238" s="48">
        <v>-3.2000000000000002E-3</v>
      </c>
      <c r="F238" s="28">
        <v>17.77</v>
      </c>
      <c r="G238" s="28">
        <v>77.72</v>
      </c>
      <c r="H238" s="48">
        <v>0.35850000000000004</v>
      </c>
      <c r="I238" s="45">
        <v>141.43600000000001</v>
      </c>
      <c r="J238" s="46">
        <v>45114</v>
      </c>
      <c r="K238" s="47">
        <v>0.63</v>
      </c>
      <c r="L238" s="47">
        <v>69.901709999999994</v>
      </c>
      <c r="M238" s="47">
        <v>11863.072399999999</v>
      </c>
      <c r="N238" s="48">
        <v>1.6073225712688738E-2</v>
      </c>
      <c r="O238" s="48">
        <v>-8.7549999999999989E-3</v>
      </c>
      <c r="P238" s="28">
        <v>106.08</v>
      </c>
      <c r="Q238" s="28">
        <v>105.5</v>
      </c>
      <c r="R238" s="48">
        <v>5.4976303317535386E-3</v>
      </c>
    </row>
    <row r="239" spans="1:18" x14ac:dyDescent="0.15">
      <c r="A239" s="29">
        <v>238</v>
      </c>
      <c r="B239" s="28">
        <v>123152</v>
      </c>
      <c r="C239" s="28" t="s">
        <v>1901</v>
      </c>
      <c r="D239" s="28">
        <v>128.71199999999999</v>
      </c>
      <c r="E239" s="48">
        <v>-1.0200000000000001E-2</v>
      </c>
      <c r="F239" s="28">
        <v>29.27</v>
      </c>
      <c r="G239" s="28">
        <v>94.7</v>
      </c>
      <c r="H239" s="48">
        <v>0.35920000000000002</v>
      </c>
      <c r="I239" s="45">
        <v>164.63200000000001</v>
      </c>
      <c r="J239" s="46">
        <v>46955</v>
      </c>
      <c r="K239" s="47">
        <v>5.6740000000000004</v>
      </c>
      <c r="L239" s="47">
        <v>2.9235000000000002</v>
      </c>
      <c r="M239" s="47">
        <v>899.22669550000001</v>
      </c>
      <c r="N239" s="48">
        <v>2.3897201995510205E-2</v>
      </c>
      <c r="O239" s="48">
        <v>-5.9619999999999994E-3</v>
      </c>
      <c r="P239" s="28">
        <v>131.471</v>
      </c>
      <c r="Q239" s="28">
        <v>128.50800000000001</v>
      </c>
      <c r="R239" s="48">
        <v>2.3056930307840708E-2</v>
      </c>
    </row>
    <row r="240" spans="1:18" x14ac:dyDescent="0.15">
      <c r="A240" s="29">
        <v>239</v>
      </c>
      <c r="B240" s="28">
        <v>113024</v>
      </c>
      <c r="C240" s="28" t="s">
        <v>1736</v>
      </c>
      <c r="D240" s="28">
        <v>109.613</v>
      </c>
      <c r="E240" s="48">
        <v>-7.7000000000000002E-3</v>
      </c>
      <c r="F240" s="28">
        <v>9.6300000000000008</v>
      </c>
      <c r="G240" s="28">
        <v>80.58</v>
      </c>
      <c r="H240" s="48">
        <v>0.36030000000000001</v>
      </c>
      <c r="I240" s="45">
        <v>145.643</v>
      </c>
      <c r="J240" s="46">
        <v>45755</v>
      </c>
      <c r="K240" s="47">
        <v>2.3860000000000001</v>
      </c>
      <c r="L240" s="47">
        <v>29.953769999999999</v>
      </c>
      <c r="M240" s="47">
        <v>2215.6116999999999</v>
      </c>
      <c r="N240" s="48">
        <v>6.7480780172698299E-3</v>
      </c>
      <c r="O240" s="48">
        <v>-5.1259999999999995E-3</v>
      </c>
      <c r="P240" s="28">
        <v>111.565</v>
      </c>
      <c r="Q240" s="28">
        <v>109.39400000000001</v>
      </c>
      <c r="R240" s="48">
        <v>1.9845695376345979E-2</v>
      </c>
    </row>
    <row r="241" spans="1:18" x14ac:dyDescent="0.15">
      <c r="A241" s="29">
        <v>240</v>
      </c>
      <c r="B241" s="28">
        <v>113524</v>
      </c>
      <c r="C241" s="28" t="s">
        <v>197</v>
      </c>
      <c r="D241" s="28">
        <v>116.459</v>
      </c>
      <c r="E241" s="48">
        <v>-4.0000000000000001E-3</v>
      </c>
      <c r="F241" s="28">
        <v>13.68</v>
      </c>
      <c r="G241" s="28">
        <v>85.6</v>
      </c>
      <c r="H241" s="48">
        <v>0.36049999999999999</v>
      </c>
      <c r="I241" s="45">
        <v>152.50900000000001</v>
      </c>
      <c r="J241" s="46">
        <v>45640</v>
      </c>
      <c r="K241" s="47">
        <v>2.0710000000000002</v>
      </c>
      <c r="L241" s="47">
        <v>3.2974700000000001</v>
      </c>
      <c r="M241" s="47">
        <v>420.41820000000001</v>
      </c>
      <c r="N241" s="48">
        <v>1.0947818751717631E-2</v>
      </c>
      <c r="O241" s="48">
        <v>-6.7199999999999996E-4</v>
      </c>
      <c r="P241" s="28">
        <v>117.39</v>
      </c>
      <c r="Q241" s="28">
        <v>116.414</v>
      </c>
      <c r="R241" s="48">
        <v>8.3838713556788624E-3</v>
      </c>
    </row>
    <row r="242" spans="1:18" x14ac:dyDescent="0.15">
      <c r="A242" s="29">
        <v>241</v>
      </c>
      <c r="B242" s="28">
        <v>128097</v>
      </c>
      <c r="C242" s="28" t="s">
        <v>103</v>
      </c>
      <c r="D242" s="28">
        <v>113.623</v>
      </c>
      <c r="E242" s="48">
        <v>-1.6000000000000001E-3</v>
      </c>
      <c r="F242" s="28">
        <v>10.050000000000001</v>
      </c>
      <c r="G242" s="28">
        <v>83.48</v>
      </c>
      <c r="H242" s="48">
        <v>0.36109999999999998</v>
      </c>
      <c r="I242" s="45">
        <v>149.733</v>
      </c>
      <c r="J242" s="46">
        <v>46078</v>
      </c>
      <c r="K242" s="47">
        <v>3.2709999999999999</v>
      </c>
      <c r="L242" s="47">
        <v>4.5853039999999998</v>
      </c>
      <c r="M242" s="47">
        <v>2575.211644</v>
      </c>
      <c r="N242" s="48">
        <v>4.9428626358625563E-2</v>
      </c>
      <c r="O242" s="48">
        <v>1.8549999999999999E-3</v>
      </c>
      <c r="P242" s="28">
        <v>115.6</v>
      </c>
      <c r="Q242" s="28">
        <v>112.8</v>
      </c>
      <c r="R242" s="48">
        <v>2.482269503546097E-2</v>
      </c>
    </row>
    <row r="243" spans="1:18" x14ac:dyDescent="0.15">
      <c r="A243" s="29">
        <v>242</v>
      </c>
      <c r="B243" s="28">
        <v>110088</v>
      </c>
      <c r="C243" s="28" t="s">
        <v>2067</v>
      </c>
      <c r="D243" s="28">
        <v>124.306</v>
      </c>
      <c r="E243" s="48">
        <v>1.1999999999999999E-3</v>
      </c>
      <c r="F243" s="28">
        <v>15.17</v>
      </c>
      <c r="G243" s="28">
        <v>90.97</v>
      </c>
      <c r="H243" s="48">
        <v>0.36649999999999999</v>
      </c>
      <c r="I243" s="45">
        <v>160.95599999999999</v>
      </c>
      <c r="J243" s="46">
        <v>47010</v>
      </c>
      <c r="K243" s="47">
        <v>5.8250000000000002</v>
      </c>
      <c r="L243" s="47">
        <v>30</v>
      </c>
      <c r="M243" s="47">
        <v>3122.4103</v>
      </c>
      <c r="N243" s="48">
        <v>8.372913884553709E-3</v>
      </c>
      <c r="O243" s="48">
        <v>-1.9556E-2</v>
      </c>
      <c r="P243" s="28">
        <v>125.099</v>
      </c>
      <c r="Q243" s="28">
        <v>123.06</v>
      </c>
      <c r="R243" s="48">
        <v>1.6569153258573065E-2</v>
      </c>
    </row>
    <row r="244" spans="1:18" x14ac:dyDescent="0.15">
      <c r="A244" s="29">
        <v>243</v>
      </c>
      <c r="B244" s="28">
        <v>113561</v>
      </c>
      <c r="C244" s="28" t="s">
        <v>84</v>
      </c>
      <c r="D244" s="28">
        <v>124.119</v>
      </c>
      <c r="E244" s="48">
        <v>-5.4000000000000003E-3</v>
      </c>
      <c r="F244" s="28">
        <v>9.98</v>
      </c>
      <c r="G244" s="28">
        <v>90.68</v>
      </c>
      <c r="H244" s="48">
        <v>0.36880000000000002</v>
      </c>
      <c r="I244" s="45">
        <v>160.999</v>
      </c>
      <c r="J244" s="46">
        <v>46022</v>
      </c>
      <c r="K244" s="47">
        <v>3.1179999999999999</v>
      </c>
      <c r="L244" s="47">
        <v>1.49898</v>
      </c>
      <c r="M244" s="47">
        <v>783.82180000000005</v>
      </c>
      <c r="N244" s="48">
        <v>4.2129201895483463E-2</v>
      </c>
      <c r="O244" s="48">
        <v>-1.8680000000000002E-2</v>
      </c>
      <c r="P244" s="28">
        <v>125.092</v>
      </c>
      <c r="Q244" s="28">
        <v>123.922</v>
      </c>
      <c r="R244" s="48">
        <v>9.4414228304901607E-3</v>
      </c>
    </row>
    <row r="245" spans="1:18" x14ac:dyDescent="0.15">
      <c r="A245" s="29">
        <v>244</v>
      </c>
      <c r="B245" s="28">
        <v>113030</v>
      </c>
      <c r="C245" s="28" t="s">
        <v>94</v>
      </c>
      <c r="D245" s="28">
        <v>126.78</v>
      </c>
      <c r="E245" s="48">
        <v>5.7999999999999996E-3</v>
      </c>
      <c r="F245" s="28">
        <v>4.96</v>
      </c>
      <c r="G245" s="28">
        <v>92.54</v>
      </c>
      <c r="H245" s="48">
        <v>0.37</v>
      </c>
      <c r="I245" s="45">
        <v>163.78</v>
      </c>
      <c r="J245" s="46">
        <v>46015</v>
      </c>
      <c r="K245" s="47">
        <v>3.0990000000000002</v>
      </c>
      <c r="L245" s="47">
        <v>2.9485600000000001</v>
      </c>
      <c r="M245" s="47">
        <v>9518.3669000000009</v>
      </c>
      <c r="N245" s="48">
        <v>0.25462540000648787</v>
      </c>
      <c r="O245" s="48">
        <v>-2.8017E-2</v>
      </c>
      <c r="P245" s="28">
        <v>127.18600000000001</v>
      </c>
      <c r="Q245" s="28">
        <v>125.41</v>
      </c>
      <c r="R245" s="48">
        <v>1.4161550115620848E-2</v>
      </c>
    </row>
    <row r="246" spans="1:18" x14ac:dyDescent="0.15">
      <c r="A246" s="29">
        <v>245</v>
      </c>
      <c r="B246" s="28">
        <v>111003</v>
      </c>
      <c r="C246" s="28" t="s">
        <v>781</v>
      </c>
      <c r="D246" s="28">
        <v>123.872</v>
      </c>
      <c r="E246" s="48">
        <v>-5.7999999999999996E-3</v>
      </c>
      <c r="F246" s="28">
        <v>14.42</v>
      </c>
      <c r="G246" s="28">
        <v>90.15</v>
      </c>
      <c r="H246" s="48">
        <v>0.37409999999999999</v>
      </c>
      <c r="I246" s="45">
        <v>161.28199999999998</v>
      </c>
      <c r="J246" s="46">
        <v>46819</v>
      </c>
      <c r="K246" s="47">
        <v>5.3010000000000002</v>
      </c>
      <c r="L246" s="47">
        <v>2.0391300000000001</v>
      </c>
      <c r="M246" s="47">
        <v>1318.0304000000001</v>
      </c>
      <c r="N246" s="48">
        <v>5.2180395141518093E-2</v>
      </c>
      <c r="O246" s="48">
        <v>-4.5030000000000001E-3</v>
      </c>
      <c r="P246" s="28">
        <v>125.501</v>
      </c>
      <c r="Q246" s="28">
        <v>123.8</v>
      </c>
      <c r="R246" s="48">
        <v>1.3739903069466944E-2</v>
      </c>
    </row>
    <row r="247" spans="1:18" x14ac:dyDescent="0.15">
      <c r="A247" s="29">
        <v>246</v>
      </c>
      <c r="B247" s="28">
        <v>118007</v>
      </c>
      <c r="C247" s="28" t="s">
        <v>779</v>
      </c>
      <c r="D247" s="28">
        <v>127.047</v>
      </c>
      <c r="E247" s="48">
        <v>-1.5E-3</v>
      </c>
      <c r="F247" s="28">
        <v>24.52</v>
      </c>
      <c r="G247" s="28">
        <v>92.37</v>
      </c>
      <c r="H247" s="48">
        <v>0.37540000000000001</v>
      </c>
      <c r="I247" s="45">
        <v>164.58699999999999</v>
      </c>
      <c r="J247" s="46">
        <v>46834</v>
      </c>
      <c r="K247" s="47">
        <v>5.3419999999999996</v>
      </c>
      <c r="L247" s="47">
        <v>2.6740499999999998</v>
      </c>
      <c r="M247" s="47">
        <v>3931.7213999999999</v>
      </c>
      <c r="N247" s="48">
        <v>0.11573075821261442</v>
      </c>
      <c r="O247" s="48">
        <v>-9.9150000000000002E-3</v>
      </c>
      <c r="P247" s="28">
        <v>129.21100000000001</v>
      </c>
      <c r="Q247" s="28">
        <v>126.4</v>
      </c>
      <c r="R247" s="48">
        <v>2.2238924050632967E-2</v>
      </c>
    </row>
    <row r="248" spans="1:18" x14ac:dyDescent="0.15">
      <c r="A248" s="29">
        <v>247</v>
      </c>
      <c r="B248" s="28">
        <v>118020</v>
      </c>
      <c r="C248" s="28" t="s">
        <v>2062</v>
      </c>
      <c r="D248" s="28">
        <v>123.801</v>
      </c>
      <c r="E248" s="48">
        <v>-2.12E-2</v>
      </c>
      <c r="F248" s="28">
        <v>18.62</v>
      </c>
      <c r="G248" s="28">
        <v>89.85</v>
      </c>
      <c r="H248" s="48">
        <v>0.37790000000000001</v>
      </c>
      <c r="I248" s="45">
        <v>161.59100000000001</v>
      </c>
      <c r="J248" s="46">
        <v>47019</v>
      </c>
      <c r="K248" s="47">
        <v>5.8490000000000002</v>
      </c>
      <c r="L248" s="47">
        <v>6.42</v>
      </c>
      <c r="M248" s="47">
        <v>3157.9807000000001</v>
      </c>
      <c r="N248" s="48">
        <v>3.9732902423724382E-2</v>
      </c>
      <c r="O248" s="48">
        <v>6.2629999999999995E-3</v>
      </c>
      <c r="P248" s="28">
        <v>127.3</v>
      </c>
      <c r="Q248" s="28">
        <v>123.78</v>
      </c>
      <c r="R248" s="48">
        <v>2.8437550492809792E-2</v>
      </c>
    </row>
    <row r="249" spans="1:18" x14ac:dyDescent="0.15">
      <c r="A249" s="29">
        <v>248</v>
      </c>
      <c r="B249" s="28">
        <v>123144</v>
      </c>
      <c r="C249" s="28" t="s">
        <v>1752</v>
      </c>
      <c r="D249" s="28">
        <v>118.087</v>
      </c>
      <c r="E249" s="48">
        <v>-5.1000000000000004E-3</v>
      </c>
      <c r="F249" s="28">
        <v>13.97</v>
      </c>
      <c r="G249" s="28">
        <v>85.68</v>
      </c>
      <c r="H249" s="48">
        <v>0.37819999999999998</v>
      </c>
      <c r="I249" s="45">
        <v>155.90700000000001</v>
      </c>
      <c r="J249" s="46">
        <v>46854</v>
      </c>
      <c r="K249" s="47">
        <v>5.3970000000000002</v>
      </c>
      <c r="L249" s="47">
        <v>5.9999599999999997</v>
      </c>
      <c r="M249" s="47">
        <v>2215.8033823000001</v>
      </c>
      <c r="N249" s="48">
        <v>3.1273808779699562E-2</v>
      </c>
      <c r="O249" s="48">
        <v>3.5070000000000001E-3</v>
      </c>
      <c r="P249" s="28">
        <v>119.121</v>
      </c>
      <c r="Q249" s="28">
        <v>117.883</v>
      </c>
      <c r="R249" s="48">
        <v>1.0501938362613775E-2</v>
      </c>
    </row>
    <row r="250" spans="1:18" x14ac:dyDescent="0.15">
      <c r="A250" s="29">
        <v>249</v>
      </c>
      <c r="B250" s="28">
        <v>110064</v>
      </c>
      <c r="C250" s="28" t="s">
        <v>1704</v>
      </c>
      <c r="D250" s="28">
        <v>112.693</v>
      </c>
      <c r="E250" s="48">
        <v>-1.0700000000000001E-2</v>
      </c>
      <c r="F250" s="28">
        <v>4.49</v>
      </c>
      <c r="G250" s="28">
        <v>81.739999999999995</v>
      </c>
      <c r="H250" s="48">
        <v>0.37869999999999998</v>
      </c>
      <c r="I250" s="45">
        <v>150.56299999999999</v>
      </c>
      <c r="J250" s="46">
        <v>46011</v>
      </c>
      <c r="K250" s="47">
        <v>3.0880000000000001</v>
      </c>
      <c r="L250" s="47">
        <v>12.64592</v>
      </c>
      <c r="M250" s="47">
        <v>2218.4706000000001</v>
      </c>
      <c r="N250" s="48">
        <v>1.5567049528874109E-2</v>
      </c>
      <c r="O250" s="48">
        <v>1.8867000000000002E-2</v>
      </c>
      <c r="P250" s="28">
        <v>113.9</v>
      </c>
      <c r="Q250" s="28">
        <v>112</v>
      </c>
      <c r="R250" s="48">
        <v>1.6964285714285765E-2</v>
      </c>
    </row>
    <row r="251" spans="1:18" x14ac:dyDescent="0.15">
      <c r="A251" s="29">
        <v>250</v>
      </c>
      <c r="B251" s="28">
        <v>113519</v>
      </c>
      <c r="C251" s="28" t="s">
        <v>154</v>
      </c>
      <c r="D251" s="28">
        <v>117.703</v>
      </c>
      <c r="E251" s="48">
        <v>-5.5000000000000005E-3</v>
      </c>
      <c r="F251" s="28">
        <v>11.04</v>
      </c>
      <c r="G251" s="28">
        <v>85.24</v>
      </c>
      <c r="H251" s="48">
        <v>0.38079999999999997</v>
      </c>
      <c r="I251" s="45">
        <v>155.78300000000002</v>
      </c>
      <c r="J251" s="46">
        <v>45603</v>
      </c>
      <c r="K251" s="47">
        <v>1.97</v>
      </c>
      <c r="L251" s="47">
        <v>6.9609100000000002</v>
      </c>
      <c r="M251" s="47">
        <v>1559.5005000000001</v>
      </c>
      <c r="N251" s="48">
        <v>1.9034083380705995E-2</v>
      </c>
      <c r="O251" s="48">
        <v>-3.9269999999999999E-3</v>
      </c>
      <c r="P251" s="28">
        <v>118.8</v>
      </c>
      <c r="Q251" s="28">
        <v>117.5</v>
      </c>
      <c r="R251" s="48">
        <v>1.1063829787234018E-2</v>
      </c>
    </row>
    <row r="252" spans="1:18" x14ac:dyDescent="0.15">
      <c r="A252" s="29">
        <v>251</v>
      </c>
      <c r="B252" s="28">
        <v>123050</v>
      </c>
      <c r="C252" s="28" t="s">
        <v>67</v>
      </c>
      <c r="D252" s="28">
        <v>121</v>
      </c>
      <c r="E252" s="48">
        <v>-2E-3</v>
      </c>
      <c r="F252" s="28">
        <v>4.9800000000000004</v>
      </c>
      <c r="G252" s="28">
        <v>87.35</v>
      </c>
      <c r="H252" s="48">
        <v>0.38520000000000004</v>
      </c>
      <c r="I252" s="45">
        <v>159.52000000000001</v>
      </c>
      <c r="J252" s="46">
        <v>46126</v>
      </c>
      <c r="K252" s="47">
        <v>3.403</v>
      </c>
      <c r="L252" s="47">
        <v>3.7459370000000001</v>
      </c>
      <c r="M252" s="47">
        <v>200.40997009999998</v>
      </c>
      <c r="N252" s="48">
        <v>4.4215392427264504E-3</v>
      </c>
      <c r="O252" s="48">
        <v>4.9259999999999998E-3</v>
      </c>
      <c r="P252" s="28">
        <v>121.884</v>
      </c>
      <c r="Q252" s="28">
        <v>120.687</v>
      </c>
      <c r="R252" s="48">
        <v>9.91821820080044E-3</v>
      </c>
    </row>
    <row r="253" spans="1:18" x14ac:dyDescent="0.15">
      <c r="A253" s="29">
        <v>252</v>
      </c>
      <c r="B253" s="28">
        <v>128071</v>
      </c>
      <c r="C253" s="28" t="s">
        <v>86</v>
      </c>
      <c r="D253" s="28">
        <v>112.303</v>
      </c>
      <c r="E253" s="48">
        <v>-6.0999999999999995E-3</v>
      </c>
      <c r="F253" s="28">
        <v>4.04</v>
      </c>
      <c r="G253" s="28">
        <v>80.94</v>
      </c>
      <c r="H253" s="48">
        <v>0.38750000000000001</v>
      </c>
      <c r="I253" s="45">
        <v>151.053</v>
      </c>
      <c r="J253" s="46">
        <v>45885</v>
      </c>
      <c r="K253" s="47">
        <v>2.742</v>
      </c>
      <c r="L253" s="47">
        <v>2.999336</v>
      </c>
      <c r="M253" s="47">
        <v>348.10845</v>
      </c>
      <c r="N253" s="48">
        <v>1.0334705070528446E-2</v>
      </c>
      <c r="O253" s="48">
        <v>3.2759999999999998E-3</v>
      </c>
      <c r="P253" s="28">
        <v>113.13500000000001</v>
      </c>
      <c r="Q253" s="28">
        <v>112.08</v>
      </c>
      <c r="R253" s="48">
        <v>9.4129193433262568E-3</v>
      </c>
    </row>
    <row r="254" spans="1:18" x14ac:dyDescent="0.15">
      <c r="A254" s="29">
        <v>253</v>
      </c>
      <c r="B254" s="28">
        <v>123160</v>
      </c>
      <c r="C254" s="28" t="s">
        <v>2065</v>
      </c>
      <c r="D254" s="28">
        <v>118.16800000000001</v>
      </c>
      <c r="E254" s="48">
        <v>-8.3000000000000001E-3</v>
      </c>
      <c r="F254" s="28">
        <v>23.4</v>
      </c>
      <c r="G254" s="28">
        <v>85</v>
      </c>
      <c r="H254" s="48">
        <v>0.39020000000000005</v>
      </c>
      <c r="I254" s="45">
        <v>157.18800000000002</v>
      </c>
      <c r="J254" s="46">
        <v>47024</v>
      </c>
      <c r="K254" s="47">
        <v>5.8630000000000004</v>
      </c>
      <c r="L254" s="47">
        <v>3.3489</v>
      </c>
      <c r="M254" s="47">
        <v>507.96182369999997</v>
      </c>
      <c r="N254" s="48">
        <v>1.2835979332249219E-2</v>
      </c>
      <c r="O254" s="48">
        <v>4.8509999999999994E-3</v>
      </c>
      <c r="P254" s="28">
        <v>119.2</v>
      </c>
      <c r="Q254" s="28">
        <v>117.84</v>
      </c>
      <c r="R254" s="48">
        <v>1.154107264086897E-2</v>
      </c>
    </row>
    <row r="255" spans="1:18" x14ac:dyDescent="0.15">
      <c r="A255" s="29">
        <v>254</v>
      </c>
      <c r="B255" s="28">
        <v>123035</v>
      </c>
      <c r="C255" s="28" t="s">
        <v>115</v>
      </c>
      <c r="D255" s="28">
        <v>122.735</v>
      </c>
      <c r="E255" s="48">
        <v>3.4999999999999996E-3</v>
      </c>
      <c r="F255" s="28">
        <v>6.91</v>
      </c>
      <c r="G255" s="28">
        <v>88.13</v>
      </c>
      <c r="H255" s="48">
        <v>0.39270000000000005</v>
      </c>
      <c r="I255" s="45">
        <v>162.005</v>
      </c>
      <c r="J255" s="46">
        <v>45975</v>
      </c>
      <c r="K255" s="47">
        <v>2.9889999999999999</v>
      </c>
      <c r="L255" s="47">
        <v>7.9875530000000001</v>
      </c>
      <c r="M255" s="47">
        <v>255.78390299999998</v>
      </c>
      <c r="N255" s="48">
        <v>2.6091018345732724E-3</v>
      </c>
      <c r="O255" s="48">
        <v>-2.6747999999999997E-2</v>
      </c>
      <c r="P255" s="28">
        <v>123.15900000000001</v>
      </c>
      <c r="Q255" s="28">
        <v>122.155</v>
      </c>
      <c r="R255" s="48">
        <v>8.2190659408129408E-3</v>
      </c>
    </row>
    <row r="256" spans="1:18" x14ac:dyDescent="0.15">
      <c r="A256" s="29">
        <v>255</v>
      </c>
      <c r="B256" s="28">
        <v>113565</v>
      </c>
      <c r="C256" s="28" t="s">
        <v>114</v>
      </c>
      <c r="D256" s="28">
        <v>117.80200000000001</v>
      </c>
      <c r="E256" s="48">
        <v>-5.3E-3</v>
      </c>
      <c r="F256" s="28">
        <v>7.64</v>
      </c>
      <c r="G256" s="28">
        <v>84.55</v>
      </c>
      <c r="H256" s="48">
        <v>0.39329999999999998</v>
      </c>
      <c r="I256" s="45">
        <v>157.13200000000001</v>
      </c>
      <c r="J256" s="46">
        <v>46079</v>
      </c>
      <c r="K256" s="47">
        <v>3.274</v>
      </c>
      <c r="L256" s="47">
        <v>2.24905</v>
      </c>
      <c r="M256" s="47">
        <v>704.41629999999998</v>
      </c>
      <c r="N256" s="48">
        <v>2.658750731815622E-2</v>
      </c>
      <c r="O256" s="48">
        <v>-2.1299999999999999E-3</v>
      </c>
      <c r="P256" s="28">
        <v>118.499</v>
      </c>
      <c r="Q256" s="28">
        <v>117.64</v>
      </c>
      <c r="R256" s="48">
        <v>7.3019381162869315E-3</v>
      </c>
    </row>
    <row r="257" spans="1:18" x14ac:dyDescent="0.15">
      <c r="A257" s="29">
        <v>256</v>
      </c>
      <c r="B257" s="28">
        <v>113653</v>
      </c>
      <c r="C257" s="28" t="s">
        <v>2070</v>
      </c>
      <c r="D257" s="28">
        <v>122.30800000000001</v>
      </c>
      <c r="E257" s="48">
        <v>3.4999999999999996E-3</v>
      </c>
      <c r="F257" s="28">
        <v>26.81</v>
      </c>
      <c r="G257" s="28">
        <v>87.69</v>
      </c>
      <c r="H257" s="48">
        <v>0.39479999999999998</v>
      </c>
      <c r="I257" s="45">
        <v>161.78800000000001</v>
      </c>
      <c r="J257" s="46">
        <v>46962</v>
      </c>
      <c r="K257" s="47">
        <v>5.6929999999999996</v>
      </c>
      <c r="L257" s="47">
        <v>7.7</v>
      </c>
      <c r="M257" s="47">
        <v>486.46230000000003</v>
      </c>
      <c r="N257" s="48">
        <v>5.1653957286458838E-3</v>
      </c>
      <c r="O257" s="48">
        <v>-1.9220000000000001E-3</v>
      </c>
      <c r="P257" s="28">
        <v>123</v>
      </c>
      <c r="Q257" s="28">
        <v>121.396</v>
      </c>
      <c r="R257" s="48">
        <v>1.321295594583017E-2</v>
      </c>
    </row>
    <row r="258" spans="1:18" x14ac:dyDescent="0.15">
      <c r="A258" s="29">
        <v>257</v>
      </c>
      <c r="B258" s="28">
        <v>123100</v>
      </c>
      <c r="C258" s="28" t="s">
        <v>98</v>
      </c>
      <c r="D258" s="28">
        <v>114.79</v>
      </c>
      <c r="E258" s="48">
        <v>-1.8E-3</v>
      </c>
      <c r="F258" s="28">
        <v>11.61</v>
      </c>
      <c r="G258" s="28">
        <v>82.17</v>
      </c>
      <c r="H258" s="48">
        <v>0.39700000000000002</v>
      </c>
      <c r="I258" s="45">
        <v>154.49</v>
      </c>
      <c r="J258" s="46">
        <v>46427</v>
      </c>
      <c r="K258" s="47">
        <v>4.2270000000000003</v>
      </c>
      <c r="L258" s="47">
        <v>3.797174</v>
      </c>
      <c r="M258" s="47">
        <v>335.29444870000003</v>
      </c>
      <c r="N258" s="48">
        <v>7.6923991055844543E-3</v>
      </c>
      <c r="O258" s="48">
        <v>4.823E-3</v>
      </c>
      <c r="P258" s="28">
        <v>115.545</v>
      </c>
      <c r="Q258" s="28">
        <v>114.608</v>
      </c>
      <c r="R258" s="48">
        <v>8.1756945413932504E-3</v>
      </c>
    </row>
    <row r="259" spans="1:18" x14ac:dyDescent="0.15">
      <c r="A259" s="29">
        <v>258</v>
      </c>
      <c r="B259" s="28">
        <v>128122</v>
      </c>
      <c r="C259" s="28" t="s">
        <v>180</v>
      </c>
      <c r="D259" s="28">
        <v>124.31</v>
      </c>
      <c r="E259" s="48">
        <v>-8.3000000000000001E-3</v>
      </c>
      <c r="F259" s="28">
        <v>13.51</v>
      </c>
      <c r="G259" s="28">
        <v>88.97</v>
      </c>
      <c r="H259" s="48">
        <v>0.3972</v>
      </c>
      <c r="I259" s="45">
        <v>164.03</v>
      </c>
      <c r="J259" s="46">
        <v>45861</v>
      </c>
      <c r="K259" s="47">
        <v>2.677</v>
      </c>
      <c r="L259" s="47">
        <v>2.6853509999999998</v>
      </c>
      <c r="M259" s="47">
        <v>2430.8455033</v>
      </c>
      <c r="N259" s="48">
        <v>7.2819925602051805E-2</v>
      </c>
      <c r="O259" s="48">
        <v>-3.6979999999999999E-2</v>
      </c>
      <c r="P259" s="28">
        <v>126.3</v>
      </c>
      <c r="Q259" s="28">
        <v>124.033</v>
      </c>
      <c r="R259" s="48">
        <v>1.8277393919360136E-2</v>
      </c>
    </row>
    <row r="260" spans="1:18" x14ac:dyDescent="0.15">
      <c r="A260" s="29">
        <v>259</v>
      </c>
      <c r="B260" s="28">
        <v>113628</v>
      </c>
      <c r="C260" s="28" t="s">
        <v>204</v>
      </c>
      <c r="D260" s="28">
        <v>110.783</v>
      </c>
      <c r="E260" s="48">
        <v>-9.1000000000000004E-3</v>
      </c>
      <c r="F260" s="28">
        <v>12.94</v>
      </c>
      <c r="G260" s="28">
        <v>79.13</v>
      </c>
      <c r="H260" s="48">
        <v>0.4</v>
      </c>
      <c r="I260" s="45">
        <v>150.78300000000002</v>
      </c>
      <c r="J260" s="46">
        <v>46622</v>
      </c>
      <c r="K260" s="47">
        <v>4.7619999999999996</v>
      </c>
      <c r="L260" s="47">
        <v>4.1497599999999997</v>
      </c>
      <c r="M260" s="47">
        <v>1057.5024000000001</v>
      </c>
      <c r="N260" s="48">
        <v>2.3003041337021343E-2</v>
      </c>
      <c r="O260" s="48">
        <v>1.9470000000000001E-2</v>
      </c>
      <c r="P260" s="28">
        <v>111.6</v>
      </c>
      <c r="Q260" s="28">
        <v>110.717</v>
      </c>
      <c r="R260" s="48">
        <v>7.9752883477694977E-3</v>
      </c>
    </row>
    <row r="261" spans="1:18" x14ac:dyDescent="0.15">
      <c r="A261" s="29">
        <v>260</v>
      </c>
      <c r="B261" s="28">
        <v>123075</v>
      </c>
      <c r="C261" s="28" t="s">
        <v>69</v>
      </c>
      <c r="D261" s="28">
        <v>117.727</v>
      </c>
      <c r="E261" s="48">
        <v>-1.5E-3</v>
      </c>
      <c r="F261" s="28">
        <v>23.56</v>
      </c>
      <c r="G261" s="28">
        <v>83.87</v>
      </c>
      <c r="H261" s="48">
        <v>0.40369999999999995</v>
      </c>
      <c r="I261" s="45">
        <v>158.09700000000001</v>
      </c>
      <c r="J261" s="46">
        <v>46328</v>
      </c>
      <c r="K261" s="47">
        <v>3.956</v>
      </c>
      <c r="L261" s="47">
        <v>5.9960870000000002</v>
      </c>
      <c r="M261" s="47">
        <v>2056.5582890000001</v>
      </c>
      <c r="N261" s="48">
        <v>2.9133792347735787E-2</v>
      </c>
      <c r="O261" s="48">
        <v>-7.1199999999999996E-3</v>
      </c>
      <c r="P261" s="28">
        <v>119.127</v>
      </c>
      <c r="Q261" s="28">
        <v>117.604</v>
      </c>
      <c r="R261" s="48">
        <v>1.2950239787762288E-2</v>
      </c>
    </row>
    <row r="262" spans="1:18" x14ac:dyDescent="0.15">
      <c r="A262" s="29">
        <v>261</v>
      </c>
      <c r="B262" s="28">
        <v>118018</v>
      </c>
      <c r="C262" s="28" t="s">
        <v>2079</v>
      </c>
      <c r="D262" s="28">
        <v>120.43899999999999</v>
      </c>
      <c r="E262" s="48">
        <v>2.1899999999999999E-2</v>
      </c>
      <c r="F262" s="28">
        <v>30.98</v>
      </c>
      <c r="G262" s="28">
        <v>85.8</v>
      </c>
      <c r="H262" s="48">
        <v>0.40369999999999995</v>
      </c>
      <c r="I262" s="45">
        <v>160.809</v>
      </c>
      <c r="J262" s="46">
        <v>46983</v>
      </c>
      <c r="K262" s="47">
        <v>5.7510000000000003</v>
      </c>
      <c r="L262" s="47">
        <v>4.3</v>
      </c>
      <c r="M262" s="47">
        <v>3664.4371999999998</v>
      </c>
      <c r="N262" s="48">
        <v>7.0757370758177895E-2</v>
      </c>
      <c r="O262" s="48">
        <v>-8.8729999999999989E-3</v>
      </c>
      <c r="P262" s="28">
        <v>121.15</v>
      </c>
      <c r="Q262" s="28">
        <v>117.752</v>
      </c>
      <c r="R262" s="48">
        <v>2.8857259324682472E-2</v>
      </c>
    </row>
    <row r="263" spans="1:18" x14ac:dyDescent="0.15">
      <c r="A263" s="29">
        <v>262</v>
      </c>
      <c r="B263" s="28">
        <v>113643</v>
      </c>
      <c r="C263" s="28" t="s">
        <v>777</v>
      </c>
      <c r="D263" s="28">
        <v>119.157</v>
      </c>
      <c r="E263" s="48">
        <v>3.0999999999999999E-3</v>
      </c>
      <c r="F263" s="28">
        <v>15.26</v>
      </c>
      <c r="G263" s="28">
        <v>84.8</v>
      </c>
      <c r="H263" s="48">
        <v>0.4052</v>
      </c>
      <c r="I263" s="45">
        <v>159.67699999999999</v>
      </c>
      <c r="J263" s="46">
        <v>46837</v>
      </c>
      <c r="K263" s="47">
        <v>5.351</v>
      </c>
      <c r="L263" s="47">
        <v>4.9998100000000001</v>
      </c>
      <c r="M263" s="47">
        <v>4468.0964999999997</v>
      </c>
      <c r="N263" s="48">
        <v>7.4997965610399314E-2</v>
      </c>
      <c r="O263" s="48">
        <v>1.817E-3</v>
      </c>
      <c r="P263" s="28">
        <v>120.45</v>
      </c>
      <c r="Q263" s="28">
        <v>118.1</v>
      </c>
      <c r="R263" s="48">
        <v>1.9898391193903544E-2</v>
      </c>
    </row>
    <row r="264" spans="1:18" x14ac:dyDescent="0.15">
      <c r="A264" s="29">
        <v>263</v>
      </c>
      <c r="B264" s="28">
        <v>113651</v>
      </c>
      <c r="C264" s="28" t="s">
        <v>2077</v>
      </c>
      <c r="D264" s="28">
        <v>123.82599999999999</v>
      </c>
      <c r="E264" s="48">
        <v>3.9000000000000003E-3</v>
      </c>
      <c r="F264" s="28">
        <v>16.579999999999998</v>
      </c>
      <c r="G264" s="28">
        <v>88.12</v>
      </c>
      <c r="H264" s="48">
        <v>0.4052</v>
      </c>
      <c r="I264" s="45">
        <v>164.346</v>
      </c>
      <c r="J264" s="46">
        <v>46954</v>
      </c>
      <c r="K264" s="47">
        <v>5.6710000000000003</v>
      </c>
      <c r="L264" s="47">
        <v>6.1</v>
      </c>
      <c r="M264" s="47">
        <v>2462.2096999999999</v>
      </c>
      <c r="N264" s="48">
        <v>3.2597429814920087E-2</v>
      </c>
      <c r="O264" s="48">
        <v>-9.9609999999999994E-3</v>
      </c>
      <c r="P264" s="28">
        <v>124</v>
      </c>
      <c r="Q264" s="28">
        <v>122.101</v>
      </c>
      <c r="R264" s="48">
        <v>1.5552698176100121E-2</v>
      </c>
    </row>
    <row r="265" spans="1:18" x14ac:dyDescent="0.15">
      <c r="A265" s="29">
        <v>264</v>
      </c>
      <c r="B265" s="28">
        <v>118014</v>
      </c>
      <c r="C265" s="28" t="s">
        <v>1915</v>
      </c>
      <c r="D265" s="28">
        <v>130.197</v>
      </c>
      <c r="E265" s="48">
        <v>-2.5399999999999999E-2</v>
      </c>
      <c r="F265" s="28">
        <v>84.81</v>
      </c>
      <c r="G265" s="28">
        <v>92.5</v>
      </c>
      <c r="H265" s="48">
        <v>0.40749999999999997</v>
      </c>
      <c r="I265" s="45">
        <v>170.947</v>
      </c>
      <c r="J265" s="46">
        <v>46952</v>
      </c>
      <c r="K265" s="47">
        <v>5.6660000000000004</v>
      </c>
      <c r="L265" s="47">
        <v>4.8330000000000002</v>
      </c>
      <c r="M265" s="47">
        <v>7622.7376999999997</v>
      </c>
      <c r="N265" s="48">
        <v>0.12114157154910393</v>
      </c>
      <c r="O265" s="48">
        <v>-2.3171000000000001E-2</v>
      </c>
      <c r="P265" s="28">
        <v>134.28899999999999</v>
      </c>
      <c r="Q265" s="28">
        <v>130</v>
      </c>
      <c r="R265" s="48">
        <v>3.2992307692307592E-2</v>
      </c>
    </row>
    <row r="266" spans="1:18" x14ac:dyDescent="0.15">
      <c r="A266" s="29">
        <v>265</v>
      </c>
      <c r="B266" s="28">
        <v>127054</v>
      </c>
      <c r="C266" s="28" t="s">
        <v>745</v>
      </c>
      <c r="D266" s="28">
        <v>112</v>
      </c>
      <c r="E266" s="48">
        <v>-0.01</v>
      </c>
      <c r="F266" s="28">
        <v>7.71</v>
      </c>
      <c r="G266" s="28">
        <v>79.510000000000005</v>
      </c>
      <c r="H266" s="48">
        <v>0.40860000000000002</v>
      </c>
      <c r="I266" s="45">
        <v>152.86000000000001</v>
      </c>
      <c r="J266" s="46">
        <v>46794</v>
      </c>
      <c r="K266" s="47">
        <v>5.2329999999999997</v>
      </c>
      <c r="L266" s="47">
        <v>5.1362690000000004</v>
      </c>
      <c r="M266" s="47">
        <v>584.50630890000002</v>
      </c>
      <c r="N266" s="48">
        <v>1.016069510663146E-2</v>
      </c>
      <c r="O266" s="48">
        <v>8.7039999999999999E-3</v>
      </c>
      <c r="P266" s="28">
        <v>113.565</v>
      </c>
      <c r="Q266" s="28">
        <v>112</v>
      </c>
      <c r="R266" s="48">
        <v>1.3973214285714266E-2</v>
      </c>
    </row>
    <row r="267" spans="1:18" x14ac:dyDescent="0.15">
      <c r="A267" s="29">
        <v>266</v>
      </c>
      <c r="B267" s="28">
        <v>113610</v>
      </c>
      <c r="C267" s="28" t="s">
        <v>104</v>
      </c>
      <c r="D267" s="28">
        <v>114.867</v>
      </c>
      <c r="E267" s="48">
        <v>-1.26E-2</v>
      </c>
      <c r="F267" s="28">
        <v>8.51</v>
      </c>
      <c r="G267" s="28">
        <v>81.430000000000007</v>
      </c>
      <c r="H267" s="48">
        <v>0.41060000000000002</v>
      </c>
      <c r="I267" s="45">
        <v>155.92700000000002</v>
      </c>
      <c r="J267" s="46">
        <v>46357</v>
      </c>
      <c r="K267" s="47">
        <v>4.0359999999999996</v>
      </c>
      <c r="L267" s="47">
        <v>4.5792599999999997</v>
      </c>
      <c r="M267" s="47">
        <v>8612.2027999999991</v>
      </c>
      <c r="N267" s="48">
        <v>0.16372826770160062</v>
      </c>
      <c r="O267" s="48">
        <v>1.2640999999999999E-2</v>
      </c>
      <c r="P267" s="28">
        <v>116.3</v>
      </c>
      <c r="Q267" s="28">
        <v>114.303</v>
      </c>
      <c r="R267" s="48">
        <v>1.7471107494991381E-2</v>
      </c>
    </row>
    <row r="268" spans="1:18" x14ac:dyDescent="0.15">
      <c r="A268" s="29">
        <v>267</v>
      </c>
      <c r="B268" s="28">
        <v>127034</v>
      </c>
      <c r="C268" s="28" t="s">
        <v>181</v>
      </c>
      <c r="D268" s="28">
        <v>104.07</v>
      </c>
      <c r="E268" s="48">
        <v>-2.9999999999999997E-4</v>
      </c>
      <c r="F268" s="28">
        <v>12.38</v>
      </c>
      <c r="G268" s="28">
        <v>73.75</v>
      </c>
      <c r="H268" s="48">
        <v>0.41110000000000002</v>
      </c>
      <c r="I268" s="45">
        <v>145.18</v>
      </c>
      <c r="J268" s="46">
        <v>46507</v>
      </c>
      <c r="K268" s="47">
        <v>4.4470000000000001</v>
      </c>
      <c r="L268" s="47">
        <v>7.1176969999999997</v>
      </c>
      <c r="M268" s="47">
        <v>1998.3798171999999</v>
      </c>
      <c r="N268" s="48">
        <v>2.6978200881436331E-2</v>
      </c>
      <c r="O268" s="48">
        <v>3.0472000000000003E-2</v>
      </c>
      <c r="P268" s="28">
        <v>104.5</v>
      </c>
      <c r="Q268" s="28">
        <v>104</v>
      </c>
      <c r="R268" s="48">
        <v>4.807692307692308E-3</v>
      </c>
    </row>
    <row r="269" spans="1:18" x14ac:dyDescent="0.15">
      <c r="A269" s="29">
        <v>268</v>
      </c>
      <c r="B269" s="28">
        <v>113648</v>
      </c>
      <c r="C269" s="28" t="s">
        <v>1759</v>
      </c>
      <c r="D269" s="28">
        <v>119.63200000000001</v>
      </c>
      <c r="E269" s="48">
        <v>-0.01</v>
      </c>
      <c r="F269" s="28">
        <v>25.24</v>
      </c>
      <c r="G269" s="28">
        <v>84.59</v>
      </c>
      <c r="H269" s="48">
        <v>0.4143</v>
      </c>
      <c r="I269" s="45">
        <v>161.06200000000001</v>
      </c>
      <c r="J269" s="46">
        <v>46868</v>
      </c>
      <c r="K269" s="47">
        <v>5.4359999999999999</v>
      </c>
      <c r="L269" s="47">
        <v>9.9998699999999996</v>
      </c>
      <c r="M269" s="47">
        <v>4216.4853000000003</v>
      </c>
      <c r="N269" s="48">
        <v>3.524592178532078E-2</v>
      </c>
      <c r="O269" s="48">
        <v>-1.789E-3</v>
      </c>
      <c r="P269" s="28">
        <v>121.28</v>
      </c>
      <c r="Q269" s="28">
        <v>119.58</v>
      </c>
      <c r="R269" s="48">
        <v>1.4216424151195875E-2</v>
      </c>
    </row>
    <row r="270" spans="1:18" x14ac:dyDescent="0.15">
      <c r="A270" s="29">
        <v>269</v>
      </c>
      <c r="B270" s="28">
        <v>110087</v>
      </c>
      <c r="C270" s="28" t="s">
        <v>1907</v>
      </c>
      <c r="D270" s="28">
        <v>114.111</v>
      </c>
      <c r="E270" s="48">
        <v>-3.0000000000000001E-3</v>
      </c>
      <c r="F270" s="28">
        <v>6.9</v>
      </c>
      <c r="G270" s="28">
        <v>80.58</v>
      </c>
      <c r="H270" s="48">
        <v>0.41609999999999997</v>
      </c>
      <c r="I270" s="45">
        <v>155.721</v>
      </c>
      <c r="J270" s="46">
        <v>46927</v>
      </c>
      <c r="K270" s="47">
        <v>5.5970000000000004</v>
      </c>
      <c r="L270" s="47">
        <v>30</v>
      </c>
      <c r="M270" s="47">
        <v>435.95190000000002</v>
      </c>
      <c r="N270" s="48">
        <v>1.2734731971501432E-3</v>
      </c>
      <c r="O270" s="48">
        <v>-2.5729999999999998E-3</v>
      </c>
      <c r="P270" s="28">
        <v>114.971</v>
      </c>
      <c r="Q270" s="28">
        <v>114.003</v>
      </c>
      <c r="R270" s="48">
        <v>8.4910046226853997E-3</v>
      </c>
    </row>
    <row r="271" spans="1:18" x14ac:dyDescent="0.15">
      <c r="A271" s="29">
        <v>270</v>
      </c>
      <c r="B271" s="28">
        <v>123159</v>
      </c>
      <c r="C271" s="28" t="s">
        <v>2066</v>
      </c>
      <c r="D271" s="28">
        <v>121.497</v>
      </c>
      <c r="E271" s="48">
        <v>-8.0000000000000004E-4</v>
      </c>
      <c r="F271" s="28">
        <v>24.95</v>
      </c>
      <c r="G271" s="28">
        <v>85.61</v>
      </c>
      <c r="H271" s="48">
        <v>0.41920000000000002</v>
      </c>
      <c r="I271" s="45">
        <v>163.417</v>
      </c>
      <c r="J271" s="46">
        <v>47023</v>
      </c>
      <c r="K271" s="47">
        <v>5.86</v>
      </c>
      <c r="L271" s="47">
        <v>2.9434999999999998</v>
      </c>
      <c r="M271" s="47">
        <v>1556.8400971999999</v>
      </c>
      <c r="N271" s="48">
        <v>4.3532580713042085E-2</v>
      </c>
      <c r="O271" s="48">
        <v>-3.1590000000000003E-3</v>
      </c>
      <c r="P271" s="28">
        <v>122.84699999999999</v>
      </c>
      <c r="Q271" s="28">
        <v>121</v>
      </c>
      <c r="R271" s="48">
        <v>1.5264462809917308E-2</v>
      </c>
    </row>
    <row r="272" spans="1:18" x14ac:dyDescent="0.15">
      <c r="A272" s="29">
        <v>271</v>
      </c>
      <c r="B272" s="28">
        <v>123010</v>
      </c>
      <c r="C272" s="28" t="s">
        <v>175</v>
      </c>
      <c r="D272" s="28">
        <v>111.25</v>
      </c>
      <c r="E272" s="48">
        <v>2.0999999999999999E-3</v>
      </c>
      <c r="F272" s="28">
        <v>7.72</v>
      </c>
      <c r="G272" s="28">
        <v>78.37</v>
      </c>
      <c r="H272" s="48">
        <v>0.41950000000000004</v>
      </c>
      <c r="I272" s="45">
        <v>153.19999999999999</v>
      </c>
      <c r="J272" s="46">
        <v>45478</v>
      </c>
      <c r="K272" s="47">
        <v>1.627</v>
      </c>
      <c r="L272" s="47">
        <v>4.2960060000000002</v>
      </c>
      <c r="M272" s="47">
        <v>354.84027459999999</v>
      </c>
      <c r="N272" s="48">
        <v>7.4245136110668184E-3</v>
      </c>
      <c r="O272" s="48">
        <v>-8.097E-3</v>
      </c>
      <c r="P272" s="28">
        <v>111.5</v>
      </c>
      <c r="Q272" s="28">
        <v>110.83</v>
      </c>
      <c r="R272" s="48">
        <v>6.0452945953261908E-3</v>
      </c>
    </row>
    <row r="273" spans="1:18" x14ac:dyDescent="0.15">
      <c r="A273" s="29">
        <v>272</v>
      </c>
      <c r="B273" s="28">
        <v>123059</v>
      </c>
      <c r="C273" s="28" t="s">
        <v>187</v>
      </c>
      <c r="D273" s="28">
        <v>118.017</v>
      </c>
      <c r="E273" s="48">
        <v>-8.8000000000000005E-3</v>
      </c>
      <c r="F273" s="28">
        <v>9.5299999999999994</v>
      </c>
      <c r="G273" s="28">
        <v>83.11</v>
      </c>
      <c r="H273" s="48">
        <v>0.42</v>
      </c>
      <c r="I273" s="45">
        <v>160.017</v>
      </c>
      <c r="J273" s="46">
        <v>46218</v>
      </c>
      <c r="K273" s="47">
        <v>3.6549999999999998</v>
      </c>
      <c r="L273" s="47">
        <v>3.912382</v>
      </c>
      <c r="M273" s="47">
        <v>441.81419699999998</v>
      </c>
      <c r="N273" s="48">
        <v>9.5687199535724778E-3</v>
      </c>
      <c r="O273" s="48">
        <v>1.1594E-2</v>
      </c>
      <c r="P273" s="28">
        <v>119.666</v>
      </c>
      <c r="Q273" s="28">
        <v>117.886</v>
      </c>
      <c r="R273" s="48">
        <v>1.509933325416081E-2</v>
      </c>
    </row>
    <row r="274" spans="1:18" x14ac:dyDescent="0.15">
      <c r="A274" s="29">
        <v>273</v>
      </c>
      <c r="B274" s="28">
        <v>113619</v>
      </c>
      <c r="C274" s="28" t="s">
        <v>205</v>
      </c>
      <c r="D274" s="28">
        <v>119.72</v>
      </c>
      <c r="E274" s="48">
        <v>-3.0000000000000001E-3</v>
      </c>
      <c r="F274" s="28">
        <v>19.32</v>
      </c>
      <c r="G274" s="28">
        <v>84.21</v>
      </c>
      <c r="H274" s="48">
        <v>0.42170000000000002</v>
      </c>
      <c r="I274" s="45">
        <v>161.88999999999999</v>
      </c>
      <c r="J274" s="46">
        <v>46407</v>
      </c>
      <c r="K274" s="47">
        <v>4.173</v>
      </c>
      <c r="L274" s="47">
        <v>9.9967400000000008</v>
      </c>
      <c r="M274" s="47">
        <v>1933.0318</v>
      </c>
      <c r="N274" s="48">
        <v>1.6151538371773144E-2</v>
      </c>
      <c r="O274" s="48">
        <v>-1.0003E-2</v>
      </c>
      <c r="P274" s="28">
        <v>122.92400000000001</v>
      </c>
      <c r="Q274" s="28">
        <v>119.402</v>
      </c>
      <c r="R274" s="48">
        <v>2.9496993350195184E-2</v>
      </c>
    </row>
    <row r="275" spans="1:18" x14ac:dyDescent="0.15">
      <c r="A275" s="29">
        <v>274</v>
      </c>
      <c r="B275" s="28">
        <v>127055</v>
      </c>
      <c r="C275" s="28" t="s">
        <v>741</v>
      </c>
      <c r="D275" s="28">
        <v>112.4</v>
      </c>
      <c r="E275" s="48">
        <v>-1.8E-3</v>
      </c>
      <c r="F275" s="28">
        <v>19.100000000000001</v>
      </c>
      <c r="G275" s="28">
        <v>79.06</v>
      </c>
      <c r="H275" s="48">
        <v>0.42170000000000002</v>
      </c>
      <c r="I275" s="45">
        <v>154.57</v>
      </c>
      <c r="J275" s="46">
        <v>46805</v>
      </c>
      <c r="K275" s="47">
        <v>5.2629999999999999</v>
      </c>
      <c r="L275" s="47">
        <v>5.7693539999999999</v>
      </c>
      <c r="M275" s="47">
        <v>14522.970684099999</v>
      </c>
      <c r="N275" s="48">
        <v>0.22395561831665228</v>
      </c>
      <c r="O275" s="48">
        <v>1.3228999999999999E-2</v>
      </c>
      <c r="P275" s="28">
        <v>114.697</v>
      </c>
      <c r="Q275" s="28">
        <v>112.4</v>
      </c>
      <c r="R275" s="48">
        <v>2.0435943060498195E-2</v>
      </c>
    </row>
    <row r="276" spans="1:18" x14ac:dyDescent="0.15">
      <c r="A276" s="29">
        <v>275</v>
      </c>
      <c r="B276" s="28">
        <v>123061</v>
      </c>
      <c r="C276" s="28" t="s">
        <v>93</v>
      </c>
      <c r="D276" s="28">
        <v>120.999</v>
      </c>
      <c r="E276" s="48">
        <v>-7.8000000000000005E-3</v>
      </c>
      <c r="F276" s="28">
        <v>14.84</v>
      </c>
      <c r="G276" s="28">
        <v>85.04</v>
      </c>
      <c r="H276" s="48">
        <v>0.42280000000000001</v>
      </c>
      <c r="I276" s="45">
        <v>163.279</v>
      </c>
      <c r="J276" s="46">
        <v>46225</v>
      </c>
      <c r="K276" s="47">
        <v>3.6739999999999999</v>
      </c>
      <c r="L276" s="47">
        <v>2.4960209999999998</v>
      </c>
      <c r="M276" s="47">
        <v>2182.058743</v>
      </c>
      <c r="N276" s="48">
        <v>7.224976219894956E-2</v>
      </c>
      <c r="O276" s="48">
        <v>5.7030000000000006E-3</v>
      </c>
      <c r="P276" s="28">
        <v>122.03</v>
      </c>
      <c r="Q276" s="28">
        <v>120.58</v>
      </c>
      <c r="R276" s="48">
        <v>1.2025211477857048E-2</v>
      </c>
    </row>
    <row r="277" spans="1:18" x14ac:dyDescent="0.15">
      <c r="A277" s="29">
        <v>276</v>
      </c>
      <c r="B277" s="28">
        <v>111005</v>
      </c>
      <c r="C277" s="28" t="s">
        <v>1918</v>
      </c>
      <c r="D277" s="28">
        <v>118.72</v>
      </c>
      <c r="E277" s="48">
        <v>-2.9999999999999997E-4</v>
      </c>
      <c r="F277" s="28">
        <v>23.19</v>
      </c>
      <c r="G277" s="28">
        <v>83.44</v>
      </c>
      <c r="H277" s="48">
        <v>0.42280000000000001</v>
      </c>
      <c r="I277" s="45">
        <v>161</v>
      </c>
      <c r="J277" s="46">
        <v>46927</v>
      </c>
      <c r="K277" s="47">
        <v>5.5970000000000004</v>
      </c>
      <c r="L277" s="47">
        <v>5.7</v>
      </c>
      <c r="M277" s="47">
        <v>358.65929999999997</v>
      </c>
      <c r="N277" s="48">
        <v>5.3000913250106398E-3</v>
      </c>
      <c r="O277" s="48">
        <v>-8.2989999999999991E-3</v>
      </c>
      <c r="P277" s="28">
        <v>119.09099999999999</v>
      </c>
      <c r="Q277" s="28">
        <v>118.3</v>
      </c>
      <c r="R277" s="48">
        <v>6.6863905325443519E-3</v>
      </c>
    </row>
    <row r="278" spans="1:18" x14ac:dyDescent="0.15">
      <c r="A278" s="29">
        <v>277</v>
      </c>
      <c r="B278" s="28">
        <v>123054</v>
      </c>
      <c r="C278" s="28" t="s">
        <v>80</v>
      </c>
      <c r="D278" s="28">
        <v>124.64</v>
      </c>
      <c r="E278" s="48">
        <v>-1.24E-2</v>
      </c>
      <c r="F278" s="28">
        <v>10.46</v>
      </c>
      <c r="G278" s="28">
        <v>87.38</v>
      </c>
      <c r="H278" s="48">
        <v>0.4264</v>
      </c>
      <c r="I278" s="45">
        <v>167.28</v>
      </c>
      <c r="J278" s="46">
        <v>46183</v>
      </c>
      <c r="K278" s="47">
        <v>3.5590000000000002</v>
      </c>
      <c r="L278" s="47">
        <v>2.0730419999999996</v>
      </c>
      <c r="M278" s="47">
        <v>2264.9725229999999</v>
      </c>
      <c r="N278" s="48">
        <v>8.7659178529561191E-2</v>
      </c>
      <c r="O278" s="48">
        <v>-9.6550000000000004E-3</v>
      </c>
      <c r="P278" s="28">
        <v>127.7</v>
      </c>
      <c r="Q278" s="28">
        <v>124.5</v>
      </c>
      <c r="R278" s="48">
        <v>2.5702811244979942E-2</v>
      </c>
    </row>
    <row r="279" spans="1:18" x14ac:dyDescent="0.15">
      <c r="A279" s="29">
        <v>278</v>
      </c>
      <c r="B279" s="28">
        <v>127026</v>
      </c>
      <c r="C279" s="28" t="s">
        <v>207</v>
      </c>
      <c r="D279" s="28">
        <v>113.77</v>
      </c>
      <c r="E279" s="48">
        <v>-9.300000000000001E-3</v>
      </c>
      <c r="F279" s="28">
        <v>12.62</v>
      </c>
      <c r="G279" s="28">
        <v>79.400000000000006</v>
      </c>
      <c r="H279" s="48">
        <v>0.43290000000000001</v>
      </c>
      <c r="I279" s="45">
        <v>157.06</v>
      </c>
      <c r="J279" s="46">
        <v>46364</v>
      </c>
      <c r="K279" s="47">
        <v>4.0549999999999997</v>
      </c>
      <c r="L279" s="47">
        <v>6.9970539999999986</v>
      </c>
      <c r="M279" s="47">
        <v>910.55067080000003</v>
      </c>
      <c r="N279" s="48">
        <v>1.1438290836136152E-2</v>
      </c>
      <c r="O279" s="48">
        <v>-2.1540000000000001E-3</v>
      </c>
      <c r="P279" s="28">
        <v>115.38200000000001</v>
      </c>
      <c r="Q279" s="28">
        <v>113.708</v>
      </c>
      <c r="R279" s="48">
        <v>1.4721919302072032E-2</v>
      </c>
    </row>
    <row r="280" spans="1:18" x14ac:dyDescent="0.15">
      <c r="A280" s="29">
        <v>279</v>
      </c>
      <c r="B280" s="28">
        <v>118017</v>
      </c>
      <c r="C280" s="28" t="s">
        <v>2074</v>
      </c>
      <c r="D280" s="28">
        <v>123.16</v>
      </c>
      <c r="E280" s="48">
        <v>-4.5999999999999999E-3</v>
      </c>
      <c r="F280" s="28">
        <v>26.68</v>
      </c>
      <c r="G280" s="28">
        <v>85.94</v>
      </c>
      <c r="H280" s="48">
        <v>0.43310000000000004</v>
      </c>
      <c r="I280" s="45">
        <v>166.47</v>
      </c>
      <c r="J280" s="46">
        <v>46973</v>
      </c>
      <c r="K280" s="47">
        <v>5.7229999999999999</v>
      </c>
      <c r="L280" s="47">
        <v>3.6</v>
      </c>
      <c r="M280" s="47">
        <v>365.92579999999998</v>
      </c>
      <c r="N280" s="48">
        <v>8.2531711233806062E-3</v>
      </c>
      <c r="O280" s="48">
        <v>-2.996E-3</v>
      </c>
      <c r="P280" s="28">
        <v>124.539</v>
      </c>
      <c r="Q280" s="28">
        <v>122.306</v>
      </c>
      <c r="R280" s="48">
        <v>1.8257485323696337E-2</v>
      </c>
    </row>
    <row r="281" spans="1:18" x14ac:dyDescent="0.15">
      <c r="A281" s="29">
        <v>280</v>
      </c>
      <c r="B281" s="28">
        <v>118011</v>
      </c>
      <c r="C281" s="28" t="s">
        <v>1913</v>
      </c>
      <c r="D281" s="28">
        <v>117.84099999999999</v>
      </c>
      <c r="E281" s="48">
        <v>-2.2000000000000002E-2</v>
      </c>
      <c r="F281" s="28">
        <v>31.95</v>
      </c>
      <c r="G281" s="28">
        <v>81.97</v>
      </c>
      <c r="H281" s="48">
        <v>0.43759999999999999</v>
      </c>
      <c r="I281" s="45">
        <v>161.601</v>
      </c>
      <c r="J281" s="46">
        <v>46938</v>
      </c>
      <c r="K281" s="47">
        <v>5.6269999999999998</v>
      </c>
      <c r="L281" s="47">
        <v>5</v>
      </c>
      <c r="M281" s="47">
        <v>1910.7101</v>
      </c>
      <c r="N281" s="48">
        <v>3.2428613131253128E-2</v>
      </c>
      <c r="O281" s="48">
        <v>5.411E-3</v>
      </c>
      <c r="P281" s="28">
        <v>121.574</v>
      </c>
      <c r="Q281" s="28">
        <v>117.742</v>
      </c>
      <c r="R281" s="48">
        <v>3.2545735591377703E-2</v>
      </c>
    </row>
    <row r="282" spans="1:18" x14ac:dyDescent="0.15">
      <c r="A282" s="29">
        <v>281</v>
      </c>
      <c r="B282" s="28">
        <v>128039</v>
      </c>
      <c r="C282" s="28" t="s">
        <v>111</v>
      </c>
      <c r="D282" s="28">
        <v>117.747</v>
      </c>
      <c r="E282" s="48">
        <v>-1.2999999999999999E-3</v>
      </c>
      <c r="F282" s="28">
        <v>5.77</v>
      </c>
      <c r="G282" s="28">
        <v>81.8</v>
      </c>
      <c r="H282" s="48">
        <v>0.43939999999999996</v>
      </c>
      <c r="I282" s="45">
        <v>161.68700000000001</v>
      </c>
      <c r="J282" s="46">
        <v>45451</v>
      </c>
      <c r="K282" s="47">
        <v>1.5529999999999999</v>
      </c>
      <c r="L282" s="47">
        <v>2.0238990000000001</v>
      </c>
      <c r="M282" s="47">
        <v>776.02158600000007</v>
      </c>
      <c r="N282" s="48">
        <v>3.2563802735363988E-2</v>
      </c>
      <c r="O282" s="48">
        <v>-5.7314999999999998E-2</v>
      </c>
      <c r="P282" s="28">
        <v>118.349</v>
      </c>
      <c r="Q282" s="28">
        <v>117.31100000000001</v>
      </c>
      <c r="R282" s="48">
        <v>8.8482750978168857E-3</v>
      </c>
    </row>
    <row r="283" spans="1:18" x14ac:dyDescent="0.15">
      <c r="A283" s="29">
        <v>282</v>
      </c>
      <c r="B283" s="28">
        <v>128120</v>
      </c>
      <c r="C283" s="28" t="s">
        <v>108</v>
      </c>
      <c r="D283" s="28">
        <v>117.91</v>
      </c>
      <c r="E283" s="48">
        <v>-1.6000000000000001E-3</v>
      </c>
      <c r="F283" s="28">
        <v>17.72</v>
      </c>
      <c r="G283" s="28">
        <v>81.83</v>
      </c>
      <c r="H283" s="48">
        <v>0.44090000000000001</v>
      </c>
      <c r="I283" s="45">
        <v>162</v>
      </c>
      <c r="J283" s="46">
        <v>46220</v>
      </c>
      <c r="K283" s="47">
        <v>3.66</v>
      </c>
      <c r="L283" s="47">
        <v>2.5979830000000002</v>
      </c>
      <c r="M283" s="47">
        <v>1944.4443309999999</v>
      </c>
      <c r="N283" s="48">
        <v>6.3475856493963673E-2</v>
      </c>
      <c r="O283" s="48">
        <v>-1.684E-3</v>
      </c>
      <c r="P283" s="28">
        <v>118.928</v>
      </c>
      <c r="Q283" s="28">
        <v>117.419</v>
      </c>
      <c r="R283" s="48">
        <v>1.2851412463059644E-2</v>
      </c>
    </row>
    <row r="284" spans="1:18" x14ac:dyDescent="0.15">
      <c r="A284" s="29">
        <v>283</v>
      </c>
      <c r="B284" s="28">
        <v>123163</v>
      </c>
      <c r="C284" s="28" t="s">
        <v>2072</v>
      </c>
      <c r="D284" s="28">
        <v>124.7</v>
      </c>
      <c r="E284" s="48">
        <v>-1.1899999999999999E-2</v>
      </c>
      <c r="F284" s="28">
        <v>27.28</v>
      </c>
      <c r="G284" s="28">
        <v>86.18</v>
      </c>
      <c r="H284" s="48">
        <v>0.44700000000000001</v>
      </c>
      <c r="I284" s="45">
        <v>169.4</v>
      </c>
      <c r="J284" s="46">
        <v>47040</v>
      </c>
      <c r="K284" s="47">
        <v>5.907</v>
      </c>
      <c r="L284" s="47">
        <v>3.1</v>
      </c>
      <c r="M284" s="47">
        <v>542.96004110000001</v>
      </c>
      <c r="N284" s="48">
        <v>1.4045581423804228E-2</v>
      </c>
      <c r="O284" s="48">
        <v>-4.1980000000000003E-3</v>
      </c>
      <c r="P284" s="28">
        <v>126.2</v>
      </c>
      <c r="Q284" s="28">
        <v>124.5</v>
      </c>
      <c r="R284" s="48">
        <v>1.3654618473895605E-2</v>
      </c>
    </row>
    <row r="285" spans="1:18" x14ac:dyDescent="0.15">
      <c r="A285" s="29">
        <v>284</v>
      </c>
      <c r="B285" s="28">
        <v>127061</v>
      </c>
      <c r="C285" s="28" t="s">
        <v>1876</v>
      </c>
      <c r="D285" s="28">
        <v>108.29</v>
      </c>
      <c r="E285" s="48">
        <v>-8.8000000000000005E-3</v>
      </c>
      <c r="F285" s="28">
        <v>12.93</v>
      </c>
      <c r="G285" s="28">
        <v>74.790000000000006</v>
      </c>
      <c r="H285" s="48">
        <v>0.44789999999999996</v>
      </c>
      <c r="I285" s="45">
        <v>153.08000000000001</v>
      </c>
      <c r="J285" s="46">
        <v>46863</v>
      </c>
      <c r="K285" s="47">
        <v>5.4219999999999997</v>
      </c>
      <c r="L285" s="47">
        <v>35.897289000000001</v>
      </c>
      <c r="M285" s="47">
        <v>3597.3175277999999</v>
      </c>
      <c r="N285" s="48">
        <v>9.2539845187724207E-3</v>
      </c>
      <c r="O285" s="48">
        <v>2.5115999999999999E-2</v>
      </c>
      <c r="P285" s="28">
        <v>109.497</v>
      </c>
      <c r="Q285" s="28">
        <v>108</v>
      </c>
      <c r="R285" s="48">
        <v>1.3861111111111111E-2</v>
      </c>
    </row>
    <row r="286" spans="1:18" x14ac:dyDescent="0.15">
      <c r="A286" s="29">
        <v>285</v>
      </c>
      <c r="B286" s="28">
        <v>118006</v>
      </c>
      <c r="C286" s="28" t="s">
        <v>770</v>
      </c>
      <c r="D286" s="28">
        <v>122.584</v>
      </c>
      <c r="E286" s="48">
        <v>-4.5000000000000005E-3</v>
      </c>
      <c r="F286" s="28">
        <v>45.23</v>
      </c>
      <c r="G286" s="28">
        <v>84.57</v>
      </c>
      <c r="H286" s="48">
        <v>0.44950000000000001</v>
      </c>
      <c r="I286" s="45">
        <v>167.53399999999999</v>
      </c>
      <c r="J286" s="46">
        <v>46827</v>
      </c>
      <c r="K286" s="47">
        <v>5.3230000000000004</v>
      </c>
      <c r="L286" s="47">
        <v>3.8737499999999998</v>
      </c>
      <c r="M286" s="47">
        <v>4277.9255999999996</v>
      </c>
      <c r="N286" s="48">
        <v>9.0088187508493275E-2</v>
      </c>
      <c r="O286" s="48">
        <v>-1.547E-3</v>
      </c>
      <c r="P286" s="28">
        <v>124.85</v>
      </c>
      <c r="Q286" s="28">
        <v>122.5</v>
      </c>
      <c r="R286" s="48">
        <v>1.9183673469387708E-2</v>
      </c>
    </row>
    <row r="287" spans="1:18" x14ac:dyDescent="0.15">
      <c r="A287" s="29">
        <v>286</v>
      </c>
      <c r="B287" s="28">
        <v>113602</v>
      </c>
      <c r="C287" s="28" t="s">
        <v>1749</v>
      </c>
      <c r="D287" s="28">
        <v>114.938</v>
      </c>
      <c r="E287" s="48">
        <v>-3.9000000000000003E-3</v>
      </c>
      <c r="F287" s="28">
        <v>27.1</v>
      </c>
      <c r="G287" s="28">
        <v>79.19</v>
      </c>
      <c r="H287" s="48">
        <v>0.45140000000000002</v>
      </c>
      <c r="I287" s="45">
        <v>160.078</v>
      </c>
      <c r="J287" s="46">
        <v>46258</v>
      </c>
      <c r="K287" s="47">
        <v>3.7639999999999998</v>
      </c>
      <c r="L287" s="47">
        <v>17.798719999999999</v>
      </c>
      <c r="M287" s="47">
        <v>4255.6853000000001</v>
      </c>
      <c r="N287" s="48">
        <v>2.080257509039116E-2</v>
      </c>
      <c r="O287" s="48">
        <v>-6.2589999999999998E-3</v>
      </c>
      <c r="P287" s="28">
        <v>116.39</v>
      </c>
      <c r="Q287" s="28">
        <v>114.661</v>
      </c>
      <c r="R287" s="48">
        <v>1.5079233566775095E-2</v>
      </c>
    </row>
    <row r="288" spans="1:18" x14ac:dyDescent="0.15">
      <c r="A288" s="29">
        <v>287</v>
      </c>
      <c r="B288" s="28">
        <v>123109</v>
      </c>
      <c r="C288" s="28" t="s">
        <v>1885</v>
      </c>
      <c r="D288" s="28">
        <v>118.65</v>
      </c>
      <c r="E288" s="48">
        <v>-1.4499999999999999E-2</v>
      </c>
      <c r="F288" s="28">
        <v>27.88</v>
      </c>
      <c r="G288" s="28">
        <v>81.64</v>
      </c>
      <c r="H288" s="48">
        <v>0.45329999999999998</v>
      </c>
      <c r="I288" s="45">
        <v>163.98000000000002</v>
      </c>
      <c r="J288" s="46">
        <v>46478</v>
      </c>
      <c r="K288" s="47">
        <v>4.367</v>
      </c>
      <c r="L288" s="47">
        <v>4.59551</v>
      </c>
      <c r="M288" s="47">
        <v>1540.4341471999999</v>
      </c>
      <c r="N288" s="48">
        <v>2.8251510909956031E-2</v>
      </c>
      <c r="O288" s="48">
        <v>3.8169999999999996E-3</v>
      </c>
      <c r="P288" s="28">
        <v>121.327</v>
      </c>
      <c r="Q288" s="28">
        <v>118.301</v>
      </c>
      <c r="R288" s="48">
        <v>2.557882012831672E-2</v>
      </c>
    </row>
    <row r="289" spans="1:18" x14ac:dyDescent="0.15">
      <c r="A289" s="29">
        <v>288</v>
      </c>
      <c r="B289" s="28">
        <v>123048</v>
      </c>
      <c r="C289" s="28" t="s">
        <v>208</v>
      </c>
      <c r="D289" s="28">
        <v>117.45</v>
      </c>
      <c r="E289" s="48">
        <v>-4.0000000000000002E-4</v>
      </c>
      <c r="F289" s="28">
        <v>8.86</v>
      </c>
      <c r="G289" s="28">
        <v>80.81</v>
      </c>
      <c r="H289" s="48">
        <v>0.45340000000000003</v>
      </c>
      <c r="I289" s="45">
        <v>162.79000000000002</v>
      </c>
      <c r="J289" s="46">
        <v>46122</v>
      </c>
      <c r="K289" s="47">
        <v>3.3919999999999999</v>
      </c>
      <c r="L289" s="47">
        <v>3.7902160000000005</v>
      </c>
      <c r="M289" s="47">
        <v>1792.5806059999998</v>
      </c>
      <c r="N289" s="48">
        <v>4.0268153155991714E-2</v>
      </c>
      <c r="O289" s="48">
        <v>-1.3391E-2</v>
      </c>
      <c r="P289" s="28">
        <v>118.9</v>
      </c>
      <c r="Q289" s="28">
        <v>117.259</v>
      </c>
      <c r="R289" s="48">
        <v>1.399466139059693E-2</v>
      </c>
    </row>
    <row r="290" spans="1:18" x14ac:dyDescent="0.15">
      <c r="A290" s="29">
        <v>289</v>
      </c>
      <c r="B290" s="28">
        <v>128129</v>
      </c>
      <c r="C290" s="28" t="s">
        <v>1741</v>
      </c>
      <c r="D290" s="28">
        <v>100.35</v>
      </c>
      <c r="E290" s="48">
        <v>1.5E-3</v>
      </c>
      <c r="F290" s="28">
        <v>4.22</v>
      </c>
      <c r="G290" s="28">
        <v>68.959999999999994</v>
      </c>
      <c r="H290" s="48">
        <v>0.45520000000000005</v>
      </c>
      <c r="I290" s="45">
        <v>145.87</v>
      </c>
      <c r="J290" s="46">
        <v>46259</v>
      </c>
      <c r="K290" s="47">
        <v>3.7669999999999999</v>
      </c>
      <c r="L290" s="47">
        <v>49.997380999999997</v>
      </c>
      <c r="M290" s="47">
        <v>2533.7614278000001</v>
      </c>
      <c r="N290" s="48">
        <v>5.0501129111624197E-3</v>
      </c>
      <c r="O290" s="48">
        <v>2.9049000000000002E-2</v>
      </c>
      <c r="P290" s="28">
        <v>100.587</v>
      </c>
      <c r="Q290" s="28">
        <v>99.96</v>
      </c>
      <c r="R290" s="48">
        <v>6.2725090036015365E-3</v>
      </c>
    </row>
    <row r="291" spans="1:18" x14ac:dyDescent="0.15">
      <c r="A291" s="29">
        <v>290</v>
      </c>
      <c r="B291" s="28">
        <v>127018</v>
      </c>
      <c r="C291" s="28" t="s">
        <v>1720</v>
      </c>
      <c r="D291" s="28">
        <v>113.2</v>
      </c>
      <c r="E291" s="48">
        <v>-1.8E-3</v>
      </c>
      <c r="F291" s="28">
        <v>3.95</v>
      </c>
      <c r="G291" s="28">
        <v>77.72</v>
      </c>
      <c r="H291" s="48">
        <v>0.45649999999999996</v>
      </c>
      <c r="I291" s="45">
        <v>158.85</v>
      </c>
      <c r="J291" s="46">
        <v>46202</v>
      </c>
      <c r="K291" s="47">
        <v>3.6110000000000002</v>
      </c>
      <c r="L291" s="47">
        <v>56.310521000000001</v>
      </c>
      <c r="M291" s="47">
        <v>2640.269354</v>
      </c>
      <c r="N291" s="48">
        <v>4.1420206754284586E-3</v>
      </c>
      <c r="O291" s="48">
        <v>3.3884999999999998E-2</v>
      </c>
      <c r="P291" s="28">
        <v>113.557</v>
      </c>
      <c r="Q291" s="28">
        <v>112.70099999999999</v>
      </c>
      <c r="R291" s="48">
        <v>7.595318586348025E-3</v>
      </c>
    </row>
    <row r="292" spans="1:18" x14ac:dyDescent="0.15">
      <c r="A292" s="29">
        <v>291</v>
      </c>
      <c r="B292" s="28">
        <v>128023</v>
      </c>
      <c r="C292" s="28" t="s">
        <v>190</v>
      </c>
      <c r="D292" s="28">
        <v>116.03</v>
      </c>
      <c r="E292" s="48">
        <v>-8.3000000000000001E-3</v>
      </c>
      <c r="F292" s="28">
        <v>10.24</v>
      </c>
      <c r="G292" s="28">
        <v>79.489999999999995</v>
      </c>
      <c r="H292" s="48">
        <v>0.4597</v>
      </c>
      <c r="I292" s="45">
        <v>162</v>
      </c>
      <c r="J292" s="46">
        <v>45264</v>
      </c>
      <c r="K292" s="47">
        <v>1.0409999999999999</v>
      </c>
      <c r="L292" s="47">
        <v>9.9863149999999994</v>
      </c>
      <c r="M292" s="47">
        <v>2076.7592543999999</v>
      </c>
      <c r="N292" s="48">
        <v>1.7922995726175447E-2</v>
      </c>
      <c r="O292" s="48">
        <v>-5.2275999999999996E-2</v>
      </c>
      <c r="P292" s="28">
        <v>117.36</v>
      </c>
      <c r="Q292" s="28">
        <v>115.7</v>
      </c>
      <c r="R292" s="48">
        <v>1.4347450302506452E-2</v>
      </c>
    </row>
    <row r="293" spans="1:18" x14ac:dyDescent="0.15">
      <c r="A293" s="29">
        <v>292</v>
      </c>
      <c r="B293" s="28">
        <v>127071</v>
      </c>
      <c r="C293" s="28" t="s">
        <v>2076</v>
      </c>
      <c r="D293" s="28">
        <v>115.99</v>
      </c>
      <c r="E293" s="48">
        <v>-9.7000000000000003E-3</v>
      </c>
      <c r="F293" s="28">
        <v>53.11</v>
      </c>
      <c r="G293" s="28">
        <v>79.459999999999994</v>
      </c>
      <c r="H293" s="48">
        <v>0.4597</v>
      </c>
      <c r="I293" s="45">
        <v>161.95999999999998</v>
      </c>
      <c r="J293" s="46">
        <v>46987</v>
      </c>
      <c r="K293" s="47">
        <v>5.7619999999999996</v>
      </c>
      <c r="L293" s="47">
        <v>4.95</v>
      </c>
      <c r="M293" s="47">
        <v>1100.8277851</v>
      </c>
      <c r="N293" s="48">
        <v>1.9173157301090916E-2</v>
      </c>
      <c r="O293" s="48">
        <v>-5.8199999999999997E-3</v>
      </c>
      <c r="P293" s="28">
        <v>117.63</v>
      </c>
      <c r="Q293" s="28">
        <v>115.501</v>
      </c>
      <c r="R293" s="48">
        <v>1.8432740842070548E-2</v>
      </c>
    </row>
    <row r="294" spans="1:18" x14ac:dyDescent="0.15">
      <c r="A294" s="29">
        <v>293</v>
      </c>
      <c r="B294" s="28">
        <v>127033</v>
      </c>
      <c r="C294" s="28" t="s">
        <v>1726</v>
      </c>
      <c r="D294" s="28">
        <v>108.2</v>
      </c>
      <c r="E294" s="48">
        <v>-7.8000000000000005E-3</v>
      </c>
      <c r="F294" s="28">
        <v>6.29</v>
      </c>
      <c r="G294" s="28">
        <v>74.09</v>
      </c>
      <c r="H294" s="48">
        <v>0.46039999999999998</v>
      </c>
      <c r="I294" s="45">
        <v>154.24</v>
      </c>
      <c r="J294" s="46">
        <v>46493</v>
      </c>
      <c r="K294" s="47">
        <v>4.4080000000000004</v>
      </c>
      <c r="L294" s="47">
        <v>11.593465999999999</v>
      </c>
      <c r="M294" s="47">
        <v>1595.2062994999999</v>
      </c>
      <c r="N294" s="48">
        <v>1.2716754948653109E-2</v>
      </c>
      <c r="O294" s="48">
        <v>1.7840000000000002E-2</v>
      </c>
      <c r="P294" s="28">
        <v>109.96</v>
      </c>
      <c r="Q294" s="28">
        <v>108.1</v>
      </c>
      <c r="R294" s="48">
        <v>1.7206290471785381E-2</v>
      </c>
    </row>
    <row r="295" spans="1:18" x14ac:dyDescent="0.15">
      <c r="A295" s="29">
        <v>294</v>
      </c>
      <c r="B295" s="28">
        <v>123136</v>
      </c>
      <c r="C295" s="28" t="s">
        <v>244</v>
      </c>
      <c r="D295" s="28">
        <v>117.79900000000001</v>
      </c>
      <c r="E295" s="48">
        <v>-1.09E-2</v>
      </c>
      <c r="F295" s="28">
        <v>17.440000000000001</v>
      </c>
      <c r="G295" s="28">
        <v>80.62</v>
      </c>
      <c r="H295" s="48">
        <v>0.4612</v>
      </c>
      <c r="I295" s="45">
        <v>163.91900000000001</v>
      </c>
      <c r="J295" s="46">
        <v>46773</v>
      </c>
      <c r="K295" s="47">
        <v>5.1749999999999998</v>
      </c>
      <c r="L295" s="47">
        <v>4.595243</v>
      </c>
      <c r="M295" s="47">
        <v>8159.8874010000009</v>
      </c>
      <c r="N295" s="48">
        <v>0.15074193300402822</v>
      </c>
      <c r="O295" s="48">
        <v>4.7990000000000003E-3</v>
      </c>
      <c r="P295" s="28">
        <v>119.27</v>
      </c>
      <c r="Q295" s="28">
        <v>117.56</v>
      </c>
      <c r="R295" s="48">
        <v>1.454576386526024E-2</v>
      </c>
    </row>
    <row r="296" spans="1:18" x14ac:dyDescent="0.15">
      <c r="A296" s="29">
        <v>295</v>
      </c>
      <c r="B296" s="28">
        <v>123002</v>
      </c>
      <c r="C296" s="28" t="s">
        <v>79</v>
      </c>
      <c r="D296" s="28">
        <v>113.7</v>
      </c>
      <c r="E296" s="48">
        <v>1.1000000000000001E-3</v>
      </c>
      <c r="F296" s="28">
        <v>8.24</v>
      </c>
      <c r="G296" s="28">
        <v>77.790000000000006</v>
      </c>
      <c r="H296" s="48">
        <v>0.46159999999999995</v>
      </c>
      <c r="I296" s="45">
        <v>159.86000000000001</v>
      </c>
      <c r="J296" s="46">
        <v>45254</v>
      </c>
      <c r="K296" s="47">
        <v>1.014</v>
      </c>
      <c r="L296" s="47">
        <v>2.5214889999999999</v>
      </c>
      <c r="M296" s="47">
        <v>526.37905699999999</v>
      </c>
      <c r="N296" s="48">
        <v>1.8360354367724145E-2</v>
      </c>
      <c r="O296" s="48">
        <v>-5.4378000000000003E-2</v>
      </c>
      <c r="P296" s="28">
        <v>114.321</v>
      </c>
      <c r="Q296" s="28">
        <v>113.482</v>
      </c>
      <c r="R296" s="48">
        <v>7.3932429812657392E-3</v>
      </c>
    </row>
    <row r="297" spans="1:18" x14ac:dyDescent="0.15">
      <c r="A297" s="29">
        <v>296</v>
      </c>
      <c r="B297" s="28">
        <v>113658</v>
      </c>
      <c r="C297" s="28" t="s">
        <v>2071</v>
      </c>
      <c r="D297" s="28">
        <v>123.678</v>
      </c>
      <c r="E297" s="48">
        <v>1.1999999999999999E-3</v>
      </c>
      <c r="F297" s="28">
        <v>134.55000000000001</v>
      </c>
      <c r="G297" s="28">
        <v>84.47</v>
      </c>
      <c r="H297" s="48">
        <v>0.4642</v>
      </c>
      <c r="I297" s="45">
        <v>170.09800000000001</v>
      </c>
      <c r="J297" s="46">
        <v>46646</v>
      </c>
      <c r="K297" s="47">
        <v>4.827</v>
      </c>
      <c r="L297" s="47">
        <v>8.7238799999999994</v>
      </c>
      <c r="M297" s="47">
        <v>2277.7458000000001</v>
      </c>
      <c r="N297" s="48">
        <v>2.1110723510561577E-2</v>
      </c>
      <c r="O297" s="48">
        <v>-1.4576E-2</v>
      </c>
      <c r="P297" s="28">
        <v>124.315</v>
      </c>
      <c r="Q297" s="28">
        <v>123.09099999999999</v>
      </c>
      <c r="R297" s="48">
        <v>9.9438626707070692E-3</v>
      </c>
    </row>
    <row r="298" spans="1:18" x14ac:dyDescent="0.15">
      <c r="A298" s="29">
        <v>297</v>
      </c>
      <c r="B298" s="28">
        <v>123088</v>
      </c>
      <c r="C298" s="28" t="s">
        <v>209</v>
      </c>
      <c r="D298" s="28">
        <v>120.39700000000001</v>
      </c>
      <c r="E298" s="48">
        <v>-7.3000000000000001E-3</v>
      </c>
      <c r="F298" s="28">
        <v>20.68</v>
      </c>
      <c r="G298" s="28">
        <v>82.16</v>
      </c>
      <c r="H298" s="48">
        <v>0.46539999999999998</v>
      </c>
      <c r="I298" s="45">
        <v>166.93700000000001</v>
      </c>
      <c r="J298" s="46">
        <v>46371</v>
      </c>
      <c r="K298" s="47">
        <v>4.0739999999999998</v>
      </c>
      <c r="L298" s="47">
        <v>3.0112640000000002</v>
      </c>
      <c r="M298" s="47">
        <v>1658.9323320000001</v>
      </c>
      <c r="N298" s="48">
        <v>4.5757698653182292E-2</v>
      </c>
      <c r="O298" s="48">
        <v>1.4660000000000001E-3</v>
      </c>
      <c r="P298" s="28">
        <v>121.813</v>
      </c>
      <c r="Q298" s="28">
        <v>120.301</v>
      </c>
      <c r="R298" s="48">
        <v>1.2568474077522219E-2</v>
      </c>
    </row>
    <row r="299" spans="1:18" x14ac:dyDescent="0.15">
      <c r="A299" s="29">
        <v>298</v>
      </c>
      <c r="B299" s="28">
        <v>111006</v>
      </c>
      <c r="C299" s="28" t="s">
        <v>2068</v>
      </c>
      <c r="D299" s="28">
        <v>128.30000000000001</v>
      </c>
      <c r="E299" s="48">
        <v>-1.46E-2</v>
      </c>
      <c r="F299" s="28">
        <v>31.18</v>
      </c>
      <c r="G299" s="28">
        <v>87.08</v>
      </c>
      <c r="H299" s="48">
        <v>0.47340000000000004</v>
      </c>
      <c r="I299" s="45">
        <v>175.64000000000001</v>
      </c>
      <c r="J299" s="46">
        <v>46976</v>
      </c>
      <c r="K299" s="47">
        <v>5.7320000000000002</v>
      </c>
      <c r="L299" s="47">
        <v>6.5067000000000004</v>
      </c>
      <c r="M299" s="47">
        <v>2115.8027999999999</v>
      </c>
      <c r="N299" s="48">
        <v>2.5344734591639401E-2</v>
      </c>
      <c r="O299" s="48">
        <v>-1.1350000000000001E-2</v>
      </c>
      <c r="P299" s="28">
        <v>130.85</v>
      </c>
      <c r="Q299" s="28">
        <v>126.866</v>
      </c>
      <c r="R299" s="48">
        <v>3.14032128387432E-2</v>
      </c>
    </row>
    <row r="300" spans="1:18" x14ac:dyDescent="0.15">
      <c r="A300" s="29">
        <v>299</v>
      </c>
      <c r="B300" s="28">
        <v>127062</v>
      </c>
      <c r="C300" s="28" t="s">
        <v>1772</v>
      </c>
      <c r="D300" s="28">
        <v>115</v>
      </c>
      <c r="E300" s="48">
        <v>6.9999999999999993E-3</v>
      </c>
      <c r="F300" s="28">
        <v>7.75</v>
      </c>
      <c r="G300" s="28">
        <v>77.94</v>
      </c>
      <c r="H300" s="48">
        <v>0.47549999999999998</v>
      </c>
      <c r="I300" s="45">
        <v>162.55000000000001</v>
      </c>
      <c r="J300" s="46">
        <v>46864</v>
      </c>
      <c r="K300" s="47">
        <v>5.4249999999999998</v>
      </c>
      <c r="L300" s="47">
        <v>3.9624700000000002</v>
      </c>
      <c r="M300" s="47">
        <v>1055.2616324999999</v>
      </c>
      <c r="N300" s="48">
        <v>2.3157747840855961E-2</v>
      </c>
      <c r="O300" s="48">
        <v>8.8149999999999999E-3</v>
      </c>
      <c r="P300" s="28">
        <v>115.15</v>
      </c>
      <c r="Q300" s="28">
        <v>114.386</v>
      </c>
      <c r="R300" s="48">
        <v>6.6791390554789051E-3</v>
      </c>
    </row>
    <row r="301" spans="1:18" x14ac:dyDescent="0.15">
      <c r="A301" s="29">
        <v>300</v>
      </c>
      <c r="B301" s="28">
        <v>123108</v>
      </c>
      <c r="C301" s="28" t="s">
        <v>1780</v>
      </c>
      <c r="D301" s="28">
        <v>121.9</v>
      </c>
      <c r="E301" s="48">
        <v>6.0000000000000001E-3</v>
      </c>
      <c r="F301" s="28">
        <v>28.68</v>
      </c>
      <c r="G301" s="28">
        <v>82.57</v>
      </c>
      <c r="H301" s="48">
        <v>0.4763</v>
      </c>
      <c r="I301" s="45">
        <v>169.53</v>
      </c>
      <c r="J301" s="46">
        <v>46111</v>
      </c>
      <c r="K301" s="47">
        <v>3.3620000000000001</v>
      </c>
      <c r="L301" s="47">
        <v>16.377229</v>
      </c>
      <c r="M301" s="47">
        <v>3171.1927556000001</v>
      </c>
      <c r="N301" s="48">
        <v>1.5884681573888088E-2</v>
      </c>
      <c r="O301" s="48">
        <v>-2.8344000000000001E-2</v>
      </c>
      <c r="P301" s="28">
        <v>123.88</v>
      </c>
      <c r="Q301" s="28">
        <v>121.223</v>
      </c>
      <c r="R301" s="48">
        <v>2.1918282834115611E-2</v>
      </c>
    </row>
    <row r="302" spans="1:18" x14ac:dyDescent="0.15">
      <c r="A302" s="29">
        <v>301</v>
      </c>
      <c r="B302" s="28">
        <v>128135</v>
      </c>
      <c r="C302" s="28" t="s">
        <v>1737</v>
      </c>
      <c r="D302" s="28">
        <v>119</v>
      </c>
      <c r="E302" s="48">
        <v>-1.4000000000000002E-3</v>
      </c>
      <c r="F302" s="28">
        <v>59.18</v>
      </c>
      <c r="G302" s="28">
        <v>80.55</v>
      </c>
      <c r="H302" s="48">
        <v>0.47729999999999995</v>
      </c>
      <c r="I302" s="45">
        <v>166.73</v>
      </c>
      <c r="J302" s="46">
        <v>46315</v>
      </c>
      <c r="K302" s="47">
        <v>3.9209999999999998</v>
      </c>
      <c r="L302" s="47">
        <v>13.398585000000001</v>
      </c>
      <c r="M302" s="47">
        <v>1110.0808545</v>
      </c>
      <c r="N302" s="48">
        <v>6.962235595786276E-3</v>
      </c>
      <c r="O302" s="48">
        <v>6.5299999999999993E-4</v>
      </c>
      <c r="P302" s="28">
        <v>120.25</v>
      </c>
      <c r="Q302" s="28">
        <v>119</v>
      </c>
      <c r="R302" s="48">
        <v>1.050420168067227E-2</v>
      </c>
    </row>
    <row r="303" spans="1:18" x14ac:dyDescent="0.15">
      <c r="A303" s="29">
        <v>302</v>
      </c>
      <c r="B303" s="28">
        <v>128062</v>
      </c>
      <c r="C303" s="28" t="s">
        <v>2085</v>
      </c>
      <c r="D303" s="28">
        <v>106.15</v>
      </c>
      <c r="E303" s="48">
        <v>9.0000000000000011E-3</v>
      </c>
      <c r="F303" s="28">
        <v>8.5</v>
      </c>
      <c r="G303" s="28">
        <v>71.53</v>
      </c>
      <c r="H303" s="48">
        <v>0.48399999999999999</v>
      </c>
      <c r="I303" s="45">
        <v>154.55000000000001</v>
      </c>
      <c r="J303" s="46">
        <v>45749</v>
      </c>
      <c r="K303" s="47">
        <v>2.37</v>
      </c>
      <c r="L303" s="47">
        <v>9.6191899999999997</v>
      </c>
      <c r="M303" s="47">
        <v>17695.189981200001</v>
      </c>
      <c r="N303" s="48">
        <v>0.17329926793568315</v>
      </c>
      <c r="O303" s="48">
        <v>4.7599999999999996E-2</v>
      </c>
      <c r="P303" s="28">
        <v>106.99</v>
      </c>
      <c r="Q303" s="28">
        <v>105.03100000000001</v>
      </c>
      <c r="R303" s="48">
        <v>1.865163618360283E-2</v>
      </c>
    </row>
    <row r="304" spans="1:18" x14ac:dyDescent="0.15">
      <c r="A304" s="29">
        <v>303</v>
      </c>
      <c r="B304" s="28">
        <v>123132</v>
      </c>
      <c r="C304" s="28" t="s">
        <v>224</v>
      </c>
      <c r="D304" s="28">
        <v>116.73699999999999</v>
      </c>
      <c r="E304" s="48">
        <v>-3.3E-3</v>
      </c>
      <c r="F304" s="28">
        <v>28</v>
      </c>
      <c r="G304" s="28">
        <v>78.61</v>
      </c>
      <c r="H304" s="48">
        <v>0.48499999999999999</v>
      </c>
      <c r="I304" s="45">
        <v>165.23699999999999</v>
      </c>
      <c r="J304" s="46">
        <v>46738</v>
      </c>
      <c r="K304" s="47">
        <v>5.0789999999999997</v>
      </c>
      <c r="L304" s="47">
        <v>6.9996570000000009</v>
      </c>
      <c r="M304" s="47">
        <v>629.56875639999998</v>
      </c>
      <c r="N304" s="48">
        <v>7.7047380837845774E-3</v>
      </c>
      <c r="O304" s="48">
        <v>7.2360000000000002E-3</v>
      </c>
      <c r="P304" s="28">
        <v>118.011</v>
      </c>
      <c r="Q304" s="28">
        <v>116.2</v>
      </c>
      <c r="R304" s="48">
        <v>1.5585197934595462E-2</v>
      </c>
    </row>
    <row r="305" spans="1:18" x14ac:dyDescent="0.15">
      <c r="A305" s="29">
        <v>304</v>
      </c>
      <c r="B305" s="28">
        <v>113054</v>
      </c>
      <c r="C305" s="28" t="s">
        <v>1748</v>
      </c>
      <c r="D305" s="28">
        <v>105.67</v>
      </c>
      <c r="E305" s="48">
        <v>5.9999999999999995E-4</v>
      </c>
      <c r="F305" s="28">
        <v>9.7200000000000006</v>
      </c>
      <c r="G305" s="28">
        <v>71.09</v>
      </c>
      <c r="H305" s="48">
        <v>0.4864</v>
      </c>
      <c r="I305" s="45">
        <v>154.31</v>
      </c>
      <c r="J305" s="46">
        <v>46808</v>
      </c>
      <c r="K305" s="47">
        <v>5.2709999999999999</v>
      </c>
      <c r="L305" s="47">
        <v>23.599329999999998</v>
      </c>
      <c r="M305" s="47">
        <v>1390.4719</v>
      </c>
      <c r="N305" s="48">
        <v>5.5758468416315888E-3</v>
      </c>
      <c r="O305" s="48">
        <v>1.3864000000000001E-2</v>
      </c>
      <c r="P305" s="28">
        <v>105.962</v>
      </c>
      <c r="Q305" s="28">
        <v>105.203</v>
      </c>
      <c r="R305" s="48">
        <v>7.2146231571343054E-3</v>
      </c>
    </row>
    <row r="306" spans="1:18" x14ac:dyDescent="0.15">
      <c r="A306" s="29">
        <v>305</v>
      </c>
      <c r="B306" s="28">
        <v>123153</v>
      </c>
      <c r="C306" s="28" t="s">
        <v>1922</v>
      </c>
      <c r="D306" s="28">
        <v>118.027</v>
      </c>
      <c r="E306" s="48">
        <v>-2.3E-3</v>
      </c>
      <c r="F306" s="28">
        <v>19.239999999999998</v>
      </c>
      <c r="G306" s="28">
        <v>79.209999999999994</v>
      </c>
      <c r="H306" s="48">
        <v>0.49009999999999998</v>
      </c>
      <c r="I306" s="45">
        <v>167.03700000000001</v>
      </c>
      <c r="J306" s="46">
        <v>46955</v>
      </c>
      <c r="K306" s="47">
        <v>5.6740000000000004</v>
      </c>
      <c r="L306" s="47">
        <v>3.4</v>
      </c>
      <c r="M306" s="47">
        <v>519.36529239999993</v>
      </c>
      <c r="N306" s="48">
        <v>1.2942335038991575E-2</v>
      </c>
      <c r="O306" s="48">
        <v>5.2300000000000003E-3</v>
      </c>
      <c r="P306" s="28">
        <v>118.645</v>
      </c>
      <c r="Q306" s="28">
        <v>117.8</v>
      </c>
      <c r="R306" s="48">
        <v>7.173174872665525E-3</v>
      </c>
    </row>
    <row r="307" spans="1:18" x14ac:dyDescent="0.15">
      <c r="A307" s="29">
        <v>306</v>
      </c>
      <c r="B307" s="28">
        <v>128053</v>
      </c>
      <c r="C307" s="28" t="s">
        <v>61</v>
      </c>
      <c r="D307" s="28">
        <v>175.45</v>
      </c>
      <c r="E307" s="48">
        <v>0.2</v>
      </c>
      <c r="F307" s="28">
        <v>4.88</v>
      </c>
      <c r="G307" s="28">
        <v>117.42</v>
      </c>
      <c r="H307" s="48">
        <v>0.49420000000000003</v>
      </c>
      <c r="I307" s="45">
        <v>224.87</v>
      </c>
      <c r="J307" s="46">
        <v>45702</v>
      </c>
      <c r="K307" s="47">
        <v>2.2410000000000001</v>
      </c>
      <c r="L307" s="47">
        <v>1.8993100000000001</v>
      </c>
      <c r="M307" s="47">
        <v>300878.82335640001</v>
      </c>
      <c r="N307" s="48">
        <v>9.0290569984513844</v>
      </c>
      <c r="O307" s="48">
        <v>-0.179725</v>
      </c>
      <c r="P307" s="28">
        <v>175.45</v>
      </c>
      <c r="Q307" s="28">
        <v>161.36000000000001</v>
      </c>
      <c r="R307" s="48">
        <v>8.7320277640059327E-2</v>
      </c>
    </row>
    <row r="308" spans="1:18" x14ac:dyDescent="0.15">
      <c r="A308" s="29">
        <v>307</v>
      </c>
      <c r="B308" s="28">
        <v>113601</v>
      </c>
      <c r="C308" s="28" t="s">
        <v>64</v>
      </c>
      <c r="D308" s="28">
        <v>111.94499999999999</v>
      </c>
      <c r="E308" s="48">
        <v>7.0999999999999995E-3</v>
      </c>
      <c r="F308" s="28">
        <v>16.98</v>
      </c>
      <c r="G308" s="28">
        <v>74.790000000000006</v>
      </c>
      <c r="H308" s="48">
        <v>0.49680000000000002</v>
      </c>
      <c r="I308" s="45">
        <v>161.625</v>
      </c>
      <c r="J308" s="46">
        <v>46255</v>
      </c>
      <c r="K308" s="47">
        <v>3.7559999999999998</v>
      </c>
      <c r="L308" s="47">
        <v>5.4287200000000002</v>
      </c>
      <c r="M308" s="47">
        <v>9377.3377999999993</v>
      </c>
      <c r="N308" s="48">
        <v>0.15430408294642151</v>
      </c>
      <c r="O308" s="48">
        <v>1.9026000000000001E-2</v>
      </c>
      <c r="P308" s="28">
        <v>113.16500000000001</v>
      </c>
      <c r="Q308" s="28">
        <v>111.35</v>
      </c>
      <c r="R308" s="48">
        <v>1.6299955096542543E-2</v>
      </c>
    </row>
    <row r="309" spans="1:18" x14ac:dyDescent="0.15">
      <c r="A309" s="29">
        <v>308</v>
      </c>
      <c r="B309" s="28">
        <v>123131</v>
      </c>
      <c r="C309" s="28" t="s">
        <v>220</v>
      </c>
      <c r="D309" s="28">
        <v>117.952</v>
      </c>
      <c r="E309" s="48">
        <v>-6.3E-3</v>
      </c>
      <c r="F309" s="28">
        <v>12.17</v>
      </c>
      <c r="G309" s="28">
        <v>78.72</v>
      </c>
      <c r="H309" s="48">
        <v>0.49840000000000001</v>
      </c>
      <c r="I309" s="45">
        <v>167.792</v>
      </c>
      <c r="J309" s="46">
        <v>46724</v>
      </c>
      <c r="K309" s="47">
        <v>5.0410000000000004</v>
      </c>
      <c r="L309" s="47">
        <v>6.3496860000000002</v>
      </c>
      <c r="M309" s="47">
        <v>623.61931319999997</v>
      </c>
      <c r="N309" s="48">
        <v>8.3264906365677627E-3</v>
      </c>
      <c r="O309" s="48">
        <v>6.3790000000000001E-3</v>
      </c>
      <c r="P309" s="28">
        <v>119.47</v>
      </c>
      <c r="Q309" s="28">
        <v>117.471</v>
      </c>
      <c r="R309" s="48">
        <v>1.7016965889453527E-2</v>
      </c>
    </row>
    <row r="310" spans="1:18" x14ac:dyDescent="0.15">
      <c r="A310" s="29">
        <v>309</v>
      </c>
      <c r="B310" s="28">
        <v>113605</v>
      </c>
      <c r="C310" s="28" t="s">
        <v>1791</v>
      </c>
      <c r="D310" s="28">
        <v>117.697</v>
      </c>
      <c r="E310" s="48">
        <v>-9.4999999999999998E-3</v>
      </c>
      <c r="F310" s="28">
        <v>57.13</v>
      </c>
      <c r="G310" s="28">
        <v>78.489999999999995</v>
      </c>
      <c r="H310" s="48">
        <v>0.49950000000000006</v>
      </c>
      <c r="I310" s="45">
        <v>167.64699999999999</v>
      </c>
      <c r="J310" s="46">
        <v>46317</v>
      </c>
      <c r="K310" s="47">
        <v>3.9260000000000002</v>
      </c>
      <c r="L310" s="47">
        <v>14.04745</v>
      </c>
      <c r="M310" s="47">
        <v>2517.6379000000002</v>
      </c>
      <c r="N310" s="48">
        <v>1.5227562111046743E-2</v>
      </c>
      <c r="O310" s="48">
        <v>-7.5570000000000003E-3</v>
      </c>
      <c r="P310" s="28">
        <v>119.93</v>
      </c>
      <c r="Q310" s="28">
        <v>115.88</v>
      </c>
      <c r="R310" s="48">
        <v>3.4949948222299028E-2</v>
      </c>
    </row>
    <row r="311" spans="1:18" x14ac:dyDescent="0.15">
      <c r="A311" s="29">
        <v>310</v>
      </c>
      <c r="B311" s="28">
        <v>113656</v>
      </c>
      <c r="C311" s="28" t="s">
        <v>2073</v>
      </c>
      <c r="D311" s="28">
        <v>113.75</v>
      </c>
      <c r="E311" s="48">
        <v>8.0000000000000004E-4</v>
      </c>
      <c r="F311" s="28">
        <v>22.98</v>
      </c>
      <c r="G311" s="28">
        <v>75.67</v>
      </c>
      <c r="H311" s="48">
        <v>0.50319999999999998</v>
      </c>
      <c r="I311" s="45">
        <v>164.07</v>
      </c>
      <c r="J311" s="46">
        <v>46997</v>
      </c>
      <c r="K311" s="47">
        <v>5.7889999999999997</v>
      </c>
      <c r="L311" s="47">
        <v>8</v>
      </c>
      <c r="M311" s="47">
        <v>1048.9692</v>
      </c>
      <c r="N311" s="48">
        <v>1.1527134065934067E-2</v>
      </c>
      <c r="O311" s="48">
        <v>9.4230000000000008E-3</v>
      </c>
      <c r="P311" s="28">
        <v>114.66800000000001</v>
      </c>
      <c r="Q311" s="28">
        <v>113.661</v>
      </c>
      <c r="R311" s="48">
        <v>8.8596792215448125E-3</v>
      </c>
    </row>
    <row r="312" spans="1:18" x14ac:dyDescent="0.15">
      <c r="A312" s="29">
        <v>311</v>
      </c>
      <c r="B312" s="28">
        <v>113636</v>
      </c>
      <c r="C312" s="28" t="s">
        <v>221</v>
      </c>
      <c r="D312" s="28">
        <v>117.79600000000001</v>
      </c>
      <c r="E312" s="48">
        <v>-3.7000000000000002E-3</v>
      </c>
      <c r="F312" s="28">
        <v>36.049999999999997</v>
      </c>
      <c r="G312" s="28">
        <v>78.34</v>
      </c>
      <c r="H312" s="48">
        <v>0.50369999999999993</v>
      </c>
      <c r="I312" s="45">
        <v>168.166</v>
      </c>
      <c r="J312" s="46">
        <v>46734</v>
      </c>
      <c r="K312" s="47">
        <v>5.0679999999999996</v>
      </c>
      <c r="L312" s="47">
        <v>9.9954099999999997</v>
      </c>
      <c r="M312" s="47">
        <v>916.03729999999996</v>
      </c>
      <c r="N312" s="48">
        <v>7.7800430761738792E-3</v>
      </c>
      <c r="O312" s="48">
        <v>4.7390000000000002E-3</v>
      </c>
      <c r="P312" s="28">
        <v>118.59</v>
      </c>
      <c r="Q312" s="28">
        <v>117.26</v>
      </c>
      <c r="R312" s="48">
        <v>1.1342316220364987E-2</v>
      </c>
    </row>
    <row r="313" spans="1:18" x14ac:dyDescent="0.15">
      <c r="A313" s="29">
        <v>312</v>
      </c>
      <c r="B313" s="28">
        <v>113646</v>
      </c>
      <c r="C313" s="28" t="s">
        <v>1795</v>
      </c>
      <c r="D313" s="28">
        <v>141.12700000000001</v>
      </c>
      <c r="E313" s="48">
        <v>-1.37E-2</v>
      </c>
      <c r="F313" s="28">
        <v>8.51</v>
      </c>
      <c r="G313" s="28">
        <v>93.77</v>
      </c>
      <c r="H313" s="48">
        <v>0.505</v>
      </c>
      <c r="I313" s="45">
        <v>191.62700000000001</v>
      </c>
      <c r="J313" s="46">
        <v>46857</v>
      </c>
      <c r="K313" s="47">
        <v>5.4050000000000002</v>
      </c>
      <c r="L313" s="47">
        <v>1.4583200000000001</v>
      </c>
      <c r="M313" s="47">
        <v>9216.6360000000004</v>
      </c>
      <c r="N313" s="48">
        <v>0.44782619588184797</v>
      </c>
      <c r="O313" s="48">
        <v>-4.0328000000000003E-2</v>
      </c>
      <c r="P313" s="28">
        <v>144.25800000000001</v>
      </c>
      <c r="Q313" s="28">
        <v>140.80000000000001</v>
      </c>
      <c r="R313" s="48">
        <v>2.4559659090909076E-2</v>
      </c>
    </row>
    <row r="314" spans="1:18" x14ac:dyDescent="0.15">
      <c r="A314" s="29">
        <v>313</v>
      </c>
      <c r="B314" s="28">
        <v>110089</v>
      </c>
      <c r="C314" s="28" t="s">
        <v>2075</v>
      </c>
      <c r="D314" s="28">
        <v>112.133</v>
      </c>
      <c r="E314" s="48">
        <v>-7.1999999999999998E-3</v>
      </c>
      <c r="F314" s="28">
        <v>39.54</v>
      </c>
      <c r="G314" s="28">
        <v>74.38</v>
      </c>
      <c r="H314" s="48">
        <v>0.50759999999999994</v>
      </c>
      <c r="I314" s="45">
        <v>162.893</v>
      </c>
      <c r="J314" s="46">
        <v>47018</v>
      </c>
      <c r="K314" s="47">
        <v>5.8470000000000004</v>
      </c>
      <c r="L314" s="47">
        <v>28</v>
      </c>
      <c r="M314" s="47">
        <v>5651.9943000000003</v>
      </c>
      <c r="N314" s="48">
        <v>1.8001564150224671E-2</v>
      </c>
      <c r="O314" s="48">
        <v>4.3969999999999999E-3</v>
      </c>
      <c r="P314" s="28">
        <v>113.501</v>
      </c>
      <c r="Q314" s="28">
        <v>111.968</v>
      </c>
      <c r="R314" s="48">
        <v>1.3691411831951997E-2</v>
      </c>
    </row>
    <row r="315" spans="1:18" x14ac:dyDescent="0.15">
      <c r="A315" s="29">
        <v>314</v>
      </c>
      <c r="B315" s="28">
        <v>128036</v>
      </c>
      <c r="C315" s="28" t="s">
        <v>162</v>
      </c>
      <c r="D315" s="28">
        <v>130.82</v>
      </c>
      <c r="E315" s="48">
        <v>8.9999999999999998E-4</v>
      </c>
      <c r="F315" s="28">
        <v>6.8</v>
      </c>
      <c r="G315" s="28">
        <v>86.76</v>
      </c>
      <c r="H315" s="48">
        <v>0.50780000000000003</v>
      </c>
      <c r="I315" s="45">
        <v>181.6</v>
      </c>
      <c r="J315" s="46">
        <v>45360</v>
      </c>
      <c r="K315" s="47">
        <v>1.304</v>
      </c>
      <c r="L315" s="47">
        <v>1.4562010000000001</v>
      </c>
      <c r="M315" s="47">
        <v>1131.3659720000001</v>
      </c>
      <c r="N315" s="48">
        <v>5.9389222897675266E-2</v>
      </c>
      <c r="O315" s="48">
        <v>-0.13919300000000001</v>
      </c>
      <c r="P315" s="28">
        <v>131.578</v>
      </c>
      <c r="Q315" s="28">
        <v>130.30000000000001</v>
      </c>
      <c r="R315" s="48">
        <v>9.808135072908607E-3</v>
      </c>
    </row>
    <row r="316" spans="1:18" x14ac:dyDescent="0.15">
      <c r="A316" s="29">
        <v>315</v>
      </c>
      <c r="B316" s="28">
        <v>113053</v>
      </c>
      <c r="C316" s="28" t="s">
        <v>1734</v>
      </c>
      <c r="D316" s="28">
        <v>120.91</v>
      </c>
      <c r="E316" s="48">
        <v>1.4000000000000002E-3</v>
      </c>
      <c r="F316" s="28">
        <v>58.84</v>
      </c>
      <c r="G316" s="28">
        <v>79.88</v>
      </c>
      <c r="H316" s="48">
        <v>0.51359999999999995</v>
      </c>
      <c r="I316" s="45">
        <v>172.26999999999998</v>
      </c>
      <c r="J316" s="46">
        <v>46757</v>
      </c>
      <c r="K316" s="47">
        <v>5.1319999999999997</v>
      </c>
      <c r="L316" s="47">
        <v>69.965440000000001</v>
      </c>
      <c r="M316" s="47">
        <v>8490.3510999999999</v>
      </c>
      <c r="N316" s="48">
        <v>1.0036443846315895E-2</v>
      </c>
      <c r="O316" s="48">
        <v>-1.6424000000000001E-2</v>
      </c>
      <c r="P316" s="28">
        <v>121.876</v>
      </c>
      <c r="Q316" s="28">
        <v>119.9</v>
      </c>
      <c r="R316" s="48">
        <v>1.6480400333611336E-2</v>
      </c>
    </row>
    <row r="317" spans="1:18" x14ac:dyDescent="0.15">
      <c r="A317" s="29">
        <v>316</v>
      </c>
      <c r="B317" s="28">
        <v>111001</v>
      </c>
      <c r="C317" s="28" t="s">
        <v>198</v>
      </c>
      <c r="D317" s="28">
        <v>115.667</v>
      </c>
      <c r="E317" s="48">
        <v>3.0999999999999999E-3</v>
      </c>
      <c r="F317" s="28">
        <v>11.5</v>
      </c>
      <c r="G317" s="28">
        <v>76.349999999999994</v>
      </c>
      <c r="H317" s="48">
        <v>0.51500000000000001</v>
      </c>
      <c r="I317" s="45">
        <v>167.167</v>
      </c>
      <c r="J317" s="46">
        <v>46699</v>
      </c>
      <c r="K317" s="47">
        <v>4.9729999999999999</v>
      </c>
      <c r="L317" s="47">
        <v>5.9993699999999999</v>
      </c>
      <c r="M317" s="47">
        <v>416.9015</v>
      </c>
      <c r="N317" s="48">
        <v>6.0078397361149069E-3</v>
      </c>
      <c r="O317" s="48">
        <v>-5.1209999999999997E-3</v>
      </c>
      <c r="P317" s="28">
        <v>115.938</v>
      </c>
      <c r="Q317" s="28">
        <v>115.003</v>
      </c>
      <c r="R317" s="48">
        <v>8.1302226898428941E-3</v>
      </c>
    </row>
    <row r="318" spans="1:18" x14ac:dyDescent="0.15">
      <c r="A318" s="29">
        <v>317</v>
      </c>
      <c r="B318" s="28">
        <v>128056</v>
      </c>
      <c r="C318" s="28" t="s">
        <v>78</v>
      </c>
      <c r="D318" s="28">
        <v>124.096</v>
      </c>
      <c r="E318" s="48">
        <v>-2.8000000000000004E-3</v>
      </c>
      <c r="F318" s="28">
        <v>6.68</v>
      </c>
      <c r="G318" s="28">
        <v>81.89</v>
      </c>
      <c r="H318" s="48">
        <v>0.51539999999999997</v>
      </c>
      <c r="I318" s="45">
        <v>175.636</v>
      </c>
      <c r="J318" s="46">
        <v>45716</v>
      </c>
      <c r="K318" s="47">
        <v>2.2789999999999999</v>
      </c>
      <c r="L318" s="47">
        <v>1.7208840000000001</v>
      </c>
      <c r="M318" s="47">
        <v>939.31453499999998</v>
      </c>
      <c r="N318" s="48">
        <v>4.3984702906716022E-2</v>
      </c>
      <c r="O318" s="48">
        <v>-1.8593999999999999E-2</v>
      </c>
      <c r="P318" s="28">
        <v>124.932</v>
      </c>
      <c r="Q318" s="28">
        <v>123.8</v>
      </c>
      <c r="R318" s="48">
        <v>9.1437802907916397E-3</v>
      </c>
    </row>
    <row r="319" spans="1:18" x14ac:dyDescent="0.15">
      <c r="A319" s="29">
        <v>318</v>
      </c>
      <c r="B319" s="28">
        <v>128014</v>
      </c>
      <c r="C319" s="28" t="s">
        <v>168</v>
      </c>
      <c r="D319" s="28">
        <v>114.7</v>
      </c>
      <c r="E319" s="48">
        <v>2.5999999999999999E-3</v>
      </c>
      <c r="F319" s="28">
        <v>11.49</v>
      </c>
      <c r="G319" s="28">
        <v>75.540000000000006</v>
      </c>
      <c r="H319" s="48">
        <v>0.51840000000000008</v>
      </c>
      <c r="I319" s="45">
        <v>166.54000000000002</v>
      </c>
      <c r="J319" s="46">
        <v>45033</v>
      </c>
      <c r="K319" s="47">
        <v>0.40799999999999997</v>
      </c>
      <c r="L319" s="47">
        <v>3.369488</v>
      </c>
      <c r="M319" s="47">
        <v>446.25088099999994</v>
      </c>
      <c r="N319" s="48">
        <v>1.1546537080489168E-2</v>
      </c>
      <c r="O319" s="48">
        <v>-0.136239</v>
      </c>
      <c r="P319" s="28">
        <v>115</v>
      </c>
      <c r="Q319" s="28">
        <v>114.15</v>
      </c>
      <c r="R319" s="48">
        <v>7.4463425317564105E-3</v>
      </c>
    </row>
    <row r="320" spans="1:18" x14ac:dyDescent="0.15">
      <c r="A320" s="29">
        <v>319</v>
      </c>
      <c r="B320" s="28">
        <v>128070</v>
      </c>
      <c r="C320" s="28" t="s">
        <v>147</v>
      </c>
      <c r="D320" s="28">
        <v>123</v>
      </c>
      <c r="E320" s="48">
        <v>2.7000000000000001E-3</v>
      </c>
      <c r="F320" s="28">
        <v>9.42</v>
      </c>
      <c r="G320" s="28">
        <v>80.89</v>
      </c>
      <c r="H320" s="48">
        <v>0.52060000000000006</v>
      </c>
      <c r="I320" s="45">
        <v>175.06</v>
      </c>
      <c r="J320" s="46">
        <v>45840</v>
      </c>
      <c r="K320" s="47">
        <v>2.6190000000000002</v>
      </c>
      <c r="L320" s="47">
        <v>2.2938200000000002</v>
      </c>
      <c r="M320" s="47">
        <v>2815.1571024</v>
      </c>
      <c r="N320" s="48">
        <v>9.9778780013571988E-2</v>
      </c>
      <c r="O320" s="48">
        <v>-2.3782999999999999E-2</v>
      </c>
      <c r="P320" s="28">
        <v>123.5</v>
      </c>
      <c r="Q320" s="28">
        <v>122.22</v>
      </c>
      <c r="R320" s="48">
        <v>1.0472917689412544E-2</v>
      </c>
    </row>
    <row r="321" spans="1:18" x14ac:dyDescent="0.15">
      <c r="A321" s="29">
        <v>320</v>
      </c>
      <c r="B321" s="28">
        <v>123115</v>
      </c>
      <c r="C321" s="28" t="s">
        <v>1765</v>
      </c>
      <c r="D321" s="28">
        <v>114.506</v>
      </c>
      <c r="E321" s="48">
        <v>-4.5000000000000005E-3</v>
      </c>
      <c r="F321" s="28">
        <v>28.87</v>
      </c>
      <c r="G321" s="28">
        <v>75.3</v>
      </c>
      <c r="H321" s="48">
        <v>0.52070000000000005</v>
      </c>
      <c r="I321" s="45">
        <v>166.57599999999999</v>
      </c>
      <c r="J321" s="46">
        <v>46546</v>
      </c>
      <c r="K321" s="47">
        <v>4.5529999999999999</v>
      </c>
      <c r="L321" s="47">
        <v>11.946094</v>
      </c>
      <c r="M321" s="47">
        <v>959.33873300000005</v>
      </c>
      <c r="N321" s="48">
        <v>7.0132255723840096E-3</v>
      </c>
      <c r="O321" s="48">
        <v>6.9420000000000003E-3</v>
      </c>
      <c r="P321" s="28">
        <v>115.446</v>
      </c>
      <c r="Q321" s="28">
        <v>114.339</v>
      </c>
      <c r="R321" s="48">
        <v>9.6817358906409832E-3</v>
      </c>
    </row>
    <row r="322" spans="1:18" x14ac:dyDescent="0.15">
      <c r="A322" s="29">
        <v>321</v>
      </c>
      <c r="B322" s="28">
        <v>113655</v>
      </c>
      <c r="C322" s="28" t="s">
        <v>2086</v>
      </c>
      <c r="D322" s="28">
        <v>127.10899999999999</v>
      </c>
      <c r="E322" s="48">
        <v>1.2999999999999999E-3</v>
      </c>
      <c r="F322" s="28">
        <v>125.46</v>
      </c>
      <c r="G322" s="28">
        <v>83.18</v>
      </c>
      <c r="H322" s="48">
        <v>0.52810000000000001</v>
      </c>
      <c r="I322" s="45">
        <v>179.91899999999998</v>
      </c>
      <c r="J322" s="46">
        <v>46970</v>
      </c>
      <c r="K322" s="47">
        <v>5.7149999999999999</v>
      </c>
      <c r="L322" s="47">
        <v>20</v>
      </c>
      <c r="M322" s="47">
        <v>2887.6104</v>
      </c>
      <c r="N322" s="48">
        <v>1.1358795993989413E-2</v>
      </c>
      <c r="O322" s="48">
        <v>-1.448E-2</v>
      </c>
      <c r="P322" s="28">
        <v>128.23500000000001</v>
      </c>
      <c r="Q322" s="28">
        <v>125.11499999999999</v>
      </c>
      <c r="R322" s="48">
        <v>2.4937057906725964E-2</v>
      </c>
    </row>
    <row r="323" spans="1:18" x14ac:dyDescent="0.15">
      <c r="A323" s="29">
        <v>322</v>
      </c>
      <c r="B323" s="28">
        <v>113542</v>
      </c>
      <c r="C323" s="28" t="s">
        <v>158</v>
      </c>
      <c r="D323" s="28">
        <v>112.414</v>
      </c>
      <c r="E323" s="48">
        <v>7.000000000000001E-4</v>
      </c>
      <c r="F323" s="28">
        <v>16.079999999999998</v>
      </c>
      <c r="G323" s="28">
        <v>73.45</v>
      </c>
      <c r="H323" s="48">
        <v>0.53049999999999997</v>
      </c>
      <c r="I323" s="45">
        <v>165.464</v>
      </c>
      <c r="J323" s="46">
        <v>45870</v>
      </c>
      <c r="K323" s="47">
        <v>2.7010000000000001</v>
      </c>
      <c r="L323" s="47">
        <v>6.0262200000000004</v>
      </c>
      <c r="M323" s="47">
        <v>679.06780000000003</v>
      </c>
      <c r="N323" s="48">
        <v>1.0024154544509431E-2</v>
      </c>
      <c r="O323" s="48">
        <v>2.954E-3</v>
      </c>
      <c r="P323" s="28">
        <v>113.64</v>
      </c>
      <c r="Q323" s="28">
        <v>112.285</v>
      </c>
      <c r="R323" s="48">
        <v>1.2067506790755703E-2</v>
      </c>
    </row>
    <row r="324" spans="1:18" x14ac:dyDescent="0.15">
      <c r="A324" s="29">
        <v>323</v>
      </c>
      <c r="B324" s="28">
        <v>113566</v>
      </c>
      <c r="C324" s="28" t="s">
        <v>173</v>
      </c>
      <c r="D324" s="28">
        <v>119.012</v>
      </c>
      <c r="E324" s="48">
        <v>1.4000000000000002E-3</v>
      </c>
      <c r="F324" s="28">
        <v>10.77</v>
      </c>
      <c r="G324" s="28">
        <v>77.62</v>
      </c>
      <c r="H324" s="48">
        <v>0.5333</v>
      </c>
      <c r="I324" s="45">
        <v>172.34199999999998</v>
      </c>
      <c r="J324" s="46">
        <v>46081</v>
      </c>
      <c r="K324" s="47">
        <v>3.2789999999999999</v>
      </c>
      <c r="L324" s="47">
        <v>1.6127199999999999</v>
      </c>
      <c r="M324" s="47">
        <v>448.7414</v>
      </c>
      <c r="N324" s="48">
        <v>2.338010262369395E-2</v>
      </c>
      <c r="O324" s="48">
        <v>1.0848999999999999E-2</v>
      </c>
      <c r="P324" s="28">
        <v>119.9</v>
      </c>
      <c r="Q324" s="28">
        <v>118.58</v>
      </c>
      <c r="R324" s="48">
        <v>1.1131725417439765E-2</v>
      </c>
    </row>
    <row r="325" spans="1:18" x14ac:dyDescent="0.15">
      <c r="A325" s="29">
        <v>324</v>
      </c>
      <c r="B325" s="28">
        <v>113049</v>
      </c>
      <c r="C325" s="28" t="s">
        <v>1732</v>
      </c>
      <c r="D325" s="28">
        <v>116.712</v>
      </c>
      <c r="E325" s="48">
        <v>-3.9000000000000003E-3</v>
      </c>
      <c r="F325" s="28">
        <v>38.14</v>
      </c>
      <c r="G325" s="28">
        <v>76.11</v>
      </c>
      <c r="H325" s="48">
        <v>0.53349999999999997</v>
      </c>
      <c r="I325" s="45">
        <v>170.06200000000001</v>
      </c>
      <c r="J325" s="46">
        <v>46548</v>
      </c>
      <c r="K325" s="47">
        <v>4.5590000000000002</v>
      </c>
      <c r="L325" s="47">
        <v>34.95496</v>
      </c>
      <c r="M325" s="47">
        <v>2837.6826000000001</v>
      </c>
      <c r="N325" s="48">
        <v>6.9556784401752347E-3</v>
      </c>
      <c r="O325" s="48">
        <v>-1.2468E-2</v>
      </c>
      <c r="P325" s="28">
        <v>117.971</v>
      </c>
      <c r="Q325" s="28">
        <v>116.36</v>
      </c>
      <c r="R325" s="48">
        <v>1.3844963905122071E-2</v>
      </c>
    </row>
    <row r="326" spans="1:18" x14ac:dyDescent="0.15">
      <c r="A326" s="29">
        <v>325</v>
      </c>
      <c r="B326" s="28">
        <v>113059</v>
      </c>
      <c r="C326" s="28" t="s">
        <v>1881</v>
      </c>
      <c r="D326" s="28">
        <v>125.974</v>
      </c>
      <c r="E326" s="48">
        <v>0</v>
      </c>
      <c r="F326" s="28">
        <v>43.94</v>
      </c>
      <c r="G326" s="28">
        <v>81.86</v>
      </c>
      <c r="H326" s="48">
        <v>0.53890000000000005</v>
      </c>
      <c r="I326" s="45">
        <v>179.864</v>
      </c>
      <c r="J326" s="46">
        <v>46893</v>
      </c>
      <c r="K326" s="47">
        <v>5.5039999999999996</v>
      </c>
      <c r="L326" s="47">
        <v>40</v>
      </c>
      <c r="M326" s="47">
        <v>1498.567</v>
      </c>
      <c r="N326" s="48">
        <v>2.9739608966929685E-3</v>
      </c>
      <c r="O326" s="48">
        <v>-1.3407000000000001E-2</v>
      </c>
      <c r="P326" s="28">
        <v>128</v>
      </c>
      <c r="Q326" s="28">
        <v>125.29</v>
      </c>
      <c r="R326" s="48">
        <v>2.1629818820336769E-2</v>
      </c>
    </row>
    <row r="327" spans="1:18" x14ac:dyDescent="0.15">
      <c r="A327" s="29">
        <v>326</v>
      </c>
      <c r="B327" s="28">
        <v>113037</v>
      </c>
      <c r="C327" s="28" t="s">
        <v>1751</v>
      </c>
      <c r="D327" s="28">
        <v>102.501</v>
      </c>
      <c r="E327" s="48">
        <v>1E-3</v>
      </c>
      <c r="F327" s="28">
        <v>3.95</v>
      </c>
      <c r="G327" s="28">
        <v>66.58</v>
      </c>
      <c r="H327" s="48">
        <v>0.53949999999999998</v>
      </c>
      <c r="I327" s="45">
        <v>156.45100000000002</v>
      </c>
      <c r="J327" s="46">
        <v>46226</v>
      </c>
      <c r="K327" s="47">
        <v>3.677</v>
      </c>
      <c r="L327" s="47">
        <v>44.996119999999998</v>
      </c>
      <c r="M327" s="47">
        <v>1584.3034</v>
      </c>
      <c r="N327" s="48">
        <v>3.4350667883760047E-3</v>
      </c>
      <c r="O327" s="48">
        <v>3.2508000000000002E-2</v>
      </c>
      <c r="P327" s="28">
        <v>102.831</v>
      </c>
      <c r="Q327" s="28">
        <v>102.402</v>
      </c>
      <c r="R327" s="48">
        <v>4.1893713013417908E-3</v>
      </c>
    </row>
    <row r="328" spans="1:18" x14ac:dyDescent="0.15">
      <c r="A328" s="29">
        <v>327</v>
      </c>
      <c r="B328" s="28">
        <v>113021</v>
      </c>
      <c r="C328" s="28" t="s">
        <v>1763</v>
      </c>
      <c r="D328" s="28">
        <v>109.55</v>
      </c>
      <c r="E328" s="48">
        <v>-5.9999999999999995E-4</v>
      </c>
      <c r="F328" s="28">
        <v>6.43</v>
      </c>
      <c r="G328" s="28">
        <v>71.069999999999993</v>
      </c>
      <c r="H328" s="48">
        <v>0.54139999999999999</v>
      </c>
      <c r="I328" s="45">
        <v>163.69</v>
      </c>
      <c r="J328" s="46">
        <v>45720</v>
      </c>
      <c r="K328" s="47">
        <v>2.29</v>
      </c>
      <c r="L328" s="47">
        <v>399.99664999999999</v>
      </c>
      <c r="M328" s="47">
        <v>3811.1722</v>
      </c>
      <c r="N328" s="48">
        <v>8.6974078476369134E-4</v>
      </c>
      <c r="O328" s="48">
        <v>2.8034E-2</v>
      </c>
      <c r="P328" s="28">
        <v>109.67</v>
      </c>
      <c r="Q328" s="28">
        <v>109.36</v>
      </c>
      <c r="R328" s="48">
        <v>2.8346744696415719E-3</v>
      </c>
    </row>
    <row r="329" spans="1:18" x14ac:dyDescent="0.15">
      <c r="A329" s="29">
        <v>328</v>
      </c>
      <c r="B329" s="28">
        <v>128124</v>
      </c>
      <c r="C329" s="28" t="s">
        <v>151</v>
      </c>
      <c r="D329" s="28">
        <v>103.626</v>
      </c>
      <c r="E329" s="48">
        <v>6.6E-3</v>
      </c>
      <c r="F329" s="28">
        <v>21.24</v>
      </c>
      <c r="G329" s="28">
        <v>67.14</v>
      </c>
      <c r="H329" s="48">
        <v>0.54339999999999999</v>
      </c>
      <c r="I329" s="45">
        <v>157.96600000000001</v>
      </c>
      <c r="J329" s="46">
        <v>46231</v>
      </c>
      <c r="K329" s="47">
        <v>3.69</v>
      </c>
      <c r="L329" s="47">
        <v>7.3759289999999984</v>
      </c>
      <c r="M329" s="47">
        <v>2268.1224960999998</v>
      </c>
      <c r="N329" s="48">
        <v>2.9674338329930387E-2</v>
      </c>
      <c r="O329" s="48">
        <v>1.5285E-2</v>
      </c>
      <c r="P329" s="28">
        <v>103.79900000000001</v>
      </c>
      <c r="Q329" s="28">
        <v>103</v>
      </c>
      <c r="R329" s="48">
        <v>7.757281553398122E-3</v>
      </c>
    </row>
    <row r="330" spans="1:18" x14ac:dyDescent="0.15">
      <c r="A330" s="29">
        <v>329</v>
      </c>
      <c r="B330" s="28">
        <v>113052</v>
      </c>
      <c r="C330" s="28" t="s">
        <v>1743</v>
      </c>
      <c r="D330" s="28">
        <v>102.551</v>
      </c>
      <c r="E330" s="48">
        <v>-2.3999999999999998E-3</v>
      </c>
      <c r="F330" s="28">
        <v>24.48</v>
      </c>
      <c r="G330" s="28">
        <v>66.260000000000005</v>
      </c>
      <c r="H330" s="48">
        <v>0.54770000000000008</v>
      </c>
      <c r="I330" s="45">
        <v>157.321</v>
      </c>
      <c r="J330" s="46">
        <v>46748</v>
      </c>
      <c r="K330" s="47">
        <v>5.1070000000000002</v>
      </c>
      <c r="L330" s="47">
        <v>499.98568</v>
      </c>
      <c r="M330" s="47">
        <v>18898.513599999998</v>
      </c>
      <c r="N330" s="48">
        <v>3.6857865586745024E-3</v>
      </c>
      <c r="O330" s="48">
        <v>2.2057000000000004E-2</v>
      </c>
      <c r="P330" s="28">
        <v>103</v>
      </c>
      <c r="Q330" s="28">
        <v>102.30200000000001</v>
      </c>
      <c r="R330" s="48">
        <v>6.8229360129811074E-3</v>
      </c>
    </row>
    <row r="331" spans="1:18" x14ac:dyDescent="0.15">
      <c r="A331" s="29">
        <v>330</v>
      </c>
      <c r="B331" s="28">
        <v>123106</v>
      </c>
      <c r="C331" s="28" t="s">
        <v>63</v>
      </c>
      <c r="D331" s="28">
        <v>114.087</v>
      </c>
      <c r="E331" s="48">
        <v>-2.0999999999999999E-3</v>
      </c>
      <c r="F331" s="28">
        <v>7.45</v>
      </c>
      <c r="G331" s="28">
        <v>73.56</v>
      </c>
      <c r="H331" s="48">
        <v>0.55090000000000006</v>
      </c>
      <c r="I331" s="45">
        <v>169.17700000000002</v>
      </c>
      <c r="J331" s="46">
        <v>46470</v>
      </c>
      <c r="K331" s="47">
        <v>4.3449999999999998</v>
      </c>
      <c r="L331" s="47">
        <v>3.1996630000000001</v>
      </c>
      <c r="M331" s="47">
        <v>638.98343299999999</v>
      </c>
      <c r="N331" s="48">
        <v>1.7504479394845663E-2</v>
      </c>
      <c r="O331" s="48">
        <v>2.1855000000000003E-2</v>
      </c>
      <c r="P331" s="28">
        <v>114.601</v>
      </c>
      <c r="Q331" s="28">
        <v>113.943</v>
      </c>
      <c r="R331" s="48">
        <v>5.7748172331780036E-3</v>
      </c>
    </row>
    <row r="332" spans="1:18" x14ac:dyDescent="0.15">
      <c r="A332" s="29">
        <v>331</v>
      </c>
      <c r="B332" s="28">
        <v>123064</v>
      </c>
      <c r="C332" s="28" t="s">
        <v>126</v>
      </c>
      <c r="D332" s="28">
        <v>117.262</v>
      </c>
      <c r="E332" s="48">
        <v>1.7500000000000002E-2</v>
      </c>
      <c r="F332" s="28">
        <v>51.73</v>
      </c>
      <c r="G332" s="28">
        <v>75.599999999999994</v>
      </c>
      <c r="H332" s="48">
        <v>0.55110000000000003</v>
      </c>
      <c r="I332" s="45">
        <v>172.37200000000001</v>
      </c>
      <c r="J332" s="46">
        <v>46266</v>
      </c>
      <c r="K332" s="47">
        <v>3.786</v>
      </c>
      <c r="L332" s="47">
        <v>5.9801330000000004</v>
      </c>
      <c r="M332" s="47">
        <v>24488.4432189</v>
      </c>
      <c r="N332" s="48">
        <v>0.34921511820769002</v>
      </c>
      <c r="O332" s="48">
        <v>-6.8520000000000005E-3</v>
      </c>
      <c r="P332" s="28">
        <v>119.599</v>
      </c>
      <c r="Q332" s="28">
        <v>115.255</v>
      </c>
      <c r="R332" s="48">
        <v>3.7690338813934396E-2</v>
      </c>
    </row>
    <row r="333" spans="1:18" x14ac:dyDescent="0.15">
      <c r="A333" s="29">
        <v>332</v>
      </c>
      <c r="B333" s="28">
        <v>118015</v>
      </c>
      <c r="C333" s="28" t="s">
        <v>2084</v>
      </c>
      <c r="D333" s="28">
        <v>123.676</v>
      </c>
      <c r="E333" s="48">
        <v>-1.8200000000000001E-2</v>
      </c>
      <c r="F333" s="28">
        <v>55.71</v>
      </c>
      <c r="G333" s="28">
        <v>79.61</v>
      </c>
      <c r="H333" s="48">
        <v>0.55349999999999999</v>
      </c>
      <c r="I333" s="45">
        <v>179.02600000000001</v>
      </c>
      <c r="J333" s="46">
        <v>46955</v>
      </c>
      <c r="K333" s="47">
        <v>5.6740000000000004</v>
      </c>
      <c r="L333" s="47">
        <v>4.0999999999999996</v>
      </c>
      <c r="M333" s="47">
        <v>6837.2143999999998</v>
      </c>
      <c r="N333" s="48">
        <v>0.13483725769694066</v>
      </c>
      <c r="O333" s="48">
        <v>-3.1879999999999999E-3</v>
      </c>
      <c r="P333" s="28">
        <v>127.401</v>
      </c>
      <c r="Q333" s="28">
        <v>123.202</v>
      </c>
      <c r="R333" s="48">
        <v>3.4082238924692768E-2</v>
      </c>
    </row>
    <row r="334" spans="1:18" x14ac:dyDescent="0.15">
      <c r="A334" s="29">
        <v>333</v>
      </c>
      <c r="B334" s="28">
        <v>110045</v>
      </c>
      <c r="C334" s="28" t="s">
        <v>1756</v>
      </c>
      <c r="D334" s="28">
        <v>108.727</v>
      </c>
      <c r="E334" s="48">
        <v>1.2999999999999999E-3</v>
      </c>
      <c r="F334" s="28">
        <v>6.53</v>
      </c>
      <c r="G334" s="28">
        <v>69.98</v>
      </c>
      <c r="H334" s="48">
        <v>0.55369999999999997</v>
      </c>
      <c r="I334" s="45">
        <v>164.09700000000001</v>
      </c>
      <c r="J334" s="46">
        <v>45486</v>
      </c>
      <c r="K334" s="47">
        <v>1.649</v>
      </c>
      <c r="L334" s="47">
        <v>29.49606</v>
      </c>
      <c r="M334" s="47">
        <v>1044.0848000000001</v>
      </c>
      <c r="N334" s="48">
        <v>3.2556248900332489E-3</v>
      </c>
      <c r="O334" s="48">
        <v>3.2100000000000002E-3</v>
      </c>
      <c r="P334" s="28">
        <v>109</v>
      </c>
      <c r="Q334" s="28">
        <v>108.52</v>
      </c>
      <c r="R334" s="48">
        <v>4.423147806855916E-3</v>
      </c>
    </row>
    <row r="335" spans="1:18" x14ac:dyDescent="0.15">
      <c r="A335" s="29">
        <v>334</v>
      </c>
      <c r="B335" s="28">
        <v>128132</v>
      </c>
      <c r="C335" s="28" t="s">
        <v>142</v>
      </c>
      <c r="D335" s="28">
        <v>109.202</v>
      </c>
      <c r="E335" s="48">
        <v>-8.1000000000000013E-3</v>
      </c>
      <c r="F335" s="28">
        <v>18.43</v>
      </c>
      <c r="G335" s="28">
        <v>70.16</v>
      </c>
      <c r="H335" s="48">
        <v>0.55649999999999999</v>
      </c>
      <c r="I335" s="45">
        <v>164.852</v>
      </c>
      <c r="J335" s="46">
        <v>46280</v>
      </c>
      <c r="K335" s="47">
        <v>3.8250000000000002</v>
      </c>
      <c r="L335" s="47">
        <v>8.4893870000000007</v>
      </c>
      <c r="M335" s="47">
        <v>3618.9965549999997</v>
      </c>
      <c r="N335" s="48">
        <v>3.9037432416038284E-2</v>
      </c>
      <c r="O335" s="48">
        <v>1.6893000000000002E-2</v>
      </c>
      <c r="P335" s="28">
        <v>110.598</v>
      </c>
      <c r="Q335" s="28">
        <v>109.02</v>
      </c>
      <c r="R335" s="48">
        <v>1.4474408365437562E-2</v>
      </c>
    </row>
    <row r="336" spans="1:18" x14ac:dyDescent="0.15">
      <c r="A336" s="29">
        <v>335</v>
      </c>
      <c r="B336" s="28">
        <v>110058</v>
      </c>
      <c r="C336" s="28" t="s">
        <v>77</v>
      </c>
      <c r="D336" s="28">
        <v>114.396</v>
      </c>
      <c r="E336" s="48">
        <v>1E-4</v>
      </c>
      <c r="F336" s="28">
        <v>5.04</v>
      </c>
      <c r="G336" s="28">
        <v>73.41</v>
      </c>
      <c r="H336" s="48">
        <v>0.55830000000000002</v>
      </c>
      <c r="I336" s="45">
        <v>170.226</v>
      </c>
      <c r="J336" s="46">
        <v>45763</v>
      </c>
      <c r="K336" s="47">
        <v>2.4079999999999999</v>
      </c>
      <c r="L336" s="47">
        <v>2.6101999999999999</v>
      </c>
      <c r="M336" s="47">
        <v>345.87090000000001</v>
      </c>
      <c r="N336" s="48">
        <v>1.1583222523572544E-2</v>
      </c>
      <c r="O336" s="48">
        <v>-4.0560000000000006E-3</v>
      </c>
      <c r="P336" s="28">
        <v>114.911</v>
      </c>
      <c r="Q336" s="28">
        <v>114.18</v>
      </c>
      <c r="R336" s="48">
        <v>6.4021720091083775E-3</v>
      </c>
    </row>
    <row r="337" spans="1:18" x14ac:dyDescent="0.15">
      <c r="A337" s="29">
        <v>336</v>
      </c>
      <c r="B337" s="28">
        <v>113641</v>
      </c>
      <c r="C337" s="28" t="s">
        <v>1750</v>
      </c>
      <c r="D337" s="28">
        <v>116.63500000000001</v>
      </c>
      <c r="E337" s="48">
        <v>-3.0000000000000001E-3</v>
      </c>
      <c r="F337" s="28">
        <v>84.25</v>
      </c>
      <c r="G337" s="28">
        <v>74.709999999999994</v>
      </c>
      <c r="H337" s="48">
        <v>0.56119999999999992</v>
      </c>
      <c r="I337" s="45">
        <v>172.755</v>
      </c>
      <c r="J337" s="46">
        <v>46807</v>
      </c>
      <c r="K337" s="47">
        <v>5.2679999999999998</v>
      </c>
      <c r="L337" s="47">
        <v>75.988560000000007</v>
      </c>
      <c r="M337" s="47">
        <v>14059.6309</v>
      </c>
      <c r="N337" s="48">
        <v>1.5863419578232393E-2</v>
      </c>
      <c r="O337" s="48">
        <v>-6.9310000000000005E-3</v>
      </c>
      <c r="P337" s="28">
        <v>118.26</v>
      </c>
      <c r="Q337" s="28">
        <v>116.333</v>
      </c>
      <c r="R337" s="48">
        <v>1.6564517376840678E-2</v>
      </c>
    </row>
    <row r="338" spans="1:18" x14ac:dyDescent="0.15">
      <c r="A338" s="29">
        <v>337</v>
      </c>
      <c r="B338" s="28">
        <v>113047</v>
      </c>
      <c r="C338" s="28" t="s">
        <v>1739</v>
      </c>
      <c r="D338" s="28">
        <v>120.282</v>
      </c>
      <c r="E338" s="48">
        <v>-1.3300000000000001E-2</v>
      </c>
      <c r="F338" s="28">
        <v>12.01</v>
      </c>
      <c r="G338" s="28">
        <v>76.94</v>
      </c>
      <c r="H338" s="48">
        <v>0.56330000000000002</v>
      </c>
      <c r="I338" s="45">
        <v>176.61199999999999</v>
      </c>
      <c r="J338" s="46">
        <v>46486</v>
      </c>
      <c r="K338" s="47">
        <v>4.3890000000000002</v>
      </c>
      <c r="L338" s="47">
        <v>14.986560000000001</v>
      </c>
      <c r="M338" s="47">
        <v>1193.152</v>
      </c>
      <c r="N338" s="48">
        <v>6.6190121155980533E-3</v>
      </c>
      <c r="O338" s="48">
        <v>-1.2714000000000001E-2</v>
      </c>
      <c r="P338" s="28">
        <v>122.37</v>
      </c>
      <c r="Q338" s="28">
        <v>120</v>
      </c>
      <c r="R338" s="48">
        <v>1.9750000000000038E-2</v>
      </c>
    </row>
    <row r="339" spans="1:18" x14ac:dyDescent="0.15">
      <c r="A339" s="29">
        <v>338</v>
      </c>
      <c r="B339" s="28">
        <v>113604</v>
      </c>
      <c r="C339" s="28" t="s">
        <v>144</v>
      </c>
      <c r="D339" s="28">
        <v>105.889</v>
      </c>
      <c r="E339" s="48">
        <v>-2.8999999999999998E-3</v>
      </c>
      <c r="F339" s="28">
        <v>10.4</v>
      </c>
      <c r="G339" s="28">
        <v>67.599999999999994</v>
      </c>
      <c r="H339" s="48">
        <v>0.56640000000000001</v>
      </c>
      <c r="I339" s="45">
        <v>162.529</v>
      </c>
      <c r="J339" s="46">
        <v>46308</v>
      </c>
      <c r="K339" s="47">
        <v>3.9009999999999998</v>
      </c>
      <c r="L339" s="47">
        <v>6.3984399999999999</v>
      </c>
      <c r="M339" s="47">
        <v>1080.4403</v>
      </c>
      <c r="N339" s="48">
        <v>1.5946883669634645E-2</v>
      </c>
      <c r="O339" s="48">
        <v>2.4754000000000002E-2</v>
      </c>
      <c r="P339" s="28">
        <v>106.75</v>
      </c>
      <c r="Q339" s="28">
        <v>105.703</v>
      </c>
      <c r="R339" s="48">
        <v>9.9051114916321858E-3</v>
      </c>
    </row>
    <row r="340" spans="1:18" x14ac:dyDescent="0.15">
      <c r="A340" s="29">
        <v>339</v>
      </c>
      <c r="B340" s="28">
        <v>127056</v>
      </c>
      <c r="C340" s="28" t="s">
        <v>1755</v>
      </c>
      <c r="D340" s="28">
        <v>109.4</v>
      </c>
      <c r="E340" s="48">
        <v>-5.6999999999999993E-3</v>
      </c>
      <c r="F340" s="28">
        <v>24.2</v>
      </c>
      <c r="G340" s="28">
        <v>69.83</v>
      </c>
      <c r="H340" s="48">
        <v>0.56669999999999998</v>
      </c>
      <c r="I340" s="45">
        <v>166.07</v>
      </c>
      <c r="J340" s="46">
        <v>46808</v>
      </c>
      <c r="K340" s="47">
        <v>5.2709999999999999</v>
      </c>
      <c r="L340" s="47">
        <v>49.997469000000002</v>
      </c>
      <c r="M340" s="47">
        <v>1489.7786372</v>
      </c>
      <c r="N340" s="48">
        <v>2.7236819992910305E-3</v>
      </c>
      <c r="O340" s="48">
        <v>1.756E-3</v>
      </c>
      <c r="P340" s="28">
        <v>110.5</v>
      </c>
      <c r="Q340" s="28">
        <v>109.255</v>
      </c>
      <c r="R340" s="48">
        <v>1.1395359480115368E-2</v>
      </c>
    </row>
    <row r="341" spans="1:18" x14ac:dyDescent="0.15">
      <c r="A341" s="29">
        <v>340</v>
      </c>
      <c r="B341" s="28">
        <v>128026</v>
      </c>
      <c r="C341" s="28" t="s">
        <v>171</v>
      </c>
      <c r="D341" s="28">
        <v>113.65</v>
      </c>
      <c r="E341" s="48">
        <v>-3.9000000000000003E-3</v>
      </c>
      <c r="F341" s="28">
        <v>11.26</v>
      </c>
      <c r="G341" s="28">
        <v>72.47</v>
      </c>
      <c r="H341" s="48">
        <v>0.56820000000000004</v>
      </c>
      <c r="I341" s="45">
        <v>170.47</v>
      </c>
      <c r="J341" s="46">
        <v>45273</v>
      </c>
      <c r="K341" s="47">
        <v>1.0660000000000001</v>
      </c>
      <c r="L341" s="47">
        <v>4.0853299999999999</v>
      </c>
      <c r="M341" s="47">
        <v>1665.1340250000001</v>
      </c>
      <c r="N341" s="48">
        <v>3.5863495114103548E-2</v>
      </c>
      <c r="O341" s="48">
        <v>-4.8984E-2</v>
      </c>
      <c r="P341" s="28">
        <v>114.55</v>
      </c>
      <c r="Q341" s="28">
        <v>113.21899999999999</v>
      </c>
      <c r="R341" s="48">
        <v>1.1755977353624419E-2</v>
      </c>
    </row>
    <row r="342" spans="1:18" x14ac:dyDescent="0.15">
      <c r="A342" s="29">
        <v>341</v>
      </c>
      <c r="B342" s="28">
        <v>113056</v>
      </c>
      <c r="C342" s="28" t="s">
        <v>1754</v>
      </c>
      <c r="D342" s="28">
        <v>98.588999999999999</v>
      </c>
      <c r="E342" s="48">
        <v>4.0000000000000002E-4</v>
      </c>
      <c r="F342" s="28">
        <v>10.89</v>
      </c>
      <c r="G342" s="28">
        <v>62.81</v>
      </c>
      <c r="H342" s="48">
        <v>0.5696</v>
      </c>
      <c r="I342" s="45">
        <v>155.54900000000001</v>
      </c>
      <c r="J342" s="46">
        <v>46835</v>
      </c>
      <c r="K342" s="47">
        <v>5.3449999999999998</v>
      </c>
      <c r="L342" s="47">
        <v>129.99671000000001</v>
      </c>
      <c r="M342" s="47">
        <v>6280.1998000000003</v>
      </c>
      <c r="N342" s="48">
        <v>4.9001868217367116E-3</v>
      </c>
      <c r="O342" s="48">
        <v>3.1156000000000003E-2</v>
      </c>
      <c r="P342" s="28">
        <v>98.93</v>
      </c>
      <c r="Q342" s="28">
        <v>98.388000000000005</v>
      </c>
      <c r="R342" s="48">
        <v>5.5088018864089278E-3</v>
      </c>
    </row>
    <row r="343" spans="1:18" x14ac:dyDescent="0.15">
      <c r="A343" s="29">
        <v>342</v>
      </c>
      <c r="B343" s="28">
        <v>118000</v>
      </c>
      <c r="C343" s="28" t="s">
        <v>1912</v>
      </c>
      <c r="D343" s="28">
        <v>117.003</v>
      </c>
      <c r="E343" s="48">
        <v>-1.8E-3</v>
      </c>
      <c r="F343" s="28">
        <v>71.22</v>
      </c>
      <c r="G343" s="28">
        <v>74.489999999999995</v>
      </c>
      <c r="H343" s="48">
        <v>0.57069999999999999</v>
      </c>
      <c r="I343" s="45">
        <v>174.07300000000001</v>
      </c>
      <c r="J343" s="46">
        <v>46441</v>
      </c>
      <c r="K343" s="47">
        <v>4.266</v>
      </c>
      <c r="L343" s="47">
        <v>9.7839899999999993</v>
      </c>
      <c r="M343" s="47">
        <v>1235.2155</v>
      </c>
      <c r="N343" s="48">
        <v>1.0790205979707659E-2</v>
      </c>
      <c r="O343" s="48">
        <v>7.2750000000000002E-3</v>
      </c>
      <c r="P343" s="28">
        <v>117.9</v>
      </c>
      <c r="Q343" s="28">
        <v>116.6</v>
      </c>
      <c r="R343" s="48">
        <v>1.1149228130360303E-2</v>
      </c>
    </row>
    <row r="344" spans="1:18" x14ac:dyDescent="0.15">
      <c r="A344" s="29">
        <v>343</v>
      </c>
      <c r="B344" s="28">
        <v>123135</v>
      </c>
      <c r="C344" s="28" t="s">
        <v>1796</v>
      </c>
      <c r="D344" s="28">
        <v>185.81</v>
      </c>
      <c r="E344" s="48">
        <v>1.54E-2</v>
      </c>
      <c r="F344" s="28">
        <v>54.43</v>
      </c>
      <c r="G344" s="28">
        <v>117.95</v>
      </c>
      <c r="H344" s="48">
        <v>0.57530000000000003</v>
      </c>
      <c r="I344" s="45">
        <v>243.34</v>
      </c>
      <c r="J344" s="46">
        <v>46749</v>
      </c>
      <c r="K344" s="47">
        <v>5.1100000000000003</v>
      </c>
      <c r="L344" s="47">
        <v>2.0929570000000002</v>
      </c>
      <c r="M344" s="47">
        <v>240243.86683020002</v>
      </c>
      <c r="N344" s="48">
        <v>6.1776446078927663</v>
      </c>
      <c r="O344" s="48">
        <v>-8.1423000000000009E-2</v>
      </c>
      <c r="P344" s="28">
        <v>192.66800000000001</v>
      </c>
      <c r="Q344" s="28">
        <v>182.815</v>
      </c>
      <c r="R344" s="48">
        <v>5.3896015097229487E-2</v>
      </c>
    </row>
    <row r="345" spans="1:18" x14ac:dyDescent="0.15">
      <c r="A345" s="29">
        <v>344</v>
      </c>
      <c r="B345" s="28">
        <v>113579</v>
      </c>
      <c r="C345" s="28" t="s">
        <v>100</v>
      </c>
      <c r="D345" s="28">
        <v>118.818</v>
      </c>
      <c r="E345" s="48">
        <v>-1.5E-3</v>
      </c>
      <c r="F345" s="28">
        <v>24.65</v>
      </c>
      <c r="G345" s="28">
        <v>75.010000000000005</v>
      </c>
      <c r="H345" s="48">
        <v>0.58399999999999996</v>
      </c>
      <c r="I345" s="45">
        <v>177.21799999999999</v>
      </c>
      <c r="J345" s="46">
        <v>46135</v>
      </c>
      <c r="K345" s="47">
        <v>3.427</v>
      </c>
      <c r="L345" s="47">
        <v>5.02501</v>
      </c>
      <c r="M345" s="47">
        <v>400.81639999999999</v>
      </c>
      <c r="N345" s="48">
        <v>6.7131494366610665E-3</v>
      </c>
      <c r="O345" s="48">
        <v>-1.4044000000000001E-2</v>
      </c>
      <c r="P345" s="28">
        <v>119.15</v>
      </c>
      <c r="Q345" s="28">
        <v>118</v>
      </c>
      <c r="R345" s="48">
        <v>9.7457627118644544E-3</v>
      </c>
    </row>
    <row r="346" spans="1:18" x14ac:dyDescent="0.15">
      <c r="A346" s="29">
        <v>345</v>
      </c>
      <c r="B346" s="28">
        <v>123154</v>
      </c>
      <c r="C346" s="28" t="s">
        <v>2083</v>
      </c>
      <c r="D346" s="28">
        <v>116.7</v>
      </c>
      <c r="E346" s="48">
        <v>-8.9999999999999998E-4</v>
      </c>
      <c r="F346" s="28">
        <v>34.29</v>
      </c>
      <c r="G346" s="28">
        <v>73.58</v>
      </c>
      <c r="H346" s="48">
        <v>0.58599999999999997</v>
      </c>
      <c r="I346" s="45">
        <v>175.3</v>
      </c>
      <c r="J346" s="46">
        <v>46970</v>
      </c>
      <c r="K346" s="47">
        <v>5.7149999999999999</v>
      </c>
      <c r="L346" s="47">
        <v>5.2899900000000004</v>
      </c>
      <c r="M346" s="47">
        <v>614.7625822</v>
      </c>
      <c r="N346" s="48">
        <v>9.9582200547229053E-3</v>
      </c>
      <c r="O346" s="48">
        <v>5.4190000000000002E-3</v>
      </c>
      <c r="P346" s="28">
        <v>118.124</v>
      </c>
      <c r="Q346" s="28">
        <v>116.048</v>
      </c>
      <c r="R346" s="48">
        <v>1.7889149317523726E-2</v>
      </c>
    </row>
    <row r="347" spans="1:18" x14ac:dyDescent="0.15">
      <c r="A347" s="29">
        <v>346</v>
      </c>
      <c r="B347" s="28">
        <v>123116</v>
      </c>
      <c r="C347" s="28" t="s">
        <v>189</v>
      </c>
      <c r="D347" s="28">
        <v>116.72</v>
      </c>
      <c r="E347" s="48">
        <v>-1.5100000000000001E-2</v>
      </c>
      <c r="F347" s="28">
        <v>49.79</v>
      </c>
      <c r="G347" s="28">
        <v>73.59</v>
      </c>
      <c r="H347" s="48">
        <v>0.58609999999999995</v>
      </c>
      <c r="I347" s="45">
        <v>175.32999999999998</v>
      </c>
      <c r="J347" s="46">
        <v>46547</v>
      </c>
      <c r="K347" s="47">
        <v>4.556</v>
      </c>
      <c r="L347" s="47">
        <v>3.7811189999999999</v>
      </c>
      <c r="M347" s="47">
        <v>17284.177792999999</v>
      </c>
      <c r="N347" s="48">
        <v>0.39163644560482824</v>
      </c>
      <c r="O347" s="48">
        <v>8.1079999999999989E-3</v>
      </c>
      <c r="P347" s="28">
        <v>119.77500000000001</v>
      </c>
      <c r="Q347" s="28">
        <v>116.6</v>
      </c>
      <c r="R347" s="48">
        <v>2.7229845626072141E-2</v>
      </c>
    </row>
    <row r="348" spans="1:18" x14ac:dyDescent="0.15">
      <c r="A348" s="29">
        <v>347</v>
      </c>
      <c r="B348" s="28">
        <v>127046</v>
      </c>
      <c r="C348" s="28" t="s">
        <v>1793</v>
      </c>
      <c r="D348" s="28">
        <v>119.212</v>
      </c>
      <c r="E348" s="48">
        <v>1.2999999999999999E-3</v>
      </c>
      <c r="F348" s="28">
        <v>47.44</v>
      </c>
      <c r="G348" s="28">
        <v>74.92</v>
      </c>
      <c r="H348" s="48">
        <v>0.59119999999999995</v>
      </c>
      <c r="I348" s="45">
        <v>178.33199999999999</v>
      </c>
      <c r="J348" s="46">
        <v>46659</v>
      </c>
      <c r="K348" s="47">
        <v>4.8630000000000004</v>
      </c>
      <c r="L348" s="47">
        <v>11.275744</v>
      </c>
      <c r="M348" s="47">
        <v>1620.2574278000002</v>
      </c>
      <c r="N348" s="48">
        <v>1.2053657297255877E-2</v>
      </c>
      <c r="O348" s="48">
        <v>-7.8569999999999994E-3</v>
      </c>
      <c r="P348" s="28">
        <v>119.62</v>
      </c>
      <c r="Q348" s="28">
        <v>118.355</v>
      </c>
      <c r="R348" s="48">
        <v>1.0688183853660601E-2</v>
      </c>
    </row>
    <row r="349" spans="1:18" x14ac:dyDescent="0.15">
      <c r="A349" s="29">
        <v>348</v>
      </c>
      <c r="B349" s="28">
        <v>128123</v>
      </c>
      <c r="C349" s="28" t="s">
        <v>146</v>
      </c>
      <c r="D349" s="28">
        <v>112.386</v>
      </c>
      <c r="E349" s="48">
        <v>-5.4000000000000003E-3</v>
      </c>
      <c r="F349" s="28">
        <v>13.17</v>
      </c>
      <c r="G349" s="28">
        <v>70.31</v>
      </c>
      <c r="H349" s="48">
        <v>0.59840000000000004</v>
      </c>
      <c r="I349" s="45">
        <v>172.226</v>
      </c>
      <c r="J349" s="46">
        <v>46230</v>
      </c>
      <c r="K349" s="47">
        <v>3.6880000000000002</v>
      </c>
      <c r="L349" s="47">
        <v>3.199198</v>
      </c>
      <c r="M349" s="47">
        <v>378.14038999999997</v>
      </c>
      <c r="N349" s="48">
        <v>1.0517190341581942E-2</v>
      </c>
      <c r="O349" s="48">
        <v>6.3790000000000001E-3</v>
      </c>
      <c r="P349" s="28">
        <v>113.548</v>
      </c>
      <c r="Q349" s="28">
        <v>112</v>
      </c>
      <c r="R349" s="48">
        <v>1.3821428571428587E-2</v>
      </c>
    </row>
    <row r="350" spans="1:18" x14ac:dyDescent="0.15">
      <c r="A350" s="29">
        <v>349</v>
      </c>
      <c r="B350" s="28">
        <v>128041</v>
      </c>
      <c r="C350" s="28" t="s">
        <v>2087</v>
      </c>
      <c r="D350" s="28">
        <v>259.60000000000002</v>
      </c>
      <c r="E350" s="48">
        <v>7.7000000000000002E-3</v>
      </c>
      <c r="F350" s="28">
        <v>6.82</v>
      </c>
      <c r="G350" s="28">
        <v>162.02000000000001</v>
      </c>
      <c r="H350" s="48">
        <v>0.60229999999999995</v>
      </c>
      <c r="I350" s="45">
        <v>319.83000000000004</v>
      </c>
      <c r="J350" s="46">
        <v>45490</v>
      </c>
      <c r="K350" s="47">
        <v>1.66</v>
      </c>
      <c r="L350" s="47">
        <v>0.52917199999999998</v>
      </c>
      <c r="M350" s="47">
        <v>25579.726815400001</v>
      </c>
      <c r="N350" s="48">
        <v>1.8620629440747254</v>
      </c>
      <c r="O350" s="48">
        <v>-0.39978000000000002</v>
      </c>
      <c r="P350" s="28">
        <v>264.98</v>
      </c>
      <c r="Q350" s="28">
        <v>255.8</v>
      </c>
      <c r="R350" s="48">
        <v>3.5887412040656791E-2</v>
      </c>
    </row>
    <row r="351" spans="1:18" x14ac:dyDescent="0.15">
      <c r="A351" s="29">
        <v>350</v>
      </c>
      <c r="B351" s="28">
        <v>113043</v>
      </c>
      <c r="C351" s="28" t="s">
        <v>1769</v>
      </c>
      <c r="D351" s="28">
        <v>105.325</v>
      </c>
      <c r="E351" s="48">
        <v>-1.1000000000000001E-3</v>
      </c>
      <c r="F351" s="28">
        <v>11.49</v>
      </c>
      <c r="G351" s="28">
        <v>65.709999999999994</v>
      </c>
      <c r="H351" s="48">
        <v>0.60289999999999999</v>
      </c>
      <c r="I351" s="45">
        <v>165.61500000000001</v>
      </c>
      <c r="J351" s="46">
        <v>46366</v>
      </c>
      <c r="K351" s="47">
        <v>4.0599999999999996</v>
      </c>
      <c r="L351" s="47">
        <v>37.99756</v>
      </c>
      <c r="M351" s="47">
        <v>1306.9273000000001</v>
      </c>
      <c r="N351" s="48">
        <v>3.2656095141069263E-3</v>
      </c>
      <c r="O351" s="48">
        <v>1.0931E-2</v>
      </c>
      <c r="P351" s="28">
        <v>105.999</v>
      </c>
      <c r="Q351" s="28">
        <v>105.051</v>
      </c>
      <c r="R351" s="48">
        <v>9.0241882514206749E-3</v>
      </c>
    </row>
    <row r="352" spans="1:18" x14ac:dyDescent="0.15">
      <c r="A352" s="29">
        <v>351</v>
      </c>
      <c r="B352" s="28">
        <v>127015</v>
      </c>
      <c r="C352" s="28" t="s">
        <v>149</v>
      </c>
      <c r="D352" s="28">
        <v>109.95699999999999</v>
      </c>
      <c r="E352" s="48">
        <v>-5.6999999999999993E-3</v>
      </c>
      <c r="F352" s="28">
        <v>19.66</v>
      </c>
      <c r="G352" s="28">
        <v>68.459999999999994</v>
      </c>
      <c r="H352" s="48">
        <v>0.60609999999999997</v>
      </c>
      <c r="I352" s="45">
        <v>170.56700000000001</v>
      </c>
      <c r="J352" s="46">
        <v>46025</v>
      </c>
      <c r="K352" s="47">
        <v>3.1259999999999999</v>
      </c>
      <c r="L352" s="47">
        <v>9.4948960000000007</v>
      </c>
      <c r="M352" s="47">
        <v>1180.5919299</v>
      </c>
      <c r="N352" s="48">
        <v>1.1308023848667142E-2</v>
      </c>
      <c r="O352" s="48">
        <v>-1.059E-3</v>
      </c>
      <c r="P352" s="28">
        <v>110.89400000000001</v>
      </c>
      <c r="Q352" s="28">
        <v>109.822</v>
      </c>
      <c r="R352" s="48">
        <v>9.7612500227641334E-3</v>
      </c>
    </row>
    <row r="353" spans="1:18" x14ac:dyDescent="0.15">
      <c r="A353" s="29">
        <v>352</v>
      </c>
      <c r="B353" s="28">
        <v>127067</v>
      </c>
      <c r="C353" s="28" t="s">
        <v>2081</v>
      </c>
      <c r="D353" s="28">
        <v>108.307</v>
      </c>
      <c r="E353" s="48">
        <v>-7.0999999999999995E-3</v>
      </c>
      <c r="F353" s="28">
        <v>10.5</v>
      </c>
      <c r="G353" s="28">
        <v>67.33</v>
      </c>
      <c r="H353" s="48">
        <v>0.60860000000000003</v>
      </c>
      <c r="I353" s="45">
        <v>169.167</v>
      </c>
      <c r="J353" s="46">
        <v>46955</v>
      </c>
      <c r="K353" s="47">
        <v>5.6740000000000004</v>
      </c>
      <c r="L353" s="47">
        <v>30</v>
      </c>
      <c r="M353" s="47">
        <v>1022.4006829</v>
      </c>
      <c r="N353" s="48">
        <v>3.1466131241132461E-3</v>
      </c>
      <c r="O353" s="48">
        <v>7.9170000000000004E-3</v>
      </c>
      <c r="P353" s="28">
        <v>109.79900000000001</v>
      </c>
      <c r="Q353" s="28">
        <v>108.28100000000001</v>
      </c>
      <c r="R353" s="48">
        <v>1.4019079986331864E-2</v>
      </c>
    </row>
    <row r="354" spans="1:18" x14ac:dyDescent="0.15">
      <c r="A354" s="29">
        <v>353</v>
      </c>
      <c r="B354" s="28">
        <v>123155</v>
      </c>
      <c r="C354" s="28" t="s">
        <v>2080</v>
      </c>
      <c r="D354" s="28">
        <v>113.5</v>
      </c>
      <c r="E354" s="48">
        <v>-3.8E-3</v>
      </c>
      <c r="F354" s="28">
        <v>31.8</v>
      </c>
      <c r="G354" s="28">
        <v>70.41</v>
      </c>
      <c r="H354" s="48">
        <v>0.61199999999999999</v>
      </c>
      <c r="I354" s="45">
        <v>174.7</v>
      </c>
      <c r="J354" s="46">
        <v>46977</v>
      </c>
      <c r="K354" s="47">
        <v>5.734</v>
      </c>
      <c r="L354" s="47">
        <v>3.6</v>
      </c>
      <c r="M354" s="47">
        <v>450.72598119999998</v>
      </c>
      <c r="N354" s="48">
        <v>1.103098338717572E-2</v>
      </c>
      <c r="O354" s="48">
        <v>1.2196E-2</v>
      </c>
      <c r="P354" s="28">
        <v>114.509</v>
      </c>
      <c r="Q354" s="28">
        <v>113.46599999999999</v>
      </c>
      <c r="R354" s="48">
        <v>9.1921809176317704E-3</v>
      </c>
    </row>
    <row r="355" spans="1:18" x14ac:dyDescent="0.15">
      <c r="A355" s="29">
        <v>354</v>
      </c>
      <c r="B355" s="28">
        <v>110073</v>
      </c>
      <c r="C355" s="28" t="s">
        <v>1768</v>
      </c>
      <c r="D355" s="28">
        <v>103.7</v>
      </c>
      <c r="E355" s="48">
        <v>3.0000000000000001E-3</v>
      </c>
      <c r="F355" s="28">
        <v>9.75</v>
      </c>
      <c r="G355" s="28">
        <v>64.209999999999994</v>
      </c>
      <c r="H355" s="48">
        <v>0.61499999999999999</v>
      </c>
      <c r="I355" s="45">
        <v>165.2</v>
      </c>
      <c r="J355" s="46">
        <v>46227</v>
      </c>
      <c r="K355" s="47">
        <v>3.6789999999999998</v>
      </c>
      <c r="L355" s="47">
        <v>79.993110000000001</v>
      </c>
      <c r="M355" s="47">
        <v>4495.8053</v>
      </c>
      <c r="N355" s="48">
        <v>5.4197113483390076E-3</v>
      </c>
      <c r="O355" s="48">
        <v>1.6094999999999998E-2</v>
      </c>
      <c r="P355" s="28">
        <v>104.1</v>
      </c>
      <c r="Q355" s="28">
        <v>103.35299999999999</v>
      </c>
      <c r="R355" s="48">
        <v>7.2276566717947221E-3</v>
      </c>
    </row>
    <row r="356" spans="1:18" x14ac:dyDescent="0.15">
      <c r="A356" s="29">
        <v>355</v>
      </c>
      <c r="B356" s="28">
        <v>127053</v>
      </c>
      <c r="C356" s="28" t="s">
        <v>753</v>
      </c>
      <c r="D356" s="28">
        <v>112.45</v>
      </c>
      <c r="E356" s="48">
        <v>-1.3600000000000001E-2</v>
      </c>
      <c r="F356" s="28">
        <v>21.29</v>
      </c>
      <c r="G356" s="28">
        <v>69.56</v>
      </c>
      <c r="H356" s="48">
        <v>0.61659999999999993</v>
      </c>
      <c r="I356" s="45">
        <v>174.11</v>
      </c>
      <c r="J356" s="46">
        <v>46776</v>
      </c>
      <c r="K356" s="47">
        <v>5.1840000000000002</v>
      </c>
      <c r="L356" s="47">
        <v>8.2398900000000008</v>
      </c>
      <c r="M356" s="47">
        <v>1868.6624774999998</v>
      </c>
      <c r="N356" s="48">
        <v>2.01674036742325E-2</v>
      </c>
      <c r="O356" s="48">
        <v>1.9424999999999998E-2</v>
      </c>
      <c r="P356" s="28">
        <v>114.123</v>
      </c>
      <c r="Q356" s="28">
        <v>112.25</v>
      </c>
      <c r="R356" s="48">
        <v>1.6685968819599151E-2</v>
      </c>
    </row>
    <row r="357" spans="1:18" x14ac:dyDescent="0.15">
      <c r="A357" s="29">
        <v>356</v>
      </c>
      <c r="B357" s="28">
        <v>123161</v>
      </c>
      <c r="C357" s="28" t="s">
        <v>2078</v>
      </c>
      <c r="D357" s="28">
        <v>121.80800000000001</v>
      </c>
      <c r="E357" s="48">
        <v>-5.6999999999999993E-3</v>
      </c>
      <c r="F357" s="28">
        <v>86.69</v>
      </c>
      <c r="G357" s="28">
        <v>75.209999999999994</v>
      </c>
      <c r="H357" s="48">
        <v>0.61960000000000004</v>
      </c>
      <c r="I357" s="45">
        <v>183.768</v>
      </c>
      <c r="J357" s="46">
        <v>47037</v>
      </c>
      <c r="K357" s="47">
        <v>5.899</v>
      </c>
      <c r="L357" s="47">
        <v>12.1</v>
      </c>
      <c r="M357" s="47">
        <v>5516.7616687</v>
      </c>
      <c r="N357" s="48">
        <v>3.7430276863710726E-2</v>
      </c>
      <c r="O357" s="48">
        <v>-6.7669999999999996E-3</v>
      </c>
      <c r="P357" s="28">
        <v>123.49</v>
      </c>
      <c r="Q357" s="28">
        <v>120.6</v>
      </c>
      <c r="R357" s="48">
        <v>2.3963515754560537E-2</v>
      </c>
    </row>
    <row r="358" spans="1:18" x14ac:dyDescent="0.15">
      <c r="A358" s="29">
        <v>357</v>
      </c>
      <c r="B358" s="28">
        <v>113046</v>
      </c>
      <c r="C358" s="28" t="s">
        <v>1764</v>
      </c>
      <c r="D358" s="28">
        <v>106.953</v>
      </c>
      <c r="E358" s="48">
        <v>-5.1000000000000004E-3</v>
      </c>
      <c r="F358" s="28">
        <v>10.64</v>
      </c>
      <c r="G358" s="28">
        <v>65.790000000000006</v>
      </c>
      <c r="H358" s="48">
        <v>0.62570000000000003</v>
      </c>
      <c r="I358" s="45">
        <v>169.523</v>
      </c>
      <c r="J358" s="46">
        <v>46468</v>
      </c>
      <c r="K358" s="47">
        <v>4.34</v>
      </c>
      <c r="L358" s="47">
        <v>14.998749999999999</v>
      </c>
      <c r="M358" s="47">
        <v>818.00549999999998</v>
      </c>
      <c r="N358" s="48">
        <v>5.0992720965038667E-3</v>
      </c>
      <c r="O358" s="48">
        <v>1.6341000000000001E-2</v>
      </c>
      <c r="P358" s="28">
        <v>107.7</v>
      </c>
      <c r="Q358" s="28">
        <v>106.768</v>
      </c>
      <c r="R358" s="48">
        <v>8.7292072531095655E-3</v>
      </c>
    </row>
    <row r="359" spans="1:18" x14ac:dyDescent="0.15">
      <c r="A359" s="29">
        <v>358</v>
      </c>
      <c r="B359" s="28">
        <v>128063</v>
      </c>
      <c r="C359" s="28" t="s">
        <v>183</v>
      </c>
      <c r="D359" s="28">
        <v>117.952</v>
      </c>
      <c r="E359" s="48">
        <v>4.0000000000000002E-4</v>
      </c>
      <c r="F359" s="28">
        <v>8.61</v>
      </c>
      <c r="G359" s="28">
        <v>72.13</v>
      </c>
      <c r="H359" s="48">
        <v>0.63529999999999998</v>
      </c>
      <c r="I359" s="45">
        <v>181.482</v>
      </c>
      <c r="J359" s="46">
        <v>45750</v>
      </c>
      <c r="K359" s="47">
        <v>2.3730000000000002</v>
      </c>
      <c r="L359" s="47">
        <v>6.2924350000000002</v>
      </c>
      <c r="M359" s="47">
        <v>316.48465699999997</v>
      </c>
      <c r="N359" s="48">
        <v>4.2641120985488666E-3</v>
      </c>
      <c r="O359" s="48">
        <v>2.9031999999999999E-2</v>
      </c>
      <c r="P359" s="28">
        <v>118.2</v>
      </c>
      <c r="Q359" s="28">
        <v>117.70099999999999</v>
      </c>
      <c r="R359" s="48">
        <v>4.2395561634991164E-3</v>
      </c>
    </row>
    <row r="360" spans="1:18" x14ac:dyDescent="0.15">
      <c r="A360" s="29">
        <v>359</v>
      </c>
      <c r="B360" s="28">
        <v>113527</v>
      </c>
      <c r="C360" s="28" t="s">
        <v>110</v>
      </c>
      <c r="D360" s="28">
        <v>116.462</v>
      </c>
      <c r="E360" s="48">
        <v>-4.5000000000000005E-3</v>
      </c>
      <c r="F360" s="28">
        <v>9.75</v>
      </c>
      <c r="G360" s="28">
        <v>71.08</v>
      </c>
      <c r="H360" s="48">
        <v>0.63850000000000007</v>
      </c>
      <c r="I360" s="45">
        <v>180.31200000000001</v>
      </c>
      <c r="J360" s="46">
        <v>45681</v>
      </c>
      <c r="K360" s="47">
        <v>2.1840000000000002</v>
      </c>
      <c r="L360" s="47">
        <v>2.8627699999999998</v>
      </c>
      <c r="M360" s="47">
        <v>260.2106</v>
      </c>
      <c r="N360" s="48">
        <v>7.804665290165793E-3</v>
      </c>
      <c r="O360" s="48">
        <v>8.1250000000000003E-3</v>
      </c>
      <c r="P360" s="28">
        <v>117.17</v>
      </c>
      <c r="Q360" s="28">
        <v>116.4</v>
      </c>
      <c r="R360" s="48">
        <v>6.6151202749140546E-3</v>
      </c>
    </row>
    <row r="361" spans="1:18" x14ac:dyDescent="0.15">
      <c r="A361" s="29">
        <v>360</v>
      </c>
      <c r="B361" s="28">
        <v>123138</v>
      </c>
      <c r="C361" s="28" t="s">
        <v>749</v>
      </c>
      <c r="D361" s="28">
        <v>124.643</v>
      </c>
      <c r="E361" s="48">
        <v>-5.7999999999999996E-3</v>
      </c>
      <c r="F361" s="28">
        <v>26.61</v>
      </c>
      <c r="G361" s="28">
        <v>75.349999999999994</v>
      </c>
      <c r="H361" s="48">
        <v>0.6542</v>
      </c>
      <c r="I361" s="45">
        <v>190.06299999999999</v>
      </c>
      <c r="J361" s="46">
        <v>46814</v>
      </c>
      <c r="K361" s="47">
        <v>5.2880000000000003</v>
      </c>
      <c r="L361" s="47">
        <v>2.3995990000000003</v>
      </c>
      <c r="M361" s="47">
        <v>9740.4132088000006</v>
      </c>
      <c r="N361" s="48">
        <v>0.32566479670853193</v>
      </c>
      <c r="O361" s="48">
        <v>-4.6129999999999999E-3</v>
      </c>
      <c r="P361" s="28">
        <v>127.708</v>
      </c>
      <c r="Q361" s="28">
        <v>124.119</v>
      </c>
      <c r="R361" s="48">
        <v>2.8915798548167473E-2</v>
      </c>
    </row>
    <row r="362" spans="1:18" x14ac:dyDescent="0.15">
      <c r="A362" s="29">
        <v>361</v>
      </c>
      <c r="B362" s="28">
        <v>127017</v>
      </c>
      <c r="C362" s="28" t="s">
        <v>174</v>
      </c>
      <c r="D362" s="28">
        <v>112.4</v>
      </c>
      <c r="E362" s="48">
        <v>-2.8000000000000004E-3</v>
      </c>
      <c r="F362" s="28">
        <v>12.66</v>
      </c>
      <c r="G362" s="28">
        <v>67.849999999999994</v>
      </c>
      <c r="H362" s="48">
        <v>0.65659999999999996</v>
      </c>
      <c r="I362" s="45">
        <v>178.06</v>
      </c>
      <c r="J362" s="46">
        <v>46176</v>
      </c>
      <c r="K362" s="47">
        <v>3.54</v>
      </c>
      <c r="L362" s="47">
        <v>9.9959349999999993</v>
      </c>
      <c r="M362" s="47">
        <v>464.67409000000004</v>
      </c>
      <c r="N362" s="48">
        <v>4.1357923205747552E-3</v>
      </c>
      <c r="O362" s="48">
        <v>1.26E-2</v>
      </c>
      <c r="P362" s="28">
        <v>113.117</v>
      </c>
      <c r="Q362" s="28">
        <v>112.33</v>
      </c>
      <c r="R362" s="48">
        <v>7.0061426155079336E-3</v>
      </c>
    </row>
    <row r="363" spans="1:18" x14ac:dyDescent="0.15">
      <c r="A363" s="29">
        <v>362</v>
      </c>
      <c r="B363" s="28">
        <v>127022</v>
      </c>
      <c r="C363" s="28" t="s">
        <v>1738</v>
      </c>
      <c r="D363" s="28">
        <v>106.5</v>
      </c>
      <c r="E363" s="48">
        <v>-2.8000000000000004E-3</v>
      </c>
      <c r="F363" s="28">
        <v>11</v>
      </c>
      <c r="G363" s="28">
        <v>64.27</v>
      </c>
      <c r="H363" s="48">
        <v>0.65709999999999991</v>
      </c>
      <c r="I363" s="45">
        <v>172.20999999999998</v>
      </c>
      <c r="J363" s="46">
        <v>46311</v>
      </c>
      <c r="K363" s="47">
        <v>3.91</v>
      </c>
      <c r="L363" s="47">
        <v>19.998282</v>
      </c>
      <c r="M363" s="47">
        <v>1261.2601520000001</v>
      </c>
      <c r="N363" s="48">
        <v>5.9219178570631701E-3</v>
      </c>
      <c r="O363" s="48">
        <v>4.352E-3</v>
      </c>
      <c r="P363" s="28">
        <v>107.286</v>
      </c>
      <c r="Q363" s="28">
        <v>106.113</v>
      </c>
      <c r="R363" s="48">
        <v>1.1054253484492963E-2</v>
      </c>
    </row>
    <row r="364" spans="1:18" x14ac:dyDescent="0.15">
      <c r="A364" s="29">
        <v>363</v>
      </c>
      <c r="B364" s="28">
        <v>113625</v>
      </c>
      <c r="C364" s="28" t="s">
        <v>134</v>
      </c>
      <c r="D364" s="28">
        <v>112.675</v>
      </c>
      <c r="E364" s="48">
        <v>-7.000000000000001E-4</v>
      </c>
      <c r="F364" s="28">
        <v>73.53</v>
      </c>
      <c r="G364" s="28">
        <v>67.849999999999994</v>
      </c>
      <c r="H364" s="48">
        <v>0.66060000000000008</v>
      </c>
      <c r="I364" s="45">
        <v>178.73500000000001</v>
      </c>
      <c r="J364" s="46">
        <v>46549</v>
      </c>
      <c r="K364" s="47">
        <v>4.5620000000000003</v>
      </c>
      <c r="L364" s="47">
        <v>5.8254700000000001</v>
      </c>
      <c r="M364" s="47">
        <v>1142.9336000000001</v>
      </c>
      <c r="N364" s="48">
        <v>1.7412553487596228E-2</v>
      </c>
      <c r="O364" s="48">
        <v>2.0899999999999998E-2</v>
      </c>
      <c r="P364" s="28">
        <v>113.5</v>
      </c>
      <c r="Q364" s="28">
        <v>112.08199999999999</v>
      </c>
      <c r="R364" s="48">
        <v>1.2651451615781361E-2</v>
      </c>
    </row>
    <row r="365" spans="1:18" x14ac:dyDescent="0.15">
      <c r="A365" s="29">
        <v>364</v>
      </c>
      <c r="B365" s="28">
        <v>128105</v>
      </c>
      <c r="C365" s="28" t="s">
        <v>166</v>
      </c>
      <c r="D365" s="28">
        <v>103.95699999999999</v>
      </c>
      <c r="E365" s="48">
        <v>-2.8999999999999998E-3</v>
      </c>
      <c r="F365" s="28">
        <v>7.91</v>
      </c>
      <c r="G365" s="28">
        <v>62.45</v>
      </c>
      <c r="H365" s="48">
        <v>0.66459999999999997</v>
      </c>
      <c r="I365" s="45">
        <v>170.41699999999997</v>
      </c>
      <c r="J365" s="46">
        <v>46121</v>
      </c>
      <c r="K365" s="47">
        <v>3.3889999999999998</v>
      </c>
      <c r="L365" s="47">
        <v>7.9945289999999991</v>
      </c>
      <c r="M365" s="47">
        <v>772.89384299999995</v>
      </c>
      <c r="N365" s="48">
        <v>9.2997918309387639E-3</v>
      </c>
      <c r="O365" s="48">
        <v>2.8967999999999997E-2</v>
      </c>
      <c r="P365" s="28">
        <v>104.616</v>
      </c>
      <c r="Q365" s="28">
        <v>103.9</v>
      </c>
      <c r="R365" s="48">
        <v>6.8912415784407504E-3</v>
      </c>
    </row>
    <row r="366" spans="1:18" x14ac:dyDescent="0.15">
      <c r="A366" s="29">
        <v>365</v>
      </c>
      <c r="B366" s="28">
        <v>127031</v>
      </c>
      <c r="C366" s="28" t="s">
        <v>167</v>
      </c>
      <c r="D366" s="28">
        <v>113.504</v>
      </c>
      <c r="E366" s="48">
        <v>-7.8000000000000005E-3</v>
      </c>
      <c r="F366" s="28">
        <v>17.57</v>
      </c>
      <c r="G366" s="28">
        <v>68.069999999999993</v>
      </c>
      <c r="H366" s="48">
        <v>0.66749999999999998</v>
      </c>
      <c r="I366" s="45">
        <v>180.25400000000002</v>
      </c>
      <c r="J366" s="46">
        <v>46471</v>
      </c>
      <c r="K366" s="47">
        <v>4.3479999999999999</v>
      </c>
      <c r="L366" s="47">
        <v>9.9993800000000004</v>
      </c>
      <c r="M366" s="47">
        <v>2453.4678168</v>
      </c>
      <c r="N366" s="48">
        <v>2.1617035005254057E-2</v>
      </c>
      <c r="O366" s="48">
        <v>6.7320000000000001E-3</v>
      </c>
      <c r="P366" s="28">
        <v>114.86799999999999</v>
      </c>
      <c r="Q366" s="28">
        <v>113.057</v>
      </c>
      <c r="R366" s="48">
        <v>1.6018468560106785E-2</v>
      </c>
    </row>
    <row r="367" spans="1:18" x14ac:dyDescent="0.15">
      <c r="A367" s="29">
        <v>366</v>
      </c>
      <c r="B367" s="28">
        <v>113606</v>
      </c>
      <c r="C367" s="28" t="s">
        <v>188</v>
      </c>
      <c r="D367" s="28">
        <v>109.94199999999999</v>
      </c>
      <c r="E367" s="48">
        <v>-3.5999999999999999E-3</v>
      </c>
      <c r="F367" s="28">
        <v>32.15</v>
      </c>
      <c r="G367" s="28">
        <v>65.63</v>
      </c>
      <c r="H367" s="48">
        <v>0.67519999999999991</v>
      </c>
      <c r="I367" s="45">
        <v>177.46199999999999</v>
      </c>
      <c r="J367" s="46">
        <v>46325</v>
      </c>
      <c r="K367" s="47">
        <v>3.948</v>
      </c>
      <c r="L367" s="47">
        <v>5.9988700000000001</v>
      </c>
      <c r="M367" s="47">
        <v>1109.6699000000001</v>
      </c>
      <c r="N367" s="48">
        <v>1.6825218860822919E-2</v>
      </c>
      <c r="O367" s="48">
        <v>2.2829000000000002E-2</v>
      </c>
      <c r="P367" s="28">
        <v>110.795</v>
      </c>
      <c r="Q367" s="28">
        <v>109.88200000000001</v>
      </c>
      <c r="R367" s="48">
        <v>8.3089131977939663E-3</v>
      </c>
    </row>
    <row r="368" spans="1:18" x14ac:dyDescent="0.15">
      <c r="A368" s="29">
        <v>367</v>
      </c>
      <c r="B368" s="28">
        <v>113644</v>
      </c>
      <c r="C368" s="28" t="s">
        <v>1760</v>
      </c>
      <c r="D368" s="28">
        <v>112.649</v>
      </c>
      <c r="E368" s="48">
        <v>-7.8000000000000005E-3</v>
      </c>
      <c r="F368" s="28">
        <v>23.84</v>
      </c>
      <c r="G368" s="28">
        <v>66.95</v>
      </c>
      <c r="H368" s="48">
        <v>0.6826000000000001</v>
      </c>
      <c r="I368" s="45">
        <v>180.90899999999999</v>
      </c>
      <c r="J368" s="46">
        <v>46858</v>
      </c>
      <c r="K368" s="47">
        <v>5.4080000000000004</v>
      </c>
      <c r="L368" s="47">
        <v>9.9999800000000008</v>
      </c>
      <c r="M368" s="47">
        <v>235.6311</v>
      </c>
      <c r="N368" s="48">
        <v>2.0917324722202818E-3</v>
      </c>
      <c r="O368" s="48">
        <v>1.2444E-2</v>
      </c>
      <c r="P368" s="28">
        <v>113.718</v>
      </c>
      <c r="Q368" s="28">
        <v>112.6</v>
      </c>
      <c r="R368" s="48">
        <v>9.9289520426288566E-3</v>
      </c>
    </row>
    <row r="369" spans="1:18" x14ac:dyDescent="0.15">
      <c r="A369" s="29">
        <v>368</v>
      </c>
      <c r="B369" s="28">
        <v>128117</v>
      </c>
      <c r="C369" s="28" t="s">
        <v>137</v>
      </c>
      <c r="D369" s="28">
        <v>120.99</v>
      </c>
      <c r="E369" s="48">
        <v>4.6199999999999998E-2</v>
      </c>
      <c r="F369" s="28">
        <v>28.03</v>
      </c>
      <c r="G369" s="28">
        <v>71.849999999999994</v>
      </c>
      <c r="H369" s="48">
        <v>0.68389999999999995</v>
      </c>
      <c r="I369" s="45">
        <v>189.38</v>
      </c>
      <c r="J369" s="46">
        <v>46205</v>
      </c>
      <c r="K369" s="47">
        <v>3.6190000000000002</v>
      </c>
      <c r="L369" s="47">
        <v>3.585731</v>
      </c>
      <c r="M369" s="47">
        <v>50265.359740200001</v>
      </c>
      <c r="N369" s="48">
        <v>1.1586215780119153</v>
      </c>
      <c r="O369" s="48">
        <v>3.4939999999999997E-3</v>
      </c>
      <c r="P369" s="28">
        <v>125</v>
      </c>
      <c r="Q369" s="28">
        <v>115.608</v>
      </c>
      <c r="R369" s="48">
        <v>8.1240052591516121E-2</v>
      </c>
    </row>
    <row r="370" spans="1:18" x14ac:dyDescent="0.15">
      <c r="A370" s="29">
        <v>369</v>
      </c>
      <c r="B370" s="28">
        <v>123143</v>
      </c>
      <c r="C370" s="28" t="s">
        <v>780</v>
      </c>
      <c r="D370" s="28">
        <v>135.114</v>
      </c>
      <c r="E370" s="48">
        <v>-2.6499999999999999E-2</v>
      </c>
      <c r="F370" s="28">
        <v>23.33</v>
      </c>
      <c r="G370" s="28">
        <v>80.11</v>
      </c>
      <c r="H370" s="48">
        <v>0.68659999999999999</v>
      </c>
      <c r="I370" s="45">
        <v>203.774</v>
      </c>
      <c r="J370" s="46">
        <v>46843</v>
      </c>
      <c r="K370" s="47">
        <v>5.367</v>
      </c>
      <c r="L370" s="47">
        <v>3.2995089999999996</v>
      </c>
      <c r="M370" s="47">
        <v>28727.703183999998</v>
      </c>
      <c r="N370" s="48">
        <v>0.64439362661839594</v>
      </c>
      <c r="O370" s="48">
        <v>-2.6166000000000002E-2</v>
      </c>
      <c r="P370" s="28">
        <v>139.119</v>
      </c>
      <c r="Q370" s="28">
        <v>134.82</v>
      </c>
      <c r="R370" s="48">
        <v>3.1886960391633343E-2</v>
      </c>
    </row>
    <row r="371" spans="1:18" x14ac:dyDescent="0.15">
      <c r="A371" s="29">
        <v>370</v>
      </c>
      <c r="B371" s="28">
        <v>127025</v>
      </c>
      <c r="C371" s="28" t="s">
        <v>1747</v>
      </c>
      <c r="D371" s="28">
        <v>107.35</v>
      </c>
      <c r="E371" s="48">
        <v>-9.5999999999999992E-3</v>
      </c>
      <c r="F371" s="28">
        <v>13.26</v>
      </c>
      <c r="G371" s="28">
        <v>63.65</v>
      </c>
      <c r="H371" s="48">
        <v>0.68659999999999999</v>
      </c>
      <c r="I371" s="45">
        <v>176.01</v>
      </c>
      <c r="J371" s="46">
        <v>46331</v>
      </c>
      <c r="K371" s="47">
        <v>3.964</v>
      </c>
      <c r="L371" s="47">
        <v>17.764520000000001</v>
      </c>
      <c r="M371" s="47">
        <v>860.01067950000004</v>
      </c>
      <c r="N371" s="48">
        <v>4.5097069166228718E-3</v>
      </c>
      <c r="O371" s="48">
        <v>5.0849999999999992E-3</v>
      </c>
      <c r="P371" s="28">
        <v>108.8</v>
      </c>
      <c r="Q371" s="28">
        <v>107.121</v>
      </c>
      <c r="R371" s="48">
        <v>1.5673864134950217E-2</v>
      </c>
    </row>
    <row r="372" spans="1:18" x14ac:dyDescent="0.15">
      <c r="A372" s="29">
        <v>371</v>
      </c>
      <c r="B372" s="28">
        <v>123038</v>
      </c>
      <c r="C372" s="28" t="s">
        <v>73</v>
      </c>
      <c r="D372" s="28">
        <v>130.5</v>
      </c>
      <c r="E372" s="48">
        <v>-2.8999999999999998E-3</v>
      </c>
      <c r="F372" s="28">
        <v>24.06</v>
      </c>
      <c r="G372" s="28">
        <v>77.349999999999994</v>
      </c>
      <c r="H372" s="48">
        <v>0.68709999999999993</v>
      </c>
      <c r="I372" s="45">
        <v>199.20999999999998</v>
      </c>
      <c r="J372" s="46">
        <v>46016</v>
      </c>
      <c r="K372" s="47">
        <v>3.101</v>
      </c>
      <c r="L372" s="47">
        <v>1.4726079999999999</v>
      </c>
      <c r="M372" s="47">
        <v>1729.951613</v>
      </c>
      <c r="N372" s="48">
        <v>9.0019436260252009E-2</v>
      </c>
      <c r="O372" s="48">
        <v>-3.2934999999999999E-2</v>
      </c>
      <c r="P372" s="28">
        <v>131.74</v>
      </c>
      <c r="Q372" s="28">
        <v>130.02799999999999</v>
      </c>
      <c r="R372" s="48">
        <v>1.3166394930322836E-2</v>
      </c>
    </row>
    <row r="373" spans="1:18" x14ac:dyDescent="0.15">
      <c r="A373" s="29">
        <v>372</v>
      </c>
      <c r="B373" s="28">
        <v>110082</v>
      </c>
      <c r="C373" s="28" t="s">
        <v>1767</v>
      </c>
      <c r="D373" s="28">
        <v>113.5</v>
      </c>
      <c r="E373" s="48">
        <v>-4.7999999999999996E-3</v>
      </c>
      <c r="F373" s="28">
        <v>51.32</v>
      </c>
      <c r="G373" s="28">
        <v>67.23</v>
      </c>
      <c r="H373" s="48">
        <v>0.68819999999999992</v>
      </c>
      <c r="I373" s="45">
        <v>182.32</v>
      </c>
      <c r="J373" s="46">
        <v>46688</v>
      </c>
      <c r="K373" s="47">
        <v>4.9420000000000002</v>
      </c>
      <c r="L373" s="47">
        <v>19.99587</v>
      </c>
      <c r="M373" s="47">
        <v>1528.4489000000001</v>
      </c>
      <c r="N373" s="48">
        <v>6.7346457704308901E-3</v>
      </c>
      <c r="O373" s="48">
        <v>5.914E-3</v>
      </c>
      <c r="P373" s="28">
        <v>114.8</v>
      </c>
      <c r="Q373" s="28">
        <v>113.30200000000001</v>
      </c>
      <c r="R373" s="48">
        <v>1.3221302360064168E-2</v>
      </c>
    </row>
    <row r="374" spans="1:18" x14ac:dyDescent="0.15">
      <c r="A374" s="29">
        <v>373</v>
      </c>
      <c r="B374" s="28">
        <v>110062</v>
      </c>
      <c r="C374" s="28" t="s">
        <v>1775</v>
      </c>
      <c r="D374" s="28">
        <v>106.40900000000001</v>
      </c>
      <c r="E374" s="48">
        <v>-2.3E-3</v>
      </c>
      <c r="F374" s="28">
        <v>22.77</v>
      </c>
      <c r="G374" s="28">
        <v>62.93</v>
      </c>
      <c r="H374" s="48">
        <v>0.69090000000000007</v>
      </c>
      <c r="I374" s="45">
        <v>175.49900000000002</v>
      </c>
      <c r="J374" s="46">
        <v>45993</v>
      </c>
      <c r="K374" s="47">
        <v>3.0379999999999998</v>
      </c>
      <c r="L374" s="47">
        <v>30.87621</v>
      </c>
      <c r="M374" s="47">
        <v>3182.8094000000001</v>
      </c>
      <c r="N374" s="48">
        <v>9.6874234586662878E-3</v>
      </c>
      <c r="O374" s="48">
        <v>1.2168000000000002E-2</v>
      </c>
      <c r="P374" s="28">
        <v>106.934</v>
      </c>
      <c r="Q374" s="28">
        <v>105.91500000000001</v>
      </c>
      <c r="R374" s="48">
        <v>9.6209224378038163E-3</v>
      </c>
    </row>
    <row r="375" spans="1:18" x14ac:dyDescent="0.15">
      <c r="A375" s="29">
        <v>374</v>
      </c>
      <c r="B375" s="28">
        <v>113650</v>
      </c>
      <c r="C375" s="28" t="s">
        <v>1914</v>
      </c>
      <c r="D375" s="28">
        <v>114.446</v>
      </c>
      <c r="E375" s="48">
        <v>5.1000000000000004E-3</v>
      </c>
      <c r="F375" s="28">
        <v>23.95</v>
      </c>
      <c r="G375" s="28">
        <v>67.31</v>
      </c>
      <c r="H375" s="48">
        <v>0.70030000000000003</v>
      </c>
      <c r="I375" s="45">
        <v>184.476</v>
      </c>
      <c r="J375" s="46">
        <v>46935</v>
      </c>
      <c r="K375" s="47">
        <v>5.6189999999999998</v>
      </c>
      <c r="L375" s="47">
        <v>8</v>
      </c>
      <c r="M375" s="47">
        <v>1708.2487000000001</v>
      </c>
      <c r="N375" s="48">
        <v>1.8657802588120161E-2</v>
      </c>
      <c r="O375" s="48">
        <v>9.0699999999999999E-3</v>
      </c>
      <c r="P375" s="28">
        <v>114.79900000000001</v>
      </c>
      <c r="Q375" s="28">
        <v>113.8</v>
      </c>
      <c r="R375" s="48">
        <v>8.778558875219767E-3</v>
      </c>
    </row>
    <row r="376" spans="1:18" x14ac:dyDescent="0.15">
      <c r="A376" s="29">
        <v>375</v>
      </c>
      <c r="B376" s="28">
        <v>123142</v>
      </c>
      <c r="C376" s="28" t="s">
        <v>742</v>
      </c>
      <c r="D376" s="28">
        <v>115.35</v>
      </c>
      <c r="E376" s="48">
        <v>2.9999999999999997E-4</v>
      </c>
      <c r="F376" s="28">
        <v>34.11</v>
      </c>
      <c r="G376" s="28">
        <v>67.63</v>
      </c>
      <c r="H376" s="48">
        <v>0.7056</v>
      </c>
      <c r="I376" s="45">
        <v>185.91</v>
      </c>
      <c r="J376" s="46">
        <v>46830</v>
      </c>
      <c r="K376" s="47">
        <v>5.3319999999999999</v>
      </c>
      <c r="L376" s="47">
        <v>5.4965409999999997</v>
      </c>
      <c r="M376" s="47">
        <v>274.62022719999999</v>
      </c>
      <c r="N376" s="48">
        <v>4.3313716679734479E-3</v>
      </c>
      <c r="O376" s="48">
        <v>1.0759999999999999E-3</v>
      </c>
      <c r="P376" s="28">
        <v>116.021</v>
      </c>
      <c r="Q376" s="28">
        <v>114.99299999999999</v>
      </c>
      <c r="R376" s="48">
        <v>8.9396745888880701E-3</v>
      </c>
    </row>
    <row r="377" spans="1:18" x14ac:dyDescent="0.15">
      <c r="A377" s="29">
        <v>376</v>
      </c>
      <c r="B377" s="28">
        <v>127024</v>
      </c>
      <c r="C377" s="28" t="s">
        <v>1779</v>
      </c>
      <c r="D377" s="28">
        <v>104.405</v>
      </c>
      <c r="E377" s="48">
        <v>-3.8E-3</v>
      </c>
      <c r="F377" s="28">
        <v>8.09</v>
      </c>
      <c r="G377" s="28">
        <v>61.06</v>
      </c>
      <c r="H377" s="48">
        <v>0.70989999999999998</v>
      </c>
      <c r="I377" s="45">
        <v>175.39499999999998</v>
      </c>
      <c r="J377" s="46">
        <v>46330</v>
      </c>
      <c r="K377" s="47">
        <v>3.9620000000000002</v>
      </c>
      <c r="L377" s="47">
        <v>14.760597000000001</v>
      </c>
      <c r="M377" s="47">
        <v>933.0081196000001</v>
      </c>
      <c r="N377" s="48">
        <v>6.0542479366739116E-3</v>
      </c>
      <c r="O377" s="48">
        <v>2.3031000000000003E-2</v>
      </c>
      <c r="P377" s="28">
        <v>104.79900000000001</v>
      </c>
      <c r="Q377" s="28">
        <v>104.35299999999999</v>
      </c>
      <c r="R377" s="48">
        <v>4.2739547497437757E-3</v>
      </c>
    </row>
    <row r="378" spans="1:18" x14ac:dyDescent="0.15">
      <c r="A378" s="29">
        <v>377</v>
      </c>
      <c r="B378" s="28">
        <v>123096</v>
      </c>
      <c r="C378" s="28" t="s">
        <v>186</v>
      </c>
      <c r="D378" s="28">
        <v>103.239</v>
      </c>
      <c r="E378" s="48">
        <v>5.0000000000000001E-4</v>
      </c>
      <c r="F378" s="28">
        <v>8.27</v>
      </c>
      <c r="G378" s="28">
        <v>60.22</v>
      </c>
      <c r="H378" s="48">
        <v>0.71439999999999992</v>
      </c>
      <c r="I378" s="45">
        <v>174.679</v>
      </c>
      <c r="J378" s="46">
        <v>46413</v>
      </c>
      <c r="K378" s="47">
        <v>4.1890000000000001</v>
      </c>
      <c r="L378" s="47">
        <v>8.1672980000000006</v>
      </c>
      <c r="M378" s="47">
        <v>1810.6944219999998</v>
      </c>
      <c r="N378" s="48">
        <v>2.1474495637986792E-2</v>
      </c>
      <c r="O378" s="48">
        <v>4.4896000000000005E-2</v>
      </c>
      <c r="P378" s="28">
        <v>103.584</v>
      </c>
      <c r="Q378" s="28">
        <v>103.18899999999999</v>
      </c>
      <c r="R378" s="48">
        <v>3.827927395362008E-3</v>
      </c>
    </row>
    <row r="379" spans="1:18" x14ac:dyDescent="0.15">
      <c r="A379" s="29">
        <v>378</v>
      </c>
      <c r="B379" s="28">
        <v>127047</v>
      </c>
      <c r="C379" s="28" t="s">
        <v>1757</v>
      </c>
      <c r="D379" s="28">
        <v>97.7</v>
      </c>
      <c r="E379" s="48">
        <v>1.6000000000000001E-3</v>
      </c>
      <c r="F379" s="28">
        <v>13.34</v>
      </c>
      <c r="G379" s="28">
        <v>56.75</v>
      </c>
      <c r="H379" s="48">
        <v>0.72160000000000002</v>
      </c>
      <c r="I379" s="45">
        <v>169.86</v>
      </c>
      <c r="J379" s="46">
        <v>46685</v>
      </c>
      <c r="K379" s="47">
        <v>4.9340000000000002</v>
      </c>
      <c r="L379" s="47">
        <v>14.998894</v>
      </c>
      <c r="M379" s="47">
        <v>1099.0781625</v>
      </c>
      <c r="N379" s="48">
        <v>7.5002334163917364E-3</v>
      </c>
      <c r="O379" s="48">
        <v>4.3503E-2</v>
      </c>
      <c r="P379" s="28">
        <v>97.998000000000005</v>
      </c>
      <c r="Q379" s="28">
        <v>97.408000000000001</v>
      </c>
      <c r="R379" s="48">
        <v>6.0569973718791418E-3</v>
      </c>
    </row>
    <row r="380" spans="1:18" x14ac:dyDescent="0.15">
      <c r="A380" s="29">
        <v>379</v>
      </c>
      <c r="B380" s="28">
        <v>118004</v>
      </c>
      <c r="C380" s="28" t="s">
        <v>249</v>
      </c>
      <c r="D380" s="28">
        <v>112.223</v>
      </c>
      <c r="E380" s="48">
        <v>1E-3</v>
      </c>
      <c r="F380" s="28">
        <v>35.56</v>
      </c>
      <c r="G380" s="28">
        <v>65.069999999999993</v>
      </c>
      <c r="H380" s="48">
        <v>0.72470000000000001</v>
      </c>
      <c r="I380" s="45">
        <v>184.69299999999998</v>
      </c>
      <c r="J380" s="46">
        <v>46756</v>
      </c>
      <c r="K380" s="47">
        <v>5.1289999999999996</v>
      </c>
      <c r="L380" s="47">
        <v>4.6499699999999997</v>
      </c>
      <c r="M380" s="47">
        <v>1007.1201</v>
      </c>
      <c r="N380" s="48">
        <v>1.9299641345653124E-2</v>
      </c>
      <c r="O380" s="48">
        <v>1.5106E-2</v>
      </c>
      <c r="P380" s="28">
        <v>113.06</v>
      </c>
      <c r="Q380" s="28">
        <v>112</v>
      </c>
      <c r="R380" s="48">
        <v>9.4642857142857341E-3</v>
      </c>
    </row>
    <row r="381" spans="1:18" x14ac:dyDescent="0.15">
      <c r="A381" s="29">
        <v>380</v>
      </c>
      <c r="B381" s="28">
        <v>127068</v>
      </c>
      <c r="C381" s="28" t="s">
        <v>2082</v>
      </c>
      <c r="D381" s="28">
        <v>115</v>
      </c>
      <c r="E381" s="48">
        <v>-1.2699999999999999E-2</v>
      </c>
      <c r="F381" s="28">
        <v>20.43</v>
      </c>
      <c r="G381" s="28">
        <v>66.569999999999993</v>
      </c>
      <c r="H381" s="48">
        <v>0.72750000000000004</v>
      </c>
      <c r="I381" s="45">
        <v>187.75</v>
      </c>
      <c r="J381" s="46">
        <v>46977</v>
      </c>
      <c r="K381" s="47">
        <v>5.734</v>
      </c>
      <c r="L381" s="47">
        <v>8.3000000000000007</v>
      </c>
      <c r="M381" s="47">
        <v>258.41976390000002</v>
      </c>
      <c r="N381" s="48">
        <v>2.707383592456784E-3</v>
      </c>
      <c r="O381" s="48">
        <v>-2.3289999999999999E-3</v>
      </c>
      <c r="P381" s="28">
        <v>116.65900000000001</v>
      </c>
      <c r="Q381" s="28">
        <v>114.82899999999999</v>
      </c>
      <c r="R381" s="48">
        <v>1.5936740718808077E-2</v>
      </c>
    </row>
    <row r="382" spans="1:18" x14ac:dyDescent="0.15">
      <c r="A382" s="29">
        <v>381</v>
      </c>
      <c r="B382" s="28">
        <v>128142</v>
      </c>
      <c r="C382" s="28" t="s">
        <v>178</v>
      </c>
      <c r="D382" s="28">
        <v>110.101</v>
      </c>
      <c r="E382" s="48">
        <v>-4.5999999999999999E-3</v>
      </c>
      <c r="F382" s="28">
        <v>18.399999999999999</v>
      </c>
      <c r="G382" s="28">
        <v>63.7</v>
      </c>
      <c r="H382" s="48">
        <v>0.72840000000000005</v>
      </c>
      <c r="I382" s="45">
        <v>182.941</v>
      </c>
      <c r="J382" s="46">
        <v>46374</v>
      </c>
      <c r="K382" s="47">
        <v>4.0819999999999999</v>
      </c>
      <c r="L382" s="47">
        <v>7.1797839999999997</v>
      </c>
      <c r="M382" s="47">
        <v>1393.0821754000001</v>
      </c>
      <c r="N382" s="48">
        <v>1.7622766747791899E-2</v>
      </c>
      <c r="O382" s="48">
        <v>1.0506999999999999E-2</v>
      </c>
      <c r="P382" s="28">
        <v>111.998</v>
      </c>
      <c r="Q382" s="28">
        <v>109.84</v>
      </c>
      <c r="R382" s="48">
        <v>1.9646758922068474E-2</v>
      </c>
    </row>
    <row r="383" spans="1:18" x14ac:dyDescent="0.15">
      <c r="A383" s="29">
        <v>382</v>
      </c>
      <c r="B383" s="28">
        <v>123049</v>
      </c>
      <c r="C383" s="28" t="s">
        <v>172</v>
      </c>
      <c r="D383" s="28">
        <v>107.2</v>
      </c>
      <c r="E383" s="48">
        <v>-3.5999999999999999E-3</v>
      </c>
      <c r="F383" s="28">
        <v>7.28</v>
      </c>
      <c r="G383" s="28">
        <v>61.95</v>
      </c>
      <c r="H383" s="48">
        <v>0.73040000000000005</v>
      </c>
      <c r="I383" s="45">
        <v>180.24</v>
      </c>
      <c r="J383" s="46">
        <v>46125</v>
      </c>
      <c r="K383" s="47">
        <v>3.4</v>
      </c>
      <c r="L383" s="47">
        <v>9.1698199999999996</v>
      </c>
      <c r="M383" s="47">
        <v>894.54352519999998</v>
      </c>
      <c r="N383" s="48">
        <v>9.1000940439039859E-3</v>
      </c>
      <c r="O383" s="48">
        <v>4.3547000000000002E-2</v>
      </c>
      <c r="P383" s="28">
        <v>107.8</v>
      </c>
      <c r="Q383" s="28">
        <v>106.97199999999999</v>
      </c>
      <c r="R383" s="48">
        <v>7.7403432673971038E-3</v>
      </c>
    </row>
    <row r="384" spans="1:18" x14ac:dyDescent="0.15">
      <c r="A384" s="29">
        <v>383</v>
      </c>
      <c r="B384" s="28">
        <v>118008</v>
      </c>
      <c r="C384" s="28" t="s">
        <v>1910</v>
      </c>
      <c r="D384" s="28">
        <v>120.07</v>
      </c>
      <c r="E384" s="48">
        <v>-8.0000000000000004E-4</v>
      </c>
      <c r="F384" s="28">
        <v>217.42</v>
      </c>
      <c r="G384" s="28">
        <v>68.81</v>
      </c>
      <c r="H384" s="48">
        <v>0.7448999999999999</v>
      </c>
      <c r="I384" s="45">
        <v>194.56</v>
      </c>
      <c r="J384" s="46">
        <v>46927</v>
      </c>
      <c r="K384" s="47">
        <v>5.5970000000000004</v>
      </c>
      <c r="L384" s="47">
        <v>6.94</v>
      </c>
      <c r="M384" s="47">
        <v>1758.0072</v>
      </c>
      <c r="N384" s="48">
        <v>2.1097289789409588E-2</v>
      </c>
      <c r="O384" s="48">
        <v>3.4700000000000003E-4</v>
      </c>
      <c r="P384" s="28">
        <v>121.98</v>
      </c>
      <c r="Q384" s="28">
        <v>119.566</v>
      </c>
      <c r="R384" s="48">
        <v>2.018968603114599E-2</v>
      </c>
    </row>
    <row r="385" spans="1:18" x14ac:dyDescent="0.15">
      <c r="A385" s="29">
        <v>384</v>
      </c>
      <c r="B385" s="28">
        <v>110072</v>
      </c>
      <c r="C385" s="28" t="s">
        <v>1753</v>
      </c>
      <c r="D385" s="28">
        <v>94.835999999999999</v>
      </c>
      <c r="E385" s="48">
        <v>8.9999999999999998E-4</v>
      </c>
      <c r="F385" s="28">
        <v>4.03</v>
      </c>
      <c r="G385" s="28">
        <v>53.85</v>
      </c>
      <c r="H385" s="48">
        <v>0.7611</v>
      </c>
      <c r="I385" s="45">
        <v>170.946</v>
      </c>
      <c r="J385" s="46">
        <v>46252</v>
      </c>
      <c r="K385" s="47">
        <v>3.7480000000000002</v>
      </c>
      <c r="L385" s="47">
        <v>33.661360000000002</v>
      </c>
      <c r="M385" s="47">
        <v>1796.5264</v>
      </c>
      <c r="N385" s="48">
        <v>5.6276712186391223E-3</v>
      </c>
      <c r="O385" s="48">
        <v>5.0895000000000003E-2</v>
      </c>
      <c r="P385" s="28">
        <v>95.003</v>
      </c>
      <c r="Q385" s="28">
        <v>94.498000000000005</v>
      </c>
      <c r="R385" s="48">
        <v>5.3440284450464075E-3</v>
      </c>
    </row>
    <row r="386" spans="1:18" x14ac:dyDescent="0.15">
      <c r="A386" s="29">
        <v>385</v>
      </c>
      <c r="B386" s="28">
        <v>127044</v>
      </c>
      <c r="C386" s="28" t="s">
        <v>1789</v>
      </c>
      <c r="D386" s="28">
        <v>111.602</v>
      </c>
      <c r="E386" s="48">
        <v>1.1899999999999999E-2</v>
      </c>
      <c r="F386" s="28">
        <v>26.75</v>
      </c>
      <c r="G386" s="28">
        <v>62.84</v>
      </c>
      <c r="H386" s="48">
        <v>0.77599999999999991</v>
      </c>
      <c r="I386" s="45">
        <v>189.202</v>
      </c>
      <c r="J386" s="46">
        <v>46615</v>
      </c>
      <c r="K386" s="47">
        <v>4.742</v>
      </c>
      <c r="L386" s="47">
        <v>11.688675</v>
      </c>
      <c r="M386" s="47">
        <v>3189.7928467000002</v>
      </c>
      <c r="N386" s="48">
        <v>2.445260986261058E-2</v>
      </c>
      <c r="O386" s="48">
        <v>9.8160000000000001E-3</v>
      </c>
      <c r="P386" s="28">
        <v>112.43899999999999</v>
      </c>
      <c r="Q386" s="28">
        <v>109.92</v>
      </c>
      <c r="R386" s="48">
        <v>2.2916666666666585E-2</v>
      </c>
    </row>
    <row r="387" spans="1:18" x14ac:dyDescent="0.15">
      <c r="A387" s="29">
        <v>386</v>
      </c>
      <c r="B387" s="28">
        <v>110076</v>
      </c>
      <c r="C387" s="28" t="s">
        <v>1784</v>
      </c>
      <c r="D387" s="28">
        <v>114.492</v>
      </c>
      <c r="E387" s="48">
        <v>-4.4000000000000003E-3</v>
      </c>
      <c r="F387" s="28">
        <v>33.89</v>
      </c>
      <c r="G387" s="28">
        <v>64.44</v>
      </c>
      <c r="H387" s="48">
        <v>0.77670000000000006</v>
      </c>
      <c r="I387" s="45">
        <v>192.16200000000001</v>
      </c>
      <c r="J387" s="46">
        <v>46328</v>
      </c>
      <c r="K387" s="47">
        <v>3.956</v>
      </c>
      <c r="L387" s="47">
        <v>18.424299999999999</v>
      </c>
      <c r="M387" s="47">
        <v>2026.5342000000001</v>
      </c>
      <c r="N387" s="48">
        <v>9.6070001808782005E-3</v>
      </c>
      <c r="O387" s="48">
        <v>-4.3100000000000001E-4</v>
      </c>
      <c r="P387" s="28">
        <v>117.05800000000001</v>
      </c>
      <c r="Q387" s="28">
        <v>114.21</v>
      </c>
      <c r="R387" s="48">
        <v>2.4936520444794795E-2</v>
      </c>
    </row>
    <row r="388" spans="1:18" x14ac:dyDescent="0.15">
      <c r="A388" s="29">
        <v>387</v>
      </c>
      <c r="B388" s="28">
        <v>123099</v>
      </c>
      <c r="C388" s="28" t="s">
        <v>215</v>
      </c>
      <c r="D388" s="28">
        <v>112.29</v>
      </c>
      <c r="E388" s="48">
        <v>-1E-3</v>
      </c>
      <c r="F388" s="28">
        <v>45.84</v>
      </c>
      <c r="G388" s="28">
        <v>62.85</v>
      </c>
      <c r="H388" s="48">
        <v>0.78659999999999997</v>
      </c>
      <c r="I388" s="45">
        <v>190.95</v>
      </c>
      <c r="J388" s="46">
        <v>46427</v>
      </c>
      <c r="K388" s="47">
        <v>4.2270000000000003</v>
      </c>
      <c r="L388" s="47">
        <v>8.4964539999999982</v>
      </c>
      <c r="M388" s="47">
        <v>772.82438200000001</v>
      </c>
      <c r="N388" s="48">
        <v>8.1003171483881066E-3</v>
      </c>
      <c r="O388" s="48">
        <v>2.2431999999999997E-2</v>
      </c>
      <c r="P388" s="28">
        <v>113.20099999999999</v>
      </c>
      <c r="Q388" s="28">
        <v>112.113</v>
      </c>
      <c r="R388" s="48">
        <v>9.7044945724402507E-3</v>
      </c>
    </row>
    <row r="389" spans="1:18" x14ac:dyDescent="0.15">
      <c r="A389" s="29">
        <v>388</v>
      </c>
      <c r="B389" s="28">
        <v>113597</v>
      </c>
      <c r="C389" s="28" t="s">
        <v>139</v>
      </c>
      <c r="D389" s="28">
        <v>118.309</v>
      </c>
      <c r="E389" s="48">
        <v>-2.3E-3</v>
      </c>
      <c r="F389" s="28">
        <v>16.36</v>
      </c>
      <c r="G389" s="28">
        <v>66.14</v>
      </c>
      <c r="H389" s="48">
        <v>0.78879999999999995</v>
      </c>
      <c r="I389" s="45">
        <v>197.18899999999999</v>
      </c>
      <c r="J389" s="46">
        <v>46233</v>
      </c>
      <c r="K389" s="47">
        <v>3.6960000000000002</v>
      </c>
      <c r="L389" s="47">
        <v>2.98238</v>
      </c>
      <c r="M389" s="47">
        <v>1570.4965999999999</v>
      </c>
      <c r="N389" s="48">
        <v>4.4509861070707951E-2</v>
      </c>
      <c r="O389" s="48">
        <v>1.1467E-2</v>
      </c>
      <c r="P389" s="28">
        <v>119.49</v>
      </c>
      <c r="Q389" s="28">
        <v>118.2</v>
      </c>
      <c r="R389" s="48">
        <v>1.0913705583756277E-2</v>
      </c>
    </row>
    <row r="390" spans="1:18" x14ac:dyDescent="0.15">
      <c r="A390" s="29">
        <v>389</v>
      </c>
      <c r="B390" s="28">
        <v>123004</v>
      </c>
      <c r="C390" s="28" t="s">
        <v>161</v>
      </c>
      <c r="D390" s="28">
        <v>108.17</v>
      </c>
      <c r="E390" s="48">
        <v>1.1999999999999999E-3</v>
      </c>
      <c r="F390" s="28">
        <v>3.82</v>
      </c>
      <c r="G390" s="28">
        <v>60.21</v>
      </c>
      <c r="H390" s="48">
        <v>0.7965000000000001</v>
      </c>
      <c r="I390" s="45">
        <v>187.82</v>
      </c>
      <c r="J390" s="46">
        <v>45278</v>
      </c>
      <c r="K390" s="47">
        <v>1.079</v>
      </c>
      <c r="L390" s="47">
        <v>8.0316869999999998</v>
      </c>
      <c r="M390" s="47">
        <v>854.86835299999996</v>
      </c>
      <c r="N390" s="48">
        <v>9.8397855808976895E-3</v>
      </c>
      <c r="O390" s="48">
        <v>-5.7989999999999995E-3</v>
      </c>
      <c r="P390" s="28">
        <v>108.35</v>
      </c>
      <c r="Q390" s="28">
        <v>107.95099999999999</v>
      </c>
      <c r="R390" s="48">
        <v>3.6961213884077119E-3</v>
      </c>
    </row>
    <row r="391" spans="1:18" x14ac:dyDescent="0.15">
      <c r="A391" s="29">
        <v>390</v>
      </c>
      <c r="B391" s="28">
        <v>113623</v>
      </c>
      <c r="C391" s="28" t="s">
        <v>1766</v>
      </c>
      <c r="D391" s="28">
        <v>109.56699999999999</v>
      </c>
      <c r="E391" s="48">
        <v>3.9000000000000003E-3</v>
      </c>
      <c r="F391" s="28">
        <v>16.25</v>
      </c>
      <c r="G391" s="28">
        <v>60.49</v>
      </c>
      <c r="H391" s="48">
        <v>0.81129999999999991</v>
      </c>
      <c r="I391" s="45">
        <v>190.697</v>
      </c>
      <c r="J391" s="46">
        <v>46485</v>
      </c>
      <c r="K391" s="47">
        <v>4.3860000000000001</v>
      </c>
      <c r="L391" s="47">
        <v>24.999479999999998</v>
      </c>
      <c r="M391" s="47">
        <v>773.32839999999999</v>
      </c>
      <c r="N391" s="48">
        <v>2.8232752035386565E-3</v>
      </c>
      <c r="O391" s="48">
        <v>1.4964999999999999E-2</v>
      </c>
      <c r="P391" s="28">
        <v>109.801</v>
      </c>
      <c r="Q391" s="28">
        <v>109.02500000000001</v>
      </c>
      <c r="R391" s="48">
        <v>7.1176335702820108E-3</v>
      </c>
    </row>
    <row r="392" spans="1:18" x14ac:dyDescent="0.15">
      <c r="A392" s="29">
        <v>391</v>
      </c>
      <c r="B392" s="28">
        <v>127051</v>
      </c>
      <c r="C392" s="28" t="s">
        <v>225</v>
      </c>
      <c r="D392" s="28">
        <v>109.7</v>
      </c>
      <c r="E392" s="48">
        <v>2.9999999999999997E-4</v>
      </c>
      <c r="F392" s="28">
        <v>61.85</v>
      </c>
      <c r="G392" s="28">
        <v>60.49</v>
      </c>
      <c r="H392" s="48">
        <v>0.81349999999999989</v>
      </c>
      <c r="I392" s="45">
        <v>191.05</v>
      </c>
      <c r="J392" s="46">
        <v>46708</v>
      </c>
      <c r="K392" s="47">
        <v>4.9969999999999999</v>
      </c>
      <c r="L392" s="47">
        <v>5.2591299999999999</v>
      </c>
      <c r="M392" s="47">
        <v>616.86560700000007</v>
      </c>
      <c r="N392" s="48">
        <v>1.069227261665285E-2</v>
      </c>
      <c r="O392" s="48">
        <v>1.9669000000000002E-2</v>
      </c>
      <c r="P392" s="28">
        <v>110.087</v>
      </c>
      <c r="Q392" s="28">
        <v>109.654</v>
      </c>
      <c r="R392" s="48">
        <v>3.9487843580718164E-3</v>
      </c>
    </row>
    <row r="393" spans="1:18" x14ac:dyDescent="0.15">
      <c r="A393" s="29">
        <v>392</v>
      </c>
      <c r="B393" s="28">
        <v>113535</v>
      </c>
      <c r="C393" s="28" t="s">
        <v>193</v>
      </c>
      <c r="D393" s="28">
        <v>114.577</v>
      </c>
      <c r="E393" s="48">
        <v>5.4000000000000003E-3</v>
      </c>
      <c r="F393" s="28">
        <v>12.29</v>
      </c>
      <c r="G393" s="28">
        <v>62.9</v>
      </c>
      <c r="H393" s="48">
        <v>0.8216</v>
      </c>
      <c r="I393" s="45">
        <v>196.73699999999999</v>
      </c>
      <c r="J393" s="46">
        <v>45421</v>
      </c>
      <c r="K393" s="47">
        <v>1.4710000000000001</v>
      </c>
      <c r="L393" s="47">
        <v>4.9961000000000002</v>
      </c>
      <c r="M393" s="47">
        <v>732.91240000000005</v>
      </c>
      <c r="N393" s="48">
        <v>1.2803346534190643E-2</v>
      </c>
      <c r="O393" s="48">
        <v>-1.8464999999999999E-2</v>
      </c>
      <c r="P393" s="28">
        <v>115.39</v>
      </c>
      <c r="Q393" s="28">
        <v>114.1</v>
      </c>
      <c r="R393" s="48">
        <v>1.1305872042068416E-2</v>
      </c>
    </row>
    <row r="394" spans="1:18" x14ac:dyDescent="0.15">
      <c r="A394" s="29">
        <v>393</v>
      </c>
      <c r="B394" s="28">
        <v>123122</v>
      </c>
      <c r="C394" s="28" t="s">
        <v>157</v>
      </c>
      <c r="D394" s="28">
        <v>114.9</v>
      </c>
      <c r="E394" s="48">
        <v>-6.0999999999999995E-3</v>
      </c>
      <c r="F394" s="28">
        <v>92.77</v>
      </c>
      <c r="G394" s="28">
        <v>63.06</v>
      </c>
      <c r="H394" s="48">
        <v>0.82209999999999994</v>
      </c>
      <c r="I394" s="45">
        <v>197.11</v>
      </c>
      <c r="J394" s="46">
        <v>46605</v>
      </c>
      <c r="K394" s="47">
        <v>4.7149999999999999</v>
      </c>
      <c r="L394" s="47">
        <v>5.8062750000000003</v>
      </c>
      <c r="M394" s="47">
        <v>1130.6398612</v>
      </c>
      <c r="N394" s="48">
        <v>1.6947539806980605E-2</v>
      </c>
      <c r="O394" s="48">
        <v>9.417E-3</v>
      </c>
      <c r="P394" s="28">
        <v>115.95699999999999</v>
      </c>
      <c r="Q394" s="28">
        <v>114.453</v>
      </c>
      <c r="R394" s="48">
        <v>1.3140765204931201E-2</v>
      </c>
    </row>
    <row r="395" spans="1:18" x14ac:dyDescent="0.15">
      <c r="A395" s="29">
        <v>394</v>
      </c>
      <c r="B395" s="28">
        <v>118010</v>
      </c>
      <c r="C395" s="28" t="s">
        <v>1920</v>
      </c>
      <c r="D395" s="28">
        <v>114.279</v>
      </c>
      <c r="E395" s="48">
        <v>-5.9999999999999995E-4</v>
      </c>
      <c r="F395" s="28">
        <v>48.23</v>
      </c>
      <c r="G395" s="28">
        <v>62.72</v>
      </c>
      <c r="H395" s="48">
        <v>0.82209999999999994</v>
      </c>
      <c r="I395" s="45">
        <v>196.48899999999998</v>
      </c>
      <c r="J395" s="46">
        <v>46932</v>
      </c>
      <c r="K395" s="47">
        <v>5.6109999999999998</v>
      </c>
      <c r="L395" s="47">
        <v>4.4000000000000004</v>
      </c>
      <c r="M395" s="47">
        <v>445.2747</v>
      </c>
      <c r="N395" s="48">
        <v>8.8554148578956285E-3</v>
      </c>
      <c r="O395" s="48">
        <v>1.2989999999999998E-3</v>
      </c>
      <c r="P395" s="28">
        <v>115.8</v>
      </c>
      <c r="Q395" s="28">
        <v>113.19</v>
      </c>
      <c r="R395" s="48">
        <v>2.3058574078982239E-2</v>
      </c>
    </row>
    <row r="396" spans="1:18" x14ac:dyDescent="0.15">
      <c r="A396" s="29">
        <v>395</v>
      </c>
      <c r="B396" s="28">
        <v>123124</v>
      </c>
      <c r="C396" s="28" t="s">
        <v>176</v>
      </c>
      <c r="D396" s="28">
        <v>110.199</v>
      </c>
      <c r="E396" s="48">
        <v>8.9999999999999998E-4</v>
      </c>
      <c r="F396" s="28">
        <v>29.64</v>
      </c>
      <c r="G396" s="28">
        <v>60.26</v>
      </c>
      <c r="H396" s="48">
        <v>0.82869999999999999</v>
      </c>
      <c r="I396" s="45">
        <v>193.06900000000002</v>
      </c>
      <c r="J396" s="46">
        <v>46615</v>
      </c>
      <c r="K396" s="47">
        <v>4.742</v>
      </c>
      <c r="L396" s="47">
        <v>5.227666000000001</v>
      </c>
      <c r="M396" s="47">
        <v>1665.0537302999999</v>
      </c>
      <c r="N396" s="48">
        <v>2.8902989599374873E-2</v>
      </c>
      <c r="O396" s="48">
        <v>1.549E-3</v>
      </c>
      <c r="P396" s="28">
        <v>111.687</v>
      </c>
      <c r="Q396" s="28">
        <v>110</v>
      </c>
      <c r="R396" s="48">
        <v>1.5336363636363615E-2</v>
      </c>
    </row>
    <row r="397" spans="1:18" x14ac:dyDescent="0.15">
      <c r="A397" s="29">
        <v>396</v>
      </c>
      <c r="B397" s="28">
        <v>110081</v>
      </c>
      <c r="C397" s="28" t="s">
        <v>1774</v>
      </c>
      <c r="D397" s="28">
        <v>110.92700000000001</v>
      </c>
      <c r="E397" s="48">
        <v>-2.7000000000000001E-3</v>
      </c>
      <c r="F397" s="28">
        <v>96.49</v>
      </c>
      <c r="G397" s="28">
        <v>60.58</v>
      </c>
      <c r="H397" s="48">
        <v>0.83109999999999995</v>
      </c>
      <c r="I397" s="45">
        <v>194.03700000000001</v>
      </c>
      <c r="J397" s="46">
        <v>46596</v>
      </c>
      <c r="K397" s="47">
        <v>4.6900000000000004</v>
      </c>
      <c r="L397" s="47">
        <v>85.981250000000003</v>
      </c>
      <c r="M397" s="47">
        <v>6158.5807000000004</v>
      </c>
      <c r="N397" s="48">
        <v>6.4571312524852233E-3</v>
      </c>
      <c r="O397" s="48">
        <v>1.6930000000000001E-3</v>
      </c>
      <c r="P397" s="28">
        <v>111.756</v>
      </c>
      <c r="Q397" s="28">
        <v>110.34</v>
      </c>
      <c r="R397" s="48">
        <v>1.2833061446438252E-2</v>
      </c>
    </row>
    <row r="398" spans="1:18" x14ac:dyDescent="0.15">
      <c r="A398" s="29">
        <v>397</v>
      </c>
      <c r="B398" s="28">
        <v>113638</v>
      </c>
      <c r="C398" s="28" t="s">
        <v>247</v>
      </c>
      <c r="D398" s="28">
        <v>112.221</v>
      </c>
      <c r="E398" s="48">
        <v>1.1000000000000001E-3</v>
      </c>
      <c r="F398" s="28">
        <v>16.7</v>
      </c>
      <c r="G398" s="28">
        <v>60.72</v>
      </c>
      <c r="H398" s="48">
        <v>0.84819999999999995</v>
      </c>
      <c r="I398" s="45">
        <v>197.041</v>
      </c>
      <c r="J398" s="46">
        <v>46750</v>
      </c>
      <c r="K398" s="47">
        <v>5.1120000000000001</v>
      </c>
      <c r="L398" s="47">
        <v>5.99932</v>
      </c>
      <c r="M398" s="47">
        <v>1109.5137</v>
      </c>
      <c r="N398" s="48">
        <v>1.6479973432463654E-2</v>
      </c>
      <c r="O398" s="48">
        <v>8.5179999999999995E-3</v>
      </c>
      <c r="P398" s="28">
        <v>112.619</v>
      </c>
      <c r="Q398" s="28">
        <v>111.492</v>
      </c>
      <c r="R398" s="48">
        <v>1.010834858106407E-2</v>
      </c>
    </row>
    <row r="399" spans="1:18" x14ac:dyDescent="0.15">
      <c r="A399" s="29">
        <v>398</v>
      </c>
      <c r="B399" s="28">
        <v>128125</v>
      </c>
      <c r="C399" s="28" t="s">
        <v>133</v>
      </c>
      <c r="D399" s="28">
        <v>107.081</v>
      </c>
      <c r="E399" s="48">
        <v>-2.2000000000000001E-3</v>
      </c>
      <c r="F399" s="28">
        <v>25.09</v>
      </c>
      <c r="G399" s="28">
        <v>57.83</v>
      </c>
      <c r="H399" s="48">
        <v>0.85170000000000001</v>
      </c>
      <c r="I399" s="45">
        <v>192.251</v>
      </c>
      <c r="J399" s="46">
        <v>46233</v>
      </c>
      <c r="K399" s="47">
        <v>3.6960000000000002</v>
      </c>
      <c r="L399" s="47">
        <v>4.4978839999999991</v>
      </c>
      <c r="M399" s="47">
        <v>859.11236999999994</v>
      </c>
      <c r="N399" s="48">
        <v>1.7837307661688052E-2</v>
      </c>
      <c r="O399" s="48">
        <v>2.5918999999999998E-2</v>
      </c>
      <c r="P399" s="28">
        <v>107.629</v>
      </c>
      <c r="Q399" s="28">
        <v>107.02500000000001</v>
      </c>
      <c r="R399" s="48">
        <v>5.6435412286848794E-3</v>
      </c>
    </row>
    <row r="400" spans="1:18" x14ac:dyDescent="0.15">
      <c r="A400" s="29">
        <v>399</v>
      </c>
      <c r="B400" s="28">
        <v>113652</v>
      </c>
      <c r="C400" s="28" t="s">
        <v>1921</v>
      </c>
      <c r="D400" s="28">
        <v>115.598</v>
      </c>
      <c r="E400" s="48">
        <v>4.5999999999999999E-3</v>
      </c>
      <c r="F400" s="28">
        <v>32.85</v>
      </c>
      <c r="G400" s="28">
        <v>62.28</v>
      </c>
      <c r="H400" s="48">
        <v>0.85609999999999997</v>
      </c>
      <c r="I400" s="45">
        <v>201.208</v>
      </c>
      <c r="J400" s="46">
        <v>46956</v>
      </c>
      <c r="K400" s="47">
        <v>5.6769999999999996</v>
      </c>
      <c r="L400" s="47">
        <v>14.77</v>
      </c>
      <c r="M400" s="47">
        <v>648.15260000000001</v>
      </c>
      <c r="N400" s="48">
        <v>3.7961769854423831E-3</v>
      </c>
      <c r="O400" s="48">
        <v>-1.3930000000000001E-3</v>
      </c>
      <c r="P400" s="28">
        <v>116.19</v>
      </c>
      <c r="Q400" s="28">
        <v>114.99</v>
      </c>
      <c r="R400" s="48">
        <v>1.0435690060005243E-2</v>
      </c>
    </row>
    <row r="401" spans="1:18" x14ac:dyDescent="0.15">
      <c r="A401" s="29">
        <v>400</v>
      </c>
      <c r="B401" s="28">
        <v>113593</v>
      </c>
      <c r="C401" s="28" t="s">
        <v>60</v>
      </c>
      <c r="D401" s="28">
        <v>112.637</v>
      </c>
      <c r="E401" s="48">
        <v>8.9999999999999998E-4</v>
      </c>
      <c r="F401" s="28">
        <v>21.1</v>
      </c>
      <c r="G401" s="28">
        <v>60.57</v>
      </c>
      <c r="H401" s="48">
        <v>0.85959999999999992</v>
      </c>
      <c r="I401" s="45">
        <v>198.59699999999998</v>
      </c>
      <c r="J401" s="46">
        <v>46223</v>
      </c>
      <c r="K401" s="47">
        <v>3.6680000000000001</v>
      </c>
      <c r="L401" s="47">
        <v>3.9977800000000001</v>
      </c>
      <c r="M401" s="47">
        <v>196.22319999999999</v>
      </c>
      <c r="N401" s="48">
        <v>4.3576303601661733E-3</v>
      </c>
      <c r="O401" s="48">
        <v>1.9228000000000002E-2</v>
      </c>
      <c r="P401" s="28">
        <v>113</v>
      </c>
      <c r="Q401" s="28">
        <v>112.55</v>
      </c>
      <c r="R401" s="48">
        <v>3.9982230119946947E-3</v>
      </c>
    </row>
    <row r="402" spans="1:18" x14ac:dyDescent="0.15">
      <c r="A402" s="29">
        <v>401</v>
      </c>
      <c r="B402" s="28">
        <v>128131</v>
      </c>
      <c r="C402" s="28" t="s">
        <v>1782</v>
      </c>
      <c r="D402" s="28">
        <v>110.02500000000001</v>
      </c>
      <c r="E402" s="48">
        <v>5.6999999999999993E-3</v>
      </c>
      <c r="F402" s="28">
        <v>18.87</v>
      </c>
      <c r="G402" s="28">
        <v>59.14</v>
      </c>
      <c r="H402" s="48">
        <v>0.86040000000000005</v>
      </c>
      <c r="I402" s="45">
        <v>196.065</v>
      </c>
      <c r="J402" s="46">
        <v>46272</v>
      </c>
      <c r="K402" s="47">
        <v>3.8029999999999999</v>
      </c>
      <c r="L402" s="47">
        <v>13.997867000000003</v>
      </c>
      <c r="M402" s="47">
        <v>1218.9074905999998</v>
      </c>
      <c r="N402" s="48">
        <v>7.9143910680112874E-3</v>
      </c>
      <c r="O402" s="48">
        <v>1.0254000000000001E-2</v>
      </c>
      <c r="P402" s="28">
        <v>111.5</v>
      </c>
      <c r="Q402" s="28">
        <v>109.498</v>
      </c>
      <c r="R402" s="48">
        <v>1.8283438966921726E-2</v>
      </c>
    </row>
    <row r="403" spans="1:18" x14ac:dyDescent="0.15">
      <c r="A403" s="29">
        <v>402</v>
      </c>
      <c r="B403" s="28">
        <v>123128</v>
      </c>
      <c r="C403" s="28" t="s">
        <v>1781</v>
      </c>
      <c r="D403" s="28">
        <v>103.419</v>
      </c>
      <c r="E403" s="48">
        <v>-6.7000000000000002E-3</v>
      </c>
      <c r="F403" s="28">
        <v>25.02</v>
      </c>
      <c r="G403" s="28">
        <v>55.48</v>
      </c>
      <c r="H403" s="48">
        <v>0.86409999999999998</v>
      </c>
      <c r="I403" s="45">
        <v>189.82900000000001</v>
      </c>
      <c r="J403" s="46">
        <v>46692</v>
      </c>
      <c r="K403" s="47">
        <v>4.9530000000000003</v>
      </c>
      <c r="L403" s="47">
        <v>13.794085999999998</v>
      </c>
      <c r="M403" s="47">
        <v>2056.4500066000001</v>
      </c>
      <c r="N403" s="48">
        <v>1.4415340084687492E-2</v>
      </c>
      <c r="O403" s="48">
        <v>2.1676000000000001E-2</v>
      </c>
      <c r="P403" s="28">
        <v>104.078</v>
      </c>
      <c r="Q403" s="28">
        <v>103.3</v>
      </c>
      <c r="R403" s="48">
        <v>7.5314617618587208E-3</v>
      </c>
    </row>
    <row r="404" spans="1:18" x14ac:dyDescent="0.15">
      <c r="A404" s="29">
        <v>403</v>
      </c>
      <c r="B404" s="28">
        <v>123101</v>
      </c>
      <c r="C404" s="28" t="s">
        <v>135</v>
      </c>
      <c r="D404" s="28">
        <v>113.313</v>
      </c>
      <c r="E404" s="48">
        <v>-8.0000000000000004E-4</v>
      </c>
      <c r="F404" s="28">
        <v>26.2</v>
      </c>
      <c r="G404" s="28">
        <v>60.69</v>
      </c>
      <c r="H404" s="48">
        <v>0.86709999999999998</v>
      </c>
      <c r="I404" s="45">
        <v>200.023</v>
      </c>
      <c r="J404" s="46">
        <v>46456</v>
      </c>
      <c r="K404" s="47">
        <v>4.3070000000000004</v>
      </c>
      <c r="L404" s="47">
        <v>6.6975860000000003</v>
      </c>
      <c r="M404" s="47">
        <v>1482.5018434999999</v>
      </c>
      <c r="N404" s="48">
        <v>1.9534270866180689E-2</v>
      </c>
      <c r="O404" s="48">
        <v>3.091E-3</v>
      </c>
      <c r="P404" s="28">
        <v>114.346</v>
      </c>
      <c r="Q404" s="28">
        <v>112.821</v>
      </c>
      <c r="R404" s="48">
        <v>1.3516987085737635E-2</v>
      </c>
    </row>
    <row r="405" spans="1:18" x14ac:dyDescent="0.15">
      <c r="A405" s="29">
        <v>404</v>
      </c>
      <c r="B405" s="28">
        <v>123056</v>
      </c>
      <c r="C405" s="28" t="s">
        <v>140</v>
      </c>
      <c r="D405" s="28">
        <v>108.733</v>
      </c>
      <c r="E405" s="48">
        <v>2.8999999999999998E-3</v>
      </c>
      <c r="F405" s="28">
        <v>11.09</v>
      </c>
      <c r="G405" s="28">
        <v>58.16</v>
      </c>
      <c r="H405" s="48">
        <v>0.86950000000000005</v>
      </c>
      <c r="I405" s="45">
        <v>195.68299999999999</v>
      </c>
      <c r="J405" s="46">
        <v>46197</v>
      </c>
      <c r="K405" s="47">
        <v>3.597</v>
      </c>
      <c r="L405" s="47">
        <v>5.8400359999999996</v>
      </c>
      <c r="M405" s="47">
        <v>359.19523500000003</v>
      </c>
      <c r="N405" s="48">
        <v>5.6565765909123242E-3</v>
      </c>
      <c r="O405" s="48">
        <v>2.8347999999999998E-2</v>
      </c>
      <c r="P405" s="28">
        <v>108.962</v>
      </c>
      <c r="Q405" s="28">
        <v>108.401</v>
      </c>
      <c r="R405" s="48">
        <v>5.1752290108025489E-3</v>
      </c>
    </row>
    <row r="406" spans="1:18" x14ac:dyDescent="0.15">
      <c r="A406" s="29">
        <v>405</v>
      </c>
      <c r="B406" s="28">
        <v>113639</v>
      </c>
      <c r="C406" s="28" t="s">
        <v>752</v>
      </c>
      <c r="D406" s="28">
        <v>108.072</v>
      </c>
      <c r="E406" s="48">
        <v>-5.5000000000000005E-3</v>
      </c>
      <c r="F406" s="28">
        <v>38.590000000000003</v>
      </c>
      <c r="G406" s="28">
        <v>57.74</v>
      </c>
      <c r="H406" s="48">
        <v>0.87170000000000003</v>
      </c>
      <c r="I406" s="45">
        <v>195.24200000000002</v>
      </c>
      <c r="J406" s="46">
        <v>46776</v>
      </c>
      <c r="K406" s="47">
        <v>5.1840000000000002</v>
      </c>
      <c r="L406" s="47">
        <v>5.6996900000000004</v>
      </c>
      <c r="M406" s="47">
        <v>1857.3443</v>
      </c>
      <c r="N406" s="48">
        <v>3.0152824026281749E-2</v>
      </c>
      <c r="O406" s="48">
        <v>7.8989999999999998E-3</v>
      </c>
      <c r="P406" s="28">
        <v>108.968</v>
      </c>
      <c r="Q406" s="28">
        <v>107.91</v>
      </c>
      <c r="R406" s="48">
        <v>9.8044666852006943E-3</v>
      </c>
    </row>
    <row r="407" spans="1:18" x14ac:dyDescent="0.15">
      <c r="A407" s="29">
        <v>406</v>
      </c>
      <c r="B407" s="28">
        <v>113042</v>
      </c>
      <c r="C407" s="28" t="s">
        <v>1770</v>
      </c>
      <c r="D407" s="28">
        <v>105.9</v>
      </c>
      <c r="E407" s="48">
        <v>-1.7000000000000001E-3</v>
      </c>
      <c r="F407" s="28">
        <v>10.23</v>
      </c>
      <c r="G407" s="28">
        <v>56.5</v>
      </c>
      <c r="H407" s="48">
        <v>0.87430000000000008</v>
      </c>
      <c r="I407" s="45">
        <v>193.33</v>
      </c>
      <c r="J407" s="46">
        <v>46412</v>
      </c>
      <c r="K407" s="47">
        <v>4.1859999999999999</v>
      </c>
      <c r="L407" s="47">
        <v>199.98576</v>
      </c>
      <c r="M407" s="47">
        <v>14215.6739</v>
      </c>
      <c r="N407" s="48">
        <v>6.7123163966252668E-3</v>
      </c>
      <c r="O407" s="48">
        <v>3.2660999999999996E-2</v>
      </c>
      <c r="P407" s="28">
        <v>106.133</v>
      </c>
      <c r="Q407" s="28">
        <v>105.64</v>
      </c>
      <c r="R407" s="48">
        <v>4.6667928814842392E-3</v>
      </c>
    </row>
    <row r="408" spans="1:18" x14ac:dyDescent="0.15">
      <c r="A408" s="29">
        <v>407</v>
      </c>
      <c r="B408" s="28">
        <v>113578</v>
      </c>
      <c r="C408" s="28" t="s">
        <v>155</v>
      </c>
      <c r="D408" s="28">
        <v>103.232</v>
      </c>
      <c r="E408" s="48">
        <v>-1E-4</v>
      </c>
      <c r="F408" s="28">
        <v>5.25</v>
      </c>
      <c r="G408" s="28">
        <v>54.67</v>
      </c>
      <c r="H408" s="48">
        <v>0.88829999999999998</v>
      </c>
      <c r="I408" s="45">
        <v>192.06200000000001</v>
      </c>
      <c r="J408" s="46">
        <v>46132</v>
      </c>
      <c r="K408" s="47">
        <v>3.419</v>
      </c>
      <c r="L408" s="47">
        <v>3.8380100000000001</v>
      </c>
      <c r="M408" s="47">
        <v>598.5172</v>
      </c>
      <c r="N408" s="48">
        <v>1.510623345887461E-2</v>
      </c>
      <c r="O408" s="48">
        <v>3.8841000000000001E-2</v>
      </c>
      <c r="P408" s="28">
        <v>103.63</v>
      </c>
      <c r="Q408" s="28">
        <v>102.901</v>
      </c>
      <c r="R408" s="48">
        <v>7.084479256761346E-3</v>
      </c>
    </row>
    <row r="409" spans="1:18" x14ac:dyDescent="0.15">
      <c r="A409" s="29">
        <v>408</v>
      </c>
      <c r="B409" s="28">
        <v>118005</v>
      </c>
      <c r="C409" s="28" t="s">
        <v>747</v>
      </c>
      <c r="D409" s="28">
        <v>115.27800000000001</v>
      </c>
      <c r="E409" s="48">
        <v>-6.5000000000000006E-3</v>
      </c>
      <c r="F409" s="28">
        <v>153.6</v>
      </c>
      <c r="G409" s="28">
        <v>60.92</v>
      </c>
      <c r="H409" s="48">
        <v>0.89230000000000009</v>
      </c>
      <c r="I409" s="45">
        <v>204.50800000000001</v>
      </c>
      <c r="J409" s="46">
        <v>46779</v>
      </c>
      <c r="K409" s="47">
        <v>5.1920000000000002</v>
      </c>
      <c r="L409" s="47">
        <v>8.2996200000000009</v>
      </c>
      <c r="M409" s="47">
        <v>1577.2485999999999</v>
      </c>
      <c r="N409" s="48">
        <v>1.6485248908901635E-2</v>
      </c>
      <c r="O409" s="48">
        <v>-3.0299999999999999E-4</v>
      </c>
      <c r="P409" s="28">
        <v>116.98399999999999</v>
      </c>
      <c r="Q409" s="28">
        <v>114.96</v>
      </c>
      <c r="R409" s="48">
        <v>1.7606123869171895E-2</v>
      </c>
    </row>
    <row r="410" spans="1:18" x14ac:dyDescent="0.15">
      <c r="A410" s="29">
        <v>409</v>
      </c>
      <c r="B410" s="28">
        <v>127066</v>
      </c>
      <c r="C410" s="28" t="s">
        <v>1919</v>
      </c>
      <c r="D410" s="28">
        <v>113.3</v>
      </c>
      <c r="E410" s="48">
        <v>-8.8999999999999999E-3</v>
      </c>
      <c r="F410" s="28">
        <v>159.35</v>
      </c>
      <c r="G410" s="28">
        <v>59.79</v>
      </c>
      <c r="H410" s="48">
        <v>0.89500000000000002</v>
      </c>
      <c r="I410" s="45">
        <v>202.8</v>
      </c>
      <c r="J410" s="46">
        <v>46942</v>
      </c>
      <c r="K410" s="47">
        <v>5.6379999999999999</v>
      </c>
      <c r="L410" s="47">
        <v>15.343705</v>
      </c>
      <c r="M410" s="47">
        <v>2804.1606624999999</v>
      </c>
      <c r="N410" s="48">
        <v>1.6130311065957061E-2</v>
      </c>
      <c r="O410" s="48">
        <v>2.8479999999999998E-3</v>
      </c>
      <c r="P410" s="28">
        <v>115.5</v>
      </c>
      <c r="Q410" s="28">
        <v>113.29</v>
      </c>
      <c r="R410" s="48">
        <v>1.9507458734221852E-2</v>
      </c>
    </row>
    <row r="411" spans="1:18" x14ac:dyDescent="0.15">
      <c r="A411" s="29">
        <v>410</v>
      </c>
      <c r="B411" s="28">
        <v>113573</v>
      </c>
      <c r="C411" s="28" t="s">
        <v>129</v>
      </c>
      <c r="D411" s="28">
        <v>115.914</v>
      </c>
      <c r="E411" s="48">
        <v>-5.0000000000000001E-4</v>
      </c>
      <c r="F411" s="28">
        <v>18.75</v>
      </c>
      <c r="G411" s="28">
        <v>60.85</v>
      </c>
      <c r="H411" s="48">
        <v>0.90489999999999993</v>
      </c>
      <c r="I411" s="45">
        <v>206.404</v>
      </c>
      <c r="J411" s="46">
        <v>46129</v>
      </c>
      <c r="K411" s="47">
        <v>3.411</v>
      </c>
      <c r="L411" s="47">
        <v>2.6982599999999999</v>
      </c>
      <c r="M411" s="47">
        <v>202.5539</v>
      </c>
      <c r="N411" s="48">
        <v>6.4762099779014926E-3</v>
      </c>
      <c r="O411" s="48">
        <v>1.9198E-2</v>
      </c>
      <c r="P411" s="28">
        <v>116.319</v>
      </c>
      <c r="Q411" s="28">
        <v>115.67700000000001</v>
      </c>
      <c r="R411" s="48">
        <v>5.5499364610077703E-3</v>
      </c>
    </row>
    <row r="412" spans="1:18" x14ac:dyDescent="0.15">
      <c r="A412" s="29">
        <v>411</v>
      </c>
      <c r="B412" s="28">
        <v>127041</v>
      </c>
      <c r="C412" s="28" t="s">
        <v>177</v>
      </c>
      <c r="D412" s="28">
        <v>111.065</v>
      </c>
      <c r="E412" s="48">
        <v>-4.0000000000000001E-3</v>
      </c>
      <c r="F412" s="28">
        <v>26.84</v>
      </c>
      <c r="G412" s="28">
        <v>58.05</v>
      </c>
      <c r="H412" s="48">
        <v>0.9133</v>
      </c>
      <c r="I412" s="45">
        <v>202.39499999999998</v>
      </c>
      <c r="J412" s="46">
        <v>46215</v>
      </c>
      <c r="K412" s="47">
        <v>3.6469999999999998</v>
      </c>
      <c r="L412" s="47">
        <v>5.9994709999999998</v>
      </c>
      <c r="M412" s="47">
        <v>412.77543399999996</v>
      </c>
      <c r="N412" s="48">
        <v>6.1947482741792808E-3</v>
      </c>
      <c r="O412" s="48">
        <v>2.8456000000000002E-2</v>
      </c>
      <c r="P412" s="28">
        <v>111.569</v>
      </c>
      <c r="Q412" s="28">
        <v>110.53</v>
      </c>
      <c r="R412" s="48">
        <v>9.4001628517144803E-3</v>
      </c>
    </row>
    <row r="413" spans="1:18" x14ac:dyDescent="0.15">
      <c r="A413" s="29">
        <v>412</v>
      </c>
      <c r="B413" s="28">
        <v>123113</v>
      </c>
      <c r="C413" s="28" t="s">
        <v>1794</v>
      </c>
      <c r="D413" s="28">
        <v>106.72499999999999</v>
      </c>
      <c r="E413" s="48">
        <v>-1E-4</v>
      </c>
      <c r="F413" s="28">
        <v>56.42</v>
      </c>
      <c r="G413" s="28">
        <v>55.65</v>
      </c>
      <c r="H413" s="48">
        <v>0.91780000000000006</v>
      </c>
      <c r="I413" s="45">
        <v>198.505</v>
      </c>
      <c r="J413" s="46">
        <v>46496</v>
      </c>
      <c r="K413" s="47">
        <v>4.4160000000000004</v>
      </c>
      <c r="L413" s="47">
        <v>10.248562</v>
      </c>
      <c r="M413" s="47">
        <v>861.48747100000014</v>
      </c>
      <c r="N413" s="48">
        <v>7.8762568337527785E-3</v>
      </c>
      <c r="O413" s="48">
        <v>2.3673000000000003E-2</v>
      </c>
      <c r="P413" s="28">
        <v>107.74299999999999</v>
      </c>
      <c r="Q413" s="28">
        <v>106.55</v>
      </c>
      <c r="R413" s="48">
        <v>1.1196621304551834E-2</v>
      </c>
    </row>
    <row r="414" spans="1:18" x14ac:dyDescent="0.15">
      <c r="A414" s="29">
        <v>413</v>
      </c>
      <c r="B414" s="28">
        <v>128108</v>
      </c>
      <c r="C414" s="28" t="s">
        <v>1788</v>
      </c>
      <c r="D414" s="28">
        <v>100.45</v>
      </c>
      <c r="E414" s="48">
        <v>2.0999999999999999E-3</v>
      </c>
      <c r="F414" s="28">
        <v>18.239999999999998</v>
      </c>
      <c r="G414" s="28">
        <v>51.04</v>
      </c>
      <c r="H414" s="48">
        <v>0.96810000000000007</v>
      </c>
      <c r="I414" s="45">
        <v>197.26</v>
      </c>
      <c r="J414" s="46">
        <v>46170</v>
      </c>
      <c r="K414" s="47">
        <v>3.5230000000000001</v>
      </c>
      <c r="L414" s="47">
        <v>15.210572000000001</v>
      </c>
      <c r="M414" s="47">
        <v>2048.4933860000001</v>
      </c>
      <c r="N414" s="48">
        <v>1.3407230588838828E-2</v>
      </c>
      <c r="O414" s="48">
        <v>3.2811E-2</v>
      </c>
      <c r="P414" s="28">
        <v>100.825</v>
      </c>
      <c r="Q414" s="28">
        <v>100.101</v>
      </c>
      <c r="R414" s="48">
        <v>7.2326949780721845E-3</v>
      </c>
    </row>
    <row r="415" spans="1:18" x14ac:dyDescent="0.15">
      <c r="A415" s="29">
        <v>414</v>
      </c>
      <c r="B415" s="28">
        <v>128035</v>
      </c>
      <c r="C415" s="28" t="s">
        <v>1783</v>
      </c>
      <c r="D415" s="28">
        <v>107.04</v>
      </c>
      <c r="E415" s="48">
        <v>-8.0000000000000004E-4</v>
      </c>
      <c r="F415" s="28">
        <v>51.79</v>
      </c>
      <c r="G415" s="28">
        <v>53.85</v>
      </c>
      <c r="H415" s="48">
        <v>0.98769999999999991</v>
      </c>
      <c r="I415" s="45">
        <v>205.81</v>
      </c>
      <c r="J415" s="46">
        <v>45328</v>
      </c>
      <c r="K415" s="47">
        <v>1.216</v>
      </c>
      <c r="L415" s="47">
        <v>22.992626000000001</v>
      </c>
      <c r="M415" s="47">
        <v>2966.9873870000001</v>
      </c>
      <c r="N415" s="48">
        <v>1.2055383335081622E-2</v>
      </c>
      <c r="O415" s="48">
        <v>-3.4150000000000001E-3</v>
      </c>
      <c r="P415" s="28">
        <v>107.28700000000001</v>
      </c>
      <c r="Q415" s="28">
        <v>106.601</v>
      </c>
      <c r="R415" s="48">
        <v>6.4352116771888351E-3</v>
      </c>
    </row>
    <row r="416" spans="1:18" x14ac:dyDescent="0.15">
      <c r="A416" s="29">
        <v>415</v>
      </c>
      <c r="B416" s="28">
        <v>128136</v>
      </c>
      <c r="C416" s="28" t="s">
        <v>1787</v>
      </c>
      <c r="D416" s="28">
        <v>112.7</v>
      </c>
      <c r="E416" s="48">
        <v>-8.3999999999999995E-3</v>
      </c>
      <c r="F416" s="28">
        <v>57.73</v>
      </c>
      <c r="G416" s="28">
        <v>56.5</v>
      </c>
      <c r="H416" s="48">
        <v>0.99470000000000003</v>
      </c>
      <c r="I416" s="45">
        <v>212.17000000000002</v>
      </c>
      <c r="J416" s="46">
        <v>46329</v>
      </c>
      <c r="K416" s="47">
        <v>3.9590000000000001</v>
      </c>
      <c r="L416" s="47">
        <v>29.992702000000001</v>
      </c>
      <c r="M416" s="47">
        <v>2312.0115078000003</v>
      </c>
      <c r="N416" s="48">
        <v>6.839911505435844E-3</v>
      </c>
      <c r="O416" s="48">
        <v>-2.5049999999999998E-3</v>
      </c>
      <c r="P416" s="28">
        <v>113.706</v>
      </c>
      <c r="Q416" s="28">
        <v>112.6</v>
      </c>
      <c r="R416" s="48">
        <v>9.8223801065720137E-3</v>
      </c>
    </row>
    <row r="417" spans="1:18" x14ac:dyDescent="0.15">
      <c r="A417" s="29">
        <v>416</v>
      </c>
      <c r="B417" s="28">
        <v>123104</v>
      </c>
      <c r="C417" s="28" t="s">
        <v>159</v>
      </c>
      <c r="D417" s="28">
        <v>113.93</v>
      </c>
      <c r="E417" s="48">
        <v>-1.2999999999999999E-3</v>
      </c>
      <c r="F417" s="28">
        <v>17.72</v>
      </c>
      <c r="G417" s="28">
        <v>57.11</v>
      </c>
      <c r="H417" s="48">
        <v>0.9948999999999999</v>
      </c>
      <c r="I417" s="45">
        <v>213.42000000000002</v>
      </c>
      <c r="J417" s="46">
        <v>46462</v>
      </c>
      <c r="K417" s="47">
        <v>4.3230000000000004</v>
      </c>
      <c r="L417" s="47">
        <v>9.7009240000000005</v>
      </c>
      <c r="M417" s="47">
        <v>1855.1859534000002</v>
      </c>
      <c r="N417" s="48">
        <v>1.6785575963411584E-2</v>
      </c>
      <c r="O417" s="48">
        <v>2.1697000000000001E-2</v>
      </c>
      <c r="P417" s="28">
        <v>115.715</v>
      </c>
      <c r="Q417" s="28">
        <v>113.468</v>
      </c>
      <c r="R417" s="48">
        <v>1.9802940035957273E-2</v>
      </c>
    </row>
    <row r="418" spans="1:18" x14ac:dyDescent="0.15">
      <c r="A418" s="29">
        <v>417</v>
      </c>
      <c r="B418" s="28">
        <v>123011</v>
      </c>
      <c r="C418" s="28" t="s">
        <v>152</v>
      </c>
      <c r="D418" s="28">
        <v>115.017</v>
      </c>
      <c r="E418" s="48">
        <v>-3.8E-3</v>
      </c>
      <c r="F418" s="28">
        <v>29.76</v>
      </c>
      <c r="G418" s="28">
        <v>56.75</v>
      </c>
      <c r="H418" s="48">
        <v>1.0266999999999999</v>
      </c>
      <c r="I418" s="45">
        <v>217.68700000000001</v>
      </c>
      <c r="J418" s="46">
        <v>45491</v>
      </c>
      <c r="K418" s="47">
        <v>1.663</v>
      </c>
      <c r="L418" s="47">
        <v>2.5059550000000002</v>
      </c>
      <c r="M418" s="47">
        <v>418.71059600000001</v>
      </c>
      <c r="N418" s="48">
        <v>1.4527090689094016E-2</v>
      </c>
      <c r="O418" s="48">
        <v>-6.4259999999999994E-3</v>
      </c>
      <c r="P418" s="28">
        <v>115.902</v>
      </c>
      <c r="Q418" s="28">
        <v>114.901</v>
      </c>
      <c r="R418" s="48">
        <v>8.7118475905345015E-3</v>
      </c>
    </row>
    <row r="419" spans="1:18" x14ac:dyDescent="0.15">
      <c r="A419" s="29">
        <v>418</v>
      </c>
      <c r="B419" s="28">
        <v>128072</v>
      </c>
      <c r="C419" s="28" t="s">
        <v>138</v>
      </c>
      <c r="D419" s="28">
        <v>111.235</v>
      </c>
      <c r="E419" s="48">
        <v>-6.1999999999999998E-3</v>
      </c>
      <c r="F419" s="28">
        <v>15.09</v>
      </c>
      <c r="G419" s="28">
        <v>54.74</v>
      </c>
      <c r="H419" s="48">
        <v>1.0321</v>
      </c>
      <c r="I419" s="45">
        <v>214.44499999999999</v>
      </c>
      <c r="J419" s="46">
        <v>45889</v>
      </c>
      <c r="K419" s="47">
        <v>2.7530000000000001</v>
      </c>
      <c r="L419" s="47">
        <v>3.0173199999999998</v>
      </c>
      <c r="M419" s="47">
        <v>372.23673199999996</v>
      </c>
      <c r="N419" s="48">
        <v>1.1090634578770946E-2</v>
      </c>
      <c r="O419" s="48">
        <v>7.4609999999999998E-3</v>
      </c>
      <c r="P419" s="28">
        <v>111.998</v>
      </c>
      <c r="Q419" s="28">
        <v>111.2</v>
      </c>
      <c r="R419" s="48">
        <v>7.1762589928057712E-3</v>
      </c>
    </row>
    <row r="420" spans="1:18" x14ac:dyDescent="0.15">
      <c r="A420" s="29">
        <v>419</v>
      </c>
      <c r="B420" s="28">
        <v>123034</v>
      </c>
      <c r="C420" s="28" t="s">
        <v>2088</v>
      </c>
      <c r="D420" s="28">
        <v>232.9</v>
      </c>
      <c r="E420" s="48">
        <v>2.4199999999999999E-2</v>
      </c>
      <c r="F420" s="28">
        <v>7.93</v>
      </c>
      <c r="G420" s="28">
        <v>113.37</v>
      </c>
      <c r="H420" s="48">
        <v>1.0543</v>
      </c>
      <c r="I420" s="45">
        <v>338.33000000000004</v>
      </c>
      <c r="J420" s="46">
        <v>45965</v>
      </c>
      <c r="K420" s="47">
        <v>2.9620000000000002</v>
      </c>
      <c r="L420" s="47">
        <v>0.77826099999999998</v>
      </c>
      <c r="M420" s="47">
        <v>62272.918965499994</v>
      </c>
      <c r="N420" s="48">
        <v>3.4356148157674138</v>
      </c>
      <c r="O420" s="48">
        <v>-0.21102199999999999</v>
      </c>
      <c r="P420" s="28">
        <v>241.33600000000001</v>
      </c>
      <c r="Q420" s="28">
        <v>226.70500000000001</v>
      </c>
      <c r="R420" s="48">
        <v>6.4537614962175513E-2</v>
      </c>
    </row>
    <row r="421" spans="1:18" x14ac:dyDescent="0.15">
      <c r="A421" s="29">
        <v>420</v>
      </c>
      <c r="B421" s="28">
        <v>110059</v>
      </c>
      <c r="C421" s="28" t="s">
        <v>1777</v>
      </c>
      <c r="D421" s="28">
        <v>105.57</v>
      </c>
      <c r="E421" s="48">
        <v>-2.3999999999999998E-3</v>
      </c>
      <c r="F421" s="28">
        <v>13.56</v>
      </c>
      <c r="G421" s="28">
        <v>50.96</v>
      </c>
      <c r="H421" s="48">
        <v>1.0715999999999999</v>
      </c>
      <c r="I421" s="45">
        <v>212.73</v>
      </c>
      <c r="J421" s="46">
        <v>45958</v>
      </c>
      <c r="K421" s="47">
        <v>2.9420000000000002</v>
      </c>
      <c r="L421" s="47">
        <v>499.98626999999999</v>
      </c>
      <c r="M421" s="47">
        <v>43741.206400000003</v>
      </c>
      <c r="N421" s="48">
        <v>8.2869011208699037E-3</v>
      </c>
      <c r="O421" s="48">
        <v>3.1091000000000001E-2</v>
      </c>
      <c r="P421" s="28">
        <v>105.77</v>
      </c>
      <c r="Q421" s="28">
        <v>105.45</v>
      </c>
      <c r="R421" s="48">
        <v>3.0346135609292855E-3</v>
      </c>
    </row>
    <row r="422" spans="1:18" x14ac:dyDescent="0.15">
      <c r="A422" s="29">
        <v>421</v>
      </c>
      <c r="B422" s="28">
        <v>128074</v>
      </c>
      <c r="C422" s="28" t="s">
        <v>185</v>
      </c>
      <c r="D422" s="28">
        <v>109.33</v>
      </c>
      <c r="E422" s="48">
        <v>-5.3E-3</v>
      </c>
      <c r="F422" s="28">
        <v>16.97</v>
      </c>
      <c r="G422" s="28">
        <v>52.5</v>
      </c>
      <c r="H422" s="48">
        <v>1.0825</v>
      </c>
      <c r="I422" s="45">
        <v>217.57999999999998</v>
      </c>
      <c r="J422" s="46">
        <v>45923</v>
      </c>
      <c r="K422" s="47">
        <v>2.847</v>
      </c>
      <c r="L422" s="47">
        <v>6.8249060000000004</v>
      </c>
      <c r="M422" s="47">
        <v>10922.013223100001</v>
      </c>
      <c r="N422" s="48">
        <v>0.14637492168113891</v>
      </c>
      <c r="O422" s="48">
        <v>2.8481999999999997E-2</v>
      </c>
      <c r="P422" s="28">
        <v>111.14</v>
      </c>
      <c r="Q422" s="28">
        <v>109.21</v>
      </c>
      <c r="R422" s="48">
        <v>1.7672374324695605E-2</v>
      </c>
    </row>
    <row r="423" spans="1:18" x14ac:dyDescent="0.15">
      <c r="A423" s="29">
        <v>422</v>
      </c>
      <c r="B423" s="28">
        <v>123039</v>
      </c>
      <c r="C423" s="28" t="s">
        <v>2089</v>
      </c>
      <c r="D423" s="28">
        <v>115.97</v>
      </c>
      <c r="E423" s="48">
        <v>5.9999999999999995E-4</v>
      </c>
      <c r="F423" s="28">
        <v>29.82</v>
      </c>
      <c r="G423" s="28">
        <v>54.96</v>
      </c>
      <c r="H423" s="48">
        <v>1.1101000000000001</v>
      </c>
      <c r="I423" s="45">
        <v>226.98000000000002</v>
      </c>
      <c r="J423" s="46">
        <v>46017</v>
      </c>
      <c r="K423" s="47">
        <v>3.1040000000000001</v>
      </c>
      <c r="L423" s="47">
        <v>2.216961</v>
      </c>
      <c r="M423" s="47">
        <v>749.851811</v>
      </c>
      <c r="N423" s="48">
        <v>2.9165655005264291E-2</v>
      </c>
      <c r="O423" s="48">
        <v>1.2183999999999999E-2</v>
      </c>
      <c r="P423" s="28">
        <v>116.49299999999999</v>
      </c>
      <c r="Q423" s="28">
        <v>115.58499999999999</v>
      </c>
      <c r="R423" s="48">
        <v>7.8556906172946427E-3</v>
      </c>
    </row>
    <row r="424" spans="1:18" x14ac:dyDescent="0.15">
      <c r="A424" s="29">
        <v>423</v>
      </c>
      <c r="B424" s="28">
        <v>128118</v>
      </c>
      <c r="C424" s="28" t="s">
        <v>136</v>
      </c>
      <c r="D424" s="28">
        <v>110.31</v>
      </c>
      <c r="E424" s="48">
        <v>-1.7000000000000001E-3</v>
      </c>
      <c r="F424" s="28">
        <v>21.35</v>
      </c>
      <c r="G424" s="28">
        <v>52.18</v>
      </c>
      <c r="H424" s="48">
        <v>1.1140000000000001</v>
      </c>
      <c r="I424" s="45">
        <v>221.71</v>
      </c>
      <c r="J424" s="46">
        <v>46205</v>
      </c>
      <c r="K424" s="47">
        <v>3.6190000000000002</v>
      </c>
      <c r="L424" s="47">
        <v>2.9957310000000001</v>
      </c>
      <c r="M424" s="47">
        <v>372.44175099999995</v>
      </c>
      <c r="N424" s="48">
        <v>1.1270434558803551E-2</v>
      </c>
      <c r="O424" s="48">
        <v>2.6507999999999997E-2</v>
      </c>
      <c r="P424" s="28">
        <v>110.59</v>
      </c>
      <c r="Q424" s="28">
        <v>110.081</v>
      </c>
      <c r="R424" s="48">
        <v>4.6238678791072057E-3</v>
      </c>
    </row>
    <row r="425" spans="1:18" x14ac:dyDescent="0.15">
      <c r="A425" s="29">
        <v>424</v>
      </c>
      <c r="B425" s="28">
        <v>128116</v>
      </c>
      <c r="C425" s="28" t="s">
        <v>165</v>
      </c>
      <c r="D425" s="28">
        <v>106.797</v>
      </c>
      <c r="E425" s="48">
        <v>0</v>
      </c>
      <c r="F425" s="28">
        <v>29.22</v>
      </c>
      <c r="G425" s="28">
        <v>50.1</v>
      </c>
      <c r="H425" s="48">
        <v>1.1316999999999999</v>
      </c>
      <c r="I425" s="45">
        <v>219.96699999999998</v>
      </c>
      <c r="J425" s="46">
        <v>46202</v>
      </c>
      <c r="K425" s="47">
        <v>3.6110000000000002</v>
      </c>
      <c r="L425" s="47">
        <v>6.4913590000000001</v>
      </c>
      <c r="M425" s="47">
        <v>806.72299239999995</v>
      </c>
      <c r="N425" s="48">
        <v>1.163669773387257E-2</v>
      </c>
      <c r="O425" s="48">
        <v>1.9598999999999998E-2</v>
      </c>
      <c r="P425" s="28">
        <v>107.05</v>
      </c>
      <c r="Q425" s="28">
        <v>106.502</v>
      </c>
      <c r="R425" s="48">
        <v>5.1454432780605229E-3</v>
      </c>
    </row>
    <row r="426" spans="1:18" x14ac:dyDescent="0.15">
      <c r="A426" s="29">
        <v>425</v>
      </c>
      <c r="B426" s="28">
        <v>128030</v>
      </c>
      <c r="C426" s="28" t="s">
        <v>1884</v>
      </c>
      <c r="D426" s="28">
        <v>253.06</v>
      </c>
      <c r="E426" s="48">
        <v>1.4000000000000002E-3</v>
      </c>
      <c r="F426" s="28">
        <v>7.4</v>
      </c>
      <c r="G426" s="28">
        <v>118.65</v>
      </c>
      <c r="H426" s="48">
        <v>1.1328</v>
      </c>
      <c r="I426" s="45">
        <v>366.34000000000003</v>
      </c>
      <c r="J426" s="46">
        <v>45282</v>
      </c>
      <c r="K426" s="47">
        <v>1.0900000000000001</v>
      </c>
      <c r="L426" s="47">
        <v>0.843916</v>
      </c>
      <c r="M426" s="47">
        <v>1043.4282418</v>
      </c>
      <c r="N426" s="48">
        <v>4.8858469978883497E-2</v>
      </c>
      <c r="O426" s="48">
        <v>-0.53787399999999996</v>
      </c>
      <c r="P426" s="28">
        <v>253.43100000000001</v>
      </c>
      <c r="Q426" s="28">
        <v>252.001</v>
      </c>
      <c r="R426" s="48">
        <v>5.6745806564259937E-3</v>
      </c>
    </row>
    <row r="427" spans="1:18" x14ac:dyDescent="0.15">
      <c r="A427" s="29">
        <v>426</v>
      </c>
      <c r="B427" s="28">
        <v>113624</v>
      </c>
      <c r="C427" s="28" t="s">
        <v>160</v>
      </c>
      <c r="D427" s="28">
        <v>108.134</v>
      </c>
      <c r="E427" s="48">
        <v>-3.0000000000000001E-3</v>
      </c>
      <c r="F427" s="28">
        <v>46.38</v>
      </c>
      <c r="G427" s="28">
        <v>49.74</v>
      </c>
      <c r="H427" s="48">
        <v>1.1740000000000002</v>
      </c>
      <c r="I427" s="45">
        <v>225.53399999999999</v>
      </c>
      <c r="J427" s="46">
        <v>46505</v>
      </c>
      <c r="K427" s="47">
        <v>4.4409999999999998</v>
      </c>
      <c r="L427" s="47">
        <v>4.0491000000000001</v>
      </c>
      <c r="M427" s="47">
        <v>365.01299999999998</v>
      </c>
      <c r="N427" s="48">
        <v>8.3365730729006299E-3</v>
      </c>
      <c r="O427" s="48">
        <v>2.6448999999999997E-2</v>
      </c>
      <c r="P427" s="28">
        <v>109.053</v>
      </c>
      <c r="Q427" s="28">
        <v>108.1</v>
      </c>
      <c r="R427" s="48">
        <v>8.8159111933395276E-3</v>
      </c>
    </row>
    <row r="428" spans="1:18" x14ac:dyDescent="0.15">
      <c r="A428" s="29">
        <v>427</v>
      </c>
      <c r="B428" s="28">
        <v>113616</v>
      </c>
      <c r="C428" s="28" t="s">
        <v>1776</v>
      </c>
      <c r="D428" s="28">
        <v>114.151</v>
      </c>
      <c r="E428" s="48">
        <v>-3.3E-3</v>
      </c>
      <c r="F428" s="28">
        <v>164.44</v>
      </c>
      <c r="G428" s="28">
        <v>51.93</v>
      </c>
      <c r="H428" s="48">
        <v>1.1981999999999999</v>
      </c>
      <c r="I428" s="45">
        <v>233.971</v>
      </c>
      <c r="J428" s="46">
        <v>46384</v>
      </c>
      <c r="K428" s="47">
        <v>4.1100000000000003</v>
      </c>
      <c r="L428" s="47">
        <v>24.332730000000002</v>
      </c>
      <c r="M428" s="47">
        <v>5755.9452000000001</v>
      </c>
      <c r="N428" s="48">
        <v>2.0722688222894116E-2</v>
      </c>
      <c r="O428" s="48">
        <v>3.2300000000000004E-4</v>
      </c>
      <c r="P428" s="28">
        <v>114.8</v>
      </c>
      <c r="Q428" s="28">
        <v>113.907</v>
      </c>
      <c r="R428" s="48">
        <v>7.8397289016478421E-3</v>
      </c>
    </row>
    <row r="429" spans="1:18" x14ac:dyDescent="0.15">
      <c r="A429" s="29">
        <v>428</v>
      </c>
      <c r="B429" s="28">
        <v>123126</v>
      </c>
      <c r="C429" s="28" t="s">
        <v>164</v>
      </c>
      <c r="D429" s="28">
        <v>111.86799999999999</v>
      </c>
      <c r="E429" s="48">
        <v>-2E-3</v>
      </c>
      <c r="F429" s="28">
        <v>17.68</v>
      </c>
      <c r="G429" s="28">
        <v>49.83</v>
      </c>
      <c r="H429" s="48">
        <v>1.2450000000000001</v>
      </c>
      <c r="I429" s="45">
        <v>236.36799999999999</v>
      </c>
      <c r="J429" s="46">
        <v>46640</v>
      </c>
      <c r="K429" s="47">
        <v>4.8109999999999999</v>
      </c>
      <c r="L429" s="47">
        <v>3.3996160000000004</v>
      </c>
      <c r="M429" s="47">
        <v>326.32721959999998</v>
      </c>
      <c r="N429" s="48">
        <v>8.5805981299152297E-3</v>
      </c>
      <c r="O429" s="48">
        <v>3.1164999999999998E-2</v>
      </c>
      <c r="P429" s="28">
        <v>112.41</v>
      </c>
      <c r="Q429" s="28">
        <v>111.715</v>
      </c>
      <c r="R429" s="48">
        <v>6.2211878440674318E-3</v>
      </c>
    </row>
    <row r="430" spans="1:18" x14ac:dyDescent="0.15">
      <c r="A430" s="29">
        <v>429</v>
      </c>
      <c r="B430" s="28">
        <v>113608</v>
      </c>
      <c r="C430" s="28" t="s">
        <v>65</v>
      </c>
      <c r="D430" s="28">
        <v>107.04600000000001</v>
      </c>
      <c r="E430" s="48">
        <v>-7.0999999999999995E-3</v>
      </c>
      <c r="F430" s="28">
        <v>17.72</v>
      </c>
      <c r="G430" s="28">
        <v>47.46</v>
      </c>
      <c r="H430" s="48">
        <v>1.2555000000000001</v>
      </c>
      <c r="I430" s="45">
        <v>232.596</v>
      </c>
      <c r="J430" s="46">
        <v>46335</v>
      </c>
      <c r="K430" s="47">
        <v>3.9750000000000001</v>
      </c>
      <c r="L430" s="47">
        <v>4.1998499999999996</v>
      </c>
      <c r="M430" s="47">
        <v>815.11900000000003</v>
      </c>
      <c r="N430" s="48">
        <v>1.8130792735134495E-2</v>
      </c>
      <c r="O430" s="48">
        <v>3.0636E-2</v>
      </c>
      <c r="P430" s="28">
        <v>108.181</v>
      </c>
      <c r="Q430" s="28">
        <v>106.95</v>
      </c>
      <c r="R430" s="48">
        <v>1.1510051425899902E-2</v>
      </c>
    </row>
    <row r="431" spans="1:18" x14ac:dyDescent="0.15">
      <c r="A431" s="29">
        <v>430</v>
      </c>
      <c r="B431" s="28">
        <v>110044</v>
      </c>
      <c r="C431" s="28" t="s">
        <v>124</v>
      </c>
      <c r="D431" s="28">
        <v>194.51400000000001</v>
      </c>
      <c r="E431" s="48">
        <v>-1.6000000000000001E-3</v>
      </c>
      <c r="F431" s="28">
        <v>6.84</v>
      </c>
      <c r="G431" s="28">
        <v>83.48</v>
      </c>
      <c r="H431" s="48">
        <v>1.3300999999999998</v>
      </c>
      <c r="I431" s="45">
        <v>327.524</v>
      </c>
      <c r="J431" s="46">
        <v>45470</v>
      </c>
      <c r="K431" s="47">
        <v>1.605</v>
      </c>
      <c r="L431" s="47">
        <v>0.70709</v>
      </c>
      <c r="M431" s="47">
        <v>6869.0495000000001</v>
      </c>
      <c r="N431" s="48">
        <v>0.4994259287550325</v>
      </c>
      <c r="O431" s="48">
        <v>-0.30138999999999999</v>
      </c>
      <c r="P431" s="28">
        <v>199.99799999999999</v>
      </c>
      <c r="Q431" s="28">
        <v>194</v>
      </c>
      <c r="R431" s="48">
        <v>3.0917525773195828E-2</v>
      </c>
    </row>
    <row r="432" spans="1:18" x14ac:dyDescent="0.15">
      <c r="A432" s="29">
        <v>431</v>
      </c>
      <c r="B432" s="28">
        <v>123076</v>
      </c>
      <c r="C432" s="28" t="s">
        <v>143</v>
      </c>
      <c r="D432" s="28">
        <v>105.54900000000001</v>
      </c>
      <c r="E432" s="48">
        <v>0</v>
      </c>
      <c r="F432" s="28">
        <v>18.899999999999999</v>
      </c>
      <c r="G432" s="28">
        <v>45.08</v>
      </c>
      <c r="H432" s="48">
        <v>1.3413999999999999</v>
      </c>
      <c r="I432" s="45">
        <v>239.68899999999999</v>
      </c>
      <c r="J432" s="46">
        <v>46345</v>
      </c>
      <c r="K432" s="47">
        <v>4.0030000000000001</v>
      </c>
      <c r="L432" s="47">
        <v>8.4985409999999995</v>
      </c>
      <c r="M432" s="47">
        <v>515.82631820000006</v>
      </c>
      <c r="N432" s="48">
        <v>5.7504919484915517E-3</v>
      </c>
      <c r="O432" s="48">
        <v>2.9121000000000001E-2</v>
      </c>
      <c r="P432" s="28">
        <v>105.889</v>
      </c>
      <c r="Q432" s="28">
        <v>105.379</v>
      </c>
      <c r="R432" s="48">
        <v>4.8396739388302306E-3</v>
      </c>
    </row>
    <row r="433" spans="1:18" x14ac:dyDescent="0.15">
      <c r="A433" s="29">
        <v>432</v>
      </c>
      <c r="B433" s="28">
        <v>123065</v>
      </c>
      <c r="C433" s="28" t="s">
        <v>2093</v>
      </c>
      <c r="D433" s="28">
        <v>118.33799999999999</v>
      </c>
      <c r="E433" s="48">
        <v>1.23E-2</v>
      </c>
      <c r="F433" s="28">
        <v>36.32</v>
      </c>
      <c r="G433" s="28">
        <v>50.36</v>
      </c>
      <c r="H433" s="48">
        <v>1.3497999999999999</v>
      </c>
      <c r="I433" s="45">
        <v>253.31799999999998</v>
      </c>
      <c r="J433" s="46">
        <v>46269</v>
      </c>
      <c r="K433" s="47">
        <v>3.7949999999999999</v>
      </c>
      <c r="L433" s="47">
        <v>2.1884779999999999</v>
      </c>
      <c r="M433" s="47">
        <v>84083.445762200005</v>
      </c>
      <c r="N433" s="48">
        <v>3.2467144254343228</v>
      </c>
      <c r="O433" s="48">
        <v>4.4289999999999998E-3</v>
      </c>
      <c r="P433" s="28">
        <v>128</v>
      </c>
      <c r="Q433" s="28">
        <v>117.88800000000001</v>
      </c>
      <c r="R433" s="48">
        <v>8.5776330076004298E-2</v>
      </c>
    </row>
    <row r="434" spans="1:18" x14ac:dyDescent="0.15">
      <c r="A434" s="29">
        <v>433</v>
      </c>
      <c r="B434" s="28">
        <v>127004</v>
      </c>
      <c r="C434" s="28" t="s">
        <v>2090</v>
      </c>
      <c r="D434" s="28">
        <v>175.96</v>
      </c>
      <c r="E434" s="48">
        <v>-1.4199999999999999E-2</v>
      </c>
      <c r="F434" s="28">
        <v>7.24</v>
      </c>
      <c r="G434" s="28">
        <v>74.72</v>
      </c>
      <c r="H434" s="48">
        <v>1.3549</v>
      </c>
      <c r="I434" s="45">
        <v>311.45000000000005</v>
      </c>
      <c r="J434" s="46">
        <v>45079</v>
      </c>
      <c r="K434" s="47">
        <v>0.53400000000000003</v>
      </c>
      <c r="L434" s="47">
        <v>1.3108379999999999</v>
      </c>
      <c r="M434" s="47">
        <v>5614.5684860000001</v>
      </c>
      <c r="N434" s="48">
        <v>0.2434184023696232</v>
      </c>
      <c r="O434" s="48">
        <v>-0.58307100000000001</v>
      </c>
      <c r="P434" s="28">
        <v>179.44</v>
      </c>
      <c r="Q434" s="28">
        <v>175.488</v>
      </c>
      <c r="R434" s="48">
        <v>2.2520058351568187E-2</v>
      </c>
    </row>
    <row r="435" spans="1:18" x14ac:dyDescent="0.15">
      <c r="A435" s="29">
        <v>434</v>
      </c>
      <c r="B435" s="28">
        <v>123093</v>
      </c>
      <c r="C435" s="28" t="s">
        <v>127</v>
      </c>
      <c r="D435" s="28">
        <v>121.47799999999999</v>
      </c>
      <c r="E435" s="48">
        <v>6.1999999999999998E-3</v>
      </c>
      <c r="F435" s="28">
        <v>49.09</v>
      </c>
      <c r="G435" s="28">
        <v>50.56</v>
      </c>
      <c r="H435" s="48">
        <v>1.4027000000000001</v>
      </c>
      <c r="I435" s="45">
        <v>261.74799999999999</v>
      </c>
      <c r="J435" s="46">
        <v>46406</v>
      </c>
      <c r="K435" s="47">
        <v>4.17</v>
      </c>
      <c r="L435" s="47">
        <v>2.499781</v>
      </c>
      <c r="M435" s="47">
        <v>6322.9273890000004</v>
      </c>
      <c r="N435" s="48">
        <v>0.20821815722893547</v>
      </c>
      <c r="O435" s="48">
        <v>1.4603999999999999E-2</v>
      </c>
      <c r="P435" s="28">
        <v>122.98</v>
      </c>
      <c r="Q435" s="28">
        <v>120.54300000000001</v>
      </c>
      <c r="R435" s="48">
        <v>2.0216852077681802E-2</v>
      </c>
    </row>
    <row r="436" spans="1:18" x14ac:dyDescent="0.15">
      <c r="A436" s="29">
        <v>435</v>
      </c>
      <c r="B436" s="28">
        <v>128138</v>
      </c>
      <c r="C436" s="28" t="s">
        <v>132</v>
      </c>
      <c r="D436" s="28">
        <v>117.21299999999999</v>
      </c>
      <c r="E436" s="48">
        <v>0</v>
      </c>
      <c r="F436" s="28">
        <v>25.23</v>
      </c>
      <c r="G436" s="28">
        <v>48.08</v>
      </c>
      <c r="H436" s="48">
        <v>1.4379</v>
      </c>
      <c r="I436" s="45">
        <v>261.00299999999999</v>
      </c>
      <c r="J436" s="46">
        <v>46343</v>
      </c>
      <c r="K436" s="47">
        <v>3.9969999999999999</v>
      </c>
      <c r="L436" s="47">
        <v>4.1987420000000002</v>
      </c>
      <c r="M436" s="47">
        <v>869.81311700000003</v>
      </c>
      <c r="N436" s="48">
        <v>1.7673842548681575E-2</v>
      </c>
      <c r="O436" s="48">
        <v>3.7606000000000001E-2</v>
      </c>
      <c r="P436" s="28">
        <v>117.52</v>
      </c>
      <c r="Q436" s="28">
        <v>116.99</v>
      </c>
      <c r="R436" s="48">
        <v>4.5303017351910517E-3</v>
      </c>
    </row>
    <row r="437" spans="1:18" x14ac:dyDescent="0.15">
      <c r="A437" s="29">
        <v>436</v>
      </c>
      <c r="B437" s="28">
        <v>123018</v>
      </c>
      <c r="C437" s="28" t="s">
        <v>76</v>
      </c>
      <c r="D437" s="28">
        <v>260.50099999999998</v>
      </c>
      <c r="E437" s="48">
        <v>6.3700000000000007E-2</v>
      </c>
      <c r="F437" s="28">
        <v>8.15</v>
      </c>
      <c r="G437" s="28">
        <v>106.63</v>
      </c>
      <c r="H437" s="48">
        <v>1.4430000000000001</v>
      </c>
      <c r="I437" s="45">
        <v>404.80099999999999</v>
      </c>
      <c r="J437" s="46">
        <v>45646</v>
      </c>
      <c r="K437" s="47">
        <v>2.0880000000000001</v>
      </c>
      <c r="L437" s="47">
        <v>0.54211200000000004</v>
      </c>
      <c r="M437" s="47">
        <v>88100.209258000003</v>
      </c>
      <c r="N437" s="48">
        <v>6.2384762261390758</v>
      </c>
      <c r="O437" s="48">
        <v>-0.33260100000000004</v>
      </c>
      <c r="P437" s="28">
        <v>267.995</v>
      </c>
      <c r="Q437" s="28">
        <v>243.34399999999999</v>
      </c>
      <c r="R437" s="48">
        <v>0.10130103885857063</v>
      </c>
    </row>
    <row r="438" spans="1:18" x14ac:dyDescent="0.15">
      <c r="A438" s="29">
        <v>437</v>
      </c>
      <c r="B438" s="28">
        <v>123015</v>
      </c>
      <c r="C438" s="28" t="s">
        <v>2091</v>
      </c>
      <c r="D438" s="28">
        <v>198</v>
      </c>
      <c r="E438" s="48">
        <v>0</v>
      </c>
      <c r="F438" s="28">
        <v>2.38</v>
      </c>
      <c r="G438" s="28">
        <v>78.989999999999995</v>
      </c>
      <c r="H438" s="48">
        <v>1.5065999999999999</v>
      </c>
      <c r="I438" s="45">
        <v>348.65999999999997</v>
      </c>
      <c r="J438" s="46">
        <v>45517</v>
      </c>
      <c r="K438" s="47">
        <v>1.734</v>
      </c>
      <c r="L438" s="47">
        <v>1.0003979999999999</v>
      </c>
      <c r="M438" s="47">
        <v>7529.8934834999991</v>
      </c>
      <c r="N438" s="48">
        <v>0.38014635243354961</v>
      </c>
      <c r="O438" s="48">
        <v>-0.28978700000000002</v>
      </c>
      <c r="P438" s="28">
        <v>200.88</v>
      </c>
      <c r="Q438" s="28">
        <v>196.58</v>
      </c>
      <c r="R438" s="48">
        <v>2.1874046189846286E-2</v>
      </c>
    </row>
    <row r="439" spans="1:18" x14ac:dyDescent="0.15">
      <c r="A439" s="29">
        <v>438</v>
      </c>
      <c r="B439" s="28">
        <v>113633</v>
      </c>
      <c r="C439" s="28" t="s">
        <v>1786</v>
      </c>
      <c r="D439" s="28">
        <v>109.005</v>
      </c>
      <c r="E439" s="48">
        <v>-6.3E-3</v>
      </c>
      <c r="F439" s="28">
        <v>177.13</v>
      </c>
      <c r="G439" s="28">
        <v>42.62</v>
      </c>
      <c r="H439" s="48">
        <v>1.5575999999999999</v>
      </c>
      <c r="I439" s="45">
        <v>264.76499999999999</v>
      </c>
      <c r="J439" s="46">
        <v>46721</v>
      </c>
      <c r="K439" s="47">
        <v>5.0330000000000004</v>
      </c>
      <c r="L439" s="47">
        <v>10.39822</v>
      </c>
      <c r="M439" s="47">
        <v>743.68150000000003</v>
      </c>
      <c r="N439" s="48">
        <v>6.5611740264023295E-3</v>
      </c>
      <c r="O439" s="48">
        <v>1.1084E-2</v>
      </c>
      <c r="P439" s="28">
        <v>109.688</v>
      </c>
      <c r="Q439" s="28">
        <v>109</v>
      </c>
      <c r="R439" s="48">
        <v>6.3119266055046089E-3</v>
      </c>
    </row>
    <row r="440" spans="1:18" x14ac:dyDescent="0.15">
      <c r="A440" s="29">
        <v>439</v>
      </c>
      <c r="B440" s="28">
        <v>113569</v>
      </c>
      <c r="C440" s="28" t="s">
        <v>2092</v>
      </c>
      <c r="D440" s="28">
        <v>105.32599999999999</v>
      </c>
      <c r="E440" s="48">
        <v>8.9999999999999998E-4</v>
      </c>
      <c r="F440" s="28">
        <v>14.76</v>
      </c>
      <c r="G440" s="28">
        <v>40.65</v>
      </c>
      <c r="H440" s="48">
        <v>1.591</v>
      </c>
      <c r="I440" s="45">
        <v>264.42599999999999</v>
      </c>
      <c r="J440" s="46">
        <v>46090</v>
      </c>
      <c r="K440" s="47">
        <v>3.3039999999999998</v>
      </c>
      <c r="L440" s="47">
        <v>5.1559499999999998</v>
      </c>
      <c r="M440" s="47">
        <v>273.17410000000001</v>
      </c>
      <c r="N440" s="48">
        <v>5.030315591648904E-3</v>
      </c>
      <c r="O440" s="48">
        <v>3.9773000000000003E-2</v>
      </c>
      <c r="P440" s="28">
        <v>105.57899999999999</v>
      </c>
      <c r="Q440" s="28">
        <v>105.22</v>
      </c>
      <c r="R440" s="48">
        <v>3.4118988785401508E-3</v>
      </c>
    </row>
    <row r="441" spans="1:18" x14ac:dyDescent="0.15">
      <c r="A441" s="29">
        <v>440</v>
      </c>
      <c r="B441" s="28">
        <v>113575</v>
      </c>
      <c r="C441" s="28" t="s">
        <v>2094</v>
      </c>
      <c r="D441" s="28">
        <v>136.90600000000001</v>
      </c>
      <c r="E441" s="48">
        <v>4.0999999999999995E-3</v>
      </c>
      <c r="F441" s="28">
        <v>12.15</v>
      </c>
      <c r="G441" s="28">
        <v>50.29</v>
      </c>
      <c r="H441" s="48">
        <v>1.7222999999999999</v>
      </c>
      <c r="I441" s="45">
        <v>309.13599999999997</v>
      </c>
      <c r="J441" s="46">
        <v>46121</v>
      </c>
      <c r="K441" s="47">
        <v>3.3889999999999998</v>
      </c>
      <c r="L441" s="47">
        <v>0.98319000000000001</v>
      </c>
      <c r="M441" s="47">
        <v>26867.15</v>
      </c>
      <c r="N441" s="48">
        <v>1.9960051867507307</v>
      </c>
      <c r="O441" s="48">
        <v>-5.7343999999999999E-2</v>
      </c>
      <c r="P441" s="28">
        <v>142.197</v>
      </c>
      <c r="Q441" s="28">
        <v>136.00399999999999</v>
      </c>
      <c r="R441" s="48">
        <v>4.5535425428663956E-2</v>
      </c>
    </row>
    <row r="442" spans="1:18" x14ac:dyDescent="0.15">
      <c r="A442" s="29">
        <v>441</v>
      </c>
      <c r="B442" s="28">
        <v>113589</v>
      </c>
      <c r="C442" s="28" t="s">
        <v>130</v>
      </c>
      <c r="D442" s="28">
        <v>96.385000000000005</v>
      </c>
      <c r="E442" s="48">
        <v>-1.4000000000000002E-3</v>
      </c>
      <c r="F442" s="28">
        <v>12.29</v>
      </c>
      <c r="G442" s="28">
        <v>35.39</v>
      </c>
      <c r="H442" s="48">
        <v>1.7235</v>
      </c>
      <c r="I442" s="45">
        <v>268.73500000000001</v>
      </c>
      <c r="J442" s="46">
        <v>46197</v>
      </c>
      <c r="K442" s="47">
        <v>3.597</v>
      </c>
      <c r="L442" s="47">
        <v>5.9958600000000004</v>
      </c>
      <c r="M442" s="47">
        <v>664.25120000000004</v>
      </c>
      <c r="N442" s="48">
        <v>1.1494005806511378E-2</v>
      </c>
      <c r="O442" s="48">
        <v>4.9505E-2</v>
      </c>
      <c r="P442" s="28">
        <v>96.727999999999994</v>
      </c>
      <c r="Q442" s="28">
        <v>96.212000000000003</v>
      </c>
      <c r="R442" s="48">
        <v>5.3631563630315458E-3</v>
      </c>
    </row>
    <row r="443" spans="1:18" x14ac:dyDescent="0.15">
      <c r="A443" s="29">
        <v>442</v>
      </c>
      <c r="B443" s="28">
        <v>123117</v>
      </c>
      <c r="C443" s="28" t="s">
        <v>131</v>
      </c>
      <c r="D443" s="28">
        <v>110.9</v>
      </c>
      <c r="E443" s="48">
        <v>1.8000000000000002E-2</v>
      </c>
      <c r="F443" s="28">
        <v>89.68</v>
      </c>
      <c r="G443" s="28">
        <v>37.36</v>
      </c>
      <c r="H443" s="48">
        <v>1.9683999999999999</v>
      </c>
      <c r="I443" s="45">
        <v>307.74</v>
      </c>
      <c r="J443" s="46">
        <v>46561</v>
      </c>
      <c r="K443" s="47">
        <v>4.5949999999999998</v>
      </c>
      <c r="L443" s="47">
        <v>9.9985160000000004</v>
      </c>
      <c r="M443" s="47">
        <v>1884.9666348000001</v>
      </c>
      <c r="N443" s="48">
        <v>1.6999516730086168E-2</v>
      </c>
      <c r="O443" s="48">
        <v>7.6909999999999999E-3</v>
      </c>
      <c r="P443" s="28">
        <v>110.9</v>
      </c>
      <c r="Q443" s="28">
        <v>109.2</v>
      </c>
      <c r="R443" s="48">
        <v>1.5567765567765594E-2</v>
      </c>
    </row>
    <row r="444" spans="1:18" x14ac:dyDescent="0.15">
      <c r="A444" s="29">
        <v>443</v>
      </c>
      <c r="B444" s="28">
        <v>113596</v>
      </c>
      <c r="C444" s="28" t="s">
        <v>2096</v>
      </c>
      <c r="D444" s="28">
        <v>95.427999999999997</v>
      </c>
      <c r="E444" s="48">
        <v>-5.9999999999999995E-4</v>
      </c>
      <c r="F444" s="28">
        <v>24.26</v>
      </c>
      <c r="G444" s="28">
        <v>31.57</v>
      </c>
      <c r="H444" s="48">
        <v>2.0226999999999999</v>
      </c>
      <c r="I444" s="45">
        <v>297.69799999999998</v>
      </c>
      <c r="J444" s="46">
        <v>46231</v>
      </c>
      <c r="K444" s="47">
        <v>3.69</v>
      </c>
      <c r="L444" s="47">
        <v>11.985910000000001</v>
      </c>
      <c r="M444" s="47">
        <v>1062.5697</v>
      </c>
      <c r="N444" s="48">
        <v>9.2898904634472115E-3</v>
      </c>
      <c r="O444" s="48">
        <v>4.6532999999999998E-2</v>
      </c>
      <c r="P444" s="28">
        <v>95.63</v>
      </c>
      <c r="Q444" s="28">
        <v>95.23</v>
      </c>
      <c r="R444" s="48">
        <v>4.2003570303474902E-3</v>
      </c>
    </row>
    <row r="445" spans="1:18" x14ac:dyDescent="0.15">
      <c r="A445" s="29">
        <v>444</v>
      </c>
      <c r="B445" s="28">
        <v>113627</v>
      </c>
      <c r="C445" s="28" t="s">
        <v>2095</v>
      </c>
      <c r="D445" s="28">
        <v>106.47799999999999</v>
      </c>
      <c r="E445" s="48">
        <v>-2.0000000000000001E-4</v>
      </c>
      <c r="F445" s="28">
        <v>49.74</v>
      </c>
      <c r="G445" s="28">
        <v>35.04</v>
      </c>
      <c r="H445" s="48">
        <v>2.0388000000000002</v>
      </c>
      <c r="I445" s="45">
        <v>310.358</v>
      </c>
      <c r="J445" s="46">
        <v>46583</v>
      </c>
      <c r="K445" s="47">
        <v>4.6550000000000002</v>
      </c>
      <c r="L445" s="47">
        <v>7.9997699999999998</v>
      </c>
      <c r="M445" s="47">
        <v>231.9402</v>
      </c>
      <c r="N445" s="48">
        <v>2.7229435713535728E-3</v>
      </c>
      <c r="O445" s="48">
        <v>1.6601999999999999E-2</v>
      </c>
      <c r="P445" s="28">
        <v>106.849</v>
      </c>
      <c r="Q445" s="28">
        <v>106.33199999999999</v>
      </c>
      <c r="R445" s="48">
        <v>4.8621299326638279E-3</v>
      </c>
    </row>
    <row r="446" spans="1:18" x14ac:dyDescent="0.15">
      <c r="A446" s="29">
        <v>445</v>
      </c>
      <c r="B446" s="28">
        <v>113574</v>
      </c>
      <c r="C446" s="28" t="s">
        <v>2097</v>
      </c>
      <c r="D446" s="28">
        <v>114.245</v>
      </c>
      <c r="E446" s="48">
        <v>3.0000000000000001E-3</v>
      </c>
      <c r="F446" s="28">
        <v>33.909999999999997</v>
      </c>
      <c r="G446" s="28">
        <v>37.159999999999997</v>
      </c>
      <c r="H446" s="48">
        <v>2.0743999999999998</v>
      </c>
      <c r="I446" s="45">
        <v>321.685</v>
      </c>
      <c r="J446" s="46">
        <v>46112</v>
      </c>
      <c r="K446" s="47">
        <v>3.3639999999999999</v>
      </c>
      <c r="L446" s="47">
        <v>2.0870299999999999</v>
      </c>
      <c r="M446" s="47">
        <v>244.0386</v>
      </c>
      <c r="N446" s="48">
        <v>1.0235112744782806E-2</v>
      </c>
      <c r="O446" s="48">
        <v>2.5369999999999998E-3</v>
      </c>
      <c r="P446" s="28">
        <v>114.57</v>
      </c>
      <c r="Q446" s="28">
        <v>113.69</v>
      </c>
      <c r="R446" s="48">
        <v>7.7403465564253272E-3</v>
      </c>
    </row>
    <row r="447" spans="1:18" x14ac:dyDescent="0.15">
      <c r="A447" s="29">
        <v>446</v>
      </c>
      <c r="B447" s="28">
        <v>113576</v>
      </c>
      <c r="C447" s="28" t="s">
        <v>2098</v>
      </c>
      <c r="D447" s="28">
        <v>111.018</v>
      </c>
      <c r="E447" s="48">
        <v>-3.8E-3</v>
      </c>
      <c r="F447" s="28">
        <v>10.55</v>
      </c>
      <c r="G447" s="28">
        <v>34.69</v>
      </c>
      <c r="H447" s="48">
        <v>2.2002999999999999</v>
      </c>
      <c r="I447" s="45">
        <v>331.048</v>
      </c>
      <c r="J447" s="46">
        <v>46122</v>
      </c>
      <c r="K447" s="47">
        <v>3.3919999999999999</v>
      </c>
      <c r="L447" s="47">
        <v>2.6578400000000002</v>
      </c>
      <c r="M447" s="47">
        <v>678.12149999999997</v>
      </c>
      <c r="N447" s="48">
        <v>2.2981865657106356E-2</v>
      </c>
      <c r="O447" s="48">
        <v>2.5055000000000001E-2</v>
      </c>
      <c r="P447" s="28">
        <v>111.399</v>
      </c>
      <c r="Q447" s="28">
        <v>110.79</v>
      </c>
      <c r="R447" s="48">
        <v>5.4968860005415168E-3</v>
      </c>
    </row>
    <row r="448" spans="1:18" x14ac:dyDescent="0.15">
      <c r="A448" s="29">
        <v>447</v>
      </c>
      <c r="B448" s="28">
        <v>123072</v>
      </c>
      <c r="C448" s="28" t="s">
        <v>2099</v>
      </c>
      <c r="D448" s="28">
        <v>126.11799999999999</v>
      </c>
      <c r="E448" s="48">
        <v>-3.3E-3</v>
      </c>
      <c r="F448" s="28">
        <v>48.98</v>
      </c>
      <c r="G448" s="28">
        <v>36.549999999999997</v>
      </c>
      <c r="H448" s="48">
        <v>2.4506000000000001</v>
      </c>
      <c r="I448" s="45">
        <v>371.178</v>
      </c>
      <c r="J448" s="46">
        <v>46316</v>
      </c>
      <c r="K448" s="47">
        <v>3.923</v>
      </c>
      <c r="L448" s="47">
        <v>1.4190039999999999</v>
      </c>
      <c r="M448" s="47">
        <v>574.351268</v>
      </c>
      <c r="N448" s="48">
        <v>3.2093485756194647E-2</v>
      </c>
      <c r="O448" s="48">
        <v>4.5129999999999997E-3</v>
      </c>
      <c r="P448" s="28">
        <v>126.959</v>
      </c>
      <c r="Q448" s="28">
        <v>125.9</v>
      </c>
      <c r="R448" s="48">
        <v>8.4114376489277005E-3</v>
      </c>
    </row>
    <row r="449" spans="1:18" x14ac:dyDescent="0.15">
      <c r="A449" s="29">
        <v>448</v>
      </c>
      <c r="B449" s="28">
        <v>113584</v>
      </c>
      <c r="C449" s="28" t="s">
        <v>2100</v>
      </c>
      <c r="D449" s="28">
        <v>103.95</v>
      </c>
      <c r="E449" s="48">
        <v>-2.8000000000000004E-3</v>
      </c>
      <c r="F449" s="28">
        <v>37.53</v>
      </c>
      <c r="G449" s="28">
        <v>29.07</v>
      </c>
      <c r="H449" s="48">
        <v>2.5758999999999999</v>
      </c>
      <c r="I449" s="45">
        <v>361.53999999999996</v>
      </c>
      <c r="J449" s="46">
        <v>46178</v>
      </c>
      <c r="K449" s="47">
        <v>3.5449999999999999</v>
      </c>
      <c r="L449" s="47">
        <v>6.4491199999999997</v>
      </c>
      <c r="M449" s="47">
        <v>473.56610000000001</v>
      </c>
      <c r="N449" s="48">
        <v>7.064080739248824E-3</v>
      </c>
      <c r="O449" s="48">
        <v>2.7669000000000003E-2</v>
      </c>
      <c r="P449" s="28">
        <v>104.69499999999999</v>
      </c>
      <c r="Q449" s="28">
        <v>103.9</v>
      </c>
      <c r="R449" s="48">
        <v>7.6515880654474252E-3</v>
      </c>
    </row>
    <row r="450" spans="1:18" x14ac:dyDescent="0.15">
      <c r="A450" s="29">
        <v>449</v>
      </c>
      <c r="B450" s="28">
        <v>123013</v>
      </c>
      <c r="C450" s="28" t="s">
        <v>2101</v>
      </c>
      <c r="D450" s="28">
        <v>496.88900000000001</v>
      </c>
      <c r="E450" s="48">
        <v>3.9000000000000003E-3</v>
      </c>
      <c r="F450" s="28">
        <v>8.9600000000000009</v>
      </c>
      <c r="G450" s="28">
        <v>107.92</v>
      </c>
      <c r="H450" s="48">
        <v>3.6042000000000001</v>
      </c>
      <c r="I450" s="45">
        <v>857.30899999999997</v>
      </c>
      <c r="J450" s="46">
        <v>45499</v>
      </c>
      <c r="K450" s="47">
        <v>1.6850000000000001</v>
      </c>
      <c r="L450" s="47">
        <v>0.37920300000000001</v>
      </c>
      <c r="M450" s="47">
        <v>38990.099822799995</v>
      </c>
      <c r="N450" s="48">
        <v>2.0692987718562086</v>
      </c>
      <c r="O450" s="48">
        <v>-0.588781</v>
      </c>
      <c r="P450" s="28">
        <v>501.37</v>
      </c>
      <c r="Q450" s="28">
        <v>486.54</v>
      </c>
      <c r="R450" s="48">
        <v>3.0480536029925565E-2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51"/>
  <sheetViews>
    <sheetView zoomScaleNormal="100" workbookViewId="0">
      <pane ySplit="2" topLeftCell="A6" activePane="bottomLeft" state="frozen"/>
      <selection pane="bottomLeft" activeCell="B15" sqref="B15"/>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251</v>
      </c>
      <c r="B1" s="8"/>
      <c r="C1" s="49" t="s">
        <v>1886</v>
      </c>
      <c r="D1" s="12"/>
      <c r="E1" s="12"/>
      <c r="I1" s="8" t="s">
        <v>1801</v>
      </c>
      <c r="J1" s="8"/>
      <c r="K1" s="33" t="s">
        <v>1802</v>
      </c>
      <c r="L1" s="55"/>
      <c r="M1" s="34"/>
      <c r="N1" s="33"/>
      <c r="O1" s="33"/>
      <c r="P1" s="33"/>
      <c r="R1" s="8" t="s">
        <v>775</v>
      </c>
    </row>
    <row r="2" spans="1:21" s="6" customFormat="1" x14ac:dyDescent="0.15">
      <c r="A2" s="6" t="s">
        <v>59</v>
      </c>
      <c r="B2" s="6" t="s">
        <v>58</v>
      </c>
      <c r="C2" s="6" t="s">
        <v>57</v>
      </c>
      <c r="D2" s="4" t="s">
        <v>242</v>
      </c>
      <c r="E2" s="4" t="s">
        <v>764</v>
      </c>
      <c r="H2" s="18"/>
      <c r="I2" s="6" t="s">
        <v>1797</v>
      </c>
      <c r="J2" s="6" t="s">
        <v>1798</v>
      </c>
      <c r="K2" s="6" t="s">
        <v>1695</v>
      </c>
      <c r="L2" s="56" t="s">
        <v>35</v>
      </c>
      <c r="M2" s="31" t="s">
        <v>1800</v>
      </c>
      <c r="N2" s="4" t="s">
        <v>226</v>
      </c>
      <c r="Q2" s="18"/>
      <c r="R2" s="6" t="s">
        <v>59</v>
      </c>
      <c r="S2" s="6" t="s">
        <v>58</v>
      </c>
      <c r="T2" s="6" t="s">
        <v>57</v>
      </c>
      <c r="U2" s="4" t="s">
        <v>226</v>
      </c>
    </row>
    <row r="3" spans="1:21" x14ac:dyDescent="0.15">
      <c r="A3" s="1">
        <v>123012</v>
      </c>
      <c r="B3" s="1" t="s">
        <v>56</v>
      </c>
      <c r="C3" s="7">
        <f>VLOOKUP(A3,$I$1:$K$1000,3,FALSE)</f>
        <v>193.999</v>
      </c>
      <c r="D3" s="5">
        <f>MATCH(A3,$I$1:$I$1000,0)-2</f>
        <v>32</v>
      </c>
      <c r="E3" s="5">
        <f t="shared" ref="E3:E40" si="0">MATCH(A3,$R$1:$R$200,0)-2</f>
        <v>1</v>
      </c>
      <c r="H3" s="17">
        <v>1</v>
      </c>
      <c r="I3">
        <v>128069</v>
      </c>
      <c r="J3" t="s">
        <v>153</v>
      </c>
      <c r="K3">
        <v>180.05</v>
      </c>
      <c r="L3" s="57">
        <v>-2.8399999999999998E-2</v>
      </c>
      <c r="M3" s="20">
        <v>2.0921580000000004</v>
      </c>
      <c r="N3" s="5" t="str">
        <f>IF(ISNA(MATCH(I3,$A$3:$A$1000,0)),"未买","Yes")</f>
        <v>未买</v>
      </c>
      <c r="Q3" s="17">
        <v>1</v>
      </c>
      <c r="R3" s="7">
        <v>123012</v>
      </c>
      <c r="S3" s="7" t="s">
        <v>56</v>
      </c>
      <c r="T3" s="7">
        <f>VLOOKUP(R3,$I$1:$K$1000,3,FALSE)</f>
        <v>193.999</v>
      </c>
      <c r="U3" s="5" t="str">
        <f t="shared" ref="U3:U34" si="1">IF(ISNA(MATCH(R3,$A$2:$A$301,0)),"未买","Yes")</f>
        <v>Yes</v>
      </c>
    </row>
    <row r="4" spans="1:21" x14ac:dyDescent="0.15">
      <c r="A4" s="1">
        <v>123045</v>
      </c>
      <c r="B4" s="1" t="s">
        <v>101</v>
      </c>
      <c r="C4" s="7" t="e">
        <f t="shared" ref="C4:C40" si="2">VLOOKUP(A4,$I$1:$K$1000,3,FALSE)</f>
        <v>#N/A</v>
      </c>
      <c r="D4" s="5" t="e">
        <f t="shared" ref="D4:D40" si="3">MATCH(A4,$I$1:$I$1000,0)-2</f>
        <v>#N/A</v>
      </c>
      <c r="E4" s="5">
        <f t="shared" si="0"/>
        <v>33</v>
      </c>
      <c r="H4" s="17">
        <v>2</v>
      </c>
      <c r="I4">
        <v>113642</v>
      </c>
      <c r="J4" t="s">
        <v>2030</v>
      </c>
      <c r="K4">
        <v>128.339</v>
      </c>
      <c r="L4" s="57">
        <v>-2.2799999999999997E-2</v>
      </c>
      <c r="M4" s="20">
        <v>5.484E-2</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754</v>
      </c>
      <c r="C5" s="7">
        <f t="shared" si="2"/>
        <v>138.785</v>
      </c>
      <c r="D5" s="5">
        <f t="shared" si="3"/>
        <v>111</v>
      </c>
      <c r="E5" s="5" t="e">
        <f t="shared" si="0"/>
        <v>#N/A</v>
      </c>
      <c r="H5" s="17">
        <v>3</v>
      </c>
      <c r="I5">
        <v>128015</v>
      </c>
      <c r="J5" t="s">
        <v>145</v>
      </c>
      <c r="K5">
        <v>125.25</v>
      </c>
      <c r="L5" s="57">
        <v>-1.38E-2</v>
      </c>
      <c r="M5" s="20">
        <v>3.1214789999999999</v>
      </c>
      <c r="N5" s="5" t="str">
        <f t="shared" si="4"/>
        <v>未买</v>
      </c>
      <c r="Q5" s="17">
        <v>3</v>
      </c>
      <c r="R5" s="7">
        <v>128100</v>
      </c>
      <c r="S5" s="7" t="s">
        <v>48</v>
      </c>
      <c r="T5" s="7">
        <f t="shared" si="5"/>
        <v>91.46</v>
      </c>
      <c r="U5" s="5" t="str">
        <f t="shared" si="1"/>
        <v>Yes</v>
      </c>
    </row>
    <row r="6" spans="1:21" x14ac:dyDescent="0.15">
      <c r="A6" s="1">
        <v>123057</v>
      </c>
      <c r="B6" s="1" t="s">
        <v>755</v>
      </c>
      <c r="C6" s="7">
        <f t="shared" si="2"/>
        <v>216.8</v>
      </c>
      <c r="D6" s="5">
        <f t="shared" si="3"/>
        <v>14</v>
      </c>
      <c r="E6" s="5">
        <f t="shared" si="0"/>
        <v>26</v>
      </c>
      <c r="H6" s="17">
        <v>4</v>
      </c>
      <c r="I6">
        <v>123110</v>
      </c>
      <c r="J6" t="s">
        <v>2029</v>
      </c>
      <c r="K6">
        <v>141.72</v>
      </c>
      <c r="L6" s="57">
        <v>-3.7000000000000002E-3</v>
      </c>
      <c r="M6" s="20">
        <v>0.560025</v>
      </c>
      <c r="N6" s="5" t="str">
        <f t="shared" si="4"/>
        <v>未买</v>
      </c>
      <c r="Q6" s="17">
        <v>4</v>
      </c>
      <c r="R6" s="7">
        <v>128085</v>
      </c>
      <c r="S6" s="7" t="s">
        <v>761</v>
      </c>
      <c r="T6" s="7">
        <f t="shared" si="5"/>
        <v>113.631</v>
      </c>
      <c r="U6" s="5" t="str">
        <f t="shared" si="1"/>
        <v>Yes</v>
      </c>
    </row>
    <row r="7" spans="1:21" x14ac:dyDescent="0.15">
      <c r="A7" s="1">
        <v>123067</v>
      </c>
      <c r="B7" s="1" t="s">
        <v>756</v>
      </c>
      <c r="C7" s="7">
        <f t="shared" si="2"/>
        <v>233.101</v>
      </c>
      <c r="D7" s="5">
        <f t="shared" si="3"/>
        <v>10</v>
      </c>
      <c r="E7" s="5" t="e">
        <f t="shared" si="0"/>
        <v>#N/A</v>
      </c>
      <c r="H7" s="17">
        <v>5</v>
      </c>
      <c r="I7">
        <v>128029</v>
      </c>
      <c r="J7" t="s">
        <v>1858</v>
      </c>
      <c r="K7">
        <v>131</v>
      </c>
      <c r="L7" s="57">
        <v>-3.0000000000000001E-3</v>
      </c>
      <c r="M7" s="20">
        <v>5.48116</v>
      </c>
      <c r="N7" s="5" t="str">
        <f t="shared" si="4"/>
        <v>Yes</v>
      </c>
      <c r="Q7" s="17">
        <v>5</v>
      </c>
      <c r="R7" s="7">
        <v>113567</v>
      </c>
      <c r="S7" s="7" t="s">
        <v>43</v>
      </c>
      <c r="T7" s="7">
        <f t="shared" si="5"/>
        <v>134.41900000000001</v>
      </c>
      <c r="U7" s="5" t="str">
        <f t="shared" si="1"/>
        <v>Yes</v>
      </c>
    </row>
    <row r="8" spans="1:21" x14ac:dyDescent="0.15">
      <c r="A8" s="1">
        <v>123073</v>
      </c>
      <c r="B8" s="1" t="s">
        <v>757</v>
      </c>
      <c r="C8" s="7" t="e">
        <f t="shared" si="2"/>
        <v>#N/A</v>
      </c>
      <c r="D8" s="5" t="e">
        <f t="shared" si="3"/>
        <v>#N/A</v>
      </c>
      <c r="E8" s="5" t="e">
        <f t="shared" si="0"/>
        <v>#N/A</v>
      </c>
      <c r="H8" s="17">
        <v>6</v>
      </c>
      <c r="I8">
        <v>123139</v>
      </c>
      <c r="J8" t="s">
        <v>748</v>
      </c>
      <c r="K8">
        <v>116.001</v>
      </c>
      <c r="L8" s="57">
        <v>-2.7000000000000001E-3</v>
      </c>
      <c r="M8" s="20">
        <v>1.5465530000000001</v>
      </c>
      <c r="N8" s="5" t="str">
        <f t="shared" si="4"/>
        <v>未买</v>
      </c>
      <c r="Q8" s="17">
        <v>6</v>
      </c>
      <c r="R8" s="7">
        <v>113525</v>
      </c>
      <c r="S8" s="7" t="s">
        <v>123</v>
      </c>
      <c r="T8" s="7">
        <f t="shared" si="5"/>
        <v>148.416</v>
      </c>
      <c r="U8" s="5" t="str">
        <f t="shared" si="1"/>
        <v>Yes</v>
      </c>
    </row>
    <row r="9" spans="1:21" x14ac:dyDescent="0.15">
      <c r="A9" s="1">
        <v>123080</v>
      </c>
      <c r="B9" s="1" t="s">
        <v>54</v>
      </c>
      <c r="C9" s="7">
        <f t="shared" si="2"/>
        <v>134.291</v>
      </c>
      <c r="D9" s="5">
        <f t="shared" si="3"/>
        <v>41</v>
      </c>
      <c r="E9" s="5" t="e">
        <f t="shared" si="0"/>
        <v>#N/A</v>
      </c>
      <c r="H9" s="17">
        <v>7</v>
      </c>
      <c r="I9">
        <v>128022</v>
      </c>
      <c r="J9" t="s">
        <v>141</v>
      </c>
      <c r="K9">
        <v>137</v>
      </c>
      <c r="L9" s="57">
        <v>-1E-3</v>
      </c>
      <c r="M9" s="20">
        <v>4.2213789999999998</v>
      </c>
      <c r="N9" s="5" t="str">
        <f t="shared" si="4"/>
        <v>未买</v>
      </c>
      <c r="Q9" s="17">
        <v>7</v>
      </c>
      <c r="R9" s="7">
        <v>113585</v>
      </c>
      <c r="S9" s="7" t="s">
        <v>769</v>
      </c>
      <c r="T9" s="7">
        <f t="shared" si="5"/>
        <v>199.124</v>
      </c>
      <c r="U9" s="5" t="str">
        <f t="shared" si="1"/>
        <v>Yes</v>
      </c>
    </row>
    <row r="10" spans="1:21" x14ac:dyDescent="0.15">
      <c r="A10" s="1">
        <v>123089</v>
      </c>
      <c r="B10" s="1" t="s">
        <v>758</v>
      </c>
      <c r="C10" s="7">
        <f t="shared" si="2"/>
        <v>129.55000000000001</v>
      </c>
      <c r="D10" s="5">
        <f t="shared" si="3"/>
        <v>65</v>
      </c>
      <c r="E10" s="5" t="e">
        <f t="shared" si="0"/>
        <v>#N/A</v>
      </c>
      <c r="H10" s="17">
        <v>8</v>
      </c>
      <c r="I10">
        <v>110056</v>
      </c>
      <c r="J10" t="s">
        <v>2034</v>
      </c>
      <c r="K10">
        <v>108.26600000000001</v>
      </c>
      <c r="L10" s="57">
        <v>-5.9999999999999995E-4</v>
      </c>
      <c r="M10" s="20">
        <v>9.9525600000000001</v>
      </c>
      <c r="N10" s="5" t="str">
        <f t="shared" si="4"/>
        <v>未买</v>
      </c>
      <c r="Q10" s="17">
        <v>8</v>
      </c>
      <c r="R10" s="7">
        <v>128040</v>
      </c>
      <c r="S10" s="7" t="s">
        <v>49</v>
      </c>
      <c r="T10" s="7">
        <f t="shared" si="5"/>
        <v>159</v>
      </c>
      <c r="U10" s="5" t="str">
        <f t="shared" si="1"/>
        <v>Yes</v>
      </c>
    </row>
    <row r="11" spans="1:21" x14ac:dyDescent="0.15">
      <c r="A11" s="1">
        <v>123137</v>
      </c>
      <c r="B11" s="1" t="s">
        <v>746</v>
      </c>
      <c r="C11" s="7" t="e">
        <f t="shared" si="2"/>
        <v>#N/A</v>
      </c>
      <c r="D11" s="5" t="e">
        <f t="shared" si="3"/>
        <v>#N/A</v>
      </c>
      <c r="E11" s="5" t="e">
        <f t="shared" si="0"/>
        <v>#N/A</v>
      </c>
      <c r="H11" s="17">
        <v>9</v>
      </c>
      <c r="I11">
        <v>113626</v>
      </c>
      <c r="J11" t="s">
        <v>2032</v>
      </c>
      <c r="K11">
        <v>221.76</v>
      </c>
      <c r="L11" s="57">
        <v>1E-3</v>
      </c>
      <c r="M11" s="20">
        <v>8.1364300000000007</v>
      </c>
      <c r="N11" s="5" t="str">
        <f t="shared" si="4"/>
        <v>未买</v>
      </c>
      <c r="Q11" s="17">
        <v>9</v>
      </c>
      <c r="R11" s="7">
        <v>113537</v>
      </c>
      <c r="S11" s="7" t="s">
        <v>782</v>
      </c>
      <c r="T11" s="7">
        <f t="shared" si="5"/>
        <v>379.005</v>
      </c>
      <c r="U11" s="5" t="str">
        <f t="shared" si="1"/>
        <v>未买</v>
      </c>
    </row>
    <row r="12" spans="1:21" x14ac:dyDescent="0.15">
      <c r="A12" s="1">
        <v>127003</v>
      </c>
      <c r="B12" s="1" t="s">
        <v>53</v>
      </c>
      <c r="C12" s="7" t="e">
        <f t="shared" si="2"/>
        <v>#N/A</v>
      </c>
      <c r="D12" s="5" t="e">
        <f t="shared" si="3"/>
        <v>#N/A</v>
      </c>
      <c r="E12" s="5" t="e">
        <f t="shared" si="0"/>
        <v>#N/A</v>
      </c>
      <c r="H12" s="17">
        <v>10</v>
      </c>
      <c r="I12">
        <v>123067</v>
      </c>
      <c r="J12" t="s">
        <v>1862</v>
      </c>
      <c r="K12">
        <v>233.101</v>
      </c>
      <c r="L12" s="57">
        <v>1.6000000000000001E-3</v>
      </c>
      <c r="M12" s="20">
        <v>2.3953660000000001</v>
      </c>
      <c r="N12" s="5" t="str">
        <f t="shared" si="4"/>
        <v>Yes</v>
      </c>
      <c r="Q12" s="17">
        <v>10</v>
      </c>
      <c r="R12" s="7">
        <v>113027</v>
      </c>
      <c r="S12" s="7" t="s">
        <v>46</v>
      </c>
      <c r="T12" s="7">
        <f t="shared" si="5"/>
        <v>141.27600000000001</v>
      </c>
      <c r="U12" s="5" t="str">
        <f t="shared" si="1"/>
        <v>Yes</v>
      </c>
    </row>
    <row r="13" spans="1:21" x14ac:dyDescent="0.15">
      <c r="A13" s="1">
        <v>127007</v>
      </c>
      <c r="B13" s="1" t="s">
        <v>768</v>
      </c>
      <c r="C13" s="7">
        <f t="shared" si="2"/>
        <v>138.98500000000001</v>
      </c>
      <c r="D13" s="5">
        <f t="shared" si="3"/>
        <v>48</v>
      </c>
      <c r="E13" s="5">
        <f t="shared" si="0"/>
        <v>11</v>
      </c>
      <c r="H13" s="17">
        <v>11</v>
      </c>
      <c r="I13">
        <v>110038</v>
      </c>
      <c r="J13" t="s">
        <v>2031</v>
      </c>
      <c r="K13">
        <v>134.33199999999999</v>
      </c>
      <c r="L13" s="57">
        <v>3.8E-3</v>
      </c>
      <c r="M13" s="20">
        <v>7.5090000000000004E-2</v>
      </c>
      <c r="N13" s="5" t="str">
        <f t="shared" si="4"/>
        <v>未买</v>
      </c>
      <c r="Q13" s="17">
        <v>11</v>
      </c>
      <c r="R13" s="7">
        <v>127007</v>
      </c>
      <c r="S13" s="7" t="s">
        <v>768</v>
      </c>
      <c r="T13" s="7">
        <f t="shared" si="5"/>
        <v>138.98500000000001</v>
      </c>
      <c r="U13" s="5" t="str">
        <f t="shared" si="1"/>
        <v>Yes</v>
      </c>
    </row>
    <row r="14" spans="1:21" x14ac:dyDescent="0.15">
      <c r="A14" s="1">
        <v>127030</v>
      </c>
      <c r="B14" s="1" t="s">
        <v>743</v>
      </c>
      <c r="C14" s="7">
        <f t="shared" si="2"/>
        <v>126.18</v>
      </c>
      <c r="D14" s="5">
        <f t="shared" si="3"/>
        <v>183</v>
      </c>
      <c r="E14" s="5" t="e">
        <f t="shared" si="0"/>
        <v>#N/A</v>
      </c>
      <c r="H14" s="17">
        <v>12</v>
      </c>
      <c r="I14">
        <v>128081</v>
      </c>
      <c r="J14" t="s">
        <v>90</v>
      </c>
      <c r="K14">
        <v>127.1</v>
      </c>
      <c r="L14" s="57">
        <v>6.3E-3</v>
      </c>
      <c r="M14" s="20">
        <v>29.251431</v>
      </c>
      <c r="N14" s="5" t="str">
        <f t="shared" si="4"/>
        <v>未买</v>
      </c>
      <c r="Q14" s="17">
        <v>12</v>
      </c>
      <c r="R14" s="7">
        <v>113016</v>
      </c>
      <c r="S14" s="7" t="s">
        <v>119</v>
      </c>
      <c r="T14" s="7">
        <f t="shared" si="5"/>
        <v>327.18700000000001</v>
      </c>
      <c r="U14" s="5" t="str">
        <f t="shared" si="1"/>
        <v>未买</v>
      </c>
    </row>
    <row r="15" spans="1:21" x14ac:dyDescent="0.15">
      <c r="A15" s="1">
        <v>128013</v>
      </c>
      <c r="B15" s="1" t="s">
        <v>52</v>
      </c>
      <c r="C15" s="7" t="e">
        <f t="shared" si="2"/>
        <v>#N/A</v>
      </c>
      <c r="D15" s="5" t="e">
        <f t="shared" si="3"/>
        <v>#N/A</v>
      </c>
      <c r="E15" s="5">
        <f t="shared" si="0"/>
        <v>21</v>
      </c>
      <c r="H15" s="17">
        <v>13</v>
      </c>
      <c r="I15">
        <v>128106</v>
      </c>
      <c r="J15" t="s">
        <v>1845</v>
      </c>
      <c r="K15">
        <v>194.3</v>
      </c>
      <c r="L15" s="57">
        <v>8.5000000000000006E-3</v>
      </c>
      <c r="M15" s="20">
        <v>2.8702049999999999</v>
      </c>
      <c r="N15" s="5" t="str">
        <f t="shared" si="4"/>
        <v>Yes</v>
      </c>
      <c r="Q15" s="17">
        <v>13</v>
      </c>
      <c r="R15" s="7">
        <v>113548</v>
      </c>
      <c r="S15" s="7" t="s">
        <v>783</v>
      </c>
      <c r="T15" s="7" t="e">
        <f t="shared" si="5"/>
        <v>#N/A</v>
      </c>
      <c r="U15" s="5" t="str">
        <f t="shared" si="1"/>
        <v>未买</v>
      </c>
    </row>
    <row r="16" spans="1:21" x14ac:dyDescent="0.15">
      <c r="A16" s="1">
        <v>128025</v>
      </c>
      <c r="B16" s="1" t="s">
        <v>50</v>
      </c>
      <c r="C16" s="7">
        <f t="shared" si="2"/>
        <v>223.553</v>
      </c>
      <c r="D16" s="5">
        <f t="shared" si="3"/>
        <v>38</v>
      </c>
      <c r="E16" s="5" t="e">
        <f t="shared" si="0"/>
        <v>#N/A</v>
      </c>
      <c r="H16" s="17">
        <v>14</v>
      </c>
      <c r="I16">
        <v>123057</v>
      </c>
      <c r="J16" t="s">
        <v>1891</v>
      </c>
      <c r="K16">
        <v>216.8</v>
      </c>
      <c r="L16" s="57">
        <v>1.01E-2</v>
      </c>
      <c r="M16" s="20">
        <v>2.0595089999999998</v>
      </c>
      <c r="N16" s="5" t="str">
        <f t="shared" si="4"/>
        <v>Yes</v>
      </c>
      <c r="Q16" s="17">
        <v>14</v>
      </c>
      <c r="R16" s="7">
        <v>123046</v>
      </c>
      <c r="S16" s="7" t="s">
        <v>784</v>
      </c>
      <c r="T16" s="7">
        <f t="shared" si="5"/>
        <v>352.36799999999999</v>
      </c>
      <c r="U16" s="5" t="str">
        <f t="shared" si="1"/>
        <v>未买</v>
      </c>
    </row>
    <row r="17" spans="1:21" x14ac:dyDescent="0.15">
      <c r="A17" s="1">
        <v>128029</v>
      </c>
      <c r="B17" s="1" t="s">
        <v>759</v>
      </c>
      <c r="C17" s="7">
        <f t="shared" si="2"/>
        <v>131</v>
      </c>
      <c r="D17" s="5">
        <f t="shared" si="3"/>
        <v>5</v>
      </c>
      <c r="E17" s="5">
        <f t="shared" si="0"/>
        <v>18</v>
      </c>
      <c r="H17" s="17">
        <v>15</v>
      </c>
      <c r="I17">
        <v>110061</v>
      </c>
      <c r="J17" t="s">
        <v>2033</v>
      </c>
      <c r="K17">
        <v>130.565</v>
      </c>
      <c r="L17" s="57">
        <v>1.06E-2</v>
      </c>
      <c r="M17" s="20">
        <v>35.111510000000003</v>
      </c>
      <c r="N17" s="5" t="str">
        <f t="shared" si="4"/>
        <v>未买</v>
      </c>
      <c r="Q17" s="17">
        <v>15</v>
      </c>
      <c r="R17" s="7">
        <v>113568</v>
      </c>
      <c r="S17" s="7" t="s">
        <v>122</v>
      </c>
      <c r="T17" s="7" t="e">
        <f t="shared" si="5"/>
        <v>#N/A</v>
      </c>
      <c r="U17" s="5" t="str">
        <f t="shared" si="1"/>
        <v>Yes</v>
      </c>
    </row>
    <row r="18" spans="1:21" x14ac:dyDescent="0.15">
      <c r="A18" s="1">
        <v>128036</v>
      </c>
      <c r="B18" s="1" t="s">
        <v>162</v>
      </c>
      <c r="C18" s="7">
        <f t="shared" si="2"/>
        <v>130.82</v>
      </c>
      <c r="D18" s="5">
        <f t="shared" si="3"/>
        <v>314</v>
      </c>
      <c r="E18" s="5">
        <f t="shared" si="0"/>
        <v>23</v>
      </c>
      <c r="H18" s="17">
        <v>16</v>
      </c>
      <c r="I18">
        <v>128091</v>
      </c>
      <c r="J18" t="s">
        <v>1883</v>
      </c>
      <c r="K18">
        <v>215.5</v>
      </c>
      <c r="L18" s="57">
        <v>1.2199999999999999E-2</v>
      </c>
      <c r="M18" s="20">
        <v>1.5272330000000001</v>
      </c>
      <c r="N18" s="5" t="str">
        <f t="shared" si="4"/>
        <v>Yes</v>
      </c>
      <c r="Q18" s="17">
        <v>16</v>
      </c>
      <c r="R18" s="7">
        <v>128106</v>
      </c>
      <c r="S18" s="7" t="s">
        <v>763</v>
      </c>
      <c r="T18" s="7">
        <f t="shared" si="5"/>
        <v>194.3</v>
      </c>
      <c r="U18" s="5" t="str">
        <f t="shared" si="1"/>
        <v>Yes</v>
      </c>
    </row>
    <row r="19" spans="1:21" x14ac:dyDescent="0.15">
      <c r="A19" s="1">
        <v>128037</v>
      </c>
      <c r="B19" s="1" t="s">
        <v>72</v>
      </c>
      <c r="C19" s="7">
        <f t="shared" si="2"/>
        <v>115.96299999999999</v>
      </c>
      <c r="D19" s="5">
        <f t="shared" si="3"/>
        <v>117</v>
      </c>
      <c r="E19" s="5" t="e">
        <f t="shared" si="0"/>
        <v>#N/A</v>
      </c>
      <c r="H19" s="17">
        <v>17</v>
      </c>
      <c r="I19">
        <v>113615</v>
      </c>
      <c r="J19" t="s">
        <v>1853</v>
      </c>
      <c r="K19">
        <v>192.67099999999999</v>
      </c>
      <c r="L19" s="57">
        <v>1.6E-2</v>
      </c>
      <c r="M19" s="20">
        <v>8.4789300000000001</v>
      </c>
      <c r="N19" s="5" t="str">
        <f t="shared" si="4"/>
        <v>未买</v>
      </c>
      <c r="Q19" s="17">
        <v>17</v>
      </c>
      <c r="R19" s="7">
        <v>128091</v>
      </c>
      <c r="S19" s="7" t="s">
        <v>762</v>
      </c>
      <c r="T19" s="7">
        <f t="shared" si="5"/>
        <v>215.5</v>
      </c>
      <c r="U19" s="5" t="str">
        <f t="shared" si="1"/>
        <v>Yes</v>
      </c>
    </row>
    <row r="20" spans="1:21" x14ac:dyDescent="0.15">
      <c r="A20" s="1">
        <v>128040</v>
      </c>
      <c r="B20" s="1" t="s">
        <v>49</v>
      </c>
      <c r="C20" s="7">
        <f t="shared" si="2"/>
        <v>159</v>
      </c>
      <c r="D20" s="5">
        <f t="shared" si="3"/>
        <v>18</v>
      </c>
      <c r="E20" s="5">
        <f t="shared" si="0"/>
        <v>8</v>
      </c>
      <c r="H20" s="17">
        <v>18</v>
      </c>
      <c r="I20">
        <v>128040</v>
      </c>
      <c r="J20" t="s">
        <v>1866</v>
      </c>
      <c r="K20">
        <v>159</v>
      </c>
      <c r="L20" s="57">
        <v>1.7100000000000001E-2</v>
      </c>
      <c r="M20" s="20">
        <v>2.0037470000000002</v>
      </c>
      <c r="N20" s="5" t="str">
        <f t="shared" si="4"/>
        <v>Yes</v>
      </c>
      <c r="Q20" s="17">
        <v>18</v>
      </c>
      <c r="R20" s="7">
        <v>128029</v>
      </c>
      <c r="S20" s="7" t="s">
        <v>759</v>
      </c>
      <c r="T20" s="7">
        <f t="shared" si="5"/>
        <v>131</v>
      </c>
      <c r="U20" s="5" t="str">
        <f t="shared" si="1"/>
        <v>Yes</v>
      </c>
    </row>
    <row r="21" spans="1:21" x14ac:dyDescent="0.15">
      <c r="A21" s="1">
        <v>128046</v>
      </c>
      <c r="B21" s="1" t="s">
        <v>760</v>
      </c>
      <c r="C21" s="7" t="e">
        <f t="shared" si="2"/>
        <v>#N/A</v>
      </c>
      <c r="D21" s="5" t="e">
        <f t="shared" si="3"/>
        <v>#N/A</v>
      </c>
      <c r="E21" s="5">
        <f t="shared" si="0"/>
        <v>32</v>
      </c>
      <c r="H21" s="17">
        <v>19</v>
      </c>
      <c r="I21">
        <v>123085</v>
      </c>
      <c r="J21" t="s">
        <v>1847</v>
      </c>
      <c r="K21">
        <v>161.28</v>
      </c>
      <c r="L21" s="57">
        <v>2.0400000000000001E-2</v>
      </c>
      <c r="M21" s="20">
        <v>6.0832689999999996</v>
      </c>
      <c r="N21" s="5" t="str">
        <f t="shared" si="4"/>
        <v>未买</v>
      </c>
      <c r="Q21" s="17">
        <v>19</v>
      </c>
      <c r="R21" s="7">
        <v>113504</v>
      </c>
      <c r="S21" s="7" t="s">
        <v>118</v>
      </c>
      <c r="T21" s="7">
        <f t="shared" si="5"/>
        <v>144.47900000000001</v>
      </c>
      <c r="U21" s="5" t="str">
        <f t="shared" si="1"/>
        <v>Yes</v>
      </c>
    </row>
    <row r="22" spans="1:21" x14ac:dyDescent="0.15">
      <c r="A22" s="1">
        <v>128053</v>
      </c>
      <c r="B22" s="1" t="s">
        <v>61</v>
      </c>
      <c r="C22" s="7">
        <f t="shared" si="2"/>
        <v>175.45</v>
      </c>
      <c r="D22" s="5">
        <f t="shared" si="3"/>
        <v>306</v>
      </c>
      <c r="E22" s="5" t="e">
        <f t="shared" si="0"/>
        <v>#N/A</v>
      </c>
      <c r="H22" s="17">
        <v>20</v>
      </c>
      <c r="I22">
        <v>110068</v>
      </c>
      <c r="J22" t="s">
        <v>1700</v>
      </c>
      <c r="K22">
        <v>154.078</v>
      </c>
      <c r="L22" s="57">
        <v>2.3199999999999998E-2</v>
      </c>
      <c r="M22" s="20">
        <v>19.751159999999999</v>
      </c>
      <c r="N22" s="5" t="str">
        <f t="shared" si="4"/>
        <v>未买</v>
      </c>
      <c r="Q22" s="17">
        <v>20</v>
      </c>
      <c r="R22" s="7">
        <v>128111</v>
      </c>
      <c r="S22" s="7" t="s">
        <v>785</v>
      </c>
      <c r="T22" s="7">
        <f t="shared" si="5"/>
        <v>730</v>
      </c>
      <c r="U22" s="5" t="str">
        <f t="shared" si="1"/>
        <v>未买</v>
      </c>
    </row>
    <row r="23" spans="1:21" x14ac:dyDescent="0.15">
      <c r="A23" s="1">
        <v>128066</v>
      </c>
      <c r="B23" s="1" t="s">
        <v>95</v>
      </c>
      <c r="C23" s="7">
        <f t="shared" si="2"/>
        <v>114.619</v>
      </c>
      <c r="D23" s="5">
        <f t="shared" si="3"/>
        <v>158</v>
      </c>
      <c r="E23" s="5" t="e">
        <f t="shared" si="0"/>
        <v>#N/A</v>
      </c>
      <c r="H23" s="17">
        <v>21</v>
      </c>
      <c r="I23">
        <v>123098</v>
      </c>
      <c r="J23" t="s">
        <v>1898</v>
      </c>
      <c r="K23">
        <v>147.99199999999999</v>
      </c>
      <c r="L23" s="57">
        <v>2.4E-2</v>
      </c>
      <c r="M23" s="20">
        <v>4.2358450000000003</v>
      </c>
      <c r="N23" s="5" t="str">
        <f t="shared" si="4"/>
        <v>未买</v>
      </c>
      <c r="Q23" s="17">
        <v>21</v>
      </c>
      <c r="R23" s="7">
        <v>128013</v>
      </c>
      <c r="S23" s="7" t="s">
        <v>52</v>
      </c>
      <c r="T23" s="7" t="e">
        <f t="shared" si="5"/>
        <v>#N/A</v>
      </c>
      <c r="U23" s="5" t="str">
        <f t="shared" si="1"/>
        <v>Yes</v>
      </c>
    </row>
    <row r="24" spans="1:21" x14ac:dyDescent="0.15">
      <c r="A24" s="1">
        <v>128076</v>
      </c>
      <c r="B24" s="1" t="s">
        <v>120</v>
      </c>
      <c r="C24" s="7">
        <f t="shared" si="2"/>
        <v>118.786</v>
      </c>
      <c r="D24" s="5">
        <f t="shared" si="3"/>
        <v>222</v>
      </c>
      <c r="E24" s="5">
        <f t="shared" si="0"/>
        <v>34</v>
      </c>
      <c r="H24" s="17">
        <v>22</v>
      </c>
      <c r="I24">
        <v>128087</v>
      </c>
      <c r="J24" t="s">
        <v>112</v>
      </c>
      <c r="K24">
        <v>127.30500000000001</v>
      </c>
      <c r="L24" s="57">
        <v>2.63E-2</v>
      </c>
      <c r="M24" s="20">
        <v>6.4603440000000001</v>
      </c>
      <c r="N24" s="5" t="str">
        <f t="shared" si="4"/>
        <v>未买</v>
      </c>
      <c r="Q24" s="17">
        <v>22</v>
      </c>
      <c r="R24" s="7">
        <v>113039</v>
      </c>
      <c r="S24" s="7" t="s">
        <v>45</v>
      </c>
      <c r="T24" s="7">
        <f t="shared" si="5"/>
        <v>131.571</v>
      </c>
      <c r="U24" s="5" t="str">
        <f t="shared" si="1"/>
        <v>Yes</v>
      </c>
    </row>
    <row r="25" spans="1:21" x14ac:dyDescent="0.15">
      <c r="A25" s="1">
        <v>128085</v>
      </c>
      <c r="B25" s="1" t="s">
        <v>761</v>
      </c>
      <c r="C25" s="7">
        <f t="shared" si="2"/>
        <v>113.631</v>
      </c>
      <c r="D25" s="5">
        <f t="shared" si="3"/>
        <v>197</v>
      </c>
      <c r="E25" s="5">
        <f t="shared" si="0"/>
        <v>4</v>
      </c>
      <c r="H25" s="17">
        <v>23</v>
      </c>
      <c r="I25">
        <v>128078</v>
      </c>
      <c r="J25" t="s">
        <v>1916</v>
      </c>
      <c r="K25">
        <v>144.01</v>
      </c>
      <c r="L25" s="57">
        <v>2.6600000000000002E-2</v>
      </c>
      <c r="M25" s="20">
        <v>6.9908239999999999</v>
      </c>
      <c r="N25" s="5" t="str">
        <f t="shared" si="4"/>
        <v>未买</v>
      </c>
      <c r="Q25" s="17">
        <v>23</v>
      </c>
      <c r="R25" s="7">
        <v>128036</v>
      </c>
      <c r="S25" s="7" t="s">
        <v>162</v>
      </c>
      <c r="T25" s="7">
        <f t="shared" si="5"/>
        <v>130.82</v>
      </c>
      <c r="U25" s="5" t="str">
        <f t="shared" si="1"/>
        <v>Yes</v>
      </c>
    </row>
    <row r="26" spans="1:21" x14ac:dyDescent="0.15">
      <c r="A26" s="1">
        <v>128091</v>
      </c>
      <c r="B26" s="1" t="s">
        <v>762</v>
      </c>
      <c r="C26" s="7">
        <f t="shared" si="2"/>
        <v>215.5</v>
      </c>
      <c r="D26" s="5">
        <f t="shared" si="3"/>
        <v>16</v>
      </c>
      <c r="E26" s="5">
        <f t="shared" si="0"/>
        <v>17</v>
      </c>
      <c r="H26" s="17">
        <v>24</v>
      </c>
      <c r="I26">
        <v>113025</v>
      </c>
      <c r="J26" t="s">
        <v>1852</v>
      </c>
      <c r="K26">
        <v>203.51400000000001</v>
      </c>
      <c r="L26" s="57">
        <v>2.8999999999999998E-2</v>
      </c>
      <c r="M26" s="20">
        <v>10.146599999999999</v>
      </c>
      <c r="N26" s="5" t="str">
        <f t="shared" si="4"/>
        <v>未买</v>
      </c>
      <c r="Q26" s="17">
        <v>24</v>
      </c>
      <c r="R26" s="7">
        <v>113570</v>
      </c>
      <c r="S26" s="7" t="s">
        <v>42</v>
      </c>
      <c r="T26" s="7">
        <f t="shared" si="5"/>
        <v>130.96199999999999</v>
      </c>
      <c r="U26" s="5" t="str">
        <f t="shared" si="1"/>
        <v>Yes</v>
      </c>
    </row>
    <row r="27" spans="1:21" x14ac:dyDescent="0.15">
      <c r="A27" s="1">
        <v>128100</v>
      </c>
      <c r="B27" s="1" t="s">
        <v>48</v>
      </c>
      <c r="C27" s="7">
        <f t="shared" si="2"/>
        <v>91.46</v>
      </c>
      <c r="D27" s="5">
        <f t="shared" si="3"/>
        <v>101</v>
      </c>
      <c r="E27" s="5">
        <f t="shared" si="0"/>
        <v>3</v>
      </c>
      <c r="H27" s="17">
        <v>25</v>
      </c>
      <c r="I27">
        <v>127058</v>
      </c>
      <c r="J27" t="s">
        <v>2035</v>
      </c>
      <c r="K27">
        <v>154</v>
      </c>
      <c r="L27" s="57">
        <v>3.39E-2</v>
      </c>
      <c r="M27" s="20">
        <v>29.992777</v>
      </c>
      <c r="N27" s="5" t="str">
        <f t="shared" si="4"/>
        <v>未买</v>
      </c>
      <c r="Q27" s="17">
        <v>25</v>
      </c>
      <c r="R27" s="7">
        <v>128017</v>
      </c>
      <c r="S27" s="7" t="s">
        <v>786</v>
      </c>
      <c r="T27" s="7">
        <f t="shared" si="5"/>
        <v>183.14599999999999</v>
      </c>
      <c r="U27" s="5" t="str">
        <f t="shared" si="1"/>
        <v>未买</v>
      </c>
    </row>
    <row r="28" spans="1:21" x14ac:dyDescent="0.15">
      <c r="A28" s="1">
        <v>128106</v>
      </c>
      <c r="B28" s="1" t="s">
        <v>763</v>
      </c>
      <c r="C28" s="7">
        <f t="shared" si="2"/>
        <v>194.3</v>
      </c>
      <c r="D28" s="5">
        <f t="shared" si="3"/>
        <v>13</v>
      </c>
      <c r="E28" s="5">
        <f t="shared" si="0"/>
        <v>16</v>
      </c>
      <c r="H28" s="17">
        <v>26</v>
      </c>
      <c r="I28">
        <v>113647</v>
      </c>
      <c r="J28" t="s">
        <v>1740</v>
      </c>
      <c r="K28">
        <v>137.15299999999999</v>
      </c>
      <c r="L28" s="57">
        <v>3.85E-2</v>
      </c>
      <c r="M28" s="20">
        <v>14.998699999999999</v>
      </c>
      <c r="N28" s="5" t="str">
        <f t="shared" si="4"/>
        <v>未买</v>
      </c>
      <c r="Q28" s="17">
        <v>26</v>
      </c>
      <c r="R28" s="7">
        <v>123057</v>
      </c>
      <c r="S28" s="7" t="s">
        <v>755</v>
      </c>
      <c r="T28" s="7">
        <f t="shared" si="5"/>
        <v>216.8</v>
      </c>
      <c r="U28" s="5" t="str">
        <f t="shared" si="1"/>
        <v>Yes</v>
      </c>
    </row>
    <row r="29" spans="1:21" x14ac:dyDescent="0.15">
      <c r="A29" s="1">
        <v>113027</v>
      </c>
      <c r="B29" s="1" t="s">
        <v>46</v>
      </c>
      <c r="C29" s="7">
        <f t="shared" si="2"/>
        <v>141.27600000000001</v>
      </c>
      <c r="D29" s="5">
        <f t="shared" si="3"/>
        <v>98</v>
      </c>
      <c r="E29" s="5">
        <f t="shared" si="0"/>
        <v>10</v>
      </c>
      <c r="H29" s="17">
        <v>27</v>
      </c>
      <c r="I29">
        <v>128111</v>
      </c>
      <c r="J29" t="s">
        <v>1844</v>
      </c>
      <c r="K29">
        <v>730</v>
      </c>
      <c r="L29" s="57">
        <v>3.8900000000000004E-2</v>
      </c>
      <c r="M29" s="20">
        <v>1.1477010000000001</v>
      </c>
      <c r="N29" s="5" t="str">
        <f t="shared" si="4"/>
        <v>未买</v>
      </c>
      <c r="Q29" s="17">
        <v>27</v>
      </c>
      <c r="R29" s="7">
        <v>113030</v>
      </c>
      <c r="S29" s="7" t="s">
        <v>94</v>
      </c>
      <c r="T29" s="7">
        <f t="shared" si="5"/>
        <v>126.78</v>
      </c>
      <c r="U29" s="5" t="str">
        <f t="shared" si="1"/>
        <v>未买</v>
      </c>
    </row>
    <row r="30" spans="1:21" x14ac:dyDescent="0.15">
      <c r="A30" s="1">
        <v>113039</v>
      </c>
      <c r="B30" s="1" t="s">
        <v>45</v>
      </c>
      <c r="C30" s="7">
        <f t="shared" si="2"/>
        <v>131.571</v>
      </c>
      <c r="D30" s="5">
        <f t="shared" si="3"/>
        <v>57</v>
      </c>
      <c r="E30" s="5">
        <f t="shared" si="0"/>
        <v>22</v>
      </c>
      <c r="H30" s="17">
        <v>28</v>
      </c>
      <c r="I30">
        <v>123105</v>
      </c>
      <c r="J30" t="s">
        <v>1889</v>
      </c>
      <c r="K30">
        <v>142</v>
      </c>
      <c r="L30" s="57">
        <v>4.0099999999999997E-2</v>
      </c>
      <c r="M30" s="20">
        <v>7.9967379999999997</v>
      </c>
      <c r="N30" s="5" t="str">
        <f t="shared" si="4"/>
        <v>未买</v>
      </c>
      <c r="Q30" s="17">
        <v>28</v>
      </c>
      <c r="R30" s="7">
        <v>123060</v>
      </c>
      <c r="S30" s="7" t="s">
        <v>787</v>
      </c>
      <c r="T30" s="7">
        <f t="shared" si="5"/>
        <v>236.65</v>
      </c>
      <c r="U30" s="5" t="str">
        <f t="shared" si="1"/>
        <v>未买</v>
      </c>
    </row>
    <row r="31" spans="1:21" x14ac:dyDescent="0.15">
      <c r="A31" s="1">
        <v>113504</v>
      </c>
      <c r="B31" s="1" t="s">
        <v>118</v>
      </c>
      <c r="C31" s="7">
        <f t="shared" si="2"/>
        <v>144.47900000000001</v>
      </c>
      <c r="D31" s="5">
        <f t="shared" si="3"/>
        <v>52</v>
      </c>
      <c r="E31" s="5">
        <f t="shared" si="0"/>
        <v>19</v>
      </c>
      <c r="H31" s="17">
        <v>29</v>
      </c>
      <c r="I31">
        <v>110053</v>
      </c>
      <c r="J31" t="s">
        <v>1699</v>
      </c>
      <c r="K31">
        <v>122.712</v>
      </c>
      <c r="L31" s="57">
        <v>4.0599999999999997E-2</v>
      </c>
      <c r="M31" s="20">
        <v>199.99167</v>
      </c>
      <c r="N31" s="5" t="str">
        <f t="shared" si="4"/>
        <v>未买</v>
      </c>
      <c r="Q31" s="17">
        <v>29</v>
      </c>
      <c r="R31" s="7">
        <v>123083</v>
      </c>
      <c r="S31" s="7" t="s">
        <v>105</v>
      </c>
      <c r="T31" s="7">
        <f t="shared" si="5"/>
        <v>188.999</v>
      </c>
      <c r="U31" s="5" t="str">
        <f t="shared" si="1"/>
        <v>未买</v>
      </c>
    </row>
    <row r="32" spans="1:21" x14ac:dyDescent="0.15">
      <c r="A32" s="1">
        <v>113525</v>
      </c>
      <c r="B32" s="1" t="s">
        <v>123</v>
      </c>
      <c r="C32" s="7">
        <f t="shared" si="2"/>
        <v>148.416</v>
      </c>
      <c r="D32" s="5">
        <f t="shared" si="3"/>
        <v>63</v>
      </c>
      <c r="E32" s="5">
        <f t="shared" si="0"/>
        <v>6</v>
      </c>
      <c r="H32" s="17">
        <v>30</v>
      </c>
      <c r="I32">
        <v>123092</v>
      </c>
      <c r="J32" t="s">
        <v>1849</v>
      </c>
      <c r="K32">
        <v>253.9</v>
      </c>
      <c r="L32" s="57">
        <v>4.07E-2</v>
      </c>
      <c r="M32" s="20">
        <v>4.1420029999999999</v>
      </c>
      <c r="N32" s="5" t="str">
        <f t="shared" si="4"/>
        <v>未买</v>
      </c>
      <c r="Q32" s="17">
        <v>30</v>
      </c>
      <c r="R32" s="7">
        <v>113534</v>
      </c>
      <c r="S32" s="7" t="s">
        <v>788</v>
      </c>
      <c r="T32" s="7">
        <f t="shared" si="5"/>
        <v>323.78699999999998</v>
      </c>
      <c r="U32" s="5" t="str">
        <f t="shared" si="1"/>
        <v>未买</v>
      </c>
    </row>
    <row r="33" spans="1:21" x14ac:dyDescent="0.15">
      <c r="A33" s="1">
        <v>113526</v>
      </c>
      <c r="B33" s="1" t="s">
        <v>128</v>
      </c>
      <c r="C33" s="7">
        <f t="shared" si="2"/>
        <v>127.498</v>
      </c>
      <c r="D33" s="5">
        <f t="shared" si="3"/>
        <v>184</v>
      </c>
      <c r="E33" s="5" t="e">
        <f t="shared" si="0"/>
        <v>#N/A</v>
      </c>
      <c r="H33" s="17">
        <v>31</v>
      </c>
      <c r="I33">
        <v>110052</v>
      </c>
      <c r="J33" t="s">
        <v>2036</v>
      </c>
      <c r="K33">
        <v>145.54</v>
      </c>
      <c r="L33" s="57">
        <v>4.2900000000000001E-2</v>
      </c>
      <c r="M33" s="20">
        <v>3.5804100000000001</v>
      </c>
      <c r="N33" s="5" t="str">
        <f t="shared" si="4"/>
        <v>未买</v>
      </c>
      <c r="Q33" s="17">
        <v>31</v>
      </c>
      <c r="R33" s="7">
        <v>128128</v>
      </c>
      <c r="S33" s="7" t="s">
        <v>789</v>
      </c>
      <c r="T33" s="7">
        <f t="shared" si="5"/>
        <v>144.934</v>
      </c>
      <c r="U33" s="5" t="str">
        <f t="shared" si="1"/>
        <v>未买</v>
      </c>
    </row>
    <row r="34" spans="1:21" x14ac:dyDescent="0.15">
      <c r="A34" s="1">
        <v>113541</v>
      </c>
      <c r="B34" s="1" t="s">
        <v>44</v>
      </c>
      <c r="C34" s="7" t="e">
        <f t="shared" si="2"/>
        <v>#N/A</v>
      </c>
      <c r="D34" s="5" t="e">
        <f t="shared" si="3"/>
        <v>#N/A</v>
      </c>
      <c r="E34" s="5">
        <f t="shared" si="0"/>
        <v>2</v>
      </c>
      <c r="H34" s="17">
        <v>32</v>
      </c>
      <c r="I34">
        <v>123012</v>
      </c>
      <c r="J34" t="s">
        <v>1855</v>
      </c>
      <c r="K34">
        <v>193.999</v>
      </c>
      <c r="L34" s="57">
        <v>4.3200000000000002E-2</v>
      </c>
      <c r="M34" s="20">
        <v>1.223741</v>
      </c>
      <c r="N34" s="5" t="str">
        <f t="shared" si="4"/>
        <v>Yes</v>
      </c>
      <c r="Q34" s="17">
        <v>32</v>
      </c>
      <c r="R34" s="7">
        <v>128046</v>
      </c>
      <c r="S34" s="7" t="s">
        <v>760</v>
      </c>
      <c r="T34" s="7" t="e">
        <f t="shared" si="5"/>
        <v>#N/A</v>
      </c>
      <c r="U34" s="5" t="str">
        <f t="shared" si="1"/>
        <v>Yes</v>
      </c>
    </row>
    <row r="35" spans="1:21" x14ac:dyDescent="0.15">
      <c r="A35" s="1">
        <v>113565</v>
      </c>
      <c r="B35" s="1" t="s">
        <v>114</v>
      </c>
      <c r="C35" s="7">
        <f t="shared" si="2"/>
        <v>117.80200000000001</v>
      </c>
      <c r="D35" s="5">
        <f t="shared" si="3"/>
        <v>255</v>
      </c>
      <c r="E35" s="5" t="e">
        <f t="shared" si="0"/>
        <v>#N/A</v>
      </c>
      <c r="H35" s="17">
        <v>33</v>
      </c>
      <c r="I35">
        <v>123123</v>
      </c>
      <c r="J35" t="s">
        <v>1892</v>
      </c>
      <c r="K35">
        <v>159.4</v>
      </c>
      <c r="L35" s="57">
        <v>4.6100000000000002E-2</v>
      </c>
      <c r="M35" s="20">
        <v>5.1514360000000003</v>
      </c>
      <c r="N35" s="5" t="str">
        <f t="shared" si="4"/>
        <v>未买</v>
      </c>
      <c r="Q35" s="17">
        <v>33</v>
      </c>
      <c r="R35" s="7">
        <v>123045</v>
      </c>
      <c r="S35" s="7" t="s">
        <v>101</v>
      </c>
      <c r="T35" s="7" t="e">
        <f t="shared" si="5"/>
        <v>#N/A</v>
      </c>
      <c r="U35" s="5" t="str">
        <f t="shared" ref="U35:U37" si="6">IF(ISNA(MATCH(R35,$A$2:$A$301,0)),"未买","Yes")</f>
        <v>Yes</v>
      </c>
    </row>
    <row r="36" spans="1:21" x14ac:dyDescent="0.15">
      <c r="A36" s="1">
        <v>113567</v>
      </c>
      <c r="B36" s="1" t="s">
        <v>43</v>
      </c>
      <c r="C36" s="7">
        <f t="shared" si="2"/>
        <v>134.41900000000001</v>
      </c>
      <c r="D36" s="5">
        <f t="shared" si="3"/>
        <v>45</v>
      </c>
      <c r="E36" s="5">
        <f t="shared" si="0"/>
        <v>5</v>
      </c>
      <c r="H36" s="17">
        <v>34</v>
      </c>
      <c r="I36">
        <v>128140</v>
      </c>
      <c r="J36" t="s">
        <v>1864</v>
      </c>
      <c r="K36">
        <v>153.953</v>
      </c>
      <c r="L36" s="57">
        <v>5.6399999999999999E-2</v>
      </c>
      <c r="M36" s="20">
        <v>10.895921</v>
      </c>
      <c r="N36" s="5" t="str">
        <f t="shared" si="4"/>
        <v>未买</v>
      </c>
      <c r="Q36" s="17">
        <v>34</v>
      </c>
      <c r="R36" s="7">
        <v>128076</v>
      </c>
      <c r="S36" s="7" t="s">
        <v>120</v>
      </c>
      <c r="T36" s="7">
        <f t="shared" si="5"/>
        <v>118.786</v>
      </c>
      <c r="U36" s="5" t="str">
        <f t="shared" si="6"/>
        <v>Yes</v>
      </c>
    </row>
    <row r="37" spans="1:21" x14ac:dyDescent="0.15">
      <c r="A37" s="1">
        <v>113568</v>
      </c>
      <c r="B37" s="1" t="s">
        <v>122</v>
      </c>
      <c r="C37" s="7" t="e">
        <f t="shared" si="2"/>
        <v>#N/A</v>
      </c>
      <c r="D37" s="5" t="e">
        <f t="shared" si="3"/>
        <v>#N/A</v>
      </c>
      <c r="E37" s="5">
        <f t="shared" si="0"/>
        <v>15</v>
      </c>
      <c r="H37" s="17">
        <v>35</v>
      </c>
      <c r="I37">
        <v>128128</v>
      </c>
      <c r="J37" t="s">
        <v>1848</v>
      </c>
      <c r="K37">
        <v>144.934</v>
      </c>
      <c r="L37" s="57">
        <v>5.7300000000000004E-2</v>
      </c>
      <c r="M37" s="20">
        <v>6.7976359999999998</v>
      </c>
      <c r="N37" s="5" t="str">
        <f t="shared" si="4"/>
        <v>未买</v>
      </c>
      <c r="Q37" s="17">
        <v>35</v>
      </c>
      <c r="R37" s="7">
        <v>110055</v>
      </c>
      <c r="S37" s="7" t="s">
        <v>790</v>
      </c>
      <c r="T37" s="7">
        <f t="shared" si="5"/>
        <v>175.94</v>
      </c>
      <c r="U37" s="5" t="str">
        <f t="shared" si="6"/>
        <v>未买</v>
      </c>
    </row>
    <row r="38" spans="1:21" x14ac:dyDescent="0.15">
      <c r="A38" s="1">
        <v>113570</v>
      </c>
      <c r="B38" s="1" t="s">
        <v>42</v>
      </c>
      <c r="C38" s="7">
        <f t="shared" si="2"/>
        <v>130.96199999999999</v>
      </c>
      <c r="D38" s="5">
        <f t="shared" si="3"/>
        <v>36</v>
      </c>
      <c r="E38" s="5">
        <f t="shared" si="0"/>
        <v>24</v>
      </c>
      <c r="H38" s="17">
        <v>36</v>
      </c>
      <c r="I38">
        <v>113570</v>
      </c>
      <c r="J38" t="s">
        <v>42</v>
      </c>
      <c r="K38">
        <v>130.96199999999999</v>
      </c>
      <c r="L38" s="57">
        <v>5.8499999999999996E-2</v>
      </c>
      <c r="M38" s="20">
        <v>2.7983099999999999</v>
      </c>
      <c r="N38" s="5" t="str">
        <f t="shared" si="4"/>
        <v>Yes</v>
      </c>
      <c r="Q38" s="17">
        <v>36</v>
      </c>
      <c r="U38" s="5"/>
    </row>
    <row r="39" spans="1:21" x14ac:dyDescent="0.15">
      <c r="A39" s="1">
        <v>113585</v>
      </c>
      <c r="B39" s="1" t="s">
        <v>769</v>
      </c>
      <c r="C39" s="7">
        <f t="shared" si="2"/>
        <v>199.124</v>
      </c>
      <c r="D39" s="5">
        <f t="shared" si="3"/>
        <v>54</v>
      </c>
      <c r="E39" s="5">
        <f t="shared" si="0"/>
        <v>7</v>
      </c>
      <c r="H39" s="17">
        <v>37</v>
      </c>
      <c r="I39">
        <v>127028</v>
      </c>
      <c r="J39" t="s">
        <v>62</v>
      </c>
      <c r="K39">
        <v>130.07</v>
      </c>
      <c r="L39" s="57">
        <v>5.91E-2</v>
      </c>
      <c r="M39" s="20">
        <v>5.9813150000000004</v>
      </c>
      <c r="N39" s="5" t="str">
        <f t="shared" si="4"/>
        <v>未买</v>
      </c>
      <c r="Q39" s="17">
        <v>37</v>
      </c>
      <c r="U39" s="5"/>
    </row>
    <row r="40" spans="1:21" x14ac:dyDescent="0.15">
      <c r="A40" s="1">
        <v>113591</v>
      </c>
      <c r="B40" s="1" t="s">
        <v>41</v>
      </c>
      <c r="C40" s="7">
        <f t="shared" si="2"/>
        <v>124.895</v>
      </c>
      <c r="D40" s="5">
        <f t="shared" si="3"/>
        <v>40</v>
      </c>
      <c r="E40" s="5" t="e">
        <f t="shared" si="0"/>
        <v>#N/A</v>
      </c>
      <c r="H40" s="17">
        <v>38</v>
      </c>
      <c r="I40">
        <v>128025</v>
      </c>
      <c r="J40" t="s">
        <v>50</v>
      </c>
      <c r="K40">
        <v>223.553</v>
      </c>
      <c r="L40" s="57">
        <v>6.3200000000000006E-2</v>
      </c>
      <c r="M40" s="20">
        <v>2.6569180000000001</v>
      </c>
      <c r="N40" s="5" t="str">
        <f t="shared" si="4"/>
        <v>Yes</v>
      </c>
      <c r="Q40" s="17">
        <v>38</v>
      </c>
      <c r="U40" s="5"/>
    </row>
    <row r="41" spans="1:21" x14ac:dyDescent="0.15">
      <c r="D41" s="5"/>
      <c r="E41" s="5"/>
      <c r="H41" s="17">
        <v>39</v>
      </c>
      <c r="I41">
        <v>123060</v>
      </c>
      <c r="J41" t="s">
        <v>1863</v>
      </c>
      <c r="K41">
        <v>236.65</v>
      </c>
      <c r="L41" s="57">
        <v>6.4000000000000001E-2</v>
      </c>
      <c r="M41" s="20">
        <v>3.0957680000000001</v>
      </c>
      <c r="N41" s="5" t="str">
        <f t="shared" si="4"/>
        <v>未买</v>
      </c>
      <c r="Q41" s="17">
        <v>39</v>
      </c>
      <c r="U41" s="5"/>
    </row>
    <row r="42" spans="1:21" x14ac:dyDescent="0.15">
      <c r="D42" s="5"/>
      <c r="E42" s="5"/>
      <c r="H42" s="17">
        <v>40</v>
      </c>
      <c r="I42">
        <v>113591</v>
      </c>
      <c r="J42" t="s">
        <v>41</v>
      </c>
      <c r="K42">
        <v>124.895</v>
      </c>
      <c r="L42" s="57">
        <v>7.0199999999999999E-2</v>
      </c>
      <c r="M42" s="20">
        <v>4.74308</v>
      </c>
      <c r="N42" s="5" t="str">
        <f t="shared" si="4"/>
        <v>Yes</v>
      </c>
      <c r="Q42" s="17">
        <v>40</v>
      </c>
      <c r="U42" s="5"/>
    </row>
    <row r="43" spans="1:21" x14ac:dyDescent="0.15">
      <c r="D43" s="5"/>
      <c r="E43" s="5"/>
      <c r="H43" s="17">
        <v>41</v>
      </c>
      <c r="I43">
        <v>123080</v>
      </c>
      <c r="J43" t="s">
        <v>2039</v>
      </c>
      <c r="K43">
        <v>134.291</v>
      </c>
      <c r="L43" s="57">
        <v>7.5300000000000006E-2</v>
      </c>
      <c r="M43" s="20">
        <v>1.971244</v>
      </c>
      <c r="N43" s="5" t="str">
        <f t="shared" si="4"/>
        <v>Yes</v>
      </c>
      <c r="Q43" s="17">
        <v>41</v>
      </c>
    </row>
    <row r="44" spans="1:21" x14ac:dyDescent="0.15">
      <c r="D44" s="5"/>
      <c r="E44" s="5"/>
      <c r="H44" s="17">
        <v>42</v>
      </c>
      <c r="I44">
        <v>113622</v>
      </c>
      <c r="J44" t="s">
        <v>1778</v>
      </c>
      <c r="K44">
        <v>131.751</v>
      </c>
      <c r="L44" s="57">
        <v>7.7499999999999999E-2</v>
      </c>
      <c r="M44" s="20">
        <v>11.49968</v>
      </c>
      <c r="N44" s="5" t="str">
        <f t="shared" si="4"/>
        <v>未买</v>
      </c>
      <c r="Q44" s="17">
        <v>42</v>
      </c>
    </row>
    <row r="45" spans="1:21" x14ac:dyDescent="0.15">
      <c r="D45" s="5"/>
      <c r="E45" s="5"/>
      <c r="H45" s="17">
        <v>43</v>
      </c>
      <c r="I45">
        <v>113534</v>
      </c>
      <c r="J45" t="s">
        <v>1846</v>
      </c>
      <c r="K45">
        <v>323.78699999999998</v>
      </c>
      <c r="L45" s="57">
        <v>7.8100000000000003E-2</v>
      </c>
      <c r="M45" s="20">
        <v>3.93336</v>
      </c>
      <c r="N45" s="5" t="str">
        <f t="shared" si="4"/>
        <v>未买</v>
      </c>
      <c r="Q45" s="17">
        <v>43</v>
      </c>
    </row>
    <row r="46" spans="1:21" x14ac:dyDescent="0.15">
      <c r="D46" s="5"/>
      <c r="E46" s="5"/>
      <c r="H46" s="17">
        <v>44</v>
      </c>
      <c r="I46">
        <v>111000</v>
      </c>
      <c r="J46" t="s">
        <v>82</v>
      </c>
      <c r="K46">
        <v>141.09100000000001</v>
      </c>
      <c r="L46" s="57">
        <v>8.1099999999999992E-2</v>
      </c>
      <c r="M46" s="20">
        <v>9.9930599999999998</v>
      </c>
      <c r="N46" s="5" t="str">
        <f t="shared" si="4"/>
        <v>未买</v>
      </c>
      <c r="Q46" s="17">
        <v>44</v>
      </c>
    </row>
    <row r="47" spans="1:21" x14ac:dyDescent="0.15">
      <c r="D47" s="5"/>
      <c r="E47" s="5"/>
      <c r="H47" s="17">
        <v>45</v>
      </c>
      <c r="I47">
        <v>113567</v>
      </c>
      <c r="J47" t="s">
        <v>43</v>
      </c>
      <c r="K47">
        <v>134.41900000000001</v>
      </c>
      <c r="L47" s="57">
        <v>8.5000000000000006E-2</v>
      </c>
      <c r="M47" s="20">
        <v>1.93404</v>
      </c>
      <c r="N47" s="5" t="str">
        <f t="shared" si="4"/>
        <v>Yes</v>
      </c>
      <c r="Q47" s="17">
        <v>45</v>
      </c>
    </row>
    <row r="48" spans="1:21" x14ac:dyDescent="0.15">
      <c r="D48" s="5"/>
      <c r="E48" s="5"/>
      <c r="H48" s="17">
        <v>46</v>
      </c>
      <c r="I48">
        <v>128141</v>
      </c>
      <c r="J48" t="s">
        <v>2037</v>
      </c>
      <c r="K48">
        <v>130.25</v>
      </c>
      <c r="L48" s="57">
        <v>8.6199999999999999E-2</v>
      </c>
      <c r="M48" s="20">
        <v>12.701475</v>
      </c>
      <c r="N48" s="5" t="str">
        <f t="shared" si="4"/>
        <v>未买</v>
      </c>
      <c r="Q48" s="17">
        <v>46</v>
      </c>
    </row>
    <row r="49" spans="4:17" x14ac:dyDescent="0.15">
      <c r="D49" s="5"/>
      <c r="E49" s="5"/>
      <c r="H49" s="17">
        <v>47</v>
      </c>
      <c r="I49">
        <v>113537</v>
      </c>
      <c r="J49" t="s">
        <v>1851</v>
      </c>
      <c r="K49">
        <v>379.005</v>
      </c>
      <c r="L49" s="57">
        <v>9.0299999999999991E-2</v>
      </c>
      <c r="M49" s="20">
        <v>1.2393099999999999</v>
      </c>
      <c r="N49" s="5" t="str">
        <f t="shared" si="4"/>
        <v>未买</v>
      </c>
      <c r="Q49" s="17">
        <v>47</v>
      </c>
    </row>
    <row r="50" spans="4:17" x14ac:dyDescent="0.15">
      <c r="D50" s="5"/>
      <c r="E50" s="5"/>
      <c r="H50" s="17">
        <v>48</v>
      </c>
      <c r="I50">
        <v>127007</v>
      </c>
      <c r="J50" t="s">
        <v>768</v>
      </c>
      <c r="K50">
        <v>138.98500000000001</v>
      </c>
      <c r="L50" s="57">
        <v>9.2300000000000007E-2</v>
      </c>
      <c r="M50" s="20">
        <v>3.6851539999999998</v>
      </c>
      <c r="N50" s="5" t="str">
        <f t="shared" si="4"/>
        <v>Yes</v>
      </c>
      <c r="Q50" s="17">
        <v>48</v>
      </c>
    </row>
    <row r="51" spans="4:17" x14ac:dyDescent="0.15">
      <c r="D51" s="5"/>
      <c r="E51" s="5"/>
      <c r="H51" s="17">
        <v>49</v>
      </c>
      <c r="I51">
        <v>110077</v>
      </c>
      <c r="J51" t="s">
        <v>1698</v>
      </c>
      <c r="K51">
        <v>126.124</v>
      </c>
      <c r="L51" s="57">
        <v>9.2399999999999996E-2</v>
      </c>
      <c r="M51" s="20">
        <v>17.672170000000001</v>
      </c>
      <c r="N51" s="5" t="str">
        <f t="shared" si="4"/>
        <v>未买</v>
      </c>
      <c r="Q51" s="17">
        <v>49</v>
      </c>
    </row>
    <row r="52" spans="4:17" x14ac:dyDescent="0.15">
      <c r="D52" s="5"/>
      <c r="E52" s="5"/>
      <c r="H52" s="17">
        <v>50</v>
      </c>
      <c r="I52">
        <v>110084</v>
      </c>
      <c r="J52" t="s">
        <v>246</v>
      </c>
      <c r="K52">
        <v>120.56399999999999</v>
      </c>
      <c r="L52" s="57">
        <v>9.3000000000000013E-2</v>
      </c>
      <c r="M52" s="20">
        <v>9.9947800000000004</v>
      </c>
      <c r="N52" s="5" t="str">
        <f t="shared" si="4"/>
        <v>未买</v>
      </c>
      <c r="Q52" s="17">
        <v>50</v>
      </c>
    </row>
    <row r="53" spans="4:17" x14ac:dyDescent="0.15">
      <c r="D53" s="5"/>
      <c r="E53" s="5"/>
      <c r="H53" s="17">
        <v>51</v>
      </c>
      <c r="I53">
        <v>110085</v>
      </c>
      <c r="J53" t="s">
        <v>1706</v>
      </c>
      <c r="K53">
        <v>125.60599999999999</v>
      </c>
      <c r="L53" s="57">
        <v>9.6500000000000002E-2</v>
      </c>
      <c r="M53" s="20">
        <v>119.84902</v>
      </c>
      <c r="N53" s="5" t="str">
        <f t="shared" si="4"/>
        <v>未买</v>
      </c>
      <c r="Q53" s="17">
        <v>51</v>
      </c>
    </row>
    <row r="54" spans="4:17" x14ac:dyDescent="0.15">
      <c r="D54" s="5"/>
      <c r="E54" s="5"/>
      <c r="H54" s="17">
        <v>52</v>
      </c>
      <c r="I54">
        <v>113504</v>
      </c>
      <c r="J54" t="s">
        <v>118</v>
      </c>
      <c r="K54">
        <v>144.47900000000001</v>
      </c>
      <c r="L54" s="57">
        <v>9.7500000000000003E-2</v>
      </c>
      <c r="M54" s="20">
        <v>4.6274199999999999</v>
      </c>
      <c r="N54" s="5" t="str">
        <f t="shared" si="4"/>
        <v>Yes</v>
      </c>
      <c r="Q54" s="17">
        <v>52</v>
      </c>
    </row>
    <row r="55" spans="4:17" x14ac:dyDescent="0.15">
      <c r="D55" s="5"/>
      <c r="E55" s="5"/>
      <c r="H55" s="17">
        <v>53</v>
      </c>
      <c r="I55">
        <v>113598</v>
      </c>
      <c r="J55" t="s">
        <v>2038</v>
      </c>
      <c r="K55">
        <v>139.53899999999999</v>
      </c>
      <c r="L55" s="57">
        <v>9.9600000000000008E-2</v>
      </c>
      <c r="M55" s="20">
        <v>2.7525400000000002</v>
      </c>
      <c r="N55" s="5" t="str">
        <f t="shared" si="4"/>
        <v>未买</v>
      </c>
      <c r="Q55" s="17">
        <v>53</v>
      </c>
    </row>
    <row r="56" spans="4:17" x14ac:dyDescent="0.15">
      <c r="D56" s="5"/>
      <c r="E56" s="5"/>
      <c r="H56" s="17">
        <v>54</v>
      </c>
      <c r="I56">
        <v>113585</v>
      </c>
      <c r="J56" t="s">
        <v>1861</v>
      </c>
      <c r="K56">
        <v>199.124</v>
      </c>
      <c r="L56" s="57">
        <v>9.98E-2</v>
      </c>
      <c r="M56" s="20">
        <v>1.00143</v>
      </c>
      <c r="N56" s="5" t="str">
        <f t="shared" si="4"/>
        <v>Yes</v>
      </c>
      <c r="Q56" s="17">
        <v>54</v>
      </c>
    </row>
    <row r="57" spans="4:17" x14ac:dyDescent="0.15">
      <c r="D57" s="5"/>
      <c r="E57" s="5"/>
      <c r="H57" s="17">
        <v>55</v>
      </c>
      <c r="I57">
        <v>128095</v>
      </c>
      <c r="J57" t="s">
        <v>1856</v>
      </c>
      <c r="K57">
        <v>261.8</v>
      </c>
      <c r="L57" s="57">
        <v>0.10060000000000001</v>
      </c>
      <c r="M57" s="20">
        <v>4.5392349999999997</v>
      </c>
      <c r="N57" s="5" t="str">
        <f t="shared" si="4"/>
        <v>未买</v>
      </c>
      <c r="Q57" s="17">
        <v>55</v>
      </c>
    </row>
    <row r="58" spans="4:17" x14ac:dyDescent="0.15">
      <c r="D58" s="5"/>
      <c r="E58" s="5"/>
      <c r="H58" s="17">
        <v>56</v>
      </c>
      <c r="I58">
        <v>110083</v>
      </c>
      <c r="J58" t="s">
        <v>1712</v>
      </c>
      <c r="K58">
        <v>120.158</v>
      </c>
      <c r="L58" s="57">
        <v>0.10769999999999999</v>
      </c>
      <c r="M58" s="20">
        <v>49.981180000000002</v>
      </c>
      <c r="N58" s="5" t="str">
        <f t="shared" si="4"/>
        <v>未买</v>
      </c>
      <c r="Q58" s="17">
        <v>56</v>
      </c>
    </row>
    <row r="59" spans="4:17" x14ac:dyDescent="0.15">
      <c r="D59" s="5"/>
      <c r="E59" s="5"/>
      <c r="H59" s="17">
        <v>57</v>
      </c>
      <c r="I59">
        <v>113039</v>
      </c>
      <c r="J59" t="s">
        <v>45</v>
      </c>
      <c r="K59">
        <v>131.571</v>
      </c>
      <c r="L59" s="57">
        <v>0.1108</v>
      </c>
      <c r="M59" s="20">
        <v>2.8824100000000001</v>
      </c>
      <c r="N59" s="5" t="str">
        <f t="shared" si="4"/>
        <v>Yes</v>
      </c>
      <c r="Q59" s="17">
        <v>57</v>
      </c>
    </row>
    <row r="60" spans="4:17" x14ac:dyDescent="0.15">
      <c r="D60" s="5"/>
      <c r="E60" s="5"/>
      <c r="H60" s="17">
        <v>58</v>
      </c>
      <c r="I60">
        <v>113582</v>
      </c>
      <c r="J60" t="s">
        <v>1870</v>
      </c>
      <c r="K60">
        <v>197.09399999999999</v>
      </c>
      <c r="L60" s="57">
        <v>0.111</v>
      </c>
      <c r="M60" s="20">
        <v>4.1754100000000003</v>
      </c>
      <c r="N60" s="5" t="str">
        <f t="shared" si="4"/>
        <v>未买</v>
      </c>
      <c r="Q60" s="17">
        <v>58</v>
      </c>
    </row>
    <row r="61" spans="4:17" x14ac:dyDescent="0.15">
      <c r="D61" s="5"/>
      <c r="E61" s="5"/>
      <c r="H61" s="17">
        <v>59</v>
      </c>
      <c r="I61">
        <v>127057</v>
      </c>
      <c r="J61" t="s">
        <v>740</v>
      </c>
      <c r="K61">
        <v>197</v>
      </c>
      <c r="L61" s="57">
        <v>0.1119</v>
      </c>
      <c r="M61" s="20">
        <v>2.75047</v>
      </c>
      <c r="N61" s="5" t="str">
        <f t="shared" si="4"/>
        <v>未买</v>
      </c>
      <c r="Q61" s="17">
        <v>59</v>
      </c>
    </row>
    <row r="62" spans="4:17" x14ac:dyDescent="0.15">
      <c r="D62" s="5"/>
      <c r="E62" s="5"/>
      <c r="H62" s="17">
        <v>60</v>
      </c>
      <c r="I62">
        <v>110074</v>
      </c>
      <c r="J62" t="s">
        <v>1854</v>
      </c>
      <c r="K62">
        <v>135.40100000000001</v>
      </c>
      <c r="L62" s="57">
        <v>0.1128</v>
      </c>
      <c r="M62" s="20">
        <v>5.09537</v>
      </c>
      <c r="N62" s="5" t="str">
        <f t="shared" si="4"/>
        <v>未买</v>
      </c>
      <c r="Q62" s="17">
        <v>60</v>
      </c>
    </row>
    <row r="63" spans="4:17" x14ac:dyDescent="0.15">
      <c r="D63" s="5"/>
      <c r="E63" s="5"/>
      <c r="H63" s="17">
        <v>61</v>
      </c>
      <c r="I63">
        <v>123148</v>
      </c>
      <c r="J63" t="s">
        <v>1895</v>
      </c>
      <c r="K63">
        <v>177.8</v>
      </c>
      <c r="L63" s="57">
        <v>0.11289999999999999</v>
      </c>
      <c r="M63" s="20">
        <v>4.2</v>
      </c>
      <c r="N63" s="5" t="str">
        <f t="shared" si="4"/>
        <v>未买</v>
      </c>
      <c r="Q63" s="17">
        <v>61</v>
      </c>
    </row>
    <row r="64" spans="4:17" x14ac:dyDescent="0.15">
      <c r="D64" s="5"/>
      <c r="E64" s="5"/>
      <c r="H64" s="17">
        <v>62</v>
      </c>
      <c r="I64">
        <v>113649</v>
      </c>
      <c r="J64" t="s">
        <v>1896</v>
      </c>
      <c r="K64">
        <v>140.03200000000001</v>
      </c>
      <c r="L64" s="57">
        <v>0.11310000000000001</v>
      </c>
      <c r="M64" s="20">
        <v>5</v>
      </c>
      <c r="N64" s="5" t="str">
        <f t="shared" si="4"/>
        <v>未买</v>
      </c>
      <c r="Q64" s="17">
        <v>62</v>
      </c>
    </row>
    <row r="65" spans="4:17" x14ac:dyDescent="0.15">
      <c r="D65" s="5"/>
      <c r="E65" s="5"/>
      <c r="H65" s="17">
        <v>63</v>
      </c>
      <c r="I65">
        <v>113525</v>
      </c>
      <c r="J65" t="s">
        <v>1857</v>
      </c>
      <c r="K65">
        <v>148.416</v>
      </c>
      <c r="L65" s="57">
        <v>0.11380000000000001</v>
      </c>
      <c r="M65" s="20">
        <v>1.8532200000000001</v>
      </c>
      <c r="N65" s="5" t="str">
        <f t="shared" si="4"/>
        <v>Yes</v>
      </c>
      <c r="Q65" s="17">
        <v>63</v>
      </c>
    </row>
    <row r="66" spans="4:17" x14ac:dyDescent="0.15">
      <c r="D66" s="5"/>
      <c r="E66" s="5"/>
      <c r="H66" s="17">
        <v>64</v>
      </c>
      <c r="I66">
        <v>123083</v>
      </c>
      <c r="J66" t="s">
        <v>1894</v>
      </c>
      <c r="K66">
        <v>188.999</v>
      </c>
      <c r="L66" s="57">
        <v>0.11609999999999999</v>
      </c>
      <c r="M66" s="20">
        <v>5.4825809999999997</v>
      </c>
      <c r="N66" s="5" t="str">
        <f t="shared" si="4"/>
        <v>未买</v>
      </c>
      <c r="Q66" s="17">
        <v>64</v>
      </c>
    </row>
    <row r="67" spans="4:17" x14ac:dyDescent="0.15">
      <c r="D67" s="5"/>
      <c r="E67" s="5"/>
      <c r="H67" s="17">
        <v>65</v>
      </c>
      <c r="I67">
        <v>123089</v>
      </c>
      <c r="J67" t="s">
        <v>758</v>
      </c>
      <c r="K67">
        <v>129.55000000000001</v>
      </c>
      <c r="L67" s="57">
        <v>0.11689999999999999</v>
      </c>
      <c r="M67" s="20">
        <v>3.0623369999999999</v>
      </c>
      <c r="N67" s="5" t="str">
        <f t="shared" si="4"/>
        <v>Yes</v>
      </c>
      <c r="Q67" s="17">
        <v>65</v>
      </c>
    </row>
    <row r="68" spans="4:17" x14ac:dyDescent="0.15">
      <c r="D68" s="5"/>
      <c r="E68" s="5"/>
      <c r="H68" s="17">
        <v>66</v>
      </c>
      <c r="I68">
        <v>123112</v>
      </c>
      <c r="J68" t="s">
        <v>117</v>
      </c>
      <c r="K68">
        <v>133.80000000000001</v>
      </c>
      <c r="L68" s="57">
        <v>0.11779999999999999</v>
      </c>
      <c r="M68" s="20">
        <v>2.45248</v>
      </c>
      <c r="N68" s="5" t="str">
        <f t="shared" ref="N68:N131" si="7">IF(ISNA(MATCH(I68,$A$3:$A$1000,0)),"未买","Yes")</f>
        <v>未买</v>
      </c>
      <c r="Q68" s="17">
        <v>66</v>
      </c>
    </row>
    <row r="69" spans="4:17" x14ac:dyDescent="0.15">
      <c r="D69" s="5"/>
      <c r="E69" s="5"/>
      <c r="H69" s="17">
        <v>67</v>
      </c>
      <c r="I69">
        <v>127006</v>
      </c>
      <c r="J69" t="s">
        <v>1758</v>
      </c>
      <c r="K69">
        <v>122.807</v>
      </c>
      <c r="L69" s="57">
        <v>0.11990000000000001</v>
      </c>
      <c r="M69" s="20">
        <v>24.072153</v>
      </c>
      <c r="N69" s="5" t="str">
        <f t="shared" si="7"/>
        <v>未买</v>
      </c>
      <c r="Q69" s="17">
        <v>67</v>
      </c>
    </row>
    <row r="70" spans="4:17" x14ac:dyDescent="0.15">
      <c r="D70" s="5"/>
      <c r="E70" s="5"/>
      <c r="H70" s="17">
        <v>68</v>
      </c>
      <c r="I70">
        <v>128017</v>
      </c>
      <c r="J70" t="s">
        <v>1859</v>
      </c>
      <c r="K70">
        <v>183.14599999999999</v>
      </c>
      <c r="L70" s="57">
        <v>0.12189999999999999</v>
      </c>
      <c r="M70" s="20">
        <v>5.5179169999999997</v>
      </c>
      <c r="N70" s="5" t="str">
        <f t="shared" si="7"/>
        <v>未买</v>
      </c>
      <c r="Q70" s="17">
        <v>68</v>
      </c>
    </row>
    <row r="71" spans="4:17" x14ac:dyDescent="0.15">
      <c r="D71" s="5"/>
      <c r="E71" s="5"/>
      <c r="H71" s="17">
        <v>69</v>
      </c>
      <c r="I71">
        <v>111004</v>
      </c>
      <c r="J71" t="s">
        <v>776</v>
      </c>
      <c r="K71">
        <v>132.72399999999999</v>
      </c>
      <c r="L71" s="57">
        <v>0.12210000000000001</v>
      </c>
      <c r="M71" s="20">
        <v>6.72966</v>
      </c>
      <c r="N71" s="5" t="str">
        <f t="shared" si="7"/>
        <v>未买</v>
      </c>
      <c r="Q71" s="17">
        <v>69</v>
      </c>
    </row>
    <row r="72" spans="4:17" x14ac:dyDescent="0.15">
      <c r="D72" s="5"/>
      <c r="E72" s="5"/>
      <c r="H72" s="17">
        <v>70</v>
      </c>
      <c r="I72">
        <v>128083</v>
      </c>
      <c r="J72" t="s">
        <v>169</v>
      </c>
      <c r="K72">
        <v>125.666</v>
      </c>
      <c r="L72" s="57">
        <v>0.1232</v>
      </c>
      <c r="M72" s="20">
        <v>8.7680919999999993</v>
      </c>
      <c r="N72" s="5" t="str">
        <f t="shared" si="7"/>
        <v>未买</v>
      </c>
      <c r="Q72" s="17">
        <v>70</v>
      </c>
    </row>
    <row r="73" spans="4:17" x14ac:dyDescent="0.15">
      <c r="D73" s="5"/>
      <c r="E73" s="5"/>
      <c r="H73" s="17">
        <v>71</v>
      </c>
      <c r="I73">
        <v>110063</v>
      </c>
      <c r="J73" t="s">
        <v>1724</v>
      </c>
      <c r="K73">
        <v>116.71599999999999</v>
      </c>
      <c r="L73" s="57">
        <v>0.125</v>
      </c>
      <c r="M73" s="20">
        <v>18.444610000000001</v>
      </c>
      <c r="N73" s="5" t="str">
        <f t="shared" si="7"/>
        <v>未买</v>
      </c>
      <c r="Q73" s="17">
        <v>71</v>
      </c>
    </row>
    <row r="74" spans="4:17" x14ac:dyDescent="0.15">
      <c r="D74" s="5"/>
      <c r="E74" s="5"/>
      <c r="H74" s="17">
        <v>72</v>
      </c>
      <c r="I74">
        <v>113634</v>
      </c>
      <c r="J74" t="s">
        <v>222</v>
      </c>
      <c r="K74">
        <v>136.203</v>
      </c>
      <c r="L74" s="57">
        <v>0.12529999999999999</v>
      </c>
      <c r="M74" s="20">
        <v>7.5093899999999998</v>
      </c>
      <c r="N74" s="5" t="str">
        <f t="shared" si="7"/>
        <v>未买</v>
      </c>
      <c r="Q74" s="17">
        <v>72</v>
      </c>
    </row>
    <row r="75" spans="4:17" x14ac:dyDescent="0.15">
      <c r="D75" s="5"/>
      <c r="E75" s="5"/>
      <c r="H75" s="17">
        <v>73</v>
      </c>
      <c r="I75">
        <v>110048</v>
      </c>
      <c r="J75" t="s">
        <v>1869</v>
      </c>
      <c r="K75">
        <v>165.613</v>
      </c>
      <c r="L75" s="57">
        <v>0.12570000000000001</v>
      </c>
      <c r="M75" s="20">
        <v>12.761749999999999</v>
      </c>
      <c r="N75" s="5" t="str">
        <f t="shared" si="7"/>
        <v>未买</v>
      </c>
      <c r="Q75" s="17">
        <v>73</v>
      </c>
    </row>
    <row r="76" spans="4:17" x14ac:dyDescent="0.15">
      <c r="D76" s="5"/>
      <c r="E76" s="5"/>
      <c r="H76" s="17">
        <v>74</v>
      </c>
      <c r="I76">
        <v>127064</v>
      </c>
      <c r="J76" t="s">
        <v>1909</v>
      </c>
      <c r="K76">
        <v>158.30000000000001</v>
      </c>
      <c r="L76" s="57">
        <v>0.12689999999999999</v>
      </c>
      <c r="M76" s="20">
        <v>11.37</v>
      </c>
      <c r="N76" s="5" t="str">
        <f t="shared" si="7"/>
        <v>未买</v>
      </c>
      <c r="Q76" s="17">
        <v>74</v>
      </c>
    </row>
    <row r="77" spans="4:17" x14ac:dyDescent="0.15">
      <c r="D77" s="5"/>
      <c r="E77" s="5"/>
      <c r="H77" s="17">
        <v>75</v>
      </c>
      <c r="I77">
        <v>111002</v>
      </c>
      <c r="J77" t="s">
        <v>219</v>
      </c>
      <c r="K77">
        <v>133.49299999999999</v>
      </c>
      <c r="L77" s="57">
        <v>0.12909999999999999</v>
      </c>
      <c r="M77" s="20">
        <v>6.6996799999999999</v>
      </c>
      <c r="N77" s="5" t="str">
        <f t="shared" si="7"/>
        <v>未买</v>
      </c>
      <c r="Q77" s="17">
        <v>75</v>
      </c>
    </row>
    <row r="78" spans="4:17" x14ac:dyDescent="0.15">
      <c r="D78" s="5"/>
      <c r="E78" s="5"/>
      <c r="H78" s="17">
        <v>76</v>
      </c>
      <c r="I78">
        <v>110047</v>
      </c>
      <c r="J78" t="s">
        <v>1729</v>
      </c>
      <c r="K78">
        <v>117.16200000000001</v>
      </c>
      <c r="L78" s="57">
        <v>0.1293</v>
      </c>
      <c r="M78" s="20">
        <v>22.461279999999999</v>
      </c>
      <c r="N78" s="5" t="str">
        <f t="shared" si="7"/>
        <v>未买</v>
      </c>
      <c r="Q78" s="17">
        <v>76</v>
      </c>
    </row>
    <row r="79" spans="4:17" x14ac:dyDescent="0.15">
      <c r="D79" s="5"/>
      <c r="E79" s="5"/>
      <c r="H79" s="17">
        <v>77</v>
      </c>
      <c r="I79">
        <v>113044</v>
      </c>
      <c r="J79" t="s">
        <v>1709</v>
      </c>
      <c r="K79">
        <v>109.297</v>
      </c>
      <c r="L79" s="57">
        <v>0.13</v>
      </c>
      <c r="M79" s="20">
        <v>319.98863999999998</v>
      </c>
      <c r="N79" s="5" t="str">
        <f t="shared" si="7"/>
        <v>未买</v>
      </c>
      <c r="Q79" s="17">
        <v>77</v>
      </c>
    </row>
    <row r="80" spans="4:17" x14ac:dyDescent="0.15">
      <c r="D80" s="5"/>
      <c r="E80" s="5"/>
      <c r="H80" s="17">
        <v>78</v>
      </c>
      <c r="I80">
        <v>113631</v>
      </c>
      <c r="J80" t="s">
        <v>199</v>
      </c>
      <c r="K80">
        <v>117.706</v>
      </c>
      <c r="L80" s="57">
        <v>0.13070000000000001</v>
      </c>
      <c r="M80" s="20">
        <v>9.2996700000000008</v>
      </c>
      <c r="N80" s="5" t="str">
        <f t="shared" si="7"/>
        <v>未买</v>
      </c>
      <c r="Q80" s="17">
        <v>78</v>
      </c>
    </row>
    <row r="81" spans="4:17" x14ac:dyDescent="0.15">
      <c r="D81" s="5"/>
      <c r="E81" s="5"/>
      <c r="H81" s="17">
        <v>79</v>
      </c>
      <c r="I81">
        <v>128082</v>
      </c>
      <c r="J81" t="s">
        <v>1880</v>
      </c>
      <c r="K81">
        <v>142.80000000000001</v>
      </c>
      <c r="L81" s="57">
        <v>0.13170000000000001</v>
      </c>
      <c r="M81" s="20">
        <v>2.025652</v>
      </c>
      <c r="N81" s="5" t="str">
        <f t="shared" si="7"/>
        <v>未买</v>
      </c>
      <c r="Q81" s="17">
        <v>79</v>
      </c>
    </row>
    <row r="82" spans="4:17" x14ac:dyDescent="0.15">
      <c r="D82" s="5"/>
      <c r="E82" s="5"/>
      <c r="H82" s="17">
        <v>80</v>
      </c>
      <c r="I82">
        <v>123156</v>
      </c>
      <c r="J82" t="s">
        <v>2047</v>
      </c>
      <c r="K82">
        <v>133.86500000000001</v>
      </c>
      <c r="L82" s="57">
        <v>0.13500000000000001</v>
      </c>
      <c r="M82" s="20">
        <v>3.97</v>
      </c>
      <c r="N82" s="5" t="str">
        <f t="shared" si="7"/>
        <v>未买</v>
      </c>
      <c r="Q82" s="17">
        <v>80</v>
      </c>
    </row>
    <row r="83" spans="4:17" x14ac:dyDescent="0.15">
      <c r="D83" s="5"/>
      <c r="E83" s="5"/>
      <c r="H83" s="17">
        <v>81</v>
      </c>
      <c r="I83">
        <v>127070</v>
      </c>
      <c r="J83" t="s">
        <v>2052</v>
      </c>
      <c r="K83">
        <v>148.999</v>
      </c>
      <c r="L83" s="57">
        <v>0.13830000000000001</v>
      </c>
      <c r="M83" s="20">
        <v>15.2</v>
      </c>
      <c r="N83" s="5" t="str">
        <f t="shared" si="7"/>
        <v>未买</v>
      </c>
      <c r="Q83" s="17">
        <v>81</v>
      </c>
    </row>
    <row r="84" spans="4:17" x14ac:dyDescent="0.15">
      <c r="D84" s="5"/>
      <c r="E84" s="5"/>
      <c r="H84" s="17">
        <v>82</v>
      </c>
      <c r="I84">
        <v>123046</v>
      </c>
      <c r="J84" t="s">
        <v>1875</v>
      </c>
      <c r="K84">
        <v>352.36799999999999</v>
      </c>
      <c r="L84" s="57">
        <v>0.1389</v>
      </c>
      <c r="M84" s="20">
        <v>0.58530099999999996</v>
      </c>
      <c r="N84" s="5" t="str">
        <f t="shared" si="7"/>
        <v>未买</v>
      </c>
      <c r="Q84" s="17">
        <v>82</v>
      </c>
    </row>
    <row r="85" spans="4:17" x14ac:dyDescent="0.15">
      <c r="D85" s="5"/>
      <c r="E85" s="5"/>
      <c r="H85" s="17">
        <v>83</v>
      </c>
      <c r="I85">
        <v>128130</v>
      </c>
      <c r="J85" t="s">
        <v>99</v>
      </c>
      <c r="K85">
        <v>117.301</v>
      </c>
      <c r="L85" s="57">
        <v>0.13949999999999999</v>
      </c>
      <c r="M85" s="20">
        <v>9.9866789999999988</v>
      </c>
      <c r="N85" s="5" t="str">
        <f t="shared" si="7"/>
        <v>未买</v>
      </c>
      <c r="Q85" s="17">
        <v>83</v>
      </c>
    </row>
    <row r="86" spans="4:17" x14ac:dyDescent="0.15">
      <c r="D86" s="5"/>
      <c r="E86" s="5"/>
      <c r="H86" s="17">
        <v>84</v>
      </c>
      <c r="I86">
        <v>118013</v>
      </c>
      <c r="J86" t="s">
        <v>1908</v>
      </c>
      <c r="K86">
        <v>135.21899999999999</v>
      </c>
      <c r="L86" s="57">
        <v>0.14099999999999999</v>
      </c>
      <c r="M86" s="20">
        <v>12.8</v>
      </c>
      <c r="N86" s="5" t="str">
        <f t="shared" si="7"/>
        <v>未买</v>
      </c>
      <c r="Q86" s="17">
        <v>84</v>
      </c>
    </row>
    <row r="87" spans="4:17" x14ac:dyDescent="0.15">
      <c r="D87" s="5"/>
      <c r="E87" s="5"/>
      <c r="H87" s="17">
        <v>85</v>
      </c>
      <c r="I87">
        <v>123162</v>
      </c>
      <c r="J87" t="s">
        <v>2044</v>
      </c>
      <c r="K87">
        <v>125.876</v>
      </c>
      <c r="L87" s="57">
        <v>0.1426</v>
      </c>
      <c r="M87" s="20">
        <v>5.7</v>
      </c>
      <c r="N87" s="5" t="str">
        <f t="shared" si="7"/>
        <v>未买</v>
      </c>
      <c r="Q87" s="17">
        <v>85</v>
      </c>
    </row>
    <row r="88" spans="4:17" x14ac:dyDescent="0.15">
      <c r="D88" s="5"/>
      <c r="E88" s="5"/>
      <c r="H88" s="17">
        <v>86</v>
      </c>
      <c r="I88">
        <v>123071</v>
      </c>
      <c r="J88" t="s">
        <v>2043</v>
      </c>
      <c r="K88">
        <v>134.631</v>
      </c>
      <c r="L88" s="57">
        <v>0.14429999999999998</v>
      </c>
      <c r="M88" s="20">
        <v>6.9414309999999997</v>
      </c>
      <c r="N88" s="5" t="str">
        <f t="shared" si="7"/>
        <v>未买</v>
      </c>
      <c r="Q88" s="17">
        <v>86</v>
      </c>
    </row>
    <row r="89" spans="4:17" x14ac:dyDescent="0.15">
      <c r="D89" s="5"/>
      <c r="E89" s="5"/>
      <c r="H89" s="17">
        <v>87</v>
      </c>
      <c r="I89">
        <v>127037</v>
      </c>
      <c r="J89" t="s">
        <v>2046</v>
      </c>
      <c r="K89">
        <v>141.69800000000001</v>
      </c>
      <c r="L89" s="57">
        <v>0.1467</v>
      </c>
      <c r="M89" s="20">
        <v>6.9951990000000004</v>
      </c>
      <c r="N89" s="5" t="str">
        <f t="shared" si="7"/>
        <v>未买</v>
      </c>
      <c r="Q89" s="17">
        <v>87</v>
      </c>
    </row>
    <row r="90" spans="4:17" x14ac:dyDescent="0.15">
      <c r="D90" s="5"/>
      <c r="E90" s="5"/>
      <c r="H90" s="17">
        <v>88</v>
      </c>
      <c r="I90">
        <v>127027</v>
      </c>
      <c r="J90" t="s">
        <v>211</v>
      </c>
      <c r="K90">
        <v>122.91500000000001</v>
      </c>
      <c r="L90" s="57">
        <v>0.1472</v>
      </c>
      <c r="M90" s="20">
        <v>19.465357000000001</v>
      </c>
      <c r="N90" s="5" t="str">
        <f t="shared" si="7"/>
        <v>未买</v>
      </c>
      <c r="Q90" s="17">
        <v>88</v>
      </c>
    </row>
    <row r="91" spans="4:17" x14ac:dyDescent="0.15">
      <c r="D91" s="5"/>
      <c r="E91" s="5"/>
      <c r="H91" s="17">
        <v>89</v>
      </c>
      <c r="I91">
        <v>113050</v>
      </c>
      <c r="J91" t="s">
        <v>1701</v>
      </c>
      <c r="K91">
        <v>116.83799999999999</v>
      </c>
      <c r="L91" s="57">
        <v>0.14929999999999999</v>
      </c>
      <c r="M91" s="20">
        <v>166.54132999999999</v>
      </c>
      <c r="N91" s="5" t="str">
        <f t="shared" si="7"/>
        <v>未买</v>
      </c>
      <c r="Q91" s="17">
        <v>89</v>
      </c>
    </row>
    <row r="92" spans="4:17" x14ac:dyDescent="0.15">
      <c r="D92" s="5"/>
      <c r="E92" s="5"/>
      <c r="H92" s="17">
        <v>90</v>
      </c>
      <c r="I92">
        <v>123114</v>
      </c>
      <c r="J92" t="s">
        <v>1860</v>
      </c>
      <c r="K92">
        <v>148.9</v>
      </c>
      <c r="L92" s="57">
        <v>0.152</v>
      </c>
      <c r="M92" s="20">
        <v>9.0080789999999986</v>
      </c>
      <c r="N92" s="5" t="str">
        <f t="shared" si="7"/>
        <v>未买</v>
      </c>
      <c r="Q92" s="17">
        <v>90</v>
      </c>
    </row>
    <row r="93" spans="4:17" x14ac:dyDescent="0.15">
      <c r="D93" s="5"/>
      <c r="E93" s="5"/>
      <c r="H93" s="17">
        <v>91</v>
      </c>
      <c r="I93">
        <v>111007</v>
      </c>
      <c r="J93" t="s">
        <v>2051</v>
      </c>
      <c r="K93">
        <v>147.779</v>
      </c>
      <c r="L93" s="57">
        <v>0.15240000000000001</v>
      </c>
      <c r="M93" s="20">
        <v>8</v>
      </c>
      <c r="N93" s="5" t="str">
        <f t="shared" si="7"/>
        <v>未买</v>
      </c>
      <c r="Q93" s="17">
        <v>91</v>
      </c>
    </row>
    <row r="94" spans="4:17" x14ac:dyDescent="0.15">
      <c r="D94" s="5"/>
      <c r="E94" s="5"/>
      <c r="H94" s="17">
        <v>92</v>
      </c>
      <c r="I94">
        <v>127038</v>
      </c>
      <c r="J94" t="s">
        <v>1872</v>
      </c>
      <c r="K94">
        <v>166.042</v>
      </c>
      <c r="L94" s="57">
        <v>0.15259999999999999</v>
      </c>
      <c r="M94" s="20">
        <v>14.935926</v>
      </c>
      <c r="N94" s="5" t="str">
        <f t="shared" si="7"/>
        <v>未买</v>
      </c>
      <c r="Q94" s="17">
        <v>92</v>
      </c>
    </row>
    <row r="95" spans="4:17" x14ac:dyDescent="0.15">
      <c r="D95" s="5"/>
      <c r="E95" s="5"/>
      <c r="H95" s="17">
        <v>93</v>
      </c>
      <c r="I95">
        <v>123118</v>
      </c>
      <c r="J95" t="s">
        <v>212</v>
      </c>
      <c r="K95">
        <v>137.499</v>
      </c>
      <c r="L95" s="57">
        <v>0.1532</v>
      </c>
      <c r="M95" s="20">
        <v>3.1992880000000001</v>
      </c>
      <c r="N95" s="5" t="str">
        <f t="shared" si="7"/>
        <v>未买</v>
      </c>
      <c r="Q95" s="17">
        <v>93</v>
      </c>
    </row>
    <row r="96" spans="4:17" x14ac:dyDescent="0.15">
      <c r="D96" s="5"/>
      <c r="E96" s="5"/>
      <c r="H96" s="17">
        <v>94</v>
      </c>
      <c r="I96">
        <v>128119</v>
      </c>
      <c r="J96" t="s">
        <v>216</v>
      </c>
      <c r="K96">
        <v>120.453</v>
      </c>
      <c r="L96" s="57">
        <v>0.1537</v>
      </c>
      <c r="M96" s="20">
        <v>9.4606110000000001</v>
      </c>
      <c r="N96" s="5" t="str">
        <f t="shared" si="7"/>
        <v>未买</v>
      </c>
      <c r="Q96" s="17">
        <v>94</v>
      </c>
    </row>
    <row r="97" spans="4:17" x14ac:dyDescent="0.15">
      <c r="D97" s="5"/>
      <c r="E97" s="5"/>
      <c r="H97" s="17">
        <v>95</v>
      </c>
      <c r="I97">
        <v>128048</v>
      </c>
      <c r="J97" t="s">
        <v>1703</v>
      </c>
      <c r="K97">
        <v>115.202</v>
      </c>
      <c r="L97" s="57">
        <v>0.15460000000000002</v>
      </c>
      <c r="M97" s="20">
        <v>24.970385</v>
      </c>
      <c r="N97" s="5" t="str">
        <f t="shared" si="7"/>
        <v>未买</v>
      </c>
      <c r="Q97" s="17">
        <v>95</v>
      </c>
    </row>
    <row r="98" spans="4:17" x14ac:dyDescent="0.15">
      <c r="D98" s="5"/>
      <c r="E98" s="5"/>
      <c r="H98" s="17">
        <v>96</v>
      </c>
      <c r="I98">
        <v>113595</v>
      </c>
      <c r="J98" t="s">
        <v>125</v>
      </c>
      <c r="K98">
        <v>112.68600000000001</v>
      </c>
      <c r="L98" s="57">
        <v>0.15529999999999999</v>
      </c>
      <c r="M98" s="20">
        <v>3.29758</v>
      </c>
      <c r="N98" s="5" t="str">
        <f t="shared" si="7"/>
        <v>未买</v>
      </c>
      <c r="Q98" s="17">
        <v>96</v>
      </c>
    </row>
    <row r="99" spans="4:17" x14ac:dyDescent="0.15">
      <c r="D99" s="5"/>
      <c r="E99" s="5"/>
      <c r="H99" s="17">
        <v>97</v>
      </c>
      <c r="I99">
        <v>123119</v>
      </c>
      <c r="J99" t="s">
        <v>1785</v>
      </c>
      <c r="K99">
        <v>130.31299999999999</v>
      </c>
      <c r="L99" s="57">
        <v>0.15609999999999999</v>
      </c>
      <c r="M99" s="20">
        <v>19.993981999999999</v>
      </c>
      <c r="N99" s="5" t="str">
        <f t="shared" si="7"/>
        <v>未买</v>
      </c>
      <c r="Q99" s="17">
        <v>97</v>
      </c>
    </row>
    <row r="100" spans="4:17" x14ac:dyDescent="0.15">
      <c r="D100" s="5"/>
      <c r="E100" s="5"/>
      <c r="H100" s="17">
        <v>98</v>
      </c>
      <c r="I100">
        <v>113027</v>
      </c>
      <c r="J100" t="s">
        <v>1867</v>
      </c>
      <c r="K100">
        <v>141.27600000000001</v>
      </c>
      <c r="L100" s="57">
        <v>0.15689999999999998</v>
      </c>
      <c r="M100" s="20">
        <v>2.3866999999999998</v>
      </c>
      <c r="N100" s="5" t="str">
        <f t="shared" si="7"/>
        <v>Yes</v>
      </c>
      <c r="Q100" s="17">
        <v>98</v>
      </c>
    </row>
    <row r="101" spans="4:17" x14ac:dyDescent="0.15">
      <c r="D101" s="5"/>
      <c r="E101" s="5"/>
      <c r="H101" s="17">
        <v>99</v>
      </c>
      <c r="I101">
        <v>127069</v>
      </c>
      <c r="J101" t="s">
        <v>2040</v>
      </c>
      <c r="K101">
        <v>134.5</v>
      </c>
      <c r="L101" s="57">
        <v>0.1573</v>
      </c>
      <c r="M101" s="20">
        <v>5.36</v>
      </c>
      <c r="N101" s="5" t="str">
        <f t="shared" si="7"/>
        <v>未买</v>
      </c>
      <c r="Q101" s="17">
        <v>99</v>
      </c>
    </row>
    <row r="102" spans="4:17" x14ac:dyDescent="0.15">
      <c r="H102" s="17">
        <v>100</v>
      </c>
      <c r="I102">
        <v>128133</v>
      </c>
      <c r="J102" t="s">
        <v>201</v>
      </c>
      <c r="K102">
        <v>125.78</v>
      </c>
      <c r="L102" s="57">
        <v>0.1578</v>
      </c>
      <c r="M102" s="20">
        <v>7.9940480000000003</v>
      </c>
      <c r="N102" s="5" t="str">
        <f t="shared" si="7"/>
        <v>未买</v>
      </c>
      <c r="Q102" s="17">
        <v>100</v>
      </c>
    </row>
    <row r="103" spans="4:17" x14ac:dyDescent="0.15">
      <c r="H103" s="17">
        <v>101</v>
      </c>
      <c r="I103">
        <v>128100</v>
      </c>
      <c r="J103" t="s">
        <v>48</v>
      </c>
      <c r="K103">
        <v>91.46</v>
      </c>
      <c r="L103" s="57">
        <v>0.16140000000000002</v>
      </c>
      <c r="M103" s="20">
        <v>7.9813140000000002</v>
      </c>
      <c r="N103" s="5" t="str">
        <f t="shared" si="7"/>
        <v>Yes</v>
      </c>
      <c r="Q103" s="17">
        <v>101</v>
      </c>
    </row>
    <row r="104" spans="4:17" x14ac:dyDescent="0.15">
      <c r="H104" s="17">
        <v>102</v>
      </c>
      <c r="I104">
        <v>113051</v>
      </c>
      <c r="J104" t="s">
        <v>1868</v>
      </c>
      <c r="K104">
        <v>128.73599999999999</v>
      </c>
      <c r="L104" s="57">
        <v>0.16239999999999999</v>
      </c>
      <c r="M104" s="20">
        <v>29.988759999999999</v>
      </c>
      <c r="N104" s="5" t="str">
        <f t="shared" si="7"/>
        <v>未买</v>
      </c>
      <c r="Q104" s="17">
        <v>102</v>
      </c>
    </row>
    <row r="105" spans="4:17" x14ac:dyDescent="0.15">
      <c r="H105" s="17">
        <v>103</v>
      </c>
      <c r="I105">
        <v>128145</v>
      </c>
      <c r="J105" t="s">
        <v>2045</v>
      </c>
      <c r="K105">
        <v>127.395</v>
      </c>
      <c r="L105" s="57">
        <v>0.16870000000000002</v>
      </c>
      <c r="M105" s="20">
        <v>3.7669199999999998</v>
      </c>
      <c r="N105" s="5" t="str">
        <f t="shared" si="7"/>
        <v>未买</v>
      </c>
      <c r="Q105" s="17">
        <v>103</v>
      </c>
    </row>
    <row r="106" spans="4:17" x14ac:dyDescent="0.15">
      <c r="H106" s="17">
        <v>104</v>
      </c>
      <c r="I106">
        <v>110079</v>
      </c>
      <c r="J106" t="s">
        <v>1708</v>
      </c>
      <c r="K106">
        <v>117.82</v>
      </c>
      <c r="L106" s="57">
        <v>0.17269999999999999</v>
      </c>
      <c r="M106" s="20">
        <v>149.98985999999999</v>
      </c>
      <c r="N106" s="5" t="str">
        <f t="shared" si="7"/>
        <v>未买</v>
      </c>
      <c r="Q106" s="17">
        <v>104</v>
      </c>
    </row>
    <row r="107" spans="4:17" x14ac:dyDescent="0.15">
      <c r="H107" s="17">
        <v>105</v>
      </c>
      <c r="I107">
        <v>110080</v>
      </c>
      <c r="J107" t="s">
        <v>206</v>
      </c>
      <c r="K107">
        <v>114.297</v>
      </c>
      <c r="L107" s="57">
        <v>0.17309999999999998</v>
      </c>
      <c r="M107" s="20">
        <v>15.491110000000001</v>
      </c>
      <c r="N107" s="5" t="str">
        <f t="shared" si="7"/>
        <v>未买</v>
      </c>
      <c r="Q107" s="17">
        <v>105</v>
      </c>
    </row>
    <row r="108" spans="4:17" x14ac:dyDescent="0.15">
      <c r="H108" s="17">
        <v>106</v>
      </c>
      <c r="I108">
        <v>110075</v>
      </c>
      <c r="J108" t="s">
        <v>1721</v>
      </c>
      <c r="K108">
        <v>133.30099999999999</v>
      </c>
      <c r="L108" s="57">
        <v>0.1739</v>
      </c>
      <c r="M108" s="20">
        <v>58.964179999999999</v>
      </c>
      <c r="N108" s="5" t="str">
        <f t="shared" si="7"/>
        <v>未买</v>
      </c>
      <c r="Q108" s="17">
        <v>106</v>
      </c>
    </row>
    <row r="109" spans="4:17" x14ac:dyDescent="0.15">
      <c r="H109" s="17">
        <v>107</v>
      </c>
      <c r="I109">
        <v>127029</v>
      </c>
      <c r="J109" t="s">
        <v>1705</v>
      </c>
      <c r="K109">
        <v>121.657</v>
      </c>
      <c r="L109" s="57">
        <v>0.17420000000000002</v>
      </c>
      <c r="M109" s="20">
        <v>8.1883850000000002</v>
      </c>
      <c r="N109" s="5" t="str">
        <f t="shared" si="7"/>
        <v>未买</v>
      </c>
      <c r="Q109" s="17">
        <v>107</v>
      </c>
    </row>
    <row r="110" spans="4:17" x14ac:dyDescent="0.15">
      <c r="H110" s="17">
        <v>108</v>
      </c>
      <c r="I110">
        <v>113055</v>
      </c>
      <c r="J110" t="s">
        <v>1707</v>
      </c>
      <c r="K110">
        <v>121.729</v>
      </c>
      <c r="L110" s="57">
        <v>0.17499999999999999</v>
      </c>
      <c r="M110" s="20">
        <v>69.963489999999993</v>
      </c>
      <c r="N110" s="5" t="str">
        <f t="shared" si="7"/>
        <v>未买</v>
      </c>
      <c r="Q110" s="17">
        <v>108</v>
      </c>
    </row>
    <row r="111" spans="4:17" x14ac:dyDescent="0.15">
      <c r="H111" s="17">
        <v>109</v>
      </c>
      <c r="I111">
        <v>110057</v>
      </c>
      <c r="J111" t="s">
        <v>1718</v>
      </c>
      <c r="K111">
        <v>118.336</v>
      </c>
      <c r="L111" s="57">
        <v>0.1772</v>
      </c>
      <c r="M111" s="20">
        <v>16.15483</v>
      </c>
      <c r="N111" s="5" t="str">
        <f t="shared" si="7"/>
        <v>未买</v>
      </c>
      <c r="Q111" s="17">
        <v>109</v>
      </c>
    </row>
    <row r="112" spans="4:17" x14ac:dyDescent="0.15">
      <c r="H112" s="17">
        <v>110</v>
      </c>
      <c r="I112">
        <v>127043</v>
      </c>
      <c r="J112" t="s">
        <v>1850</v>
      </c>
      <c r="K112">
        <v>129</v>
      </c>
      <c r="L112" s="57">
        <v>0.1784</v>
      </c>
      <c r="M112" s="20">
        <v>10.445142000000001</v>
      </c>
      <c r="N112" s="5" t="str">
        <f t="shared" si="7"/>
        <v>未买</v>
      </c>
      <c r="Q112" s="17">
        <v>110</v>
      </c>
    </row>
    <row r="113" spans="8:17" x14ac:dyDescent="0.15">
      <c r="H113" s="17">
        <v>111</v>
      </c>
      <c r="I113">
        <v>123052</v>
      </c>
      <c r="J113" t="s">
        <v>754</v>
      </c>
      <c r="K113">
        <v>138.785</v>
      </c>
      <c r="L113" s="57">
        <v>0.17949999999999999</v>
      </c>
      <c r="M113" s="20">
        <v>1.503649</v>
      </c>
      <c r="N113" s="5" t="str">
        <f t="shared" si="7"/>
        <v>Yes</v>
      </c>
      <c r="Q113" s="17">
        <v>111</v>
      </c>
    </row>
    <row r="114" spans="8:17" x14ac:dyDescent="0.15">
      <c r="H114" s="17">
        <v>112</v>
      </c>
      <c r="I114">
        <v>127032</v>
      </c>
      <c r="J114" t="s">
        <v>1730</v>
      </c>
      <c r="K114">
        <v>116.9</v>
      </c>
      <c r="L114" s="57">
        <v>0.18239999999999998</v>
      </c>
      <c r="M114" s="20">
        <v>49.995362</v>
      </c>
      <c r="N114" s="5" t="str">
        <f t="shared" si="7"/>
        <v>未买</v>
      </c>
      <c r="Q114" s="17">
        <v>112</v>
      </c>
    </row>
    <row r="115" spans="8:17" x14ac:dyDescent="0.15">
      <c r="H115" s="17">
        <v>113</v>
      </c>
      <c r="I115">
        <v>123125</v>
      </c>
      <c r="J115" t="s">
        <v>200</v>
      </c>
      <c r="K115">
        <v>130.01300000000001</v>
      </c>
      <c r="L115" s="57">
        <v>0.18260000000000001</v>
      </c>
      <c r="M115" s="20">
        <v>8.9983269999999997</v>
      </c>
      <c r="N115" s="5" t="str">
        <f t="shared" si="7"/>
        <v>未买</v>
      </c>
      <c r="Q115" s="17">
        <v>113</v>
      </c>
    </row>
    <row r="116" spans="8:17" x14ac:dyDescent="0.15">
      <c r="H116" s="17">
        <v>114</v>
      </c>
      <c r="I116">
        <v>128090</v>
      </c>
      <c r="J116" t="s">
        <v>113</v>
      </c>
      <c r="K116">
        <v>124.45</v>
      </c>
      <c r="L116" s="57">
        <v>0.183</v>
      </c>
      <c r="M116" s="20">
        <v>3.0987399999999998</v>
      </c>
      <c r="N116" s="5" t="str">
        <f t="shared" si="7"/>
        <v>未买</v>
      </c>
      <c r="Q116" s="17">
        <v>114</v>
      </c>
    </row>
    <row r="117" spans="8:17" x14ac:dyDescent="0.15">
      <c r="H117" s="17">
        <v>115</v>
      </c>
      <c r="I117">
        <v>128034</v>
      </c>
      <c r="J117" t="s">
        <v>1710</v>
      </c>
      <c r="K117">
        <v>111.253</v>
      </c>
      <c r="L117" s="57">
        <v>0.184</v>
      </c>
      <c r="M117" s="20">
        <v>17.579526999999999</v>
      </c>
      <c r="N117" s="5" t="str">
        <f t="shared" si="7"/>
        <v>未买</v>
      </c>
      <c r="Q117" s="17">
        <v>115</v>
      </c>
    </row>
    <row r="118" spans="8:17" x14ac:dyDescent="0.15">
      <c r="H118" s="17">
        <v>116</v>
      </c>
      <c r="I118">
        <v>127040</v>
      </c>
      <c r="J118" t="s">
        <v>1697</v>
      </c>
      <c r="K118">
        <v>117.2</v>
      </c>
      <c r="L118" s="57">
        <v>0.1855</v>
      </c>
      <c r="M118" s="20">
        <v>39.872905000000003</v>
      </c>
      <c r="N118" s="5" t="str">
        <f t="shared" si="7"/>
        <v>未买</v>
      </c>
      <c r="Q118" s="17">
        <v>116</v>
      </c>
    </row>
    <row r="119" spans="8:17" x14ac:dyDescent="0.15">
      <c r="H119" s="17">
        <v>117</v>
      </c>
      <c r="I119">
        <v>128037</v>
      </c>
      <c r="J119" t="s">
        <v>72</v>
      </c>
      <c r="K119">
        <v>115.96299999999999</v>
      </c>
      <c r="L119" s="57">
        <v>0.18640000000000001</v>
      </c>
      <c r="M119" s="20">
        <v>6.0191359999999996</v>
      </c>
      <c r="N119" s="5" t="str">
        <f t="shared" si="7"/>
        <v>Yes</v>
      </c>
      <c r="Q119" s="17">
        <v>117</v>
      </c>
    </row>
    <row r="120" spans="8:17" x14ac:dyDescent="0.15">
      <c r="H120" s="17">
        <v>118</v>
      </c>
      <c r="I120">
        <v>113621</v>
      </c>
      <c r="J120" t="s">
        <v>218</v>
      </c>
      <c r="K120">
        <v>140.42400000000001</v>
      </c>
      <c r="L120" s="57">
        <v>0.18739999999999998</v>
      </c>
      <c r="M120" s="20">
        <v>5.3667213466000003</v>
      </c>
      <c r="N120" s="5" t="str">
        <f t="shared" si="7"/>
        <v>未买</v>
      </c>
      <c r="Q120" s="17">
        <v>118</v>
      </c>
    </row>
    <row r="121" spans="8:17" x14ac:dyDescent="0.15">
      <c r="H121" s="17">
        <v>119</v>
      </c>
      <c r="I121">
        <v>123121</v>
      </c>
      <c r="J121" t="s">
        <v>1890</v>
      </c>
      <c r="K121">
        <v>134.68799999999999</v>
      </c>
      <c r="L121" s="57">
        <v>0.19109999999999999</v>
      </c>
      <c r="M121" s="20">
        <v>8.3093669999999999</v>
      </c>
      <c r="N121" s="5" t="str">
        <f t="shared" si="7"/>
        <v>未买</v>
      </c>
      <c r="Q121" s="17">
        <v>119</v>
      </c>
    </row>
    <row r="122" spans="8:17" x14ac:dyDescent="0.15">
      <c r="H122" s="17">
        <v>120</v>
      </c>
      <c r="I122">
        <v>127045</v>
      </c>
      <c r="J122" t="s">
        <v>1713</v>
      </c>
      <c r="K122">
        <v>118.52</v>
      </c>
      <c r="L122" s="57">
        <v>0.1918</v>
      </c>
      <c r="M122" s="20">
        <v>95.439631000000006</v>
      </c>
      <c r="N122" s="5" t="str">
        <f t="shared" si="7"/>
        <v>未买</v>
      </c>
      <c r="Q122" s="17">
        <v>120</v>
      </c>
    </row>
    <row r="123" spans="8:17" x14ac:dyDescent="0.15">
      <c r="H123" s="17">
        <v>121</v>
      </c>
      <c r="I123">
        <v>113637</v>
      </c>
      <c r="J123" t="s">
        <v>243</v>
      </c>
      <c r="K123">
        <v>125.08199999999999</v>
      </c>
      <c r="L123" s="57">
        <v>0.19190000000000002</v>
      </c>
      <c r="M123" s="20">
        <v>7.9979699999999996</v>
      </c>
      <c r="N123" s="5" t="str">
        <f t="shared" si="7"/>
        <v>未买</v>
      </c>
      <c r="Q123" s="17">
        <v>121</v>
      </c>
    </row>
    <row r="124" spans="8:17" x14ac:dyDescent="0.15">
      <c r="H124" s="17">
        <v>122</v>
      </c>
      <c r="I124">
        <v>123107</v>
      </c>
      <c r="J124" t="s">
        <v>2041</v>
      </c>
      <c r="K124">
        <v>119.08499999999999</v>
      </c>
      <c r="L124" s="57">
        <v>0.19219999999999998</v>
      </c>
      <c r="M124" s="20">
        <v>77.387197</v>
      </c>
      <c r="N124" s="5" t="str">
        <f t="shared" si="7"/>
        <v>未买</v>
      </c>
      <c r="Q124" s="17">
        <v>122</v>
      </c>
    </row>
    <row r="125" spans="8:17" x14ac:dyDescent="0.15">
      <c r="H125" s="17">
        <v>123</v>
      </c>
      <c r="I125">
        <v>127060</v>
      </c>
      <c r="J125" t="s">
        <v>1878</v>
      </c>
      <c r="K125">
        <v>121.965</v>
      </c>
      <c r="L125" s="57">
        <v>0.19329999999999997</v>
      </c>
      <c r="M125" s="20">
        <v>6.3996930000000001</v>
      </c>
      <c r="N125" s="5" t="str">
        <f t="shared" si="7"/>
        <v>未买</v>
      </c>
      <c r="Q125" s="17">
        <v>123</v>
      </c>
    </row>
    <row r="126" spans="8:17" x14ac:dyDescent="0.15">
      <c r="H126" s="17">
        <v>124</v>
      </c>
      <c r="I126">
        <v>123031</v>
      </c>
      <c r="J126" t="s">
        <v>1882</v>
      </c>
      <c r="K126">
        <v>341.04599999999999</v>
      </c>
      <c r="L126" s="57">
        <v>0.19350000000000001</v>
      </c>
      <c r="M126" s="20">
        <v>0.52919899999999997</v>
      </c>
      <c r="N126" s="5" t="str">
        <f t="shared" si="7"/>
        <v>未买</v>
      </c>
      <c r="Q126" s="17">
        <v>124</v>
      </c>
    </row>
    <row r="127" spans="8:17" x14ac:dyDescent="0.15">
      <c r="H127" s="17">
        <v>125</v>
      </c>
      <c r="I127">
        <v>110043</v>
      </c>
      <c r="J127" t="s">
        <v>1696</v>
      </c>
      <c r="K127">
        <v>111.45</v>
      </c>
      <c r="L127" s="57">
        <v>0.19359999999999999</v>
      </c>
      <c r="M127" s="20">
        <v>29.2133</v>
      </c>
      <c r="N127" s="5" t="str">
        <f t="shared" si="7"/>
        <v>未买</v>
      </c>
      <c r="Q127" s="17">
        <v>125</v>
      </c>
    </row>
    <row r="128" spans="8:17" x14ac:dyDescent="0.15">
      <c r="H128" s="17">
        <v>126</v>
      </c>
      <c r="I128">
        <v>127012</v>
      </c>
      <c r="J128" t="s">
        <v>1723</v>
      </c>
      <c r="K128">
        <v>113.355</v>
      </c>
      <c r="L128" s="57">
        <v>0.19409999999999999</v>
      </c>
      <c r="M128" s="20">
        <v>49.998221000000001</v>
      </c>
      <c r="N128" s="5" t="str">
        <f t="shared" si="7"/>
        <v>未买</v>
      </c>
      <c r="Q128" s="17">
        <v>126</v>
      </c>
    </row>
    <row r="129" spans="8:17" x14ac:dyDescent="0.15">
      <c r="H129" s="17">
        <v>127</v>
      </c>
      <c r="I129">
        <v>118021</v>
      </c>
      <c r="J129" t="s">
        <v>2056</v>
      </c>
      <c r="K129">
        <v>127.18300000000001</v>
      </c>
      <c r="L129" s="57">
        <v>0.1948</v>
      </c>
      <c r="M129" s="20">
        <v>4.8480999999999996</v>
      </c>
      <c r="N129" s="5" t="str">
        <f t="shared" si="7"/>
        <v>未买</v>
      </c>
      <c r="Q129" s="17">
        <v>127</v>
      </c>
    </row>
    <row r="130" spans="8:17" x14ac:dyDescent="0.15">
      <c r="H130" s="17">
        <v>128</v>
      </c>
      <c r="I130">
        <v>128021</v>
      </c>
      <c r="J130" t="s">
        <v>51</v>
      </c>
      <c r="K130">
        <v>124.4</v>
      </c>
      <c r="L130" s="57">
        <v>0.1956</v>
      </c>
      <c r="M130" s="20">
        <v>2.6515119999999999</v>
      </c>
      <c r="N130" s="5" t="str">
        <f t="shared" si="7"/>
        <v>未买</v>
      </c>
      <c r="Q130" s="17">
        <v>128</v>
      </c>
    </row>
    <row r="131" spans="8:17" x14ac:dyDescent="0.15">
      <c r="H131" s="17">
        <v>129</v>
      </c>
      <c r="I131">
        <v>127050</v>
      </c>
      <c r="J131" t="s">
        <v>1761</v>
      </c>
      <c r="K131">
        <v>126.65</v>
      </c>
      <c r="L131" s="57">
        <v>0.19640000000000002</v>
      </c>
      <c r="M131" s="20">
        <v>21.988821999999999</v>
      </c>
      <c r="N131" s="5" t="str">
        <f t="shared" si="7"/>
        <v>未买</v>
      </c>
      <c r="Q131" s="17">
        <v>129</v>
      </c>
    </row>
    <row r="132" spans="8:17" x14ac:dyDescent="0.15">
      <c r="H132" s="17">
        <v>130</v>
      </c>
      <c r="I132">
        <v>123063</v>
      </c>
      <c r="J132" t="s">
        <v>89</v>
      </c>
      <c r="K132">
        <v>120.26600000000001</v>
      </c>
      <c r="L132" s="57">
        <v>0.19760000000000003</v>
      </c>
      <c r="M132" s="20">
        <v>6.3456169999999998</v>
      </c>
      <c r="N132" s="5" t="str">
        <f t="shared" ref="N132:N195" si="8">IF(ISNA(MATCH(I132,$A$3:$A$1000,0)),"未买","Yes")</f>
        <v>未买</v>
      </c>
      <c r="Q132" s="17">
        <v>130</v>
      </c>
    </row>
    <row r="133" spans="8:17" x14ac:dyDescent="0.15">
      <c r="H133" s="17">
        <v>131</v>
      </c>
      <c r="I133">
        <v>113618</v>
      </c>
      <c r="J133" t="s">
        <v>1716</v>
      </c>
      <c r="K133">
        <v>138.80799999999999</v>
      </c>
      <c r="L133" s="57">
        <v>0.1986</v>
      </c>
      <c r="M133" s="20">
        <v>4.76905</v>
      </c>
      <c r="N133" s="5" t="str">
        <f t="shared" si="8"/>
        <v>未买</v>
      </c>
      <c r="Q133" s="17">
        <v>131</v>
      </c>
    </row>
    <row r="134" spans="8:17" x14ac:dyDescent="0.15">
      <c r="H134" s="17">
        <v>132</v>
      </c>
      <c r="I134">
        <v>113060</v>
      </c>
      <c r="J134" t="s">
        <v>1897</v>
      </c>
      <c r="K134">
        <v>124.898</v>
      </c>
      <c r="L134" s="57">
        <v>0.19899999999999998</v>
      </c>
      <c r="M134" s="20">
        <v>70</v>
      </c>
      <c r="N134" s="5" t="str">
        <f t="shared" si="8"/>
        <v>未买</v>
      </c>
      <c r="Q134" s="17">
        <v>132</v>
      </c>
    </row>
    <row r="135" spans="8:17" x14ac:dyDescent="0.15">
      <c r="H135" s="17">
        <v>133</v>
      </c>
      <c r="I135">
        <v>123147</v>
      </c>
      <c r="J135" t="s">
        <v>1879</v>
      </c>
      <c r="K135">
        <v>123.47</v>
      </c>
      <c r="L135" s="57">
        <v>0.20069999999999999</v>
      </c>
      <c r="M135" s="20">
        <v>5.7053700000000003</v>
      </c>
      <c r="N135" s="5" t="str">
        <f t="shared" si="8"/>
        <v>未买</v>
      </c>
      <c r="Q135" s="17">
        <v>133</v>
      </c>
    </row>
    <row r="136" spans="8:17" x14ac:dyDescent="0.15">
      <c r="H136" s="17">
        <v>134</v>
      </c>
      <c r="I136">
        <v>123141</v>
      </c>
      <c r="J136" t="s">
        <v>750</v>
      </c>
      <c r="K136">
        <v>123.35</v>
      </c>
      <c r="L136" s="57">
        <v>0.20219999999999999</v>
      </c>
      <c r="M136" s="20">
        <v>3.2117559999999998</v>
      </c>
      <c r="N136" s="5" t="str">
        <f t="shared" si="8"/>
        <v>未买</v>
      </c>
      <c r="Q136" s="17">
        <v>134</v>
      </c>
    </row>
    <row r="137" spans="8:17" x14ac:dyDescent="0.15">
      <c r="H137" s="17">
        <v>135</v>
      </c>
      <c r="I137">
        <v>128033</v>
      </c>
      <c r="J137" t="s">
        <v>68</v>
      </c>
      <c r="K137">
        <v>123.15</v>
      </c>
      <c r="L137" s="57">
        <v>0.2024</v>
      </c>
      <c r="M137" s="20">
        <v>2.9722949999999999</v>
      </c>
      <c r="N137" s="5" t="str">
        <f t="shared" si="8"/>
        <v>未买</v>
      </c>
      <c r="Q137" s="17">
        <v>135</v>
      </c>
    </row>
    <row r="138" spans="8:17" x14ac:dyDescent="0.15">
      <c r="H138" s="17">
        <v>136</v>
      </c>
      <c r="I138">
        <v>123150</v>
      </c>
      <c r="J138" t="s">
        <v>1900</v>
      </c>
      <c r="K138">
        <v>126.6</v>
      </c>
      <c r="L138" s="57">
        <v>0.20319999999999999</v>
      </c>
      <c r="M138" s="20">
        <v>11.39</v>
      </c>
      <c r="N138" s="5" t="str">
        <f t="shared" si="8"/>
        <v>未买</v>
      </c>
      <c r="Q138" s="17">
        <v>136</v>
      </c>
    </row>
    <row r="139" spans="8:17" x14ac:dyDescent="0.15">
      <c r="H139" s="17">
        <v>137</v>
      </c>
      <c r="I139">
        <v>127063</v>
      </c>
      <c r="J139" t="s">
        <v>1874</v>
      </c>
      <c r="K139">
        <v>121.679</v>
      </c>
      <c r="L139" s="57">
        <v>0.20370000000000002</v>
      </c>
      <c r="M139" s="20">
        <v>17.99944</v>
      </c>
      <c r="N139" s="5" t="str">
        <f t="shared" si="8"/>
        <v>未买</v>
      </c>
      <c r="Q139" s="17">
        <v>137</v>
      </c>
    </row>
    <row r="140" spans="8:17" x14ac:dyDescent="0.15">
      <c r="H140" s="17">
        <v>138</v>
      </c>
      <c r="I140">
        <v>113057</v>
      </c>
      <c r="J140" t="s">
        <v>1725</v>
      </c>
      <c r="K140">
        <v>117.755</v>
      </c>
      <c r="L140" s="57">
        <v>0.20430000000000001</v>
      </c>
      <c r="M140" s="20">
        <v>77.998199999999997</v>
      </c>
      <c r="N140" s="5" t="str">
        <f t="shared" si="8"/>
        <v>未买</v>
      </c>
      <c r="Q140" s="17">
        <v>138</v>
      </c>
    </row>
    <row r="141" spans="8:17" x14ac:dyDescent="0.15">
      <c r="H141" s="17">
        <v>139</v>
      </c>
      <c r="I141">
        <v>113632</v>
      </c>
      <c r="J141" t="s">
        <v>1790</v>
      </c>
      <c r="K141">
        <v>124.015</v>
      </c>
      <c r="L141" s="57">
        <v>0.20649999999999999</v>
      </c>
      <c r="M141" s="20">
        <v>20.499179999999999</v>
      </c>
      <c r="N141" s="5" t="str">
        <f t="shared" si="8"/>
        <v>未买</v>
      </c>
      <c r="Q141" s="17">
        <v>139</v>
      </c>
    </row>
    <row r="142" spans="8:17" x14ac:dyDescent="0.15">
      <c r="H142" s="17">
        <v>140</v>
      </c>
      <c r="I142">
        <v>123025</v>
      </c>
      <c r="J142" t="s">
        <v>66</v>
      </c>
      <c r="K142">
        <v>137.499</v>
      </c>
      <c r="L142" s="57">
        <v>0.20980000000000001</v>
      </c>
      <c r="M142" s="20">
        <v>3.0864560000000001</v>
      </c>
      <c r="N142" s="5" t="str">
        <f t="shared" si="8"/>
        <v>未买</v>
      </c>
      <c r="Q142" s="17">
        <v>140</v>
      </c>
    </row>
    <row r="143" spans="8:17" x14ac:dyDescent="0.15">
      <c r="H143" s="17">
        <v>141</v>
      </c>
      <c r="I143">
        <v>127035</v>
      </c>
      <c r="J143" t="s">
        <v>203</v>
      </c>
      <c r="K143">
        <v>120</v>
      </c>
      <c r="L143" s="57">
        <v>0.21100000000000002</v>
      </c>
      <c r="M143" s="20">
        <v>6.2618489999999998</v>
      </c>
      <c r="N143" s="5" t="str">
        <f t="shared" si="8"/>
        <v>未买</v>
      </c>
      <c r="Q143" s="17">
        <v>141</v>
      </c>
    </row>
    <row r="144" spans="8:17" x14ac:dyDescent="0.15">
      <c r="H144" s="17">
        <v>142</v>
      </c>
      <c r="I144">
        <v>128121</v>
      </c>
      <c r="J144" t="s">
        <v>47</v>
      </c>
      <c r="K144">
        <v>123.6</v>
      </c>
      <c r="L144" s="57">
        <v>0.21179999999999999</v>
      </c>
      <c r="M144" s="20">
        <v>6.6985720000000004</v>
      </c>
      <c r="N144" s="5" t="str">
        <f t="shared" si="8"/>
        <v>未买</v>
      </c>
      <c r="Q144" s="17">
        <v>142</v>
      </c>
    </row>
    <row r="145" spans="8:17" x14ac:dyDescent="0.15">
      <c r="H145" s="17">
        <v>143</v>
      </c>
      <c r="I145">
        <v>128075</v>
      </c>
      <c r="J145" t="s">
        <v>116</v>
      </c>
      <c r="K145">
        <v>117.6</v>
      </c>
      <c r="L145" s="57">
        <v>0.2132</v>
      </c>
      <c r="M145" s="20">
        <v>5.4374310000000001</v>
      </c>
      <c r="N145" s="5" t="str">
        <f t="shared" si="8"/>
        <v>未买</v>
      </c>
      <c r="Q145" s="17">
        <v>143</v>
      </c>
    </row>
    <row r="146" spans="8:17" x14ac:dyDescent="0.15">
      <c r="H146" s="17">
        <v>144</v>
      </c>
      <c r="I146">
        <v>113640</v>
      </c>
      <c r="J146" t="s">
        <v>744</v>
      </c>
      <c r="K146">
        <v>117.00700000000001</v>
      </c>
      <c r="L146" s="57">
        <v>0.2157</v>
      </c>
      <c r="M146" s="20">
        <v>9.5717300000000005</v>
      </c>
      <c r="N146" s="5" t="str">
        <f t="shared" si="8"/>
        <v>未买</v>
      </c>
      <c r="Q146" s="17">
        <v>144</v>
      </c>
    </row>
    <row r="147" spans="8:17" x14ac:dyDescent="0.15">
      <c r="H147" s="17">
        <v>145</v>
      </c>
      <c r="I147">
        <v>110090</v>
      </c>
      <c r="J147" t="s">
        <v>2042</v>
      </c>
      <c r="K147">
        <v>131.09399999999999</v>
      </c>
      <c r="L147" s="57">
        <v>0.2177</v>
      </c>
      <c r="M147" s="20">
        <v>15.7</v>
      </c>
      <c r="N147" s="5" t="str">
        <f t="shared" si="8"/>
        <v>未买</v>
      </c>
      <c r="Q147" s="17">
        <v>145</v>
      </c>
    </row>
    <row r="148" spans="8:17" x14ac:dyDescent="0.15">
      <c r="H148" s="17">
        <v>146</v>
      </c>
      <c r="I148">
        <v>123078</v>
      </c>
      <c r="J148" t="s">
        <v>2059</v>
      </c>
      <c r="K148">
        <v>145.65</v>
      </c>
      <c r="L148" s="57">
        <v>0.21879999999999999</v>
      </c>
      <c r="M148" s="20">
        <v>6.183573</v>
      </c>
      <c r="N148" s="5" t="str">
        <f t="shared" si="8"/>
        <v>未买</v>
      </c>
      <c r="Q148" s="17">
        <v>146</v>
      </c>
    </row>
    <row r="149" spans="8:17" x14ac:dyDescent="0.15">
      <c r="H149" s="17">
        <v>147</v>
      </c>
      <c r="I149">
        <v>127014</v>
      </c>
      <c r="J149" t="s">
        <v>2048</v>
      </c>
      <c r="K149">
        <v>129.4</v>
      </c>
      <c r="L149" s="57">
        <v>0.22039999999999998</v>
      </c>
      <c r="M149" s="20">
        <v>5.3440160000000008</v>
      </c>
      <c r="N149" s="5" t="str">
        <f t="shared" si="8"/>
        <v>未买</v>
      </c>
      <c r="Q149" s="17">
        <v>147</v>
      </c>
    </row>
    <row r="150" spans="8:17" x14ac:dyDescent="0.15">
      <c r="H150" s="17">
        <v>148</v>
      </c>
      <c r="I150">
        <v>127036</v>
      </c>
      <c r="J150" t="s">
        <v>2050</v>
      </c>
      <c r="K150">
        <v>127.5</v>
      </c>
      <c r="L150" s="57">
        <v>0.22109999999999999</v>
      </c>
      <c r="M150" s="20">
        <v>29.984491999999999</v>
      </c>
      <c r="N150" s="5" t="str">
        <f t="shared" si="8"/>
        <v>未买</v>
      </c>
      <c r="Q150" s="17">
        <v>148</v>
      </c>
    </row>
    <row r="151" spans="8:17" x14ac:dyDescent="0.15">
      <c r="H151" s="17">
        <v>149</v>
      </c>
      <c r="I151">
        <v>127049</v>
      </c>
      <c r="J151" t="s">
        <v>1717</v>
      </c>
      <c r="K151">
        <v>114.136</v>
      </c>
      <c r="L151" s="57">
        <v>0.22109999999999999</v>
      </c>
      <c r="M151" s="20">
        <v>81.436384000000004</v>
      </c>
      <c r="N151" s="5" t="str">
        <f t="shared" si="8"/>
        <v>未买</v>
      </c>
      <c r="Q151" s="17">
        <v>149</v>
      </c>
    </row>
    <row r="152" spans="8:17" x14ac:dyDescent="0.15">
      <c r="H152" s="17">
        <v>150</v>
      </c>
      <c r="I152">
        <v>123133</v>
      </c>
      <c r="J152" t="s">
        <v>248</v>
      </c>
      <c r="K152">
        <v>122.827</v>
      </c>
      <c r="L152" s="57">
        <v>0.22140000000000001</v>
      </c>
      <c r="M152" s="20">
        <v>7.1984700000000004</v>
      </c>
      <c r="N152" s="5" t="str">
        <f t="shared" si="8"/>
        <v>未买</v>
      </c>
      <c r="Q152" s="17">
        <v>150</v>
      </c>
    </row>
    <row r="153" spans="8:17" x14ac:dyDescent="0.15">
      <c r="H153" s="17">
        <v>151</v>
      </c>
      <c r="I153">
        <v>123146</v>
      </c>
      <c r="J153" t="s">
        <v>1715</v>
      </c>
      <c r="K153">
        <v>115.568</v>
      </c>
      <c r="L153" s="57">
        <v>0.22450000000000001</v>
      </c>
      <c r="M153" s="20">
        <v>8.6399000000000008</v>
      </c>
      <c r="N153" s="5" t="str">
        <f t="shared" si="8"/>
        <v>未买</v>
      </c>
      <c r="Q153" s="17">
        <v>151</v>
      </c>
    </row>
    <row r="154" spans="8:17" x14ac:dyDescent="0.15">
      <c r="H154" s="17">
        <v>152</v>
      </c>
      <c r="I154">
        <v>118009</v>
      </c>
      <c r="J154" t="s">
        <v>1917</v>
      </c>
      <c r="K154">
        <v>137.946</v>
      </c>
      <c r="L154" s="57">
        <v>0.22469999999999998</v>
      </c>
      <c r="M154" s="20">
        <v>4</v>
      </c>
      <c r="N154" s="5" t="str">
        <f t="shared" si="8"/>
        <v>未买</v>
      </c>
      <c r="Q154" s="17">
        <v>152</v>
      </c>
    </row>
    <row r="155" spans="8:17" x14ac:dyDescent="0.15">
      <c r="H155" s="17">
        <v>153</v>
      </c>
      <c r="I155">
        <v>123022</v>
      </c>
      <c r="J155" t="s">
        <v>1744</v>
      </c>
      <c r="K155">
        <v>135.50200000000001</v>
      </c>
      <c r="L155" s="57">
        <v>0.22820000000000001</v>
      </c>
      <c r="M155" s="20">
        <v>2.5625559999999998</v>
      </c>
      <c r="N155" s="5" t="str">
        <f t="shared" si="8"/>
        <v>未买</v>
      </c>
      <c r="Q155" s="17">
        <v>153</v>
      </c>
    </row>
    <row r="156" spans="8:17" x14ac:dyDescent="0.15">
      <c r="H156" s="17">
        <v>154</v>
      </c>
      <c r="I156">
        <v>127065</v>
      </c>
      <c r="J156" t="s">
        <v>1899</v>
      </c>
      <c r="K156">
        <v>167.5</v>
      </c>
      <c r="L156" s="57">
        <v>0.23</v>
      </c>
      <c r="M156" s="20">
        <v>4.3979999999999997</v>
      </c>
      <c r="N156" s="5" t="str">
        <f t="shared" si="8"/>
        <v>未买</v>
      </c>
      <c r="Q156" s="17">
        <v>154</v>
      </c>
    </row>
    <row r="157" spans="8:17" x14ac:dyDescent="0.15">
      <c r="H157" s="17">
        <v>155</v>
      </c>
      <c r="I157">
        <v>123130</v>
      </c>
      <c r="J157" t="s">
        <v>70</v>
      </c>
      <c r="K157">
        <v>124.018</v>
      </c>
      <c r="L157" s="57">
        <v>0.23219999999999999</v>
      </c>
      <c r="M157" s="20">
        <v>3.7553939999999999</v>
      </c>
      <c r="N157" s="5" t="str">
        <f t="shared" si="8"/>
        <v>未买</v>
      </c>
      <c r="Q157" s="17">
        <v>155</v>
      </c>
    </row>
    <row r="158" spans="8:17" x14ac:dyDescent="0.15">
      <c r="H158" s="17">
        <v>156</v>
      </c>
      <c r="I158">
        <v>128042</v>
      </c>
      <c r="J158" t="s">
        <v>184</v>
      </c>
      <c r="K158">
        <v>121.999</v>
      </c>
      <c r="L158" s="57">
        <v>0.2334</v>
      </c>
      <c r="M158" s="20">
        <v>4.1542519999999996</v>
      </c>
      <c r="N158" s="5" t="str">
        <f t="shared" si="8"/>
        <v>未买</v>
      </c>
      <c r="Q158" s="17">
        <v>156</v>
      </c>
    </row>
    <row r="159" spans="8:17" x14ac:dyDescent="0.15">
      <c r="H159" s="17">
        <v>157</v>
      </c>
      <c r="I159">
        <v>110055</v>
      </c>
      <c r="J159" t="s">
        <v>1865</v>
      </c>
      <c r="K159">
        <v>175.94</v>
      </c>
      <c r="L159" s="57">
        <v>0.2341</v>
      </c>
      <c r="M159" s="20">
        <v>2.43445</v>
      </c>
      <c r="N159" s="5" t="str">
        <f t="shared" si="8"/>
        <v>未买</v>
      </c>
      <c r="Q159" s="17">
        <v>157</v>
      </c>
    </row>
    <row r="160" spans="8:17" x14ac:dyDescent="0.15">
      <c r="H160" s="17">
        <v>158</v>
      </c>
      <c r="I160">
        <v>128066</v>
      </c>
      <c r="J160" t="s">
        <v>95</v>
      </c>
      <c r="K160">
        <v>114.619</v>
      </c>
      <c r="L160" s="57">
        <v>0.2349</v>
      </c>
      <c r="M160" s="20">
        <v>4.6105019999999994</v>
      </c>
      <c r="N160" s="5" t="str">
        <f t="shared" si="8"/>
        <v>Yes</v>
      </c>
      <c r="Q160" s="17">
        <v>158</v>
      </c>
    </row>
    <row r="161" spans="8:17" x14ac:dyDescent="0.15">
      <c r="H161" s="17">
        <v>159</v>
      </c>
      <c r="I161">
        <v>118022</v>
      </c>
      <c r="J161" t="s">
        <v>2053</v>
      </c>
      <c r="K161">
        <v>123.19</v>
      </c>
      <c r="L161" s="57">
        <v>0.2359</v>
      </c>
      <c r="M161" s="20">
        <v>32.5</v>
      </c>
      <c r="N161" s="5" t="str">
        <f t="shared" si="8"/>
        <v>未买</v>
      </c>
      <c r="Q161" s="17">
        <v>159</v>
      </c>
    </row>
    <row r="162" spans="8:17" x14ac:dyDescent="0.15">
      <c r="H162" s="17">
        <v>160</v>
      </c>
      <c r="I162">
        <v>118016</v>
      </c>
      <c r="J162" t="s">
        <v>2054</v>
      </c>
      <c r="K162">
        <v>118.902</v>
      </c>
      <c r="L162" s="57">
        <v>0.2361</v>
      </c>
      <c r="M162" s="20">
        <v>3.3250000000000002</v>
      </c>
      <c r="N162" s="5" t="str">
        <f t="shared" si="8"/>
        <v>未买</v>
      </c>
      <c r="Q162" s="17">
        <v>160</v>
      </c>
    </row>
    <row r="163" spans="8:17" x14ac:dyDescent="0.15">
      <c r="H163" s="17">
        <v>161</v>
      </c>
      <c r="I163">
        <v>113011</v>
      </c>
      <c r="J163" t="s">
        <v>1711</v>
      </c>
      <c r="K163">
        <v>104.358</v>
      </c>
      <c r="L163" s="57">
        <v>0.2397</v>
      </c>
      <c r="M163" s="20">
        <v>241.98827</v>
      </c>
      <c r="N163" s="5" t="str">
        <f t="shared" si="8"/>
        <v>未买</v>
      </c>
      <c r="Q163" s="17">
        <v>161</v>
      </c>
    </row>
    <row r="164" spans="8:17" x14ac:dyDescent="0.15">
      <c r="H164" s="17">
        <v>162</v>
      </c>
      <c r="I164">
        <v>113545</v>
      </c>
      <c r="J164" t="s">
        <v>83</v>
      </c>
      <c r="K164">
        <v>117.88500000000001</v>
      </c>
      <c r="L164" s="57">
        <v>0.2404</v>
      </c>
      <c r="M164" s="20">
        <v>9.8652700000000006</v>
      </c>
      <c r="N164" s="5" t="str">
        <f t="shared" si="8"/>
        <v>未买</v>
      </c>
      <c r="Q164" s="17">
        <v>162</v>
      </c>
    </row>
    <row r="165" spans="8:17" x14ac:dyDescent="0.15">
      <c r="H165" s="17">
        <v>163</v>
      </c>
      <c r="I165">
        <v>127016</v>
      </c>
      <c r="J165" t="s">
        <v>1735</v>
      </c>
      <c r="K165">
        <v>114.73</v>
      </c>
      <c r="L165" s="57">
        <v>0.2457</v>
      </c>
      <c r="M165" s="20">
        <v>13.998524</v>
      </c>
      <c r="N165" s="5" t="str">
        <f t="shared" si="8"/>
        <v>未买</v>
      </c>
      <c r="Q165" s="17">
        <v>163</v>
      </c>
    </row>
    <row r="166" spans="8:17" x14ac:dyDescent="0.15">
      <c r="H166" s="17">
        <v>164</v>
      </c>
      <c r="I166">
        <v>123090</v>
      </c>
      <c r="J166" t="s">
        <v>163</v>
      </c>
      <c r="K166">
        <v>128.06</v>
      </c>
      <c r="L166" s="57">
        <v>0.24679999999999999</v>
      </c>
      <c r="M166" s="20">
        <v>4.9994680000000002</v>
      </c>
      <c r="N166" s="5" t="str">
        <f t="shared" si="8"/>
        <v>未买</v>
      </c>
      <c r="Q166" s="17">
        <v>164</v>
      </c>
    </row>
    <row r="167" spans="8:17" x14ac:dyDescent="0.15">
      <c r="H167" s="17">
        <v>165</v>
      </c>
      <c r="I167">
        <v>113033</v>
      </c>
      <c r="J167" t="s">
        <v>88</v>
      </c>
      <c r="K167">
        <v>105.47799999999999</v>
      </c>
      <c r="L167" s="57">
        <v>0.2505</v>
      </c>
      <c r="M167" s="20">
        <v>17.997959999999999</v>
      </c>
      <c r="N167" s="5" t="str">
        <f t="shared" si="8"/>
        <v>未买</v>
      </c>
      <c r="Q167" s="17">
        <v>165</v>
      </c>
    </row>
    <row r="168" spans="8:17" x14ac:dyDescent="0.15">
      <c r="H168" s="17">
        <v>166</v>
      </c>
      <c r="I168">
        <v>127020</v>
      </c>
      <c r="J168" t="s">
        <v>1722</v>
      </c>
      <c r="K168">
        <v>114.1</v>
      </c>
      <c r="L168" s="57">
        <v>0.25120000000000003</v>
      </c>
      <c r="M168" s="20">
        <v>30.227889999999999</v>
      </c>
      <c r="N168" s="5" t="str">
        <f t="shared" si="8"/>
        <v>未买</v>
      </c>
      <c r="Q168" s="17">
        <v>166</v>
      </c>
    </row>
    <row r="169" spans="8:17" x14ac:dyDescent="0.15">
      <c r="H169" s="17">
        <v>167</v>
      </c>
      <c r="I169">
        <v>128079</v>
      </c>
      <c r="J169" t="s">
        <v>92</v>
      </c>
      <c r="K169">
        <v>134.5</v>
      </c>
      <c r="L169" s="57">
        <v>0.25280000000000002</v>
      </c>
      <c r="M169" s="20">
        <v>1.519339</v>
      </c>
      <c r="N169" s="5" t="str">
        <f t="shared" si="8"/>
        <v>未买</v>
      </c>
      <c r="Q169" s="17">
        <v>167</v>
      </c>
    </row>
    <row r="170" spans="8:17" x14ac:dyDescent="0.15">
      <c r="H170" s="17">
        <v>168</v>
      </c>
      <c r="I170">
        <v>113654</v>
      </c>
      <c r="J170" t="s">
        <v>2055</v>
      </c>
      <c r="K170">
        <v>129.226</v>
      </c>
      <c r="L170" s="57">
        <v>0.253</v>
      </c>
      <c r="M170" s="20">
        <v>6.1054700000000004</v>
      </c>
      <c r="N170" s="5" t="str">
        <f t="shared" si="8"/>
        <v>未买</v>
      </c>
      <c r="Q170" s="17">
        <v>168</v>
      </c>
    </row>
    <row r="171" spans="8:17" x14ac:dyDescent="0.15">
      <c r="H171" s="17">
        <v>169</v>
      </c>
      <c r="I171">
        <v>128137</v>
      </c>
      <c r="J171" t="s">
        <v>1911</v>
      </c>
      <c r="K171">
        <v>126.259</v>
      </c>
      <c r="L171" s="57">
        <v>0.25480000000000003</v>
      </c>
      <c r="M171" s="20">
        <v>5.9940619999999996</v>
      </c>
      <c r="N171" s="5" t="str">
        <f t="shared" si="8"/>
        <v>未买</v>
      </c>
      <c r="Q171" s="17">
        <v>169</v>
      </c>
    </row>
    <row r="172" spans="8:17" x14ac:dyDescent="0.15">
      <c r="H172" s="17">
        <v>170</v>
      </c>
      <c r="I172">
        <v>113058</v>
      </c>
      <c r="J172" t="s">
        <v>1733</v>
      </c>
      <c r="K172">
        <v>110.664</v>
      </c>
      <c r="L172" s="57">
        <v>0.25600000000000001</v>
      </c>
      <c r="M172" s="20">
        <v>19.999960000000002</v>
      </c>
      <c r="N172" s="5" t="str">
        <f t="shared" si="8"/>
        <v>未买</v>
      </c>
      <c r="Q172" s="17">
        <v>170</v>
      </c>
    </row>
    <row r="173" spans="8:17" x14ac:dyDescent="0.15">
      <c r="H173" s="17">
        <v>171</v>
      </c>
      <c r="I173">
        <v>123044</v>
      </c>
      <c r="J173" t="s">
        <v>150</v>
      </c>
      <c r="K173">
        <v>121.25</v>
      </c>
      <c r="L173" s="57">
        <v>0.25700000000000001</v>
      </c>
      <c r="M173" s="20">
        <v>5.4958799999999997</v>
      </c>
      <c r="N173" s="5" t="str">
        <f t="shared" si="8"/>
        <v>未买</v>
      </c>
      <c r="Q173" s="17">
        <v>171</v>
      </c>
    </row>
    <row r="174" spans="8:17" x14ac:dyDescent="0.15">
      <c r="H174" s="17">
        <v>172</v>
      </c>
      <c r="I174">
        <v>127039</v>
      </c>
      <c r="J174" t="s">
        <v>1714</v>
      </c>
      <c r="K174">
        <v>115.9</v>
      </c>
      <c r="L174" s="57">
        <v>0.25750000000000001</v>
      </c>
      <c r="M174" s="20">
        <v>17.630973999999998</v>
      </c>
      <c r="N174" s="5" t="str">
        <f t="shared" si="8"/>
        <v>未买</v>
      </c>
      <c r="Q174" s="17">
        <v>172</v>
      </c>
    </row>
    <row r="175" spans="8:17" x14ac:dyDescent="0.15">
      <c r="H175" s="17">
        <v>173</v>
      </c>
      <c r="I175">
        <v>113017</v>
      </c>
      <c r="J175" t="s">
        <v>102</v>
      </c>
      <c r="K175">
        <v>110.126</v>
      </c>
      <c r="L175" s="57">
        <v>0.25940000000000002</v>
      </c>
      <c r="M175" s="20">
        <v>11.349740000000001</v>
      </c>
      <c r="N175" s="5" t="str">
        <f t="shared" si="8"/>
        <v>未买</v>
      </c>
      <c r="Q175" s="17">
        <v>173</v>
      </c>
    </row>
    <row r="176" spans="8:17" x14ac:dyDescent="0.15">
      <c r="H176" s="17">
        <v>174</v>
      </c>
      <c r="I176">
        <v>128044</v>
      </c>
      <c r="J176" t="s">
        <v>121</v>
      </c>
      <c r="K176">
        <v>110.92100000000001</v>
      </c>
      <c r="L176" s="57">
        <v>0.25980000000000003</v>
      </c>
      <c r="M176" s="20">
        <v>6.5723700000000003</v>
      </c>
      <c r="N176" s="5" t="str">
        <f t="shared" si="8"/>
        <v>未买</v>
      </c>
      <c r="Q176" s="17">
        <v>174</v>
      </c>
    </row>
    <row r="177" spans="8:17" x14ac:dyDescent="0.15">
      <c r="H177" s="17">
        <v>175</v>
      </c>
      <c r="I177">
        <v>113062</v>
      </c>
      <c r="J177" t="s">
        <v>2060</v>
      </c>
      <c r="K177">
        <v>112.78400000000001</v>
      </c>
      <c r="L177" s="57">
        <v>0.26039999999999996</v>
      </c>
      <c r="M177" s="20">
        <v>60</v>
      </c>
      <c r="N177" s="5" t="str">
        <f t="shared" si="8"/>
        <v>未买</v>
      </c>
      <c r="Q177" s="17">
        <v>175</v>
      </c>
    </row>
    <row r="178" spans="8:17" x14ac:dyDescent="0.15">
      <c r="H178" s="17">
        <v>176</v>
      </c>
      <c r="I178">
        <v>127059</v>
      </c>
      <c r="J178" t="s">
        <v>1773</v>
      </c>
      <c r="K178">
        <v>126.76</v>
      </c>
      <c r="L178" s="57">
        <v>0.26319999999999999</v>
      </c>
      <c r="M178" s="20">
        <v>3.7984769999999992</v>
      </c>
      <c r="N178" s="5" t="str">
        <f t="shared" si="8"/>
        <v>未买</v>
      </c>
      <c r="Q178" s="17">
        <v>176</v>
      </c>
    </row>
    <row r="179" spans="8:17" x14ac:dyDescent="0.15">
      <c r="H179" s="17">
        <v>177</v>
      </c>
      <c r="I179">
        <v>128049</v>
      </c>
      <c r="J179" t="s">
        <v>182</v>
      </c>
      <c r="K179">
        <v>114.908</v>
      </c>
      <c r="L179" s="57">
        <v>0.26769999999999999</v>
      </c>
      <c r="M179" s="20">
        <v>3.6314389999999999</v>
      </c>
      <c r="N179" s="5" t="str">
        <f t="shared" si="8"/>
        <v>未买</v>
      </c>
      <c r="Q179" s="17">
        <v>177</v>
      </c>
    </row>
    <row r="180" spans="8:17" x14ac:dyDescent="0.15">
      <c r="H180" s="17">
        <v>178</v>
      </c>
      <c r="I180">
        <v>113532</v>
      </c>
      <c r="J180" t="s">
        <v>179</v>
      </c>
      <c r="K180">
        <v>113.123</v>
      </c>
      <c r="L180" s="57">
        <v>0.27</v>
      </c>
      <c r="M180" s="20">
        <v>4.5854699999999999</v>
      </c>
      <c r="N180" s="5" t="str">
        <f t="shared" si="8"/>
        <v>未买</v>
      </c>
      <c r="Q180" s="17">
        <v>178</v>
      </c>
    </row>
    <row r="181" spans="8:17" x14ac:dyDescent="0.15">
      <c r="H181" s="17">
        <v>179</v>
      </c>
      <c r="I181">
        <v>118019</v>
      </c>
      <c r="J181" t="s">
        <v>2069</v>
      </c>
      <c r="K181">
        <v>137.82400000000001</v>
      </c>
      <c r="L181" s="57">
        <v>0.2707</v>
      </c>
      <c r="M181" s="20">
        <v>9.7670200000000005</v>
      </c>
      <c r="N181" s="5" t="str">
        <f t="shared" si="8"/>
        <v>未买</v>
      </c>
      <c r="Q181" s="17">
        <v>179</v>
      </c>
    </row>
    <row r="182" spans="8:17" x14ac:dyDescent="0.15">
      <c r="H182" s="17">
        <v>180</v>
      </c>
      <c r="I182">
        <v>113594</v>
      </c>
      <c r="J182" t="s">
        <v>75</v>
      </c>
      <c r="K182">
        <v>130.46199999999999</v>
      </c>
      <c r="L182" s="57">
        <v>0.27079999999999999</v>
      </c>
      <c r="M182" s="20">
        <v>2.9973999999999998</v>
      </c>
      <c r="N182" s="5" t="str">
        <f t="shared" si="8"/>
        <v>未买</v>
      </c>
      <c r="Q182" s="17">
        <v>180</v>
      </c>
    </row>
    <row r="183" spans="8:17" x14ac:dyDescent="0.15">
      <c r="H183" s="17">
        <v>181</v>
      </c>
      <c r="I183">
        <v>113549</v>
      </c>
      <c r="J183" t="s">
        <v>96</v>
      </c>
      <c r="K183">
        <v>114.996</v>
      </c>
      <c r="L183" s="57">
        <v>0.27110000000000001</v>
      </c>
      <c r="M183" s="20">
        <v>8.0468299999999999</v>
      </c>
      <c r="N183" s="5" t="str">
        <f t="shared" si="8"/>
        <v>未买</v>
      </c>
      <c r="Q183" s="17">
        <v>181</v>
      </c>
    </row>
    <row r="184" spans="8:17" x14ac:dyDescent="0.15">
      <c r="H184" s="17">
        <v>182</v>
      </c>
      <c r="I184">
        <v>128134</v>
      </c>
      <c r="J184" t="s">
        <v>1731</v>
      </c>
      <c r="K184">
        <v>126.404</v>
      </c>
      <c r="L184" s="57">
        <v>0.2717</v>
      </c>
      <c r="M184" s="20">
        <v>15.728154999999999</v>
      </c>
      <c r="N184" s="5" t="str">
        <f t="shared" si="8"/>
        <v>未买</v>
      </c>
      <c r="Q184" s="17">
        <v>182</v>
      </c>
    </row>
    <row r="185" spans="8:17" x14ac:dyDescent="0.15">
      <c r="H185" s="17">
        <v>183</v>
      </c>
      <c r="I185">
        <v>127030</v>
      </c>
      <c r="J185" t="s">
        <v>1893</v>
      </c>
      <c r="K185">
        <v>126.18</v>
      </c>
      <c r="L185" s="57">
        <v>0.2722</v>
      </c>
      <c r="M185" s="20">
        <v>49.980428000000003</v>
      </c>
      <c r="N185" s="5" t="str">
        <f t="shared" si="8"/>
        <v>Yes</v>
      </c>
      <c r="Q185" s="17">
        <v>183</v>
      </c>
    </row>
    <row r="186" spans="8:17" x14ac:dyDescent="0.15">
      <c r="H186" s="17">
        <v>184</v>
      </c>
      <c r="I186">
        <v>113526</v>
      </c>
      <c r="J186" t="s">
        <v>128</v>
      </c>
      <c r="K186">
        <v>127.498</v>
      </c>
      <c r="L186" s="57">
        <v>0.27279999999999999</v>
      </c>
      <c r="M186" s="20">
        <v>1.92781</v>
      </c>
      <c r="N186" s="5" t="str">
        <f t="shared" si="8"/>
        <v>Yes</v>
      </c>
      <c r="Q186" s="17">
        <v>184</v>
      </c>
    </row>
    <row r="187" spans="8:17" x14ac:dyDescent="0.15">
      <c r="H187" s="17">
        <v>185</v>
      </c>
      <c r="I187">
        <v>123103</v>
      </c>
      <c r="J187" t="s">
        <v>778</v>
      </c>
      <c r="K187">
        <v>129.1</v>
      </c>
      <c r="L187" s="57">
        <v>0.27410000000000001</v>
      </c>
      <c r="M187" s="20">
        <v>2.494443</v>
      </c>
      <c r="N187" s="5" t="str">
        <f t="shared" si="8"/>
        <v>未买</v>
      </c>
      <c r="Q187" s="17">
        <v>185</v>
      </c>
    </row>
    <row r="188" spans="8:17" x14ac:dyDescent="0.15">
      <c r="H188" s="17">
        <v>186</v>
      </c>
      <c r="I188">
        <v>113516</v>
      </c>
      <c r="J188" t="s">
        <v>1719</v>
      </c>
      <c r="K188">
        <v>111.422</v>
      </c>
      <c r="L188" s="57">
        <v>0.27589999999999998</v>
      </c>
      <c r="M188" s="20">
        <v>12.88593</v>
      </c>
      <c r="N188" s="5" t="str">
        <f t="shared" si="8"/>
        <v>未买</v>
      </c>
      <c r="Q188" s="17">
        <v>186</v>
      </c>
    </row>
    <row r="189" spans="8:17" x14ac:dyDescent="0.15">
      <c r="H189" s="17">
        <v>187</v>
      </c>
      <c r="I189">
        <v>118003</v>
      </c>
      <c r="J189" t="s">
        <v>223</v>
      </c>
      <c r="K189">
        <v>127.5</v>
      </c>
      <c r="L189" s="57">
        <v>0.27699999999999997</v>
      </c>
      <c r="M189" s="20">
        <v>7.99892</v>
      </c>
      <c r="N189" s="5" t="str">
        <f t="shared" si="8"/>
        <v>未买</v>
      </c>
      <c r="Q189" s="17">
        <v>187</v>
      </c>
    </row>
    <row r="190" spans="8:17" x14ac:dyDescent="0.15">
      <c r="H190" s="17">
        <v>188</v>
      </c>
      <c r="I190">
        <v>113045</v>
      </c>
      <c r="J190" t="s">
        <v>1771</v>
      </c>
      <c r="K190">
        <v>116.851</v>
      </c>
      <c r="L190" s="57">
        <v>0.27710000000000001</v>
      </c>
      <c r="M190" s="20">
        <v>34.499319999999997</v>
      </c>
      <c r="N190" s="5" t="str">
        <f t="shared" si="8"/>
        <v>未买</v>
      </c>
      <c r="Q190" s="17">
        <v>188</v>
      </c>
    </row>
    <row r="191" spans="8:17" x14ac:dyDescent="0.15">
      <c r="H191" s="17">
        <v>189</v>
      </c>
      <c r="I191">
        <v>113577</v>
      </c>
      <c r="J191" t="s">
        <v>107</v>
      </c>
      <c r="K191">
        <v>129.58099999999999</v>
      </c>
      <c r="L191" s="57">
        <v>0.28029999999999999</v>
      </c>
      <c r="M191" s="20">
        <v>1.7774799999999999</v>
      </c>
      <c r="N191" s="5" t="str">
        <f t="shared" si="8"/>
        <v>未买</v>
      </c>
      <c r="Q191" s="17">
        <v>189</v>
      </c>
    </row>
    <row r="192" spans="8:17" x14ac:dyDescent="0.15">
      <c r="H192" s="17">
        <v>190</v>
      </c>
      <c r="I192">
        <v>123157</v>
      </c>
      <c r="J192" t="s">
        <v>2057</v>
      </c>
      <c r="K192">
        <v>122.937</v>
      </c>
      <c r="L192" s="57">
        <v>0.28059999999999996</v>
      </c>
      <c r="M192" s="20">
        <v>4.9459999999999997</v>
      </c>
      <c r="N192" s="5" t="str">
        <f t="shared" si="8"/>
        <v>未买</v>
      </c>
      <c r="Q192" s="17">
        <v>190</v>
      </c>
    </row>
    <row r="193" spans="8:17" x14ac:dyDescent="0.15">
      <c r="H193" s="17">
        <v>191</v>
      </c>
      <c r="I193">
        <v>127072</v>
      </c>
      <c r="J193" t="s">
        <v>2064</v>
      </c>
      <c r="K193">
        <v>130</v>
      </c>
      <c r="L193" s="57">
        <v>0.28220000000000001</v>
      </c>
      <c r="M193" s="20">
        <v>4.5</v>
      </c>
      <c r="N193" s="5" t="str">
        <f t="shared" si="8"/>
        <v>未买</v>
      </c>
      <c r="Q193" s="17">
        <v>191</v>
      </c>
    </row>
    <row r="194" spans="8:17" x14ac:dyDescent="0.15">
      <c r="H194" s="17">
        <v>192</v>
      </c>
      <c r="I194">
        <v>113629</v>
      </c>
      <c r="J194" t="s">
        <v>2049</v>
      </c>
      <c r="K194">
        <v>129.136</v>
      </c>
      <c r="L194" s="57">
        <v>0.28350000000000003</v>
      </c>
      <c r="M194" s="20">
        <v>6.19299</v>
      </c>
      <c r="N194" s="5" t="str">
        <f t="shared" si="8"/>
        <v>未买</v>
      </c>
      <c r="Q194" s="17">
        <v>192</v>
      </c>
    </row>
    <row r="195" spans="8:17" x14ac:dyDescent="0.15">
      <c r="H195" s="17">
        <v>193</v>
      </c>
      <c r="I195">
        <v>113609</v>
      </c>
      <c r="J195" t="s">
        <v>81</v>
      </c>
      <c r="K195">
        <v>111.953</v>
      </c>
      <c r="L195" s="57">
        <v>0.28670000000000001</v>
      </c>
      <c r="M195" s="20">
        <v>7.3417399999999997</v>
      </c>
      <c r="N195" s="5" t="str">
        <f t="shared" si="8"/>
        <v>未买</v>
      </c>
      <c r="Q195" s="17">
        <v>193</v>
      </c>
    </row>
    <row r="196" spans="8:17" x14ac:dyDescent="0.15">
      <c r="H196" s="17">
        <v>194</v>
      </c>
      <c r="I196">
        <v>123151</v>
      </c>
      <c r="J196" t="s">
        <v>1906</v>
      </c>
      <c r="K196">
        <v>127.23699999999999</v>
      </c>
      <c r="L196" s="57">
        <v>0.28739999999999999</v>
      </c>
      <c r="M196" s="20">
        <v>7</v>
      </c>
      <c r="N196" s="5" t="str">
        <f t="shared" ref="N196:N259" si="9">IF(ISNA(MATCH(I196,$A$3:$A$1000,0)),"未买","Yes")</f>
        <v>未买</v>
      </c>
      <c r="Q196" s="17">
        <v>194</v>
      </c>
    </row>
    <row r="197" spans="8:17" x14ac:dyDescent="0.15">
      <c r="H197" s="17">
        <v>195</v>
      </c>
      <c r="I197">
        <v>123077</v>
      </c>
      <c r="J197" t="s">
        <v>192</v>
      </c>
      <c r="K197">
        <v>121.179</v>
      </c>
      <c r="L197" s="57">
        <v>0.2893</v>
      </c>
      <c r="M197" s="20">
        <v>9.3674339999999994</v>
      </c>
      <c r="N197" s="5" t="str">
        <f t="shared" si="9"/>
        <v>未买</v>
      </c>
      <c r="Q197" s="17">
        <v>195</v>
      </c>
    </row>
    <row r="198" spans="8:17" x14ac:dyDescent="0.15">
      <c r="H198" s="17">
        <v>196</v>
      </c>
      <c r="I198">
        <v>110060</v>
      </c>
      <c r="J198" t="s">
        <v>191</v>
      </c>
      <c r="K198">
        <v>113.506</v>
      </c>
      <c r="L198" s="57">
        <v>0.28970000000000001</v>
      </c>
      <c r="M198" s="20">
        <v>7.0625099999999996</v>
      </c>
      <c r="N198" s="5" t="str">
        <f t="shared" si="9"/>
        <v>未买</v>
      </c>
      <c r="Q198" s="17">
        <v>196</v>
      </c>
    </row>
    <row r="199" spans="8:17" x14ac:dyDescent="0.15">
      <c r="H199" s="17">
        <v>197</v>
      </c>
      <c r="I199">
        <v>128085</v>
      </c>
      <c r="J199" t="s">
        <v>1873</v>
      </c>
      <c r="K199">
        <v>113.631</v>
      </c>
      <c r="L199" s="57">
        <v>0.29160000000000003</v>
      </c>
      <c r="M199" s="20">
        <v>3.3715570000000001</v>
      </c>
      <c r="N199" s="5" t="str">
        <f t="shared" si="9"/>
        <v>Yes</v>
      </c>
      <c r="Q199" s="17">
        <v>197</v>
      </c>
    </row>
    <row r="200" spans="8:17" x14ac:dyDescent="0.15">
      <c r="H200" s="17">
        <v>198</v>
      </c>
      <c r="I200">
        <v>113657</v>
      </c>
      <c r="J200" t="s">
        <v>2063</v>
      </c>
      <c r="K200">
        <v>119.005</v>
      </c>
      <c r="L200" s="57">
        <v>0.2928</v>
      </c>
      <c r="M200" s="20">
        <v>5.0999999999999996</v>
      </c>
      <c r="N200" s="5" t="str">
        <f t="shared" si="9"/>
        <v>未买</v>
      </c>
      <c r="Q200" s="17">
        <v>198</v>
      </c>
    </row>
    <row r="201" spans="8:17" x14ac:dyDescent="0.15">
      <c r="H201" s="17">
        <v>199</v>
      </c>
      <c r="I201">
        <v>123120</v>
      </c>
      <c r="J201" t="s">
        <v>210</v>
      </c>
      <c r="K201">
        <v>123.04900000000001</v>
      </c>
      <c r="L201" s="57">
        <v>0.29389999999999999</v>
      </c>
      <c r="M201" s="20">
        <v>7.9825939999999997</v>
      </c>
      <c r="N201" s="5" t="str">
        <f t="shared" si="9"/>
        <v>未买</v>
      </c>
      <c r="Q201" s="17">
        <v>199</v>
      </c>
    </row>
    <row r="202" spans="8:17" x14ac:dyDescent="0.15">
      <c r="H202" s="17">
        <v>200</v>
      </c>
      <c r="I202">
        <v>113546</v>
      </c>
      <c r="J202" t="s">
        <v>85</v>
      </c>
      <c r="K202">
        <v>119.943</v>
      </c>
      <c r="L202" s="57">
        <v>0.29609999999999997</v>
      </c>
      <c r="M202" s="20">
        <v>2.2963100000000001</v>
      </c>
      <c r="N202" s="5" t="str">
        <f t="shared" si="9"/>
        <v>未买</v>
      </c>
      <c r="Q202" s="17">
        <v>200</v>
      </c>
    </row>
    <row r="203" spans="8:17" x14ac:dyDescent="0.15">
      <c r="H203" s="17">
        <v>201</v>
      </c>
      <c r="I203">
        <v>118012</v>
      </c>
      <c r="J203" t="s">
        <v>1903</v>
      </c>
      <c r="K203">
        <v>127.229</v>
      </c>
      <c r="L203" s="57">
        <v>0.2984</v>
      </c>
      <c r="M203" s="20">
        <v>5</v>
      </c>
      <c r="N203" s="5" t="str">
        <f t="shared" si="9"/>
        <v>未买</v>
      </c>
      <c r="Q203" s="17">
        <v>201</v>
      </c>
    </row>
    <row r="204" spans="8:17" x14ac:dyDescent="0.15">
      <c r="H204" s="17">
        <v>202</v>
      </c>
      <c r="I204">
        <v>128144</v>
      </c>
      <c r="J204" t="s">
        <v>202</v>
      </c>
      <c r="K204">
        <v>118.39400000000001</v>
      </c>
      <c r="L204" s="57">
        <v>0.3</v>
      </c>
      <c r="M204" s="20">
        <v>9.7941380000000002</v>
      </c>
      <c r="N204" s="5" t="str">
        <f t="shared" si="9"/>
        <v>未买</v>
      </c>
      <c r="Q204" s="17">
        <v>202</v>
      </c>
    </row>
    <row r="205" spans="8:17" x14ac:dyDescent="0.15">
      <c r="H205" s="17">
        <v>203</v>
      </c>
      <c r="I205">
        <v>113048</v>
      </c>
      <c r="J205" t="s">
        <v>1728</v>
      </c>
      <c r="K205">
        <v>118.206</v>
      </c>
      <c r="L205" s="57">
        <v>0.3014</v>
      </c>
      <c r="M205" s="20">
        <v>22.963419999999999</v>
      </c>
      <c r="N205" s="5" t="str">
        <f t="shared" si="9"/>
        <v>未买</v>
      </c>
      <c r="Q205" s="17">
        <v>203</v>
      </c>
    </row>
    <row r="206" spans="8:17" x14ac:dyDescent="0.15">
      <c r="H206" s="17">
        <v>204</v>
      </c>
      <c r="I206">
        <v>127021</v>
      </c>
      <c r="J206" t="s">
        <v>196</v>
      </c>
      <c r="K206">
        <v>119.679</v>
      </c>
      <c r="L206" s="57">
        <v>0.30359999999999998</v>
      </c>
      <c r="M206" s="20">
        <v>4.1592760000000002</v>
      </c>
      <c r="N206" s="5" t="str">
        <f t="shared" si="9"/>
        <v>未买</v>
      </c>
      <c r="Q206" s="17">
        <v>204</v>
      </c>
    </row>
    <row r="207" spans="8:17" x14ac:dyDescent="0.15">
      <c r="H207" s="17">
        <v>205</v>
      </c>
      <c r="I207">
        <v>123140</v>
      </c>
      <c r="J207" t="s">
        <v>751</v>
      </c>
      <c r="K207">
        <v>135.018</v>
      </c>
      <c r="L207" s="57">
        <v>0.30459999999999998</v>
      </c>
      <c r="M207" s="20">
        <v>1.719738</v>
      </c>
      <c r="N207" s="5" t="str">
        <f t="shared" si="9"/>
        <v>未买</v>
      </c>
      <c r="Q207" s="17">
        <v>205</v>
      </c>
    </row>
    <row r="208" spans="8:17" x14ac:dyDescent="0.15">
      <c r="H208" s="17">
        <v>206</v>
      </c>
      <c r="I208">
        <v>128127</v>
      </c>
      <c r="J208" t="s">
        <v>194</v>
      </c>
      <c r="K208">
        <v>106.676</v>
      </c>
      <c r="L208" s="57">
        <v>0.30469999999999997</v>
      </c>
      <c r="M208" s="20">
        <v>9.4928129999999999</v>
      </c>
      <c r="N208" s="5" t="str">
        <f t="shared" si="9"/>
        <v>未买</v>
      </c>
      <c r="Q208" s="17">
        <v>206</v>
      </c>
    </row>
    <row r="209" spans="8:17" x14ac:dyDescent="0.15">
      <c r="H209" s="17">
        <v>207</v>
      </c>
      <c r="I209">
        <v>123149</v>
      </c>
      <c r="J209" t="s">
        <v>1902</v>
      </c>
      <c r="K209">
        <v>122.1</v>
      </c>
      <c r="L209" s="57">
        <v>0.30590000000000001</v>
      </c>
      <c r="M209" s="20">
        <v>14.847200000000001</v>
      </c>
      <c r="N209" s="5" t="str">
        <f t="shared" si="9"/>
        <v>未买</v>
      </c>
      <c r="Q209" s="17">
        <v>207</v>
      </c>
    </row>
    <row r="210" spans="8:17" x14ac:dyDescent="0.15">
      <c r="H210" s="17">
        <v>208</v>
      </c>
      <c r="I210">
        <v>123158</v>
      </c>
      <c r="J210" t="s">
        <v>2061</v>
      </c>
      <c r="K210">
        <v>122</v>
      </c>
      <c r="L210" s="57">
        <v>0.30969999999999998</v>
      </c>
      <c r="M210" s="20">
        <v>19.7</v>
      </c>
      <c r="N210" s="5" t="str">
        <f t="shared" si="9"/>
        <v>未买</v>
      </c>
      <c r="Q210" s="17">
        <v>208</v>
      </c>
    </row>
    <row r="211" spans="8:17" x14ac:dyDescent="0.15">
      <c r="H211" s="17">
        <v>209</v>
      </c>
      <c r="I211">
        <v>123087</v>
      </c>
      <c r="J211" t="s">
        <v>71</v>
      </c>
      <c r="K211">
        <v>120.66</v>
      </c>
      <c r="L211" s="57">
        <v>0.31209999999999999</v>
      </c>
      <c r="M211" s="20">
        <v>4.1892120000000004</v>
      </c>
      <c r="N211" s="5" t="str">
        <f t="shared" si="9"/>
        <v>未买</v>
      </c>
      <c r="Q211" s="17">
        <v>209</v>
      </c>
    </row>
    <row r="212" spans="8:17" x14ac:dyDescent="0.15">
      <c r="H212" s="17">
        <v>210</v>
      </c>
      <c r="I212">
        <v>127019</v>
      </c>
      <c r="J212" t="s">
        <v>156</v>
      </c>
      <c r="K212">
        <v>114.12</v>
      </c>
      <c r="L212" s="57">
        <v>0.31309999999999999</v>
      </c>
      <c r="M212" s="20">
        <v>8.4977260000000001</v>
      </c>
      <c r="N212" s="5" t="str">
        <f t="shared" si="9"/>
        <v>未买</v>
      </c>
      <c r="Q212" s="17">
        <v>210</v>
      </c>
    </row>
    <row r="213" spans="8:17" x14ac:dyDescent="0.15">
      <c r="H213" s="17">
        <v>211</v>
      </c>
      <c r="I213">
        <v>123129</v>
      </c>
      <c r="J213" t="s">
        <v>217</v>
      </c>
      <c r="K213">
        <v>111.82</v>
      </c>
      <c r="L213" s="57">
        <v>0.31440000000000001</v>
      </c>
      <c r="M213" s="20">
        <v>5.9998779999999998</v>
      </c>
      <c r="N213" s="5" t="str">
        <f t="shared" si="9"/>
        <v>未买</v>
      </c>
      <c r="Q213" s="17">
        <v>211</v>
      </c>
    </row>
    <row r="214" spans="8:17" x14ac:dyDescent="0.15">
      <c r="H214" s="17">
        <v>212</v>
      </c>
      <c r="I214">
        <v>127005</v>
      </c>
      <c r="J214" t="s">
        <v>1745</v>
      </c>
      <c r="K214">
        <v>108.899</v>
      </c>
      <c r="L214" s="57">
        <v>0.32350000000000001</v>
      </c>
      <c r="M214" s="20">
        <v>49.964174999999997</v>
      </c>
      <c r="N214" s="5" t="str">
        <f t="shared" si="9"/>
        <v>未买</v>
      </c>
      <c r="Q214" s="17">
        <v>212</v>
      </c>
    </row>
    <row r="215" spans="8:17" x14ac:dyDescent="0.15">
      <c r="H215" s="17">
        <v>213</v>
      </c>
      <c r="I215">
        <v>127042</v>
      </c>
      <c r="J215" t="s">
        <v>91</v>
      </c>
      <c r="K215">
        <v>110.21</v>
      </c>
      <c r="L215" s="57">
        <v>0.32579999999999998</v>
      </c>
      <c r="M215" s="20">
        <v>7.4980960000000012</v>
      </c>
      <c r="N215" s="5" t="str">
        <f t="shared" si="9"/>
        <v>未买</v>
      </c>
      <c r="Q215" s="17">
        <v>213</v>
      </c>
    </row>
    <row r="216" spans="8:17" x14ac:dyDescent="0.15">
      <c r="H216" s="17">
        <v>214</v>
      </c>
      <c r="I216">
        <v>123127</v>
      </c>
      <c r="J216" t="s">
        <v>106</v>
      </c>
      <c r="K216">
        <v>116.151</v>
      </c>
      <c r="L216" s="57">
        <v>0.3261</v>
      </c>
      <c r="M216" s="20">
        <v>3.9994390000000002</v>
      </c>
      <c r="N216" s="5" t="str">
        <f t="shared" si="9"/>
        <v>未买</v>
      </c>
      <c r="Q216" s="17">
        <v>214</v>
      </c>
    </row>
    <row r="217" spans="8:17" x14ac:dyDescent="0.15">
      <c r="H217" s="17">
        <v>215</v>
      </c>
      <c r="I217">
        <v>110086</v>
      </c>
      <c r="J217" t="s">
        <v>1727</v>
      </c>
      <c r="K217">
        <v>115.80500000000001</v>
      </c>
      <c r="L217" s="57">
        <v>0.32650000000000001</v>
      </c>
      <c r="M217" s="20">
        <v>19.999680000000001</v>
      </c>
      <c r="N217" s="5" t="str">
        <f t="shared" si="9"/>
        <v>未买</v>
      </c>
      <c r="Q217" s="17">
        <v>215</v>
      </c>
    </row>
    <row r="218" spans="8:17" x14ac:dyDescent="0.15">
      <c r="H218" s="17">
        <v>216</v>
      </c>
      <c r="I218">
        <v>113600</v>
      </c>
      <c r="J218" t="s">
        <v>245</v>
      </c>
      <c r="K218">
        <v>117.949</v>
      </c>
      <c r="L218" s="57">
        <v>0.32950000000000002</v>
      </c>
      <c r="M218" s="20">
        <v>4.5303300000000002</v>
      </c>
      <c r="N218" s="5" t="str">
        <f t="shared" si="9"/>
        <v>未买</v>
      </c>
      <c r="Q218" s="17">
        <v>216</v>
      </c>
    </row>
    <row r="219" spans="8:17" x14ac:dyDescent="0.15">
      <c r="H219" s="17">
        <v>217</v>
      </c>
      <c r="I219">
        <v>123134</v>
      </c>
      <c r="J219" t="s">
        <v>250</v>
      </c>
      <c r="K219">
        <v>142.6</v>
      </c>
      <c r="L219" s="57">
        <v>0.33270000000000005</v>
      </c>
      <c r="M219" s="20">
        <v>2.7857090000000002</v>
      </c>
      <c r="N219" s="5" t="str">
        <f t="shared" si="9"/>
        <v>未买</v>
      </c>
      <c r="Q219" s="17">
        <v>217</v>
      </c>
    </row>
    <row r="220" spans="8:17" x14ac:dyDescent="0.15">
      <c r="H220" s="17">
        <v>218</v>
      </c>
      <c r="I220">
        <v>123091</v>
      </c>
      <c r="J220" t="s">
        <v>214</v>
      </c>
      <c r="K220">
        <v>123.7</v>
      </c>
      <c r="L220" s="57">
        <v>0.33279999999999998</v>
      </c>
      <c r="M220" s="20">
        <v>5.4975389999999997</v>
      </c>
      <c r="N220" s="5" t="str">
        <f t="shared" si="9"/>
        <v>未买</v>
      </c>
      <c r="Q220" s="17">
        <v>218</v>
      </c>
    </row>
    <row r="221" spans="8:17" x14ac:dyDescent="0.15">
      <c r="H221" s="17">
        <v>219</v>
      </c>
      <c r="I221">
        <v>113588</v>
      </c>
      <c r="J221" t="s">
        <v>195</v>
      </c>
      <c r="K221">
        <v>116.90600000000001</v>
      </c>
      <c r="L221" s="57">
        <v>0.33299999999999996</v>
      </c>
      <c r="M221" s="20">
        <v>5.4988000000000001</v>
      </c>
      <c r="N221" s="5" t="str">
        <f t="shared" si="9"/>
        <v>未买</v>
      </c>
      <c r="Q221" s="17">
        <v>219</v>
      </c>
    </row>
    <row r="222" spans="8:17" x14ac:dyDescent="0.15">
      <c r="H222" s="17">
        <v>220</v>
      </c>
      <c r="I222">
        <v>123082</v>
      </c>
      <c r="J222" t="s">
        <v>74</v>
      </c>
      <c r="K222">
        <v>114.51600000000001</v>
      </c>
      <c r="L222" s="57">
        <v>0.3342</v>
      </c>
      <c r="M222" s="20">
        <v>4.9929649999999999</v>
      </c>
      <c r="N222" s="5" t="str">
        <f t="shared" si="9"/>
        <v>未买</v>
      </c>
      <c r="Q222" s="17">
        <v>220</v>
      </c>
    </row>
    <row r="223" spans="8:17" x14ac:dyDescent="0.15">
      <c r="H223" s="17">
        <v>221</v>
      </c>
      <c r="I223">
        <v>128101</v>
      </c>
      <c r="J223" t="s">
        <v>1905</v>
      </c>
      <c r="K223">
        <v>133.73400000000001</v>
      </c>
      <c r="L223" s="57">
        <v>0.33439999999999998</v>
      </c>
      <c r="M223" s="20">
        <v>2.9901110000000002</v>
      </c>
      <c r="N223" s="5" t="str">
        <f t="shared" si="9"/>
        <v>未买</v>
      </c>
      <c r="Q223" s="17">
        <v>221</v>
      </c>
    </row>
    <row r="224" spans="8:17" x14ac:dyDescent="0.15">
      <c r="H224" s="17">
        <v>222</v>
      </c>
      <c r="I224">
        <v>128076</v>
      </c>
      <c r="J224" t="s">
        <v>120</v>
      </c>
      <c r="K224">
        <v>118.786</v>
      </c>
      <c r="L224" s="57">
        <v>0.33509999999999995</v>
      </c>
      <c r="M224" s="20">
        <v>2.136962</v>
      </c>
      <c r="N224" s="5" t="str">
        <f t="shared" si="9"/>
        <v>Yes</v>
      </c>
      <c r="Q224" s="17">
        <v>222</v>
      </c>
    </row>
    <row r="225" spans="8:17" x14ac:dyDescent="0.15">
      <c r="H225" s="17">
        <v>223</v>
      </c>
      <c r="I225">
        <v>123014</v>
      </c>
      <c r="J225" t="s">
        <v>55</v>
      </c>
      <c r="K225">
        <v>136.4</v>
      </c>
      <c r="L225" s="57">
        <v>0.33740000000000003</v>
      </c>
      <c r="M225" s="20">
        <v>1.1602950000000001</v>
      </c>
      <c r="N225" s="5" t="str">
        <f t="shared" si="9"/>
        <v>未买</v>
      </c>
      <c r="Q225" s="17">
        <v>223</v>
      </c>
    </row>
    <row r="226" spans="8:17" x14ac:dyDescent="0.15">
      <c r="H226" s="17">
        <v>224</v>
      </c>
      <c r="I226">
        <v>113530</v>
      </c>
      <c r="J226" t="s">
        <v>170</v>
      </c>
      <c r="K226">
        <v>117.59</v>
      </c>
      <c r="L226" s="57">
        <v>0.33789999999999998</v>
      </c>
      <c r="M226" s="20">
        <v>6.2976000000000001</v>
      </c>
      <c r="N226" s="5" t="str">
        <f t="shared" si="9"/>
        <v>未买</v>
      </c>
      <c r="Q226" s="17">
        <v>224</v>
      </c>
    </row>
    <row r="227" spans="8:17" x14ac:dyDescent="0.15">
      <c r="H227" s="17">
        <v>225</v>
      </c>
      <c r="I227">
        <v>113016</v>
      </c>
      <c r="J227" t="s">
        <v>1877</v>
      </c>
      <c r="K227">
        <v>327.18700000000001</v>
      </c>
      <c r="L227" s="57">
        <v>0.34490000000000004</v>
      </c>
      <c r="M227" s="20">
        <v>2.0636299999999999</v>
      </c>
      <c r="N227" s="5" t="str">
        <f t="shared" si="9"/>
        <v>未买</v>
      </c>
      <c r="Q227" s="17">
        <v>225</v>
      </c>
    </row>
    <row r="228" spans="8:17" x14ac:dyDescent="0.15">
      <c r="H228" s="17">
        <v>226</v>
      </c>
      <c r="I228">
        <v>110067</v>
      </c>
      <c r="J228" t="s">
        <v>1762</v>
      </c>
      <c r="K228">
        <v>110.301</v>
      </c>
      <c r="L228" s="57">
        <v>0.34740000000000004</v>
      </c>
      <c r="M228" s="20">
        <v>27.994990000000001</v>
      </c>
      <c r="N228" s="5" t="str">
        <f t="shared" si="9"/>
        <v>未买</v>
      </c>
      <c r="Q228" s="17">
        <v>226</v>
      </c>
    </row>
    <row r="229" spans="8:17" x14ac:dyDescent="0.15">
      <c r="H229" s="17">
        <v>227</v>
      </c>
      <c r="I229">
        <v>113061</v>
      </c>
      <c r="J229" t="s">
        <v>1904</v>
      </c>
      <c r="K229">
        <v>129.249</v>
      </c>
      <c r="L229" s="57">
        <v>0.35</v>
      </c>
      <c r="M229" s="20">
        <v>25</v>
      </c>
      <c r="N229" s="5" t="str">
        <f t="shared" si="9"/>
        <v>未买</v>
      </c>
      <c r="Q229" s="17">
        <v>227</v>
      </c>
    </row>
    <row r="230" spans="8:17" x14ac:dyDescent="0.15">
      <c r="H230" s="17">
        <v>228</v>
      </c>
      <c r="I230">
        <v>128114</v>
      </c>
      <c r="J230" t="s">
        <v>1702</v>
      </c>
      <c r="K230">
        <v>90.391000000000005</v>
      </c>
      <c r="L230" s="57">
        <v>0.3503</v>
      </c>
      <c r="M230" s="20">
        <v>13.330474000000001</v>
      </c>
      <c r="N230" s="5" t="str">
        <f t="shared" si="9"/>
        <v>未买</v>
      </c>
      <c r="Q230" s="17">
        <v>228</v>
      </c>
    </row>
    <row r="231" spans="8:17" x14ac:dyDescent="0.15">
      <c r="H231" s="17">
        <v>229</v>
      </c>
      <c r="I231">
        <v>113563</v>
      </c>
      <c r="J231" t="s">
        <v>148</v>
      </c>
      <c r="K231">
        <v>118.943</v>
      </c>
      <c r="L231" s="57">
        <v>0.35119999999999996</v>
      </c>
      <c r="M231" s="20">
        <v>8.0190099999999997</v>
      </c>
      <c r="N231" s="5" t="str">
        <f t="shared" si="9"/>
        <v>未买</v>
      </c>
      <c r="Q231" s="17">
        <v>229</v>
      </c>
    </row>
    <row r="232" spans="8:17" x14ac:dyDescent="0.15">
      <c r="H232" s="17">
        <v>230</v>
      </c>
      <c r="I232">
        <v>110070</v>
      </c>
      <c r="J232" t="s">
        <v>87</v>
      </c>
      <c r="K232">
        <v>114.855</v>
      </c>
      <c r="L232" s="57">
        <v>0.35220000000000001</v>
      </c>
      <c r="M232" s="20">
        <v>2.1705299999999998</v>
      </c>
      <c r="N232" s="5" t="str">
        <f t="shared" si="9"/>
        <v>未买</v>
      </c>
      <c r="Q232" s="17">
        <v>230</v>
      </c>
    </row>
    <row r="233" spans="8:17" x14ac:dyDescent="0.15">
      <c r="H233" s="17">
        <v>231</v>
      </c>
      <c r="I233">
        <v>127073</v>
      </c>
      <c r="J233" t="s">
        <v>2058</v>
      </c>
      <c r="K233">
        <v>123.89400000000001</v>
      </c>
      <c r="L233" s="57">
        <v>0.3528</v>
      </c>
      <c r="M233" s="20">
        <v>34.104999999999997</v>
      </c>
      <c r="N233" s="5" t="str">
        <f t="shared" si="9"/>
        <v>未买</v>
      </c>
      <c r="Q233" s="17">
        <v>231</v>
      </c>
    </row>
    <row r="234" spans="8:17" x14ac:dyDescent="0.15">
      <c r="H234" s="17">
        <v>232</v>
      </c>
      <c r="I234">
        <v>127052</v>
      </c>
      <c r="J234" t="s">
        <v>1792</v>
      </c>
      <c r="K234">
        <v>121.18</v>
      </c>
      <c r="L234" s="57">
        <v>0.35289999999999999</v>
      </c>
      <c r="M234" s="20">
        <v>11.099648</v>
      </c>
      <c r="N234" s="5" t="str">
        <f t="shared" si="9"/>
        <v>未买</v>
      </c>
      <c r="Q234" s="17">
        <v>232</v>
      </c>
    </row>
    <row r="235" spans="8:17" x14ac:dyDescent="0.15">
      <c r="H235" s="17">
        <v>233</v>
      </c>
      <c r="I235">
        <v>113505</v>
      </c>
      <c r="J235" t="s">
        <v>213</v>
      </c>
      <c r="K235">
        <v>112.7</v>
      </c>
      <c r="L235" s="57">
        <v>0.35439999999999999</v>
      </c>
      <c r="M235" s="20">
        <v>7.4973799999999997</v>
      </c>
      <c r="N235" s="5" t="str">
        <f t="shared" si="9"/>
        <v>未买</v>
      </c>
      <c r="Q235" s="17">
        <v>233</v>
      </c>
    </row>
    <row r="236" spans="8:17" x14ac:dyDescent="0.15">
      <c r="H236" s="17">
        <v>234</v>
      </c>
      <c r="I236">
        <v>123145</v>
      </c>
      <c r="J236" t="s">
        <v>1746</v>
      </c>
      <c r="K236">
        <v>129.6</v>
      </c>
      <c r="L236" s="57">
        <v>0.35470000000000002</v>
      </c>
      <c r="M236" s="20">
        <v>11.494399</v>
      </c>
      <c r="N236" s="5" t="str">
        <f t="shared" si="9"/>
        <v>未买</v>
      </c>
      <c r="Q236" s="17">
        <v>234</v>
      </c>
    </row>
    <row r="237" spans="8:17" x14ac:dyDescent="0.15">
      <c r="H237" s="17">
        <v>235</v>
      </c>
      <c r="I237">
        <v>128109</v>
      </c>
      <c r="J237" t="s">
        <v>1871</v>
      </c>
      <c r="K237">
        <v>120.309</v>
      </c>
      <c r="L237" s="57">
        <v>0.35700000000000004</v>
      </c>
      <c r="M237" s="20">
        <v>18.225275</v>
      </c>
      <c r="N237" s="5" t="str">
        <f t="shared" si="9"/>
        <v>未买</v>
      </c>
      <c r="Q237" s="17">
        <v>235</v>
      </c>
    </row>
    <row r="238" spans="8:17" x14ac:dyDescent="0.15">
      <c r="H238" s="17">
        <v>236</v>
      </c>
      <c r="I238">
        <v>128143</v>
      </c>
      <c r="J238" t="s">
        <v>109</v>
      </c>
      <c r="K238">
        <v>123.078</v>
      </c>
      <c r="L238" s="57">
        <v>0.35759999999999997</v>
      </c>
      <c r="M238" s="20">
        <v>2.4408439999999998</v>
      </c>
      <c r="N238" s="5" t="str">
        <f t="shared" si="9"/>
        <v>未买</v>
      </c>
      <c r="Q238" s="17">
        <v>236</v>
      </c>
    </row>
    <row r="239" spans="8:17" x14ac:dyDescent="0.15">
      <c r="H239" s="17">
        <v>237</v>
      </c>
      <c r="I239">
        <v>113013</v>
      </c>
      <c r="J239" t="s">
        <v>1742</v>
      </c>
      <c r="K239">
        <v>105.586</v>
      </c>
      <c r="L239" s="57">
        <v>0.35850000000000004</v>
      </c>
      <c r="M239" s="20">
        <v>69.901709999999994</v>
      </c>
      <c r="N239" s="5" t="str">
        <f t="shared" si="9"/>
        <v>未买</v>
      </c>
      <c r="Q239" s="17">
        <v>237</v>
      </c>
    </row>
    <row r="240" spans="8:17" x14ac:dyDescent="0.15">
      <c r="H240" s="17">
        <v>238</v>
      </c>
      <c r="I240">
        <v>123152</v>
      </c>
      <c r="J240" t="s">
        <v>1901</v>
      </c>
      <c r="K240">
        <v>128.71199999999999</v>
      </c>
      <c r="L240" s="57">
        <v>0.35920000000000002</v>
      </c>
      <c r="M240" s="20">
        <v>2.9235000000000002</v>
      </c>
      <c r="N240" s="5" t="str">
        <f t="shared" si="9"/>
        <v>未买</v>
      </c>
      <c r="Q240" s="17">
        <v>238</v>
      </c>
    </row>
    <row r="241" spans="8:17" x14ac:dyDescent="0.15">
      <c r="H241" s="17">
        <v>239</v>
      </c>
      <c r="I241">
        <v>113024</v>
      </c>
      <c r="J241" t="s">
        <v>1736</v>
      </c>
      <c r="K241">
        <v>109.613</v>
      </c>
      <c r="L241" s="57">
        <v>0.36030000000000001</v>
      </c>
      <c r="M241" s="20">
        <v>29.953769999999999</v>
      </c>
      <c r="N241" s="5" t="str">
        <f t="shared" si="9"/>
        <v>未买</v>
      </c>
      <c r="Q241" s="17">
        <v>239</v>
      </c>
    </row>
    <row r="242" spans="8:17" x14ac:dyDescent="0.15">
      <c r="H242" s="17">
        <v>240</v>
      </c>
      <c r="I242">
        <v>113524</v>
      </c>
      <c r="J242" t="s">
        <v>197</v>
      </c>
      <c r="K242">
        <v>116.459</v>
      </c>
      <c r="L242" s="57">
        <v>0.36049999999999999</v>
      </c>
      <c r="M242" s="20">
        <v>3.2974700000000001</v>
      </c>
      <c r="N242" s="5" t="str">
        <f t="shared" si="9"/>
        <v>未买</v>
      </c>
      <c r="Q242" s="17">
        <v>240</v>
      </c>
    </row>
    <row r="243" spans="8:17" x14ac:dyDescent="0.15">
      <c r="H243" s="17">
        <v>241</v>
      </c>
      <c r="I243">
        <v>128097</v>
      </c>
      <c r="J243" t="s">
        <v>103</v>
      </c>
      <c r="K243">
        <v>113.623</v>
      </c>
      <c r="L243" s="57">
        <v>0.36109999999999998</v>
      </c>
      <c r="M243" s="20">
        <v>4.5853039999999998</v>
      </c>
      <c r="N243" s="5" t="str">
        <f t="shared" si="9"/>
        <v>未买</v>
      </c>
      <c r="Q243" s="17">
        <v>241</v>
      </c>
    </row>
    <row r="244" spans="8:17" x14ac:dyDescent="0.15">
      <c r="H244" s="17">
        <v>242</v>
      </c>
      <c r="I244">
        <v>110088</v>
      </c>
      <c r="J244" t="s">
        <v>2067</v>
      </c>
      <c r="K244">
        <v>124.306</v>
      </c>
      <c r="L244" s="57">
        <v>0.36649999999999999</v>
      </c>
      <c r="M244" s="20">
        <v>30</v>
      </c>
      <c r="N244" s="5" t="str">
        <f t="shared" si="9"/>
        <v>未买</v>
      </c>
      <c r="Q244" s="17">
        <v>242</v>
      </c>
    </row>
    <row r="245" spans="8:17" x14ac:dyDescent="0.15">
      <c r="H245" s="17">
        <v>243</v>
      </c>
      <c r="I245">
        <v>113561</v>
      </c>
      <c r="J245" t="s">
        <v>84</v>
      </c>
      <c r="K245">
        <v>124.119</v>
      </c>
      <c r="L245" s="57">
        <v>0.36880000000000002</v>
      </c>
      <c r="M245" s="20">
        <v>1.49898</v>
      </c>
      <c r="N245" s="5" t="str">
        <f t="shared" si="9"/>
        <v>未买</v>
      </c>
      <c r="Q245" s="17">
        <v>243</v>
      </c>
    </row>
    <row r="246" spans="8:17" x14ac:dyDescent="0.15">
      <c r="H246" s="17">
        <v>244</v>
      </c>
      <c r="I246">
        <v>113030</v>
      </c>
      <c r="J246" t="s">
        <v>94</v>
      </c>
      <c r="K246">
        <v>126.78</v>
      </c>
      <c r="L246" s="57">
        <v>0.37</v>
      </c>
      <c r="M246" s="20">
        <v>2.9485600000000001</v>
      </c>
      <c r="N246" s="5" t="str">
        <f t="shared" si="9"/>
        <v>未买</v>
      </c>
      <c r="Q246" s="17">
        <v>244</v>
      </c>
    </row>
    <row r="247" spans="8:17" x14ac:dyDescent="0.15">
      <c r="H247" s="17">
        <v>245</v>
      </c>
      <c r="I247">
        <v>111003</v>
      </c>
      <c r="J247" t="s">
        <v>781</v>
      </c>
      <c r="K247">
        <v>123.872</v>
      </c>
      <c r="L247" s="57">
        <v>0.37409999999999999</v>
      </c>
      <c r="M247" s="20">
        <v>2.0391300000000001</v>
      </c>
      <c r="N247" s="5" t="str">
        <f t="shared" si="9"/>
        <v>未买</v>
      </c>
      <c r="Q247" s="17">
        <v>245</v>
      </c>
    </row>
    <row r="248" spans="8:17" x14ac:dyDescent="0.15">
      <c r="H248" s="17">
        <v>246</v>
      </c>
      <c r="I248">
        <v>118007</v>
      </c>
      <c r="J248" t="s">
        <v>779</v>
      </c>
      <c r="K248">
        <v>127.047</v>
      </c>
      <c r="L248" s="57">
        <v>0.37540000000000001</v>
      </c>
      <c r="M248" s="20">
        <v>2.6740499999999998</v>
      </c>
      <c r="N248" s="5" t="str">
        <f t="shared" si="9"/>
        <v>未买</v>
      </c>
      <c r="Q248" s="17">
        <v>246</v>
      </c>
    </row>
    <row r="249" spans="8:17" x14ac:dyDescent="0.15">
      <c r="H249" s="17">
        <v>247</v>
      </c>
      <c r="I249">
        <v>118020</v>
      </c>
      <c r="J249" t="s">
        <v>2062</v>
      </c>
      <c r="K249">
        <v>123.801</v>
      </c>
      <c r="L249" s="57">
        <v>0.37790000000000001</v>
      </c>
      <c r="M249" s="20">
        <v>6.42</v>
      </c>
      <c r="N249" s="5" t="str">
        <f t="shared" si="9"/>
        <v>未买</v>
      </c>
      <c r="Q249" s="17">
        <v>247</v>
      </c>
    </row>
    <row r="250" spans="8:17" x14ac:dyDescent="0.15">
      <c r="H250" s="17">
        <v>248</v>
      </c>
      <c r="I250">
        <v>123144</v>
      </c>
      <c r="J250" t="s">
        <v>1752</v>
      </c>
      <c r="K250">
        <v>118.087</v>
      </c>
      <c r="L250" s="57">
        <v>0.37819999999999998</v>
      </c>
      <c r="M250" s="20">
        <v>5.9999599999999997</v>
      </c>
      <c r="N250" s="5" t="str">
        <f t="shared" si="9"/>
        <v>未买</v>
      </c>
      <c r="Q250" s="17">
        <v>248</v>
      </c>
    </row>
    <row r="251" spans="8:17" x14ac:dyDescent="0.15">
      <c r="H251" s="17">
        <v>249</v>
      </c>
      <c r="I251">
        <v>110064</v>
      </c>
      <c r="J251" t="s">
        <v>1704</v>
      </c>
      <c r="K251">
        <v>112.693</v>
      </c>
      <c r="L251" s="57">
        <v>0.37869999999999998</v>
      </c>
      <c r="M251" s="20">
        <v>12.64592</v>
      </c>
      <c r="N251" s="5" t="str">
        <f t="shared" si="9"/>
        <v>未买</v>
      </c>
      <c r="Q251" s="17">
        <v>249</v>
      </c>
    </row>
    <row r="252" spans="8:17" x14ac:dyDescent="0.15">
      <c r="H252" s="17">
        <v>250</v>
      </c>
      <c r="I252">
        <v>113519</v>
      </c>
      <c r="J252" t="s">
        <v>154</v>
      </c>
      <c r="K252">
        <v>117.703</v>
      </c>
      <c r="L252" s="57">
        <v>0.38079999999999997</v>
      </c>
      <c r="M252" s="20">
        <v>6.9609100000000002</v>
      </c>
      <c r="N252" s="5" t="str">
        <f t="shared" si="9"/>
        <v>未买</v>
      </c>
      <c r="Q252" s="17">
        <v>250</v>
      </c>
    </row>
    <row r="253" spans="8:17" x14ac:dyDescent="0.15">
      <c r="H253" s="17">
        <v>251</v>
      </c>
      <c r="I253">
        <v>123050</v>
      </c>
      <c r="J253" t="s">
        <v>67</v>
      </c>
      <c r="K253">
        <v>121</v>
      </c>
      <c r="L253" s="57">
        <v>0.38520000000000004</v>
      </c>
      <c r="M253" s="20">
        <v>3.7459370000000001</v>
      </c>
      <c r="N253" s="5" t="str">
        <f t="shared" si="9"/>
        <v>未买</v>
      </c>
      <c r="Q253" s="17">
        <v>251</v>
      </c>
    </row>
    <row r="254" spans="8:17" x14ac:dyDescent="0.15">
      <c r="H254" s="17">
        <v>252</v>
      </c>
      <c r="I254">
        <v>128071</v>
      </c>
      <c r="J254" t="s">
        <v>86</v>
      </c>
      <c r="K254">
        <v>112.303</v>
      </c>
      <c r="L254" s="57">
        <v>0.38750000000000001</v>
      </c>
      <c r="M254" s="20">
        <v>2.999336</v>
      </c>
      <c r="N254" s="5" t="str">
        <f t="shared" si="9"/>
        <v>未买</v>
      </c>
      <c r="Q254" s="17">
        <v>252</v>
      </c>
    </row>
    <row r="255" spans="8:17" x14ac:dyDescent="0.15">
      <c r="H255" s="17">
        <v>253</v>
      </c>
      <c r="I255">
        <v>123160</v>
      </c>
      <c r="J255" t="s">
        <v>2065</v>
      </c>
      <c r="K255">
        <v>118.16800000000001</v>
      </c>
      <c r="L255" s="57">
        <v>0.39020000000000005</v>
      </c>
      <c r="M255" s="20">
        <v>3.3489</v>
      </c>
      <c r="N255" s="5" t="str">
        <f t="shared" si="9"/>
        <v>未买</v>
      </c>
      <c r="Q255" s="17">
        <v>253</v>
      </c>
    </row>
    <row r="256" spans="8:17" x14ac:dyDescent="0.15">
      <c r="H256" s="17">
        <v>254</v>
      </c>
      <c r="I256">
        <v>123035</v>
      </c>
      <c r="J256" t="s">
        <v>115</v>
      </c>
      <c r="K256">
        <v>122.735</v>
      </c>
      <c r="L256" s="57">
        <v>0.39270000000000005</v>
      </c>
      <c r="M256" s="20">
        <v>7.9875530000000001</v>
      </c>
      <c r="N256" s="5" t="str">
        <f t="shared" si="9"/>
        <v>未买</v>
      </c>
      <c r="Q256" s="17">
        <v>254</v>
      </c>
    </row>
    <row r="257" spans="8:17" x14ac:dyDescent="0.15">
      <c r="H257" s="17">
        <v>255</v>
      </c>
      <c r="I257">
        <v>113565</v>
      </c>
      <c r="J257" t="s">
        <v>114</v>
      </c>
      <c r="K257">
        <v>117.80200000000001</v>
      </c>
      <c r="L257" s="57">
        <v>0.39329999999999998</v>
      </c>
      <c r="M257" s="20">
        <v>2.24905</v>
      </c>
      <c r="N257" s="5" t="str">
        <f t="shared" si="9"/>
        <v>Yes</v>
      </c>
      <c r="Q257" s="17">
        <v>255</v>
      </c>
    </row>
    <row r="258" spans="8:17" x14ac:dyDescent="0.15">
      <c r="H258" s="17">
        <v>256</v>
      </c>
      <c r="I258">
        <v>113653</v>
      </c>
      <c r="J258" t="s">
        <v>2070</v>
      </c>
      <c r="K258">
        <v>122.30800000000001</v>
      </c>
      <c r="L258" s="57">
        <v>0.39479999999999998</v>
      </c>
      <c r="M258" s="20">
        <v>7.7</v>
      </c>
      <c r="N258" s="5" t="str">
        <f t="shared" si="9"/>
        <v>未买</v>
      </c>
      <c r="Q258" s="17">
        <v>256</v>
      </c>
    </row>
    <row r="259" spans="8:17" x14ac:dyDescent="0.15">
      <c r="H259" s="17">
        <v>257</v>
      </c>
      <c r="I259">
        <v>123100</v>
      </c>
      <c r="J259" t="s">
        <v>98</v>
      </c>
      <c r="K259">
        <v>114.79</v>
      </c>
      <c r="L259" s="57">
        <v>0.39700000000000002</v>
      </c>
      <c r="M259" s="20">
        <v>3.797174</v>
      </c>
      <c r="N259" s="5" t="str">
        <f t="shared" si="9"/>
        <v>未买</v>
      </c>
      <c r="Q259" s="17">
        <v>257</v>
      </c>
    </row>
    <row r="260" spans="8:17" x14ac:dyDescent="0.15">
      <c r="H260" s="17">
        <v>258</v>
      </c>
      <c r="I260">
        <v>128122</v>
      </c>
      <c r="J260" t="s">
        <v>180</v>
      </c>
      <c r="K260">
        <v>124.31</v>
      </c>
      <c r="L260" s="57">
        <v>0.3972</v>
      </c>
      <c r="M260" s="20">
        <v>2.6853509999999998</v>
      </c>
      <c r="N260" s="5" t="str">
        <f t="shared" ref="N260:N323" si="10">IF(ISNA(MATCH(I260,$A$3:$A$1000,0)),"未买","Yes")</f>
        <v>未买</v>
      </c>
      <c r="Q260" s="17">
        <v>258</v>
      </c>
    </row>
    <row r="261" spans="8:17" x14ac:dyDescent="0.15">
      <c r="H261" s="17">
        <v>259</v>
      </c>
      <c r="I261">
        <v>113628</v>
      </c>
      <c r="J261" t="s">
        <v>204</v>
      </c>
      <c r="K261">
        <v>110.783</v>
      </c>
      <c r="L261" s="57">
        <v>0.4</v>
      </c>
      <c r="M261" s="20">
        <v>4.1497599999999997</v>
      </c>
      <c r="N261" s="5" t="str">
        <f t="shared" si="10"/>
        <v>未买</v>
      </c>
      <c r="Q261" s="17">
        <v>259</v>
      </c>
    </row>
    <row r="262" spans="8:17" x14ac:dyDescent="0.15">
      <c r="H262" s="17">
        <v>260</v>
      </c>
      <c r="I262">
        <v>123075</v>
      </c>
      <c r="J262" t="s">
        <v>69</v>
      </c>
      <c r="K262">
        <v>117.727</v>
      </c>
      <c r="L262" s="57">
        <v>0.40369999999999995</v>
      </c>
      <c r="M262" s="20">
        <v>5.9960870000000002</v>
      </c>
      <c r="N262" s="5" t="str">
        <f t="shared" si="10"/>
        <v>未买</v>
      </c>
      <c r="Q262" s="17">
        <v>260</v>
      </c>
    </row>
    <row r="263" spans="8:17" x14ac:dyDescent="0.15">
      <c r="H263" s="17">
        <v>261</v>
      </c>
      <c r="I263">
        <v>118018</v>
      </c>
      <c r="J263" t="s">
        <v>2079</v>
      </c>
      <c r="K263">
        <v>120.43899999999999</v>
      </c>
      <c r="L263" s="57">
        <v>0.40369999999999995</v>
      </c>
      <c r="M263" s="20">
        <v>4.3</v>
      </c>
      <c r="N263" s="5" t="str">
        <f t="shared" si="10"/>
        <v>未买</v>
      </c>
      <c r="Q263" s="17">
        <v>261</v>
      </c>
    </row>
    <row r="264" spans="8:17" x14ac:dyDescent="0.15">
      <c r="H264" s="17">
        <v>262</v>
      </c>
      <c r="I264">
        <v>113643</v>
      </c>
      <c r="J264" t="s">
        <v>777</v>
      </c>
      <c r="K264">
        <v>119.157</v>
      </c>
      <c r="L264" s="57">
        <v>0.4052</v>
      </c>
      <c r="M264" s="20">
        <v>4.9998100000000001</v>
      </c>
      <c r="N264" s="5" t="str">
        <f t="shared" si="10"/>
        <v>未买</v>
      </c>
      <c r="Q264" s="17">
        <v>262</v>
      </c>
    </row>
    <row r="265" spans="8:17" x14ac:dyDescent="0.15">
      <c r="H265" s="17">
        <v>263</v>
      </c>
      <c r="I265">
        <v>113651</v>
      </c>
      <c r="J265" t="s">
        <v>2077</v>
      </c>
      <c r="K265">
        <v>123.82599999999999</v>
      </c>
      <c r="L265" s="57">
        <v>0.4052</v>
      </c>
      <c r="M265" s="20">
        <v>6.1</v>
      </c>
      <c r="N265" s="5" t="str">
        <f t="shared" si="10"/>
        <v>未买</v>
      </c>
      <c r="Q265" s="17">
        <v>263</v>
      </c>
    </row>
    <row r="266" spans="8:17" x14ac:dyDescent="0.15">
      <c r="H266" s="17">
        <v>264</v>
      </c>
      <c r="I266">
        <v>118014</v>
      </c>
      <c r="J266" t="s">
        <v>1915</v>
      </c>
      <c r="K266">
        <v>130.197</v>
      </c>
      <c r="L266" s="57">
        <v>0.40749999999999997</v>
      </c>
      <c r="M266" s="20">
        <v>4.8330000000000002</v>
      </c>
      <c r="N266" s="5" t="str">
        <f t="shared" si="10"/>
        <v>未买</v>
      </c>
      <c r="Q266" s="17">
        <v>264</v>
      </c>
    </row>
    <row r="267" spans="8:17" x14ac:dyDescent="0.15">
      <c r="H267" s="17">
        <v>265</v>
      </c>
      <c r="I267">
        <v>127054</v>
      </c>
      <c r="J267" t="s">
        <v>745</v>
      </c>
      <c r="K267">
        <v>112</v>
      </c>
      <c r="L267" s="57">
        <v>0.40860000000000002</v>
      </c>
      <c r="M267" s="20">
        <v>5.1362690000000004</v>
      </c>
      <c r="N267" s="5" t="str">
        <f t="shared" si="10"/>
        <v>未买</v>
      </c>
      <c r="Q267" s="17">
        <v>265</v>
      </c>
    </row>
    <row r="268" spans="8:17" x14ac:dyDescent="0.15">
      <c r="H268" s="17">
        <v>266</v>
      </c>
      <c r="I268">
        <v>113610</v>
      </c>
      <c r="J268" t="s">
        <v>104</v>
      </c>
      <c r="K268">
        <v>114.867</v>
      </c>
      <c r="L268" s="57">
        <v>0.41060000000000002</v>
      </c>
      <c r="M268" s="20">
        <v>4.5792599999999997</v>
      </c>
      <c r="N268" s="5" t="str">
        <f t="shared" si="10"/>
        <v>未买</v>
      </c>
      <c r="Q268" s="17">
        <v>266</v>
      </c>
    </row>
    <row r="269" spans="8:17" x14ac:dyDescent="0.15">
      <c r="H269" s="17">
        <v>267</v>
      </c>
      <c r="I269">
        <v>127034</v>
      </c>
      <c r="J269" t="s">
        <v>181</v>
      </c>
      <c r="K269">
        <v>104.07</v>
      </c>
      <c r="L269" s="57">
        <v>0.41110000000000002</v>
      </c>
      <c r="M269" s="20">
        <v>7.1176969999999997</v>
      </c>
      <c r="N269" s="5" t="str">
        <f t="shared" si="10"/>
        <v>未买</v>
      </c>
      <c r="Q269" s="17">
        <v>267</v>
      </c>
    </row>
    <row r="270" spans="8:17" x14ac:dyDescent="0.15">
      <c r="H270" s="17">
        <v>268</v>
      </c>
      <c r="I270">
        <v>113648</v>
      </c>
      <c r="J270" t="s">
        <v>1759</v>
      </c>
      <c r="K270">
        <v>119.63200000000001</v>
      </c>
      <c r="L270" s="57">
        <v>0.4143</v>
      </c>
      <c r="M270" s="20">
        <v>9.9998699999999996</v>
      </c>
      <c r="N270" s="5" t="str">
        <f t="shared" si="10"/>
        <v>未买</v>
      </c>
      <c r="Q270" s="17">
        <v>268</v>
      </c>
    </row>
    <row r="271" spans="8:17" x14ac:dyDescent="0.15">
      <c r="H271" s="17">
        <v>269</v>
      </c>
      <c r="I271">
        <v>110087</v>
      </c>
      <c r="J271" t="s">
        <v>1907</v>
      </c>
      <c r="K271">
        <v>114.111</v>
      </c>
      <c r="L271" s="57">
        <v>0.41609999999999997</v>
      </c>
      <c r="M271" s="20">
        <v>30</v>
      </c>
      <c r="N271" s="5" t="str">
        <f t="shared" si="10"/>
        <v>未买</v>
      </c>
      <c r="Q271" s="17">
        <v>269</v>
      </c>
    </row>
    <row r="272" spans="8:17" x14ac:dyDescent="0.15">
      <c r="H272" s="17">
        <v>270</v>
      </c>
      <c r="I272">
        <v>123159</v>
      </c>
      <c r="J272" t="s">
        <v>2066</v>
      </c>
      <c r="K272">
        <v>121.497</v>
      </c>
      <c r="L272" s="57">
        <v>0.41920000000000002</v>
      </c>
      <c r="M272" s="20">
        <v>2.9434999999999998</v>
      </c>
      <c r="N272" s="5" t="str">
        <f t="shared" si="10"/>
        <v>未买</v>
      </c>
      <c r="Q272" s="17">
        <v>270</v>
      </c>
    </row>
    <row r="273" spans="8:17" x14ac:dyDescent="0.15">
      <c r="H273" s="17">
        <v>271</v>
      </c>
      <c r="I273">
        <v>123010</v>
      </c>
      <c r="J273" t="s">
        <v>175</v>
      </c>
      <c r="K273">
        <v>111.25</v>
      </c>
      <c r="L273" s="57">
        <v>0.41950000000000004</v>
      </c>
      <c r="M273" s="20">
        <v>4.2960060000000002</v>
      </c>
      <c r="N273" s="5" t="str">
        <f t="shared" si="10"/>
        <v>未买</v>
      </c>
      <c r="Q273" s="17">
        <v>271</v>
      </c>
    </row>
    <row r="274" spans="8:17" x14ac:dyDescent="0.15">
      <c r="H274" s="17">
        <v>272</v>
      </c>
      <c r="I274">
        <v>123059</v>
      </c>
      <c r="J274" t="s">
        <v>187</v>
      </c>
      <c r="K274">
        <v>118.017</v>
      </c>
      <c r="L274" s="57">
        <v>0.42</v>
      </c>
      <c r="M274" s="20">
        <v>3.912382</v>
      </c>
      <c r="N274" s="5" t="str">
        <f t="shared" si="10"/>
        <v>未买</v>
      </c>
      <c r="Q274" s="17">
        <v>272</v>
      </c>
    </row>
    <row r="275" spans="8:17" x14ac:dyDescent="0.15">
      <c r="H275" s="17">
        <v>273</v>
      </c>
      <c r="I275">
        <v>113619</v>
      </c>
      <c r="J275" t="s">
        <v>205</v>
      </c>
      <c r="K275">
        <v>119.72</v>
      </c>
      <c r="L275" s="57">
        <v>0.42170000000000002</v>
      </c>
      <c r="M275" s="20">
        <v>9.9967400000000008</v>
      </c>
      <c r="N275" s="5" t="str">
        <f t="shared" si="10"/>
        <v>未买</v>
      </c>
      <c r="Q275" s="17">
        <v>273</v>
      </c>
    </row>
    <row r="276" spans="8:17" x14ac:dyDescent="0.15">
      <c r="H276" s="17">
        <v>274</v>
      </c>
      <c r="I276">
        <v>127055</v>
      </c>
      <c r="J276" t="s">
        <v>741</v>
      </c>
      <c r="K276">
        <v>112.4</v>
      </c>
      <c r="L276" s="57">
        <v>0.42170000000000002</v>
      </c>
      <c r="M276" s="20">
        <v>5.7693539999999999</v>
      </c>
      <c r="N276" s="5" t="str">
        <f t="shared" si="10"/>
        <v>未买</v>
      </c>
      <c r="Q276" s="17">
        <v>274</v>
      </c>
    </row>
    <row r="277" spans="8:17" x14ac:dyDescent="0.15">
      <c r="H277" s="17">
        <v>275</v>
      </c>
      <c r="I277">
        <v>123061</v>
      </c>
      <c r="J277" t="s">
        <v>93</v>
      </c>
      <c r="K277">
        <v>120.999</v>
      </c>
      <c r="L277" s="57">
        <v>0.42280000000000001</v>
      </c>
      <c r="M277" s="20">
        <v>2.4960209999999998</v>
      </c>
      <c r="N277" s="5" t="str">
        <f t="shared" si="10"/>
        <v>未买</v>
      </c>
      <c r="Q277" s="17">
        <v>275</v>
      </c>
    </row>
    <row r="278" spans="8:17" x14ac:dyDescent="0.15">
      <c r="H278" s="17">
        <v>276</v>
      </c>
      <c r="I278">
        <v>111005</v>
      </c>
      <c r="J278" t="s">
        <v>1918</v>
      </c>
      <c r="K278">
        <v>118.72</v>
      </c>
      <c r="L278" s="57">
        <v>0.42280000000000001</v>
      </c>
      <c r="M278" s="20">
        <v>5.7</v>
      </c>
      <c r="N278" s="5" t="str">
        <f t="shared" si="10"/>
        <v>未买</v>
      </c>
      <c r="Q278" s="17">
        <v>276</v>
      </c>
    </row>
    <row r="279" spans="8:17" x14ac:dyDescent="0.15">
      <c r="H279" s="17">
        <v>277</v>
      </c>
      <c r="I279">
        <v>123054</v>
      </c>
      <c r="J279" t="s">
        <v>80</v>
      </c>
      <c r="K279">
        <v>124.64</v>
      </c>
      <c r="L279" s="57">
        <v>0.4264</v>
      </c>
      <c r="M279" s="20">
        <v>2.0730419999999996</v>
      </c>
      <c r="N279" s="5" t="str">
        <f t="shared" si="10"/>
        <v>未买</v>
      </c>
      <c r="Q279" s="17">
        <v>277</v>
      </c>
    </row>
    <row r="280" spans="8:17" x14ac:dyDescent="0.15">
      <c r="H280" s="17">
        <v>278</v>
      </c>
      <c r="I280">
        <v>127026</v>
      </c>
      <c r="J280" t="s">
        <v>207</v>
      </c>
      <c r="K280">
        <v>113.77</v>
      </c>
      <c r="L280" s="57">
        <v>0.43290000000000001</v>
      </c>
      <c r="M280" s="20">
        <v>6.9970539999999986</v>
      </c>
      <c r="N280" s="5" t="str">
        <f t="shared" si="10"/>
        <v>未买</v>
      </c>
      <c r="Q280" s="17">
        <v>278</v>
      </c>
    </row>
    <row r="281" spans="8:17" x14ac:dyDescent="0.15">
      <c r="H281" s="17">
        <v>279</v>
      </c>
      <c r="I281">
        <v>118017</v>
      </c>
      <c r="J281" t="s">
        <v>2074</v>
      </c>
      <c r="K281">
        <v>123.16</v>
      </c>
      <c r="L281" s="57">
        <v>0.43310000000000004</v>
      </c>
      <c r="M281" s="20">
        <v>3.6</v>
      </c>
      <c r="N281" s="5" t="str">
        <f t="shared" si="10"/>
        <v>未买</v>
      </c>
      <c r="Q281" s="17">
        <v>279</v>
      </c>
    </row>
    <row r="282" spans="8:17" x14ac:dyDescent="0.15">
      <c r="H282" s="17">
        <v>280</v>
      </c>
      <c r="I282">
        <v>118011</v>
      </c>
      <c r="J282" t="s">
        <v>1913</v>
      </c>
      <c r="K282">
        <v>117.84099999999999</v>
      </c>
      <c r="L282" s="57">
        <v>0.43759999999999999</v>
      </c>
      <c r="M282" s="20">
        <v>5</v>
      </c>
      <c r="N282" s="5" t="str">
        <f t="shared" si="10"/>
        <v>未买</v>
      </c>
      <c r="Q282" s="17">
        <v>280</v>
      </c>
    </row>
    <row r="283" spans="8:17" x14ac:dyDescent="0.15">
      <c r="H283" s="17">
        <v>281</v>
      </c>
      <c r="I283">
        <v>128039</v>
      </c>
      <c r="J283" t="s">
        <v>111</v>
      </c>
      <c r="K283">
        <v>117.747</v>
      </c>
      <c r="L283" s="57">
        <v>0.43939999999999996</v>
      </c>
      <c r="M283" s="20">
        <v>2.0238990000000001</v>
      </c>
      <c r="N283" s="5" t="str">
        <f t="shared" si="10"/>
        <v>未买</v>
      </c>
      <c r="Q283" s="17">
        <v>281</v>
      </c>
    </row>
    <row r="284" spans="8:17" x14ac:dyDescent="0.15">
      <c r="H284" s="17">
        <v>282</v>
      </c>
      <c r="I284">
        <v>128120</v>
      </c>
      <c r="J284" t="s">
        <v>108</v>
      </c>
      <c r="K284">
        <v>117.91</v>
      </c>
      <c r="L284" s="57">
        <v>0.44090000000000001</v>
      </c>
      <c r="M284" s="20">
        <v>2.5979830000000002</v>
      </c>
      <c r="N284" s="5" t="str">
        <f t="shared" si="10"/>
        <v>未买</v>
      </c>
      <c r="Q284" s="17">
        <v>282</v>
      </c>
    </row>
    <row r="285" spans="8:17" x14ac:dyDescent="0.15">
      <c r="H285" s="17">
        <v>283</v>
      </c>
      <c r="I285">
        <v>123163</v>
      </c>
      <c r="J285" t="s">
        <v>2072</v>
      </c>
      <c r="K285">
        <v>124.7</v>
      </c>
      <c r="L285" s="57">
        <v>0.44700000000000001</v>
      </c>
      <c r="M285" s="20">
        <v>3.1</v>
      </c>
      <c r="N285" s="5" t="str">
        <f t="shared" si="10"/>
        <v>未买</v>
      </c>
      <c r="Q285" s="17">
        <v>283</v>
      </c>
    </row>
    <row r="286" spans="8:17" x14ac:dyDescent="0.15">
      <c r="H286" s="17">
        <v>284</v>
      </c>
      <c r="I286">
        <v>127061</v>
      </c>
      <c r="J286" t="s">
        <v>1876</v>
      </c>
      <c r="K286">
        <v>108.29</v>
      </c>
      <c r="L286" s="57">
        <v>0.44789999999999996</v>
      </c>
      <c r="M286" s="20">
        <v>35.897289000000001</v>
      </c>
      <c r="N286" s="5" t="str">
        <f t="shared" si="10"/>
        <v>未买</v>
      </c>
      <c r="Q286" s="17">
        <v>284</v>
      </c>
    </row>
    <row r="287" spans="8:17" x14ac:dyDescent="0.15">
      <c r="H287" s="17">
        <v>285</v>
      </c>
      <c r="I287">
        <v>118006</v>
      </c>
      <c r="J287" t="s">
        <v>770</v>
      </c>
      <c r="K287">
        <v>122.584</v>
      </c>
      <c r="L287" s="57">
        <v>0.44950000000000001</v>
      </c>
      <c r="M287" s="20">
        <v>3.8737499999999998</v>
      </c>
      <c r="N287" s="5" t="str">
        <f t="shared" si="10"/>
        <v>未买</v>
      </c>
      <c r="Q287" s="17">
        <v>285</v>
      </c>
    </row>
    <row r="288" spans="8:17" x14ac:dyDescent="0.15">
      <c r="H288" s="17">
        <v>286</v>
      </c>
      <c r="I288">
        <v>113602</v>
      </c>
      <c r="J288" t="s">
        <v>1749</v>
      </c>
      <c r="K288">
        <v>114.938</v>
      </c>
      <c r="L288" s="57">
        <v>0.45140000000000002</v>
      </c>
      <c r="M288" s="20">
        <v>17.798719999999999</v>
      </c>
      <c r="N288" s="5" t="str">
        <f t="shared" si="10"/>
        <v>未买</v>
      </c>
      <c r="Q288" s="17">
        <v>286</v>
      </c>
    </row>
    <row r="289" spans="8:17" x14ac:dyDescent="0.15">
      <c r="H289" s="17">
        <v>287</v>
      </c>
      <c r="I289">
        <v>123109</v>
      </c>
      <c r="J289" t="s">
        <v>1885</v>
      </c>
      <c r="K289">
        <v>118.65</v>
      </c>
      <c r="L289" s="57">
        <v>0.45329999999999998</v>
      </c>
      <c r="M289" s="20">
        <v>4.59551</v>
      </c>
      <c r="N289" s="5" t="str">
        <f t="shared" si="10"/>
        <v>未买</v>
      </c>
      <c r="Q289" s="17">
        <v>287</v>
      </c>
    </row>
    <row r="290" spans="8:17" x14ac:dyDescent="0.15">
      <c r="H290" s="17">
        <v>288</v>
      </c>
      <c r="I290">
        <v>123048</v>
      </c>
      <c r="J290" t="s">
        <v>208</v>
      </c>
      <c r="K290">
        <v>117.45</v>
      </c>
      <c r="L290" s="57">
        <v>0.45340000000000003</v>
      </c>
      <c r="M290" s="20">
        <v>3.7902160000000005</v>
      </c>
      <c r="N290" s="5" t="str">
        <f t="shared" si="10"/>
        <v>未买</v>
      </c>
      <c r="Q290" s="17">
        <v>288</v>
      </c>
    </row>
    <row r="291" spans="8:17" x14ac:dyDescent="0.15">
      <c r="H291" s="17">
        <v>289</v>
      </c>
      <c r="I291">
        <v>128129</v>
      </c>
      <c r="J291" t="s">
        <v>1741</v>
      </c>
      <c r="K291">
        <v>100.35</v>
      </c>
      <c r="L291" s="57">
        <v>0.45520000000000005</v>
      </c>
      <c r="M291" s="20">
        <v>49.997380999999997</v>
      </c>
      <c r="N291" s="5" t="str">
        <f t="shared" si="10"/>
        <v>未买</v>
      </c>
      <c r="Q291" s="17">
        <v>289</v>
      </c>
    </row>
    <row r="292" spans="8:17" x14ac:dyDescent="0.15">
      <c r="H292" s="17">
        <v>290</v>
      </c>
      <c r="I292">
        <v>127018</v>
      </c>
      <c r="J292" t="s">
        <v>1720</v>
      </c>
      <c r="K292">
        <v>113.2</v>
      </c>
      <c r="L292" s="57">
        <v>0.45649999999999996</v>
      </c>
      <c r="M292" s="20">
        <v>56.310521000000001</v>
      </c>
      <c r="N292" s="5" t="str">
        <f t="shared" si="10"/>
        <v>未买</v>
      </c>
      <c r="Q292" s="17">
        <v>290</v>
      </c>
    </row>
    <row r="293" spans="8:17" x14ac:dyDescent="0.15">
      <c r="H293" s="17">
        <v>291</v>
      </c>
      <c r="I293" s="7">
        <v>128023</v>
      </c>
      <c r="J293" s="7" t="s">
        <v>190</v>
      </c>
      <c r="K293" s="7">
        <v>116.03</v>
      </c>
      <c r="L293" s="58">
        <v>0.4597</v>
      </c>
      <c r="M293" s="32">
        <v>9.9863149999999994</v>
      </c>
      <c r="N293" s="5" t="str">
        <f t="shared" si="10"/>
        <v>未买</v>
      </c>
    </row>
    <row r="294" spans="8:17" x14ac:dyDescent="0.15">
      <c r="H294" s="17">
        <v>292</v>
      </c>
      <c r="I294" s="7">
        <v>127071</v>
      </c>
      <c r="J294" s="7" t="s">
        <v>2076</v>
      </c>
      <c r="K294" s="7">
        <v>115.99</v>
      </c>
      <c r="L294" s="58">
        <v>0.4597</v>
      </c>
      <c r="M294" s="32">
        <v>4.95</v>
      </c>
      <c r="N294" s="5" t="str">
        <f t="shared" si="10"/>
        <v>未买</v>
      </c>
    </row>
    <row r="295" spans="8:17" x14ac:dyDescent="0.15">
      <c r="H295" s="17">
        <v>293</v>
      </c>
      <c r="I295" s="7">
        <v>127033</v>
      </c>
      <c r="J295" s="7" t="s">
        <v>1726</v>
      </c>
      <c r="K295" s="7">
        <v>108.2</v>
      </c>
      <c r="L295" s="58">
        <v>0.46039999999999998</v>
      </c>
      <c r="M295" s="32">
        <v>11.593465999999999</v>
      </c>
      <c r="N295" s="5" t="str">
        <f t="shared" si="10"/>
        <v>未买</v>
      </c>
    </row>
    <row r="296" spans="8:17" x14ac:dyDescent="0.15">
      <c r="H296" s="17">
        <v>294</v>
      </c>
      <c r="I296" s="7">
        <v>123136</v>
      </c>
      <c r="J296" s="7" t="s">
        <v>244</v>
      </c>
      <c r="K296" s="7">
        <v>117.79900000000001</v>
      </c>
      <c r="L296" s="58">
        <v>0.4612</v>
      </c>
      <c r="M296" s="32">
        <v>4.595243</v>
      </c>
      <c r="N296" s="5" t="str">
        <f t="shared" si="10"/>
        <v>未买</v>
      </c>
    </row>
    <row r="297" spans="8:17" x14ac:dyDescent="0.15">
      <c r="H297" s="17">
        <v>295</v>
      </c>
      <c r="I297" s="7">
        <v>123002</v>
      </c>
      <c r="J297" s="7" t="s">
        <v>79</v>
      </c>
      <c r="K297" s="7">
        <v>113.7</v>
      </c>
      <c r="L297" s="58">
        <v>0.46159999999999995</v>
      </c>
      <c r="M297" s="32">
        <v>2.5214889999999999</v>
      </c>
      <c r="N297" s="5" t="str">
        <f t="shared" si="10"/>
        <v>未买</v>
      </c>
    </row>
    <row r="298" spans="8:17" x14ac:dyDescent="0.15">
      <c r="H298" s="17">
        <v>296</v>
      </c>
      <c r="I298" s="7">
        <v>113658</v>
      </c>
      <c r="J298" s="7" t="s">
        <v>2071</v>
      </c>
      <c r="K298" s="7">
        <v>123.678</v>
      </c>
      <c r="L298" s="58">
        <v>0.4642</v>
      </c>
      <c r="M298" s="32">
        <v>8.7238799999999994</v>
      </c>
      <c r="N298" s="5" t="str">
        <f t="shared" si="10"/>
        <v>未买</v>
      </c>
    </row>
    <row r="299" spans="8:17" x14ac:dyDescent="0.15">
      <c r="H299" s="17">
        <v>297</v>
      </c>
      <c r="I299" s="7">
        <v>123088</v>
      </c>
      <c r="J299" s="7" t="s">
        <v>209</v>
      </c>
      <c r="K299" s="7">
        <v>120.39700000000001</v>
      </c>
      <c r="L299" s="58">
        <v>0.46539999999999998</v>
      </c>
      <c r="M299" s="32">
        <v>3.0112640000000002</v>
      </c>
      <c r="N299" s="5" t="str">
        <f t="shared" si="10"/>
        <v>未买</v>
      </c>
    </row>
    <row r="300" spans="8:17" x14ac:dyDescent="0.15">
      <c r="H300" s="17">
        <v>298</v>
      </c>
      <c r="I300" s="7">
        <v>111006</v>
      </c>
      <c r="J300" s="7" t="s">
        <v>2068</v>
      </c>
      <c r="K300" s="7">
        <v>128.30000000000001</v>
      </c>
      <c r="L300" s="58">
        <v>0.47340000000000004</v>
      </c>
      <c r="M300" s="32">
        <v>6.5067000000000004</v>
      </c>
      <c r="N300" s="5" t="str">
        <f t="shared" si="10"/>
        <v>未买</v>
      </c>
    </row>
    <row r="301" spans="8:17" x14ac:dyDescent="0.15">
      <c r="H301" s="17">
        <v>299</v>
      </c>
      <c r="I301" s="7">
        <v>127062</v>
      </c>
      <c r="J301" s="7" t="s">
        <v>1772</v>
      </c>
      <c r="K301" s="7">
        <v>115</v>
      </c>
      <c r="L301" s="58">
        <v>0.47549999999999998</v>
      </c>
      <c r="M301" s="32">
        <v>3.9624700000000002</v>
      </c>
      <c r="N301" s="5" t="str">
        <f t="shared" si="10"/>
        <v>未买</v>
      </c>
    </row>
    <row r="302" spans="8:17" x14ac:dyDescent="0.15">
      <c r="H302" s="17">
        <v>300</v>
      </c>
      <c r="I302" s="7">
        <v>123108</v>
      </c>
      <c r="J302" s="7" t="s">
        <v>1780</v>
      </c>
      <c r="K302" s="7">
        <v>121.9</v>
      </c>
      <c r="L302" s="58">
        <v>0.4763</v>
      </c>
      <c r="M302" s="32">
        <v>16.377229</v>
      </c>
      <c r="N302" s="5" t="str">
        <f t="shared" si="10"/>
        <v>未买</v>
      </c>
    </row>
    <row r="303" spans="8:17" x14ac:dyDescent="0.15">
      <c r="H303" s="17">
        <v>301</v>
      </c>
      <c r="I303" s="7">
        <v>128135</v>
      </c>
      <c r="J303" s="7" t="s">
        <v>1737</v>
      </c>
      <c r="K303" s="7">
        <v>119</v>
      </c>
      <c r="L303" s="58">
        <v>0.47729999999999995</v>
      </c>
      <c r="M303" s="32">
        <v>13.398585000000001</v>
      </c>
      <c r="N303" s="5" t="str">
        <f t="shared" si="10"/>
        <v>未买</v>
      </c>
    </row>
    <row r="304" spans="8:17" x14ac:dyDescent="0.15">
      <c r="H304" s="17">
        <v>302</v>
      </c>
      <c r="I304" s="7">
        <v>128062</v>
      </c>
      <c r="J304" s="7" t="s">
        <v>2085</v>
      </c>
      <c r="K304" s="7">
        <v>106.15</v>
      </c>
      <c r="L304" s="58">
        <v>0.48399999999999999</v>
      </c>
      <c r="M304" s="32">
        <v>9.6191899999999997</v>
      </c>
      <c r="N304" s="5" t="str">
        <f t="shared" si="10"/>
        <v>未买</v>
      </c>
    </row>
    <row r="305" spans="8:14" x14ac:dyDescent="0.15">
      <c r="H305" s="17">
        <v>303</v>
      </c>
      <c r="I305" s="7">
        <v>123132</v>
      </c>
      <c r="J305" s="7" t="s">
        <v>224</v>
      </c>
      <c r="K305" s="7">
        <v>116.73699999999999</v>
      </c>
      <c r="L305" s="58">
        <v>0.48499999999999999</v>
      </c>
      <c r="M305" s="32">
        <v>6.9996570000000009</v>
      </c>
      <c r="N305" s="5" t="str">
        <f t="shared" si="10"/>
        <v>未买</v>
      </c>
    </row>
    <row r="306" spans="8:14" x14ac:dyDescent="0.15">
      <c r="H306" s="17">
        <v>304</v>
      </c>
      <c r="I306" s="7">
        <v>113054</v>
      </c>
      <c r="J306" s="7" t="s">
        <v>1748</v>
      </c>
      <c r="K306" s="7">
        <v>105.67</v>
      </c>
      <c r="L306" s="58">
        <v>0.4864</v>
      </c>
      <c r="M306" s="32">
        <v>23.599329999999998</v>
      </c>
      <c r="N306" s="5" t="str">
        <f t="shared" si="10"/>
        <v>未买</v>
      </c>
    </row>
    <row r="307" spans="8:14" x14ac:dyDescent="0.15">
      <c r="H307" s="17">
        <v>305</v>
      </c>
      <c r="I307" s="7">
        <v>123153</v>
      </c>
      <c r="J307" s="7" t="s">
        <v>1922</v>
      </c>
      <c r="K307" s="7">
        <v>118.027</v>
      </c>
      <c r="L307" s="58">
        <v>0.49009999999999998</v>
      </c>
      <c r="M307" s="32">
        <v>3.4</v>
      </c>
      <c r="N307" s="5" t="str">
        <f t="shared" si="10"/>
        <v>未买</v>
      </c>
    </row>
    <row r="308" spans="8:14" x14ac:dyDescent="0.15">
      <c r="H308" s="17">
        <v>306</v>
      </c>
      <c r="I308" s="7">
        <v>128053</v>
      </c>
      <c r="J308" s="7" t="s">
        <v>61</v>
      </c>
      <c r="K308" s="7">
        <v>175.45</v>
      </c>
      <c r="L308" s="58">
        <v>0.49420000000000003</v>
      </c>
      <c r="M308" s="32">
        <v>1.8993100000000001</v>
      </c>
      <c r="N308" s="5" t="str">
        <f t="shared" si="10"/>
        <v>Yes</v>
      </c>
    </row>
    <row r="309" spans="8:14" x14ac:dyDescent="0.15">
      <c r="H309" s="17">
        <v>307</v>
      </c>
      <c r="I309" s="7">
        <v>113601</v>
      </c>
      <c r="J309" s="7" t="s">
        <v>64</v>
      </c>
      <c r="K309" s="7">
        <v>111.94499999999999</v>
      </c>
      <c r="L309" s="58">
        <v>0.49680000000000002</v>
      </c>
      <c r="M309" s="32">
        <v>5.4287200000000002</v>
      </c>
      <c r="N309" s="5" t="str">
        <f t="shared" si="10"/>
        <v>未买</v>
      </c>
    </row>
    <row r="310" spans="8:14" x14ac:dyDescent="0.15">
      <c r="H310" s="17">
        <v>308</v>
      </c>
      <c r="I310" s="7">
        <v>123131</v>
      </c>
      <c r="J310" s="7" t="s">
        <v>220</v>
      </c>
      <c r="K310" s="7">
        <v>117.952</v>
      </c>
      <c r="L310" s="58">
        <v>0.49840000000000001</v>
      </c>
      <c r="M310" s="32">
        <v>6.3496860000000002</v>
      </c>
      <c r="N310" s="5" t="str">
        <f t="shared" si="10"/>
        <v>未买</v>
      </c>
    </row>
    <row r="311" spans="8:14" x14ac:dyDescent="0.15">
      <c r="H311" s="17">
        <v>309</v>
      </c>
      <c r="I311" s="7">
        <v>113605</v>
      </c>
      <c r="J311" s="7" t="s">
        <v>1791</v>
      </c>
      <c r="K311" s="7">
        <v>117.697</v>
      </c>
      <c r="L311" s="58">
        <v>0.49950000000000006</v>
      </c>
      <c r="M311" s="32">
        <v>14.04745</v>
      </c>
      <c r="N311" s="5" t="str">
        <f t="shared" si="10"/>
        <v>未买</v>
      </c>
    </row>
    <row r="312" spans="8:14" x14ac:dyDescent="0.15">
      <c r="H312" s="17">
        <v>310</v>
      </c>
      <c r="I312" s="7">
        <v>113656</v>
      </c>
      <c r="J312" s="7" t="s">
        <v>2073</v>
      </c>
      <c r="K312" s="7">
        <v>113.75</v>
      </c>
      <c r="L312" s="58">
        <v>0.50319999999999998</v>
      </c>
      <c r="M312" s="32">
        <v>8</v>
      </c>
      <c r="N312" s="5" t="str">
        <f t="shared" si="10"/>
        <v>未买</v>
      </c>
    </row>
    <row r="313" spans="8:14" x14ac:dyDescent="0.15">
      <c r="H313" s="17">
        <v>311</v>
      </c>
      <c r="I313" s="7">
        <v>113636</v>
      </c>
      <c r="J313" s="7" t="s">
        <v>221</v>
      </c>
      <c r="K313" s="7">
        <v>117.79600000000001</v>
      </c>
      <c r="L313" s="58">
        <v>0.50369999999999993</v>
      </c>
      <c r="M313" s="32">
        <v>9.9954099999999997</v>
      </c>
      <c r="N313" s="5" t="str">
        <f t="shared" si="10"/>
        <v>未买</v>
      </c>
    </row>
    <row r="314" spans="8:14" x14ac:dyDescent="0.15">
      <c r="H314" s="17">
        <v>312</v>
      </c>
      <c r="I314" s="7">
        <v>113646</v>
      </c>
      <c r="J314" s="7" t="s">
        <v>1795</v>
      </c>
      <c r="K314" s="7">
        <v>141.12700000000001</v>
      </c>
      <c r="L314" s="58">
        <v>0.505</v>
      </c>
      <c r="M314" s="32">
        <v>1.4583200000000001</v>
      </c>
      <c r="N314" s="5" t="str">
        <f t="shared" si="10"/>
        <v>未买</v>
      </c>
    </row>
    <row r="315" spans="8:14" x14ac:dyDescent="0.15">
      <c r="H315" s="17">
        <v>313</v>
      </c>
      <c r="I315" s="7">
        <v>110089</v>
      </c>
      <c r="J315" s="7" t="s">
        <v>2075</v>
      </c>
      <c r="K315" s="7">
        <v>112.133</v>
      </c>
      <c r="L315" s="58">
        <v>0.50759999999999994</v>
      </c>
      <c r="M315" s="32">
        <v>28</v>
      </c>
      <c r="N315" s="5" t="str">
        <f t="shared" si="10"/>
        <v>未买</v>
      </c>
    </row>
    <row r="316" spans="8:14" x14ac:dyDescent="0.15">
      <c r="H316" s="17">
        <v>314</v>
      </c>
      <c r="I316" s="7">
        <v>128036</v>
      </c>
      <c r="J316" s="7" t="s">
        <v>162</v>
      </c>
      <c r="K316" s="7">
        <v>130.82</v>
      </c>
      <c r="L316" s="58">
        <v>0.50780000000000003</v>
      </c>
      <c r="M316" s="32">
        <v>1.4562010000000001</v>
      </c>
      <c r="N316" s="5" t="str">
        <f t="shared" si="10"/>
        <v>Yes</v>
      </c>
    </row>
    <row r="317" spans="8:14" x14ac:dyDescent="0.15">
      <c r="H317" s="17">
        <v>315</v>
      </c>
      <c r="I317" s="7">
        <v>113053</v>
      </c>
      <c r="J317" s="7" t="s">
        <v>1734</v>
      </c>
      <c r="K317" s="7">
        <v>120.91</v>
      </c>
      <c r="L317" s="58">
        <v>0.51359999999999995</v>
      </c>
      <c r="M317" s="32">
        <v>69.965440000000001</v>
      </c>
      <c r="N317" s="5" t="str">
        <f t="shared" si="10"/>
        <v>未买</v>
      </c>
    </row>
    <row r="318" spans="8:14" x14ac:dyDescent="0.15">
      <c r="H318" s="17">
        <v>316</v>
      </c>
      <c r="I318" s="7">
        <v>111001</v>
      </c>
      <c r="J318" s="7" t="s">
        <v>198</v>
      </c>
      <c r="K318" s="7">
        <v>115.667</v>
      </c>
      <c r="L318" s="58">
        <v>0.51500000000000001</v>
      </c>
      <c r="M318" s="32">
        <v>5.9993699999999999</v>
      </c>
      <c r="N318" s="5" t="str">
        <f t="shared" si="10"/>
        <v>未买</v>
      </c>
    </row>
    <row r="319" spans="8:14" x14ac:dyDescent="0.15">
      <c r="H319" s="17">
        <v>317</v>
      </c>
      <c r="I319" s="7">
        <v>128056</v>
      </c>
      <c r="J319" s="7" t="s">
        <v>78</v>
      </c>
      <c r="K319" s="7">
        <v>124.096</v>
      </c>
      <c r="L319" s="58">
        <v>0.51539999999999997</v>
      </c>
      <c r="M319" s="32">
        <v>1.7208840000000001</v>
      </c>
      <c r="N319" s="5" t="str">
        <f t="shared" si="10"/>
        <v>未买</v>
      </c>
    </row>
    <row r="320" spans="8:14" x14ac:dyDescent="0.15">
      <c r="H320" s="17">
        <v>318</v>
      </c>
      <c r="I320" s="7">
        <v>128014</v>
      </c>
      <c r="J320" s="7" t="s">
        <v>168</v>
      </c>
      <c r="K320" s="7">
        <v>114.7</v>
      </c>
      <c r="L320" s="58">
        <v>0.51840000000000008</v>
      </c>
      <c r="M320" s="32">
        <v>3.369488</v>
      </c>
      <c r="N320" s="5" t="str">
        <f t="shared" si="10"/>
        <v>未买</v>
      </c>
    </row>
    <row r="321" spans="8:14" x14ac:dyDescent="0.15">
      <c r="H321" s="17">
        <v>319</v>
      </c>
      <c r="I321" s="7">
        <v>128070</v>
      </c>
      <c r="J321" s="7" t="s">
        <v>147</v>
      </c>
      <c r="K321" s="7">
        <v>123</v>
      </c>
      <c r="L321" s="58">
        <v>0.52060000000000006</v>
      </c>
      <c r="M321" s="32">
        <v>2.2938200000000002</v>
      </c>
      <c r="N321" s="5" t="str">
        <f t="shared" si="10"/>
        <v>未买</v>
      </c>
    </row>
    <row r="322" spans="8:14" x14ac:dyDescent="0.15">
      <c r="H322" s="17">
        <v>320</v>
      </c>
      <c r="I322" s="7">
        <v>123115</v>
      </c>
      <c r="J322" s="7" t="s">
        <v>1765</v>
      </c>
      <c r="K322" s="7">
        <v>114.506</v>
      </c>
      <c r="L322" s="58">
        <v>0.52070000000000005</v>
      </c>
      <c r="M322" s="32">
        <v>11.946094</v>
      </c>
      <c r="N322" s="5" t="str">
        <f t="shared" si="10"/>
        <v>未买</v>
      </c>
    </row>
    <row r="323" spans="8:14" x14ac:dyDescent="0.15">
      <c r="H323" s="17">
        <v>321</v>
      </c>
      <c r="I323" s="7">
        <v>113655</v>
      </c>
      <c r="J323" s="7" t="s">
        <v>2086</v>
      </c>
      <c r="K323" s="7">
        <v>127.10899999999999</v>
      </c>
      <c r="L323" s="58">
        <v>0.52810000000000001</v>
      </c>
      <c r="M323" s="32">
        <v>20</v>
      </c>
      <c r="N323" s="5" t="str">
        <f t="shared" si="10"/>
        <v>未买</v>
      </c>
    </row>
    <row r="324" spans="8:14" x14ac:dyDescent="0.15">
      <c r="H324" s="17">
        <v>322</v>
      </c>
      <c r="I324" s="7">
        <v>113542</v>
      </c>
      <c r="J324" s="7" t="s">
        <v>158</v>
      </c>
      <c r="K324" s="7">
        <v>112.414</v>
      </c>
      <c r="L324" s="58">
        <v>0.53049999999999997</v>
      </c>
      <c r="M324" s="32">
        <v>6.0262200000000004</v>
      </c>
      <c r="N324" s="5" t="str">
        <f t="shared" ref="N324:N387" si="11">IF(ISNA(MATCH(I324,$A$3:$A$1000,0)),"未买","Yes")</f>
        <v>未买</v>
      </c>
    </row>
    <row r="325" spans="8:14" x14ac:dyDescent="0.15">
      <c r="H325" s="17">
        <v>323</v>
      </c>
      <c r="I325" s="7">
        <v>113566</v>
      </c>
      <c r="J325" s="7" t="s">
        <v>173</v>
      </c>
      <c r="K325" s="7">
        <v>119.012</v>
      </c>
      <c r="L325" s="58">
        <v>0.5333</v>
      </c>
      <c r="M325" s="32">
        <v>1.6127199999999999</v>
      </c>
      <c r="N325" s="5" t="str">
        <f t="shared" si="11"/>
        <v>未买</v>
      </c>
    </row>
    <row r="326" spans="8:14" x14ac:dyDescent="0.15">
      <c r="H326" s="17">
        <v>324</v>
      </c>
      <c r="I326" s="7">
        <v>113049</v>
      </c>
      <c r="J326" s="7" t="s">
        <v>1732</v>
      </c>
      <c r="K326" s="7">
        <v>116.712</v>
      </c>
      <c r="L326" s="58">
        <v>0.53349999999999997</v>
      </c>
      <c r="M326" s="32">
        <v>34.95496</v>
      </c>
      <c r="N326" s="5" t="str">
        <f t="shared" si="11"/>
        <v>未买</v>
      </c>
    </row>
    <row r="327" spans="8:14" x14ac:dyDescent="0.15">
      <c r="H327" s="17">
        <v>325</v>
      </c>
      <c r="I327" s="7">
        <v>113059</v>
      </c>
      <c r="J327" s="7" t="s">
        <v>1881</v>
      </c>
      <c r="K327" s="7">
        <v>125.974</v>
      </c>
      <c r="L327" s="58">
        <v>0.53890000000000005</v>
      </c>
      <c r="M327" s="32">
        <v>40</v>
      </c>
      <c r="N327" s="5" t="str">
        <f t="shared" si="11"/>
        <v>未买</v>
      </c>
    </row>
    <row r="328" spans="8:14" x14ac:dyDescent="0.15">
      <c r="H328" s="17">
        <v>326</v>
      </c>
      <c r="I328" s="7">
        <v>113037</v>
      </c>
      <c r="J328" s="7" t="s">
        <v>1751</v>
      </c>
      <c r="K328" s="7">
        <v>102.501</v>
      </c>
      <c r="L328" s="58">
        <v>0.53949999999999998</v>
      </c>
      <c r="M328" s="32">
        <v>44.996119999999998</v>
      </c>
      <c r="N328" s="5" t="str">
        <f t="shared" si="11"/>
        <v>未买</v>
      </c>
    </row>
    <row r="329" spans="8:14" x14ac:dyDescent="0.15">
      <c r="H329" s="17">
        <v>327</v>
      </c>
      <c r="I329" s="7">
        <v>113021</v>
      </c>
      <c r="J329" s="7" t="s">
        <v>1763</v>
      </c>
      <c r="K329" s="7">
        <v>109.55</v>
      </c>
      <c r="L329" s="58">
        <v>0.54139999999999999</v>
      </c>
      <c r="M329" s="32">
        <v>399.99664999999999</v>
      </c>
      <c r="N329" s="5" t="str">
        <f t="shared" si="11"/>
        <v>未买</v>
      </c>
    </row>
    <row r="330" spans="8:14" x14ac:dyDescent="0.15">
      <c r="H330" s="17">
        <v>328</v>
      </c>
      <c r="I330" s="7">
        <v>128124</v>
      </c>
      <c r="J330" s="7" t="s">
        <v>151</v>
      </c>
      <c r="K330" s="7">
        <v>103.626</v>
      </c>
      <c r="L330" s="58">
        <v>0.54339999999999999</v>
      </c>
      <c r="M330" s="32">
        <v>7.3759289999999984</v>
      </c>
      <c r="N330" s="5" t="str">
        <f t="shared" si="11"/>
        <v>未买</v>
      </c>
    </row>
    <row r="331" spans="8:14" x14ac:dyDescent="0.15">
      <c r="H331" s="17">
        <v>329</v>
      </c>
      <c r="I331" s="7">
        <v>113052</v>
      </c>
      <c r="J331" s="7" t="s">
        <v>1743</v>
      </c>
      <c r="K331" s="7">
        <v>102.551</v>
      </c>
      <c r="L331" s="58">
        <v>0.54770000000000008</v>
      </c>
      <c r="M331" s="32">
        <v>499.98568</v>
      </c>
      <c r="N331" s="5" t="str">
        <f t="shared" si="11"/>
        <v>未买</v>
      </c>
    </row>
    <row r="332" spans="8:14" x14ac:dyDescent="0.15">
      <c r="H332" s="17">
        <v>330</v>
      </c>
      <c r="I332" s="7">
        <v>123106</v>
      </c>
      <c r="J332" s="7" t="s">
        <v>63</v>
      </c>
      <c r="K332" s="7">
        <v>114.087</v>
      </c>
      <c r="L332" s="58">
        <v>0.55090000000000006</v>
      </c>
      <c r="M332" s="32">
        <v>3.1996630000000001</v>
      </c>
      <c r="N332" s="5" t="str">
        <f t="shared" si="11"/>
        <v>未买</v>
      </c>
    </row>
    <row r="333" spans="8:14" x14ac:dyDescent="0.15">
      <c r="H333" s="17">
        <v>331</v>
      </c>
      <c r="I333" s="7">
        <v>123064</v>
      </c>
      <c r="J333" s="7" t="s">
        <v>126</v>
      </c>
      <c r="K333" s="7">
        <v>117.262</v>
      </c>
      <c r="L333" s="58">
        <v>0.55110000000000003</v>
      </c>
      <c r="M333" s="32">
        <v>5.9801330000000004</v>
      </c>
      <c r="N333" s="5" t="str">
        <f t="shared" si="11"/>
        <v>未买</v>
      </c>
    </row>
    <row r="334" spans="8:14" x14ac:dyDescent="0.15">
      <c r="H334" s="17">
        <v>332</v>
      </c>
      <c r="I334" s="7">
        <v>118015</v>
      </c>
      <c r="J334" s="7" t="s">
        <v>2084</v>
      </c>
      <c r="K334" s="7">
        <v>123.676</v>
      </c>
      <c r="L334" s="58">
        <v>0.55349999999999999</v>
      </c>
      <c r="M334" s="32">
        <v>4.0999999999999996</v>
      </c>
      <c r="N334" s="5" t="str">
        <f t="shared" si="11"/>
        <v>未买</v>
      </c>
    </row>
    <row r="335" spans="8:14" x14ac:dyDescent="0.15">
      <c r="H335" s="17">
        <v>333</v>
      </c>
      <c r="I335" s="7">
        <v>110045</v>
      </c>
      <c r="J335" s="7" t="s">
        <v>1756</v>
      </c>
      <c r="K335" s="7">
        <v>108.727</v>
      </c>
      <c r="L335" s="58">
        <v>0.55369999999999997</v>
      </c>
      <c r="M335" s="32">
        <v>29.49606</v>
      </c>
      <c r="N335" s="5" t="str">
        <f t="shared" si="11"/>
        <v>未买</v>
      </c>
    </row>
    <row r="336" spans="8:14" x14ac:dyDescent="0.15">
      <c r="H336" s="17">
        <v>334</v>
      </c>
      <c r="I336" s="7">
        <v>128132</v>
      </c>
      <c r="J336" s="7" t="s">
        <v>142</v>
      </c>
      <c r="K336" s="7">
        <v>109.202</v>
      </c>
      <c r="L336" s="58">
        <v>0.55649999999999999</v>
      </c>
      <c r="M336" s="32">
        <v>8.4893870000000007</v>
      </c>
      <c r="N336" s="5" t="str">
        <f t="shared" si="11"/>
        <v>未买</v>
      </c>
    </row>
    <row r="337" spans="8:14" x14ac:dyDescent="0.15">
      <c r="H337" s="17">
        <v>335</v>
      </c>
      <c r="I337" s="7">
        <v>110058</v>
      </c>
      <c r="J337" s="7" t="s">
        <v>77</v>
      </c>
      <c r="K337" s="7">
        <v>114.396</v>
      </c>
      <c r="L337" s="58">
        <v>0.55830000000000002</v>
      </c>
      <c r="M337" s="32">
        <v>2.6101999999999999</v>
      </c>
      <c r="N337" s="5" t="str">
        <f t="shared" si="11"/>
        <v>未买</v>
      </c>
    </row>
    <row r="338" spans="8:14" x14ac:dyDescent="0.15">
      <c r="H338" s="17">
        <v>336</v>
      </c>
      <c r="I338" s="7">
        <v>113641</v>
      </c>
      <c r="J338" s="7" t="s">
        <v>1750</v>
      </c>
      <c r="K338" s="7">
        <v>116.63500000000001</v>
      </c>
      <c r="L338" s="58">
        <v>0.56119999999999992</v>
      </c>
      <c r="M338" s="32">
        <v>75.988560000000007</v>
      </c>
      <c r="N338" s="5" t="str">
        <f t="shared" si="11"/>
        <v>未买</v>
      </c>
    </row>
    <row r="339" spans="8:14" x14ac:dyDescent="0.15">
      <c r="H339" s="17">
        <v>337</v>
      </c>
      <c r="I339" s="7">
        <v>113047</v>
      </c>
      <c r="J339" s="7" t="s">
        <v>1739</v>
      </c>
      <c r="K339" s="7">
        <v>120.282</v>
      </c>
      <c r="L339" s="58">
        <v>0.56330000000000002</v>
      </c>
      <c r="M339" s="32">
        <v>14.986560000000001</v>
      </c>
      <c r="N339" s="5" t="str">
        <f t="shared" si="11"/>
        <v>未买</v>
      </c>
    </row>
    <row r="340" spans="8:14" x14ac:dyDescent="0.15">
      <c r="H340" s="17">
        <v>338</v>
      </c>
      <c r="I340" s="7">
        <v>113604</v>
      </c>
      <c r="J340" s="7" t="s">
        <v>144</v>
      </c>
      <c r="K340" s="7">
        <v>105.889</v>
      </c>
      <c r="L340" s="58">
        <v>0.56640000000000001</v>
      </c>
      <c r="M340" s="32">
        <v>6.3984399999999999</v>
      </c>
      <c r="N340" s="5" t="str">
        <f t="shared" si="11"/>
        <v>未买</v>
      </c>
    </row>
    <row r="341" spans="8:14" x14ac:dyDescent="0.15">
      <c r="H341" s="17">
        <v>339</v>
      </c>
      <c r="I341" s="7">
        <v>127056</v>
      </c>
      <c r="J341" s="7" t="s">
        <v>1755</v>
      </c>
      <c r="K341" s="7">
        <v>109.4</v>
      </c>
      <c r="L341" s="58">
        <v>0.56669999999999998</v>
      </c>
      <c r="M341" s="32">
        <v>49.997469000000002</v>
      </c>
      <c r="N341" s="5" t="str">
        <f t="shared" si="11"/>
        <v>未买</v>
      </c>
    </row>
    <row r="342" spans="8:14" x14ac:dyDescent="0.15">
      <c r="H342" s="17">
        <v>340</v>
      </c>
      <c r="I342" s="7">
        <v>128026</v>
      </c>
      <c r="J342" s="7" t="s">
        <v>171</v>
      </c>
      <c r="K342" s="7">
        <v>113.65</v>
      </c>
      <c r="L342" s="58">
        <v>0.56820000000000004</v>
      </c>
      <c r="M342" s="32">
        <v>4.0853299999999999</v>
      </c>
      <c r="N342" s="5" t="str">
        <f t="shared" si="11"/>
        <v>未买</v>
      </c>
    </row>
    <row r="343" spans="8:14" x14ac:dyDescent="0.15">
      <c r="H343" s="17">
        <v>341</v>
      </c>
      <c r="I343" s="7">
        <v>113056</v>
      </c>
      <c r="J343" s="7" t="s">
        <v>1754</v>
      </c>
      <c r="K343" s="7">
        <v>98.588999999999999</v>
      </c>
      <c r="L343" s="58">
        <v>0.5696</v>
      </c>
      <c r="M343" s="32">
        <v>129.99671000000001</v>
      </c>
      <c r="N343" s="5" t="str">
        <f t="shared" si="11"/>
        <v>未买</v>
      </c>
    </row>
    <row r="344" spans="8:14" x14ac:dyDescent="0.15">
      <c r="H344" s="17">
        <v>342</v>
      </c>
      <c r="I344" s="7">
        <v>118000</v>
      </c>
      <c r="J344" s="7" t="s">
        <v>1912</v>
      </c>
      <c r="K344" s="7">
        <v>117.003</v>
      </c>
      <c r="L344" s="58">
        <v>0.57069999999999999</v>
      </c>
      <c r="M344" s="32">
        <v>9.7839899999999993</v>
      </c>
      <c r="N344" s="5" t="str">
        <f t="shared" si="11"/>
        <v>未买</v>
      </c>
    </row>
    <row r="345" spans="8:14" x14ac:dyDescent="0.15">
      <c r="H345" s="17">
        <v>343</v>
      </c>
      <c r="I345" s="7">
        <v>123135</v>
      </c>
      <c r="J345" s="7" t="s">
        <v>1796</v>
      </c>
      <c r="K345" s="7">
        <v>185.81</v>
      </c>
      <c r="L345" s="58">
        <v>0.57530000000000003</v>
      </c>
      <c r="M345" s="32">
        <v>2.0929570000000002</v>
      </c>
      <c r="N345" s="5" t="str">
        <f t="shared" si="11"/>
        <v>未买</v>
      </c>
    </row>
    <row r="346" spans="8:14" x14ac:dyDescent="0.15">
      <c r="H346" s="17">
        <v>344</v>
      </c>
      <c r="I346" s="7">
        <v>113579</v>
      </c>
      <c r="J346" s="7" t="s">
        <v>100</v>
      </c>
      <c r="K346" s="7">
        <v>118.818</v>
      </c>
      <c r="L346" s="58">
        <v>0.58399999999999996</v>
      </c>
      <c r="M346" s="32">
        <v>5.02501</v>
      </c>
      <c r="N346" s="5" t="str">
        <f t="shared" si="11"/>
        <v>未买</v>
      </c>
    </row>
    <row r="347" spans="8:14" x14ac:dyDescent="0.15">
      <c r="H347" s="17">
        <v>345</v>
      </c>
      <c r="I347" s="7">
        <v>123154</v>
      </c>
      <c r="J347" s="7" t="s">
        <v>2083</v>
      </c>
      <c r="K347" s="7">
        <v>116.7</v>
      </c>
      <c r="L347" s="58">
        <v>0.58599999999999997</v>
      </c>
      <c r="M347" s="32">
        <v>5.2899900000000004</v>
      </c>
      <c r="N347" s="5" t="str">
        <f t="shared" si="11"/>
        <v>未买</v>
      </c>
    </row>
    <row r="348" spans="8:14" x14ac:dyDescent="0.15">
      <c r="H348" s="17">
        <v>346</v>
      </c>
      <c r="I348" s="7">
        <v>123116</v>
      </c>
      <c r="J348" s="7" t="s">
        <v>189</v>
      </c>
      <c r="K348" s="7">
        <v>116.72</v>
      </c>
      <c r="L348" s="58">
        <v>0.58609999999999995</v>
      </c>
      <c r="M348" s="32">
        <v>3.7811189999999999</v>
      </c>
      <c r="N348" s="5" t="str">
        <f t="shared" si="11"/>
        <v>未买</v>
      </c>
    </row>
    <row r="349" spans="8:14" x14ac:dyDescent="0.15">
      <c r="H349" s="17">
        <v>347</v>
      </c>
      <c r="I349" s="7">
        <v>127046</v>
      </c>
      <c r="J349" s="7" t="s">
        <v>1793</v>
      </c>
      <c r="K349" s="7">
        <v>119.212</v>
      </c>
      <c r="L349" s="58">
        <v>0.59119999999999995</v>
      </c>
      <c r="M349" s="32">
        <v>11.275744</v>
      </c>
      <c r="N349" s="5" t="str">
        <f t="shared" si="11"/>
        <v>未买</v>
      </c>
    </row>
    <row r="350" spans="8:14" x14ac:dyDescent="0.15">
      <c r="H350" s="17">
        <v>348</v>
      </c>
      <c r="I350" s="7">
        <v>128123</v>
      </c>
      <c r="J350" s="7" t="s">
        <v>146</v>
      </c>
      <c r="K350" s="7">
        <v>112.386</v>
      </c>
      <c r="L350" s="58">
        <v>0.59840000000000004</v>
      </c>
      <c r="M350" s="32">
        <v>3.199198</v>
      </c>
      <c r="N350" s="5" t="str">
        <f t="shared" si="11"/>
        <v>未买</v>
      </c>
    </row>
    <row r="351" spans="8:14" x14ac:dyDescent="0.15">
      <c r="H351" s="17">
        <v>349</v>
      </c>
      <c r="I351" s="7">
        <v>128041</v>
      </c>
      <c r="J351" s="7" t="s">
        <v>2087</v>
      </c>
      <c r="K351" s="7">
        <v>259.60000000000002</v>
      </c>
      <c r="L351" s="58">
        <v>0.60229999999999995</v>
      </c>
      <c r="M351" s="32">
        <v>0.52917199999999998</v>
      </c>
      <c r="N351" s="5" t="str">
        <f t="shared" si="11"/>
        <v>未买</v>
      </c>
    </row>
    <row r="352" spans="8:14" x14ac:dyDescent="0.15">
      <c r="H352" s="17">
        <v>350</v>
      </c>
      <c r="I352" s="7">
        <v>113043</v>
      </c>
      <c r="J352" s="7" t="s">
        <v>1769</v>
      </c>
      <c r="K352" s="7">
        <v>105.325</v>
      </c>
      <c r="L352" s="58">
        <v>0.60289999999999999</v>
      </c>
      <c r="M352" s="32">
        <v>37.99756</v>
      </c>
      <c r="N352" s="5" t="str">
        <f t="shared" si="11"/>
        <v>未买</v>
      </c>
    </row>
    <row r="353" spans="8:14" x14ac:dyDescent="0.15">
      <c r="H353" s="17">
        <v>351</v>
      </c>
      <c r="I353" s="7">
        <v>127015</v>
      </c>
      <c r="J353" s="7" t="s">
        <v>149</v>
      </c>
      <c r="K353" s="7">
        <v>109.95699999999999</v>
      </c>
      <c r="L353" s="58">
        <v>0.60609999999999997</v>
      </c>
      <c r="M353" s="32">
        <v>9.4948960000000007</v>
      </c>
      <c r="N353" s="5" t="str">
        <f t="shared" si="11"/>
        <v>未买</v>
      </c>
    </row>
    <row r="354" spans="8:14" x14ac:dyDescent="0.15">
      <c r="H354" s="17">
        <v>352</v>
      </c>
      <c r="I354" s="7">
        <v>127067</v>
      </c>
      <c r="J354" s="7" t="s">
        <v>2081</v>
      </c>
      <c r="K354" s="7">
        <v>108.307</v>
      </c>
      <c r="L354" s="58">
        <v>0.60860000000000003</v>
      </c>
      <c r="M354" s="32">
        <v>30</v>
      </c>
      <c r="N354" s="5" t="str">
        <f t="shared" si="11"/>
        <v>未买</v>
      </c>
    </row>
    <row r="355" spans="8:14" x14ac:dyDescent="0.15">
      <c r="H355" s="17">
        <v>353</v>
      </c>
      <c r="I355" s="7">
        <v>123155</v>
      </c>
      <c r="J355" s="7" t="s">
        <v>2080</v>
      </c>
      <c r="K355" s="7">
        <v>113.5</v>
      </c>
      <c r="L355" s="58">
        <v>0.61199999999999999</v>
      </c>
      <c r="M355" s="32">
        <v>3.6</v>
      </c>
      <c r="N355" s="5" t="str">
        <f t="shared" si="11"/>
        <v>未买</v>
      </c>
    </row>
    <row r="356" spans="8:14" x14ac:dyDescent="0.15">
      <c r="H356" s="17">
        <v>354</v>
      </c>
      <c r="I356" s="7">
        <v>110073</v>
      </c>
      <c r="J356" s="7" t="s">
        <v>1768</v>
      </c>
      <c r="K356" s="7">
        <v>103.7</v>
      </c>
      <c r="L356" s="58">
        <v>0.61499999999999999</v>
      </c>
      <c r="M356" s="32">
        <v>79.993110000000001</v>
      </c>
      <c r="N356" s="5" t="str">
        <f t="shared" si="11"/>
        <v>未买</v>
      </c>
    </row>
    <row r="357" spans="8:14" x14ac:dyDescent="0.15">
      <c r="H357" s="17">
        <v>355</v>
      </c>
      <c r="I357" s="7">
        <v>127053</v>
      </c>
      <c r="J357" s="7" t="s">
        <v>753</v>
      </c>
      <c r="K357" s="7">
        <v>112.45</v>
      </c>
      <c r="L357" s="58">
        <v>0.61659999999999993</v>
      </c>
      <c r="M357" s="32">
        <v>8.2398900000000008</v>
      </c>
      <c r="N357" s="5" t="str">
        <f t="shared" si="11"/>
        <v>未买</v>
      </c>
    </row>
    <row r="358" spans="8:14" x14ac:dyDescent="0.15">
      <c r="H358" s="17">
        <v>356</v>
      </c>
      <c r="I358" s="7">
        <v>123161</v>
      </c>
      <c r="J358" s="7" t="s">
        <v>2078</v>
      </c>
      <c r="K358" s="7">
        <v>121.80800000000001</v>
      </c>
      <c r="L358" s="58">
        <v>0.61960000000000004</v>
      </c>
      <c r="M358" s="32">
        <v>12.1</v>
      </c>
      <c r="N358" s="5" t="str">
        <f t="shared" si="11"/>
        <v>未买</v>
      </c>
    </row>
    <row r="359" spans="8:14" x14ac:dyDescent="0.15">
      <c r="H359" s="17">
        <v>357</v>
      </c>
      <c r="I359" s="7">
        <v>113046</v>
      </c>
      <c r="J359" s="7" t="s">
        <v>1764</v>
      </c>
      <c r="K359" s="7">
        <v>106.953</v>
      </c>
      <c r="L359" s="58">
        <v>0.62570000000000003</v>
      </c>
      <c r="M359" s="32">
        <v>14.998749999999999</v>
      </c>
      <c r="N359" s="5" t="str">
        <f t="shared" si="11"/>
        <v>未买</v>
      </c>
    </row>
    <row r="360" spans="8:14" x14ac:dyDescent="0.15">
      <c r="H360" s="17">
        <v>358</v>
      </c>
      <c r="I360" s="7">
        <v>128063</v>
      </c>
      <c r="J360" s="7" t="s">
        <v>183</v>
      </c>
      <c r="K360" s="7">
        <v>117.952</v>
      </c>
      <c r="L360" s="58">
        <v>0.63529999999999998</v>
      </c>
      <c r="M360" s="32">
        <v>6.2924350000000002</v>
      </c>
      <c r="N360" s="5" t="str">
        <f t="shared" si="11"/>
        <v>未买</v>
      </c>
    </row>
    <row r="361" spans="8:14" x14ac:dyDescent="0.15">
      <c r="H361" s="17">
        <v>359</v>
      </c>
      <c r="I361" s="7">
        <v>113527</v>
      </c>
      <c r="J361" s="7" t="s">
        <v>110</v>
      </c>
      <c r="K361" s="7">
        <v>116.462</v>
      </c>
      <c r="L361" s="58">
        <v>0.63850000000000007</v>
      </c>
      <c r="M361" s="32">
        <v>2.8627699999999998</v>
      </c>
      <c r="N361" s="5" t="str">
        <f t="shared" si="11"/>
        <v>未买</v>
      </c>
    </row>
    <row r="362" spans="8:14" x14ac:dyDescent="0.15">
      <c r="H362" s="17">
        <v>360</v>
      </c>
      <c r="I362" s="7">
        <v>123138</v>
      </c>
      <c r="J362" s="7" t="s">
        <v>749</v>
      </c>
      <c r="K362" s="7">
        <v>124.643</v>
      </c>
      <c r="L362" s="58">
        <v>0.6542</v>
      </c>
      <c r="M362" s="32">
        <v>2.3995990000000003</v>
      </c>
      <c r="N362" s="5" t="str">
        <f t="shared" si="11"/>
        <v>未买</v>
      </c>
    </row>
    <row r="363" spans="8:14" x14ac:dyDescent="0.15">
      <c r="H363" s="17">
        <v>361</v>
      </c>
      <c r="I363" s="7">
        <v>127017</v>
      </c>
      <c r="J363" s="7" t="s">
        <v>174</v>
      </c>
      <c r="K363" s="7">
        <v>112.4</v>
      </c>
      <c r="L363" s="58">
        <v>0.65659999999999996</v>
      </c>
      <c r="M363" s="32">
        <v>9.9959349999999993</v>
      </c>
      <c r="N363" s="5" t="str">
        <f t="shared" si="11"/>
        <v>未买</v>
      </c>
    </row>
    <row r="364" spans="8:14" x14ac:dyDescent="0.15">
      <c r="H364" s="17">
        <v>362</v>
      </c>
      <c r="I364" s="7">
        <v>127022</v>
      </c>
      <c r="J364" s="7" t="s">
        <v>1738</v>
      </c>
      <c r="K364" s="7">
        <v>106.5</v>
      </c>
      <c r="L364" s="58">
        <v>0.65709999999999991</v>
      </c>
      <c r="M364" s="32">
        <v>19.998282</v>
      </c>
      <c r="N364" s="5" t="str">
        <f t="shared" si="11"/>
        <v>未买</v>
      </c>
    </row>
    <row r="365" spans="8:14" x14ac:dyDescent="0.15">
      <c r="H365" s="17">
        <v>363</v>
      </c>
      <c r="I365" s="7">
        <v>113625</v>
      </c>
      <c r="J365" s="7" t="s">
        <v>134</v>
      </c>
      <c r="K365" s="7">
        <v>112.675</v>
      </c>
      <c r="L365" s="58">
        <v>0.66060000000000008</v>
      </c>
      <c r="M365" s="32">
        <v>5.8254700000000001</v>
      </c>
      <c r="N365" s="5" t="str">
        <f t="shared" si="11"/>
        <v>未买</v>
      </c>
    </row>
    <row r="366" spans="8:14" x14ac:dyDescent="0.15">
      <c r="H366" s="17">
        <v>364</v>
      </c>
      <c r="I366" s="7">
        <v>128105</v>
      </c>
      <c r="J366" s="7" t="s">
        <v>166</v>
      </c>
      <c r="K366" s="7">
        <v>103.95699999999999</v>
      </c>
      <c r="L366" s="58">
        <v>0.66459999999999997</v>
      </c>
      <c r="M366" s="32">
        <v>7.9945289999999991</v>
      </c>
      <c r="N366" s="5" t="str">
        <f t="shared" si="11"/>
        <v>未买</v>
      </c>
    </row>
    <row r="367" spans="8:14" x14ac:dyDescent="0.15">
      <c r="H367" s="17">
        <v>365</v>
      </c>
      <c r="I367" s="7">
        <v>127031</v>
      </c>
      <c r="J367" s="7" t="s">
        <v>167</v>
      </c>
      <c r="K367" s="7">
        <v>113.504</v>
      </c>
      <c r="L367" s="58">
        <v>0.66749999999999998</v>
      </c>
      <c r="M367" s="32">
        <v>9.9993800000000004</v>
      </c>
      <c r="N367" s="5" t="str">
        <f t="shared" si="11"/>
        <v>未买</v>
      </c>
    </row>
    <row r="368" spans="8:14" x14ac:dyDescent="0.15">
      <c r="H368" s="17">
        <v>366</v>
      </c>
      <c r="I368" s="7">
        <v>113606</v>
      </c>
      <c r="J368" s="7" t="s">
        <v>188</v>
      </c>
      <c r="K368" s="7">
        <v>109.94199999999999</v>
      </c>
      <c r="L368" s="58">
        <v>0.67519999999999991</v>
      </c>
      <c r="M368" s="32">
        <v>5.9988700000000001</v>
      </c>
      <c r="N368" s="5" t="str">
        <f t="shared" si="11"/>
        <v>未买</v>
      </c>
    </row>
    <row r="369" spans="8:14" x14ac:dyDescent="0.15">
      <c r="H369" s="17">
        <v>367</v>
      </c>
      <c r="I369" s="7">
        <v>113644</v>
      </c>
      <c r="J369" s="7" t="s">
        <v>1760</v>
      </c>
      <c r="K369" s="7">
        <v>112.649</v>
      </c>
      <c r="L369" s="58">
        <v>0.6826000000000001</v>
      </c>
      <c r="M369" s="32">
        <v>9.9999800000000008</v>
      </c>
      <c r="N369" s="5" t="str">
        <f t="shared" si="11"/>
        <v>未买</v>
      </c>
    </row>
    <row r="370" spans="8:14" x14ac:dyDescent="0.15">
      <c r="H370" s="17">
        <v>368</v>
      </c>
      <c r="I370" s="7">
        <v>128117</v>
      </c>
      <c r="J370" s="7" t="s">
        <v>137</v>
      </c>
      <c r="K370" s="7">
        <v>120.99</v>
      </c>
      <c r="L370" s="58">
        <v>0.68389999999999995</v>
      </c>
      <c r="M370" s="32">
        <v>3.585731</v>
      </c>
      <c r="N370" s="5" t="str">
        <f t="shared" si="11"/>
        <v>未买</v>
      </c>
    </row>
    <row r="371" spans="8:14" x14ac:dyDescent="0.15">
      <c r="H371" s="17">
        <v>369</v>
      </c>
      <c r="I371" s="7">
        <v>123143</v>
      </c>
      <c r="J371" s="7" t="s">
        <v>780</v>
      </c>
      <c r="K371" s="7">
        <v>135.114</v>
      </c>
      <c r="L371" s="58">
        <v>0.68659999999999999</v>
      </c>
      <c r="M371" s="32">
        <v>3.2995089999999996</v>
      </c>
      <c r="N371" s="5" t="str">
        <f t="shared" si="11"/>
        <v>未买</v>
      </c>
    </row>
    <row r="372" spans="8:14" x14ac:dyDescent="0.15">
      <c r="H372" s="17">
        <v>370</v>
      </c>
      <c r="I372" s="7">
        <v>127025</v>
      </c>
      <c r="J372" s="7" t="s">
        <v>1747</v>
      </c>
      <c r="K372" s="7">
        <v>107.35</v>
      </c>
      <c r="L372" s="58">
        <v>0.68659999999999999</v>
      </c>
      <c r="M372" s="32">
        <v>17.764520000000001</v>
      </c>
      <c r="N372" s="5" t="str">
        <f t="shared" si="11"/>
        <v>未买</v>
      </c>
    </row>
    <row r="373" spans="8:14" x14ac:dyDescent="0.15">
      <c r="H373" s="17">
        <v>371</v>
      </c>
      <c r="I373" s="7">
        <v>123038</v>
      </c>
      <c r="J373" s="7" t="s">
        <v>73</v>
      </c>
      <c r="K373" s="7">
        <v>130.5</v>
      </c>
      <c r="L373" s="58">
        <v>0.68709999999999993</v>
      </c>
      <c r="M373" s="32">
        <v>1.4726079999999999</v>
      </c>
      <c r="N373" s="5" t="str">
        <f t="shared" si="11"/>
        <v>未买</v>
      </c>
    </row>
    <row r="374" spans="8:14" x14ac:dyDescent="0.15">
      <c r="H374" s="17">
        <v>372</v>
      </c>
      <c r="I374" s="7">
        <v>110082</v>
      </c>
      <c r="J374" s="7" t="s">
        <v>1767</v>
      </c>
      <c r="K374" s="7">
        <v>113.5</v>
      </c>
      <c r="L374" s="58">
        <v>0.68819999999999992</v>
      </c>
      <c r="M374" s="32">
        <v>19.99587</v>
      </c>
      <c r="N374" s="5" t="str">
        <f t="shared" si="11"/>
        <v>未买</v>
      </c>
    </row>
    <row r="375" spans="8:14" x14ac:dyDescent="0.15">
      <c r="H375" s="17">
        <v>373</v>
      </c>
      <c r="I375" s="7">
        <v>110062</v>
      </c>
      <c r="J375" s="7" t="s">
        <v>1775</v>
      </c>
      <c r="K375" s="7">
        <v>106.40900000000001</v>
      </c>
      <c r="L375" s="58">
        <v>0.69090000000000007</v>
      </c>
      <c r="M375" s="32">
        <v>30.87621</v>
      </c>
      <c r="N375" s="5" t="str">
        <f t="shared" si="11"/>
        <v>未买</v>
      </c>
    </row>
    <row r="376" spans="8:14" x14ac:dyDescent="0.15">
      <c r="H376" s="17">
        <v>374</v>
      </c>
      <c r="I376" s="7">
        <v>113650</v>
      </c>
      <c r="J376" s="7" t="s">
        <v>1914</v>
      </c>
      <c r="K376" s="7">
        <v>114.446</v>
      </c>
      <c r="L376" s="58">
        <v>0.70030000000000003</v>
      </c>
      <c r="M376" s="32">
        <v>8</v>
      </c>
      <c r="N376" s="5" t="str">
        <f t="shared" si="11"/>
        <v>未买</v>
      </c>
    </row>
    <row r="377" spans="8:14" x14ac:dyDescent="0.15">
      <c r="H377" s="17">
        <v>375</v>
      </c>
      <c r="I377" s="7">
        <v>123142</v>
      </c>
      <c r="J377" s="7" t="s">
        <v>742</v>
      </c>
      <c r="K377" s="7">
        <v>115.35</v>
      </c>
      <c r="L377" s="58">
        <v>0.7056</v>
      </c>
      <c r="M377" s="32">
        <v>5.4965409999999997</v>
      </c>
      <c r="N377" s="5" t="str">
        <f t="shared" si="11"/>
        <v>未买</v>
      </c>
    </row>
    <row r="378" spans="8:14" x14ac:dyDescent="0.15">
      <c r="H378" s="17">
        <v>376</v>
      </c>
      <c r="I378" s="7">
        <v>127024</v>
      </c>
      <c r="J378" s="7" t="s">
        <v>1779</v>
      </c>
      <c r="K378" s="7">
        <v>104.405</v>
      </c>
      <c r="L378" s="58">
        <v>0.70989999999999998</v>
      </c>
      <c r="M378" s="32">
        <v>14.760597000000001</v>
      </c>
      <c r="N378" s="5" t="str">
        <f t="shared" si="11"/>
        <v>未买</v>
      </c>
    </row>
    <row r="379" spans="8:14" x14ac:dyDescent="0.15">
      <c r="H379" s="17">
        <v>377</v>
      </c>
      <c r="I379" s="7">
        <v>123096</v>
      </c>
      <c r="J379" s="7" t="s">
        <v>186</v>
      </c>
      <c r="K379" s="7">
        <v>103.239</v>
      </c>
      <c r="L379" s="58">
        <v>0.71439999999999992</v>
      </c>
      <c r="M379" s="32">
        <v>8.1672980000000006</v>
      </c>
      <c r="N379" s="5" t="str">
        <f t="shared" si="11"/>
        <v>未买</v>
      </c>
    </row>
    <row r="380" spans="8:14" x14ac:dyDescent="0.15">
      <c r="H380" s="17">
        <v>378</v>
      </c>
      <c r="I380" s="7">
        <v>127047</v>
      </c>
      <c r="J380" s="7" t="s">
        <v>1757</v>
      </c>
      <c r="K380" s="7">
        <v>97.7</v>
      </c>
      <c r="L380" s="58">
        <v>0.72160000000000002</v>
      </c>
      <c r="M380" s="32">
        <v>14.998894</v>
      </c>
      <c r="N380" s="5" t="str">
        <f t="shared" si="11"/>
        <v>未买</v>
      </c>
    </row>
    <row r="381" spans="8:14" x14ac:dyDescent="0.15">
      <c r="H381" s="17">
        <v>379</v>
      </c>
      <c r="I381" s="7">
        <v>118004</v>
      </c>
      <c r="J381" s="7" t="s">
        <v>249</v>
      </c>
      <c r="K381" s="7">
        <v>112.223</v>
      </c>
      <c r="L381" s="58">
        <v>0.72470000000000001</v>
      </c>
      <c r="M381" s="32">
        <v>4.6499699999999997</v>
      </c>
      <c r="N381" s="5" t="str">
        <f t="shared" si="11"/>
        <v>未买</v>
      </c>
    </row>
    <row r="382" spans="8:14" x14ac:dyDescent="0.15">
      <c r="H382" s="17">
        <v>380</v>
      </c>
      <c r="I382" s="7">
        <v>127068</v>
      </c>
      <c r="J382" s="7" t="s">
        <v>2082</v>
      </c>
      <c r="K382" s="7">
        <v>115</v>
      </c>
      <c r="L382" s="58">
        <v>0.72750000000000004</v>
      </c>
      <c r="M382" s="32">
        <v>8.3000000000000007</v>
      </c>
      <c r="N382" s="5" t="str">
        <f t="shared" si="11"/>
        <v>未买</v>
      </c>
    </row>
    <row r="383" spans="8:14" x14ac:dyDescent="0.15">
      <c r="H383" s="17">
        <v>381</v>
      </c>
      <c r="I383" s="7">
        <v>128142</v>
      </c>
      <c r="J383" s="7" t="s">
        <v>178</v>
      </c>
      <c r="K383" s="7">
        <v>110.101</v>
      </c>
      <c r="L383" s="58">
        <v>0.72840000000000005</v>
      </c>
      <c r="M383" s="32">
        <v>7.1797839999999997</v>
      </c>
      <c r="N383" s="5" t="str">
        <f t="shared" si="11"/>
        <v>未买</v>
      </c>
    </row>
    <row r="384" spans="8:14" x14ac:dyDescent="0.15">
      <c r="H384" s="17">
        <v>382</v>
      </c>
      <c r="I384" s="7">
        <v>123049</v>
      </c>
      <c r="J384" s="7" t="s">
        <v>172</v>
      </c>
      <c r="K384" s="7">
        <v>107.2</v>
      </c>
      <c r="L384" s="58">
        <v>0.73040000000000005</v>
      </c>
      <c r="M384" s="32">
        <v>9.1698199999999996</v>
      </c>
      <c r="N384" s="5" t="str">
        <f t="shared" si="11"/>
        <v>未买</v>
      </c>
    </row>
    <row r="385" spans="8:14" x14ac:dyDescent="0.15">
      <c r="H385" s="17">
        <v>383</v>
      </c>
      <c r="I385" s="7">
        <v>118008</v>
      </c>
      <c r="J385" s="7" t="s">
        <v>1910</v>
      </c>
      <c r="K385" s="7">
        <v>120.07</v>
      </c>
      <c r="L385" s="58">
        <v>0.7448999999999999</v>
      </c>
      <c r="M385" s="32">
        <v>6.94</v>
      </c>
      <c r="N385" s="5" t="str">
        <f t="shared" si="11"/>
        <v>未买</v>
      </c>
    </row>
    <row r="386" spans="8:14" x14ac:dyDescent="0.15">
      <c r="H386" s="17">
        <v>384</v>
      </c>
      <c r="I386" s="7">
        <v>110072</v>
      </c>
      <c r="J386" s="7" t="s">
        <v>1753</v>
      </c>
      <c r="K386" s="7">
        <v>94.835999999999999</v>
      </c>
      <c r="L386" s="58">
        <v>0.7611</v>
      </c>
      <c r="M386" s="32">
        <v>33.661360000000002</v>
      </c>
      <c r="N386" s="5" t="str">
        <f t="shared" si="11"/>
        <v>未买</v>
      </c>
    </row>
    <row r="387" spans="8:14" x14ac:dyDescent="0.15">
      <c r="H387" s="17">
        <v>385</v>
      </c>
      <c r="I387" s="7">
        <v>127044</v>
      </c>
      <c r="J387" s="7" t="s">
        <v>1789</v>
      </c>
      <c r="K387" s="7">
        <v>111.602</v>
      </c>
      <c r="L387" s="58">
        <v>0.77599999999999991</v>
      </c>
      <c r="M387" s="32">
        <v>11.688675</v>
      </c>
      <c r="N387" s="5" t="str">
        <f t="shared" si="11"/>
        <v>未买</v>
      </c>
    </row>
    <row r="388" spans="8:14" x14ac:dyDescent="0.15">
      <c r="H388" s="17">
        <v>386</v>
      </c>
      <c r="I388" s="7">
        <v>110076</v>
      </c>
      <c r="J388" s="7" t="s">
        <v>1784</v>
      </c>
      <c r="K388" s="7">
        <v>114.492</v>
      </c>
      <c r="L388" s="58">
        <v>0.77670000000000006</v>
      </c>
      <c r="M388" s="32">
        <v>18.424299999999999</v>
      </c>
      <c r="N388" s="5" t="str">
        <f t="shared" ref="N388:N451" si="12">IF(ISNA(MATCH(I388,$A$3:$A$1000,0)),"未买","Yes")</f>
        <v>未买</v>
      </c>
    </row>
    <row r="389" spans="8:14" x14ac:dyDescent="0.15">
      <c r="H389" s="17">
        <v>387</v>
      </c>
      <c r="I389" s="7">
        <v>123099</v>
      </c>
      <c r="J389" s="7" t="s">
        <v>215</v>
      </c>
      <c r="K389" s="7">
        <v>112.29</v>
      </c>
      <c r="L389" s="58">
        <v>0.78659999999999997</v>
      </c>
      <c r="M389" s="32">
        <v>8.4964539999999982</v>
      </c>
      <c r="N389" s="5" t="str">
        <f t="shared" si="12"/>
        <v>未买</v>
      </c>
    </row>
    <row r="390" spans="8:14" x14ac:dyDescent="0.15">
      <c r="H390" s="17">
        <v>388</v>
      </c>
      <c r="I390" s="7">
        <v>113597</v>
      </c>
      <c r="J390" s="7" t="s">
        <v>139</v>
      </c>
      <c r="K390" s="7">
        <v>118.309</v>
      </c>
      <c r="L390" s="58">
        <v>0.78879999999999995</v>
      </c>
      <c r="M390" s="32">
        <v>2.98238</v>
      </c>
      <c r="N390" s="5" t="str">
        <f t="shared" si="12"/>
        <v>未买</v>
      </c>
    </row>
    <row r="391" spans="8:14" x14ac:dyDescent="0.15">
      <c r="H391" s="17">
        <v>389</v>
      </c>
      <c r="I391" s="7">
        <v>123004</v>
      </c>
      <c r="J391" s="7" t="s">
        <v>161</v>
      </c>
      <c r="K391" s="7">
        <v>108.17</v>
      </c>
      <c r="L391" s="58">
        <v>0.7965000000000001</v>
      </c>
      <c r="M391" s="32">
        <v>8.0316869999999998</v>
      </c>
      <c r="N391" s="5" t="str">
        <f t="shared" si="12"/>
        <v>未买</v>
      </c>
    </row>
    <row r="392" spans="8:14" x14ac:dyDescent="0.15">
      <c r="H392" s="17">
        <v>390</v>
      </c>
      <c r="I392" s="7">
        <v>113623</v>
      </c>
      <c r="J392" s="7" t="s">
        <v>1766</v>
      </c>
      <c r="K392" s="7">
        <v>109.56699999999999</v>
      </c>
      <c r="L392" s="58">
        <v>0.81129999999999991</v>
      </c>
      <c r="M392" s="32">
        <v>24.999479999999998</v>
      </c>
      <c r="N392" s="5" t="str">
        <f t="shared" si="12"/>
        <v>未买</v>
      </c>
    </row>
    <row r="393" spans="8:14" x14ac:dyDescent="0.15">
      <c r="H393" s="17">
        <v>391</v>
      </c>
      <c r="I393" s="7">
        <v>127051</v>
      </c>
      <c r="J393" s="7" t="s">
        <v>225</v>
      </c>
      <c r="K393" s="7">
        <v>109.7</v>
      </c>
      <c r="L393" s="58">
        <v>0.81349999999999989</v>
      </c>
      <c r="M393" s="32">
        <v>5.2591299999999999</v>
      </c>
      <c r="N393" s="5" t="str">
        <f t="shared" si="12"/>
        <v>未买</v>
      </c>
    </row>
    <row r="394" spans="8:14" x14ac:dyDescent="0.15">
      <c r="H394" s="17">
        <v>392</v>
      </c>
      <c r="I394" s="7">
        <v>113535</v>
      </c>
      <c r="J394" s="7" t="s">
        <v>193</v>
      </c>
      <c r="K394" s="7">
        <v>114.577</v>
      </c>
      <c r="L394" s="58">
        <v>0.8216</v>
      </c>
      <c r="M394" s="32">
        <v>4.9961000000000002</v>
      </c>
      <c r="N394" s="5" t="str">
        <f t="shared" si="12"/>
        <v>未买</v>
      </c>
    </row>
    <row r="395" spans="8:14" x14ac:dyDescent="0.15">
      <c r="H395" s="17">
        <v>393</v>
      </c>
      <c r="I395" s="7">
        <v>118010</v>
      </c>
      <c r="J395" s="7" t="s">
        <v>1920</v>
      </c>
      <c r="K395" s="7">
        <v>114.279</v>
      </c>
      <c r="L395" s="58">
        <v>0.82209999999999994</v>
      </c>
      <c r="M395" s="32">
        <v>4.4000000000000004</v>
      </c>
      <c r="N395" s="5" t="str">
        <f t="shared" si="12"/>
        <v>未买</v>
      </c>
    </row>
    <row r="396" spans="8:14" x14ac:dyDescent="0.15">
      <c r="H396" s="17">
        <v>394</v>
      </c>
      <c r="I396" s="7">
        <v>123122</v>
      </c>
      <c r="J396" s="7" t="s">
        <v>157</v>
      </c>
      <c r="K396" s="7">
        <v>114.9</v>
      </c>
      <c r="L396" s="58">
        <v>0.82209999999999994</v>
      </c>
      <c r="M396" s="32">
        <v>5.8062750000000003</v>
      </c>
      <c r="N396" s="5" t="str">
        <f t="shared" si="12"/>
        <v>未买</v>
      </c>
    </row>
    <row r="397" spans="8:14" x14ac:dyDescent="0.15">
      <c r="H397" s="17">
        <v>395</v>
      </c>
      <c r="I397" s="7">
        <v>123124</v>
      </c>
      <c r="J397" s="7" t="s">
        <v>176</v>
      </c>
      <c r="K397" s="7">
        <v>110.199</v>
      </c>
      <c r="L397" s="58">
        <v>0.82869999999999999</v>
      </c>
      <c r="M397" s="32">
        <v>5.227666000000001</v>
      </c>
      <c r="N397" s="5" t="str">
        <f t="shared" si="12"/>
        <v>未买</v>
      </c>
    </row>
    <row r="398" spans="8:14" x14ac:dyDescent="0.15">
      <c r="H398" s="17">
        <v>396</v>
      </c>
      <c r="I398" s="7">
        <v>110081</v>
      </c>
      <c r="J398" s="7" t="s">
        <v>1774</v>
      </c>
      <c r="K398" s="7">
        <v>110.92700000000001</v>
      </c>
      <c r="L398" s="58">
        <v>0.83109999999999995</v>
      </c>
      <c r="M398" s="32">
        <v>85.981250000000003</v>
      </c>
      <c r="N398" s="5" t="str">
        <f t="shared" si="12"/>
        <v>未买</v>
      </c>
    </row>
    <row r="399" spans="8:14" x14ac:dyDescent="0.15">
      <c r="H399" s="17">
        <v>397</v>
      </c>
      <c r="I399" s="7">
        <v>113638</v>
      </c>
      <c r="J399" s="7" t="s">
        <v>247</v>
      </c>
      <c r="K399" s="7">
        <v>112.221</v>
      </c>
      <c r="L399" s="58">
        <v>0.84819999999999995</v>
      </c>
      <c r="M399" s="32">
        <v>5.99932</v>
      </c>
      <c r="N399" s="5" t="str">
        <f t="shared" si="12"/>
        <v>未买</v>
      </c>
    </row>
    <row r="400" spans="8:14" x14ac:dyDescent="0.15">
      <c r="H400" s="17">
        <v>398</v>
      </c>
      <c r="I400" s="7">
        <v>128125</v>
      </c>
      <c r="J400" s="7" t="s">
        <v>133</v>
      </c>
      <c r="K400" s="7">
        <v>107.081</v>
      </c>
      <c r="L400" s="58">
        <v>0.85170000000000001</v>
      </c>
      <c r="M400" s="32">
        <v>4.4978839999999991</v>
      </c>
      <c r="N400" s="5" t="str">
        <f t="shared" si="12"/>
        <v>未买</v>
      </c>
    </row>
    <row r="401" spans="8:14" x14ac:dyDescent="0.15">
      <c r="H401" s="17">
        <v>399</v>
      </c>
      <c r="I401" s="7">
        <v>113652</v>
      </c>
      <c r="J401" s="7" t="s">
        <v>1921</v>
      </c>
      <c r="K401" s="7">
        <v>115.598</v>
      </c>
      <c r="L401" s="58">
        <v>0.85609999999999997</v>
      </c>
      <c r="M401" s="32">
        <v>14.77</v>
      </c>
      <c r="N401" s="5" t="str">
        <f t="shared" si="12"/>
        <v>未买</v>
      </c>
    </row>
    <row r="402" spans="8:14" x14ac:dyDescent="0.15">
      <c r="H402" s="17">
        <v>400</v>
      </c>
      <c r="I402" s="7">
        <v>113593</v>
      </c>
      <c r="J402" s="7" t="s">
        <v>60</v>
      </c>
      <c r="K402" s="7">
        <v>112.637</v>
      </c>
      <c r="L402" s="58">
        <v>0.85959999999999992</v>
      </c>
      <c r="M402" s="32">
        <v>3.9977800000000001</v>
      </c>
      <c r="N402" s="5" t="str">
        <f t="shared" si="12"/>
        <v>未买</v>
      </c>
    </row>
    <row r="403" spans="8:14" x14ac:dyDescent="0.15">
      <c r="H403" s="17">
        <v>401</v>
      </c>
      <c r="I403" s="7">
        <v>128131</v>
      </c>
      <c r="J403" s="7" t="s">
        <v>1782</v>
      </c>
      <c r="K403" s="7">
        <v>110.02500000000001</v>
      </c>
      <c r="L403" s="58">
        <v>0.86040000000000005</v>
      </c>
      <c r="M403" s="32">
        <v>13.997867000000003</v>
      </c>
      <c r="N403" s="5" t="str">
        <f t="shared" si="12"/>
        <v>未买</v>
      </c>
    </row>
    <row r="404" spans="8:14" x14ac:dyDescent="0.15">
      <c r="H404" s="17">
        <v>402</v>
      </c>
      <c r="I404" s="7">
        <v>123128</v>
      </c>
      <c r="J404" s="7" t="s">
        <v>1781</v>
      </c>
      <c r="K404" s="7">
        <v>103.419</v>
      </c>
      <c r="L404" s="58">
        <v>0.86409999999999998</v>
      </c>
      <c r="M404" s="32">
        <v>13.794085999999998</v>
      </c>
      <c r="N404" s="5" t="str">
        <f t="shared" si="12"/>
        <v>未买</v>
      </c>
    </row>
    <row r="405" spans="8:14" x14ac:dyDescent="0.15">
      <c r="H405" s="17">
        <v>403</v>
      </c>
      <c r="I405" s="7">
        <v>123101</v>
      </c>
      <c r="J405" s="7" t="s">
        <v>135</v>
      </c>
      <c r="K405" s="7">
        <v>113.313</v>
      </c>
      <c r="L405" s="58">
        <v>0.86709999999999998</v>
      </c>
      <c r="M405" s="32">
        <v>6.6975860000000003</v>
      </c>
      <c r="N405" s="5" t="str">
        <f t="shared" si="12"/>
        <v>未买</v>
      </c>
    </row>
    <row r="406" spans="8:14" x14ac:dyDescent="0.15">
      <c r="H406" s="17">
        <v>404</v>
      </c>
      <c r="I406" s="7">
        <v>123056</v>
      </c>
      <c r="J406" s="7" t="s">
        <v>140</v>
      </c>
      <c r="K406" s="7">
        <v>108.733</v>
      </c>
      <c r="L406" s="58">
        <v>0.86950000000000005</v>
      </c>
      <c r="M406" s="32">
        <v>5.8400359999999996</v>
      </c>
      <c r="N406" s="5" t="str">
        <f t="shared" si="12"/>
        <v>未买</v>
      </c>
    </row>
    <row r="407" spans="8:14" x14ac:dyDescent="0.15">
      <c r="H407" s="17">
        <v>405</v>
      </c>
      <c r="I407" s="7">
        <v>113639</v>
      </c>
      <c r="J407" s="7" t="s">
        <v>752</v>
      </c>
      <c r="K407" s="7">
        <v>108.072</v>
      </c>
      <c r="L407" s="58">
        <v>0.87170000000000003</v>
      </c>
      <c r="M407" s="32">
        <v>5.6996900000000004</v>
      </c>
      <c r="N407" s="5" t="str">
        <f t="shared" si="12"/>
        <v>未买</v>
      </c>
    </row>
    <row r="408" spans="8:14" x14ac:dyDescent="0.15">
      <c r="H408" s="17">
        <v>406</v>
      </c>
      <c r="I408" s="7">
        <v>113042</v>
      </c>
      <c r="J408" s="7" t="s">
        <v>1770</v>
      </c>
      <c r="K408" s="7">
        <v>105.9</v>
      </c>
      <c r="L408" s="58">
        <v>0.87430000000000008</v>
      </c>
      <c r="M408" s="32">
        <v>199.98576</v>
      </c>
      <c r="N408" s="5" t="str">
        <f t="shared" si="12"/>
        <v>未买</v>
      </c>
    </row>
    <row r="409" spans="8:14" x14ac:dyDescent="0.15">
      <c r="H409" s="17">
        <v>407</v>
      </c>
      <c r="I409" s="7">
        <v>113578</v>
      </c>
      <c r="J409" s="7" t="s">
        <v>155</v>
      </c>
      <c r="K409" s="7">
        <v>103.232</v>
      </c>
      <c r="L409" s="58">
        <v>0.88829999999999998</v>
      </c>
      <c r="M409" s="32">
        <v>3.8380100000000001</v>
      </c>
      <c r="N409" s="5" t="str">
        <f t="shared" si="12"/>
        <v>未买</v>
      </c>
    </row>
    <row r="410" spans="8:14" x14ac:dyDescent="0.15">
      <c r="H410" s="17">
        <v>408</v>
      </c>
      <c r="I410" s="7">
        <v>118005</v>
      </c>
      <c r="J410" s="7" t="s">
        <v>747</v>
      </c>
      <c r="K410" s="7">
        <v>115.27800000000001</v>
      </c>
      <c r="L410" s="58">
        <v>0.89230000000000009</v>
      </c>
      <c r="M410" s="32">
        <v>8.2996200000000009</v>
      </c>
      <c r="N410" s="5" t="str">
        <f t="shared" si="12"/>
        <v>未买</v>
      </c>
    </row>
    <row r="411" spans="8:14" x14ac:dyDescent="0.15">
      <c r="H411" s="17">
        <v>409</v>
      </c>
      <c r="I411" s="7">
        <v>127066</v>
      </c>
      <c r="J411" s="7" t="s">
        <v>1919</v>
      </c>
      <c r="K411" s="7">
        <v>113.3</v>
      </c>
      <c r="L411" s="58">
        <v>0.89500000000000002</v>
      </c>
      <c r="M411" s="32">
        <v>15.343705</v>
      </c>
      <c r="N411" s="5" t="str">
        <f t="shared" si="12"/>
        <v>未买</v>
      </c>
    </row>
    <row r="412" spans="8:14" x14ac:dyDescent="0.15">
      <c r="H412" s="17">
        <v>410</v>
      </c>
      <c r="I412" s="7">
        <v>113573</v>
      </c>
      <c r="J412" s="7" t="s">
        <v>129</v>
      </c>
      <c r="K412" s="7">
        <v>115.914</v>
      </c>
      <c r="L412" s="58">
        <v>0.90489999999999993</v>
      </c>
      <c r="M412" s="32">
        <v>2.6982599999999999</v>
      </c>
      <c r="N412" s="5" t="str">
        <f t="shared" si="12"/>
        <v>未买</v>
      </c>
    </row>
    <row r="413" spans="8:14" x14ac:dyDescent="0.15">
      <c r="H413" s="17">
        <v>411</v>
      </c>
      <c r="I413" s="7">
        <v>127041</v>
      </c>
      <c r="J413" s="7" t="s">
        <v>177</v>
      </c>
      <c r="K413" s="7">
        <v>111.065</v>
      </c>
      <c r="L413" s="58">
        <v>0.9133</v>
      </c>
      <c r="M413" s="32">
        <v>5.9994709999999998</v>
      </c>
      <c r="N413" s="5" t="str">
        <f t="shared" si="12"/>
        <v>未买</v>
      </c>
    </row>
    <row r="414" spans="8:14" x14ac:dyDescent="0.15">
      <c r="H414" s="17">
        <v>412</v>
      </c>
      <c r="I414" s="7">
        <v>123113</v>
      </c>
      <c r="J414" s="7" t="s">
        <v>1794</v>
      </c>
      <c r="K414" s="7">
        <v>106.72499999999999</v>
      </c>
      <c r="L414" s="58">
        <v>0.91780000000000006</v>
      </c>
      <c r="M414" s="32">
        <v>10.248562</v>
      </c>
      <c r="N414" s="5" t="str">
        <f t="shared" si="12"/>
        <v>未买</v>
      </c>
    </row>
    <row r="415" spans="8:14" x14ac:dyDescent="0.15">
      <c r="H415" s="17">
        <v>413</v>
      </c>
      <c r="I415" s="7">
        <v>128108</v>
      </c>
      <c r="J415" s="7" t="s">
        <v>1788</v>
      </c>
      <c r="K415" s="7">
        <v>100.45</v>
      </c>
      <c r="L415" s="58">
        <v>0.96810000000000007</v>
      </c>
      <c r="M415" s="32">
        <v>15.210572000000001</v>
      </c>
      <c r="N415" s="5" t="str">
        <f t="shared" si="12"/>
        <v>未买</v>
      </c>
    </row>
    <row r="416" spans="8:14" x14ac:dyDescent="0.15">
      <c r="H416" s="17">
        <v>414</v>
      </c>
      <c r="I416" s="7">
        <v>128035</v>
      </c>
      <c r="J416" s="7" t="s">
        <v>1783</v>
      </c>
      <c r="K416" s="7">
        <v>107.04</v>
      </c>
      <c r="L416" s="58">
        <v>0.98769999999999991</v>
      </c>
      <c r="M416" s="32">
        <v>22.992626000000001</v>
      </c>
      <c r="N416" s="5" t="str">
        <f t="shared" si="12"/>
        <v>未买</v>
      </c>
    </row>
    <row r="417" spans="8:14" x14ac:dyDescent="0.15">
      <c r="H417" s="17">
        <v>415</v>
      </c>
      <c r="I417" s="7">
        <v>128136</v>
      </c>
      <c r="J417" s="7" t="s">
        <v>1787</v>
      </c>
      <c r="K417" s="7">
        <v>112.7</v>
      </c>
      <c r="L417" s="58">
        <v>0.99470000000000003</v>
      </c>
      <c r="M417" s="32">
        <v>29.992702000000001</v>
      </c>
      <c r="N417" s="5" t="str">
        <f t="shared" si="12"/>
        <v>未买</v>
      </c>
    </row>
    <row r="418" spans="8:14" x14ac:dyDescent="0.15">
      <c r="H418" s="17">
        <v>416</v>
      </c>
      <c r="I418" s="7">
        <v>123104</v>
      </c>
      <c r="J418" s="7" t="s">
        <v>159</v>
      </c>
      <c r="K418" s="7">
        <v>113.93</v>
      </c>
      <c r="L418" s="58">
        <v>0.9948999999999999</v>
      </c>
      <c r="M418" s="32">
        <v>9.7009240000000005</v>
      </c>
      <c r="N418" s="5" t="str">
        <f t="shared" si="12"/>
        <v>未买</v>
      </c>
    </row>
    <row r="419" spans="8:14" x14ac:dyDescent="0.15">
      <c r="H419" s="17">
        <v>417</v>
      </c>
      <c r="I419" s="7">
        <v>123011</v>
      </c>
      <c r="J419" s="7" t="s">
        <v>152</v>
      </c>
      <c r="K419" s="7">
        <v>115.017</v>
      </c>
      <c r="L419" s="58">
        <v>1.0266999999999999</v>
      </c>
      <c r="M419" s="32">
        <v>2.5059550000000002</v>
      </c>
      <c r="N419" s="5" t="str">
        <f t="shared" si="12"/>
        <v>未买</v>
      </c>
    </row>
    <row r="420" spans="8:14" x14ac:dyDescent="0.15">
      <c r="H420" s="17">
        <v>418</v>
      </c>
      <c r="I420" s="7">
        <v>128072</v>
      </c>
      <c r="J420" s="7" t="s">
        <v>138</v>
      </c>
      <c r="K420" s="7">
        <v>111.235</v>
      </c>
      <c r="L420" s="58">
        <v>1.0321</v>
      </c>
      <c r="M420" s="32">
        <v>3.0173199999999998</v>
      </c>
      <c r="N420" s="5" t="str">
        <f t="shared" si="12"/>
        <v>未买</v>
      </c>
    </row>
    <row r="421" spans="8:14" x14ac:dyDescent="0.15">
      <c r="H421" s="17">
        <v>419</v>
      </c>
      <c r="I421" s="7">
        <v>123034</v>
      </c>
      <c r="J421" s="7" t="s">
        <v>2088</v>
      </c>
      <c r="K421" s="7">
        <v>232.9</v>
      </c>
      <c r="L421" s="58">
        <v>1.0543</v>
      </c>
      <c r="M421" s="32">
        <v>0.77826099999999998</v>
      </c>
      <c r="N421" s="5" t="str">
        <f t="shared" si="12"/>
        <v>未买</v>
      </c>
    </row>
    <row r="422" spans="8:14" x14ac:dyDescent="0.15">
      <c r="H422" s="17">
        <v>420</v>
      </c>
      <c r="I422" s="7">
        <v>110059</v>
      </c>
      <c r="J422" s="7" t="s">
        <v>1777</v>
      </c>
      <c r="K422" s="7">
        <v>105.57</v>
      </c>
      <c r="L422" s="58">
        <v>1.0715999999999999</v>
      </c>
      <c r="M422" s="32">
        <v>499.98626999999999</v>
      </c>
      <c r="N422" s="5" t="str">
        <f t="shared" si="12"/>
        <v>未买</v>
      </c>
    </row>
    <row r="423" spans="8:14" x14ac:dyDescent="0.15">
      <c r="H423" s="17">
        <v>421</v>
      </c>
      <c r="I423" s="7">
        <v>128074</v>
      </c>
      <c r="J423" s="7" t="s">
        <v>185</v>
      </c>
      <c r="K423" s="7">
        <v>109.33</v>
      </c>
      <c r="L423" s="58">
        <v>1.0825</v>
      </c>
      <c r="M423" s="32">
        <v>6.8249060000000004</v>
      </c>
      <c r="N423" s="5" t="str">
        <f t="shared" si="12"/>
        <v>未买</v>
      </c>
    </row>
    <row r="424" spans="8:14" x14ac:dyDescent="0.15">
      <c r="H424" s="17">
        <v>422</v>
      </c>
      <c r="I424" s="7">
        <v>123039</v>
      </c>
      <c r="J424" s="7" t="s">
        <v>2089</v>
      </c>
      <c r="K424" s="7">
        <v>115.97</v>
      </c>
      <c r="L424" s="58">
        <v>1.1101000000000001</v>
      </c>
      <c r="M424" s="32">
        <v>2.216961</v>
      </c>
      <c r="N424" s="5" t="str">
        <f t="shared" si="12"/>
        <v>未买</v>
      </c>
    </row>
    <row r="425" spans="8:14" x14ac:dyDescent="0.15">
      <c r="H425" s="17">
        <v>423</v>
      </c>
      <c r="I425" s="7">
        <v>128118</v>
      </c>
      <c r="J425" s="7" t="s">
        <v>136</v>
      </c>
      <c r="K425" s="7">
        <v>110.31</v>
      </c>
      <c r="L425" s="58">
        <v>1.1140000000000001</v>
      </c>
      <c r="M425" s="32">
        <v>2.9957310000000001</v>
      </c>
      <c r="N425" s="5" t="str">
        <f t="shared" si="12"/>
        <v>未买</v>
      </c>
    </row>
    <row r="426" spans="8:14" x14ac:dyDescent="0.15">
      <c r="H426" s="17">
        <v>424</v>
      </c>
      <c r="I426" s="7">
        <v>128116</v>
      </c>
      <c r="J426" s="7" t="s">
        <v>165</v>
      </c>
      <c r="K426" s="7">
        <v>106.797</v>
      </c>
      <c r="L426" s="58">
        <v>1.1316999999999999</v>
      </c>
      <c r="M426" s="32">
        <v>6.4913590000000001</v>
      </c>
      <c r="N426" s="5" t="str">
        <f t="shared" si="12"/>
        <v>未买</v>
      </c>
    </row>
    <row r="427" spans="8:14" x14ac:dyDescent="0.15">
      <c r="H427" s="17">
        <v>425</v>
      </c>
      <c r="I427" s="7">
        <v>128030</v>
      </c>
      <c r="J427" s="7" t="s">
        <v>1884</v>
      </c>
      <c r="K427" s="7">
        <v>253.06</v>
      </c>
      <c r="L427" s="58">
        <v>1.1328</v>
      </c>
      <c r="M427" s="32">
        <v>0.843916</v>
      </c>
      <c r="N427" s="5" t="str">
        <f t="shared" si="12"/>
        <v>未买</v>
      </c>
    </row>
    <row r="428" spans="8:14" x14ac:dyDescent="0.15">
      <c r="H428" s="17">
        <v>426</v>
      </c>
      <c r="I428" s="7">
        <v>113624</v>
      </c>
      <c r="J428" s="7" t="s">
        <v>160</v>
      </c>
      <c r="K428" s="7">
        <v>108.134</v>
      </c>
      <c r="L428" s="58">
        <v>1.1740000000000002</v>
      </c>
      <c r="M428" s="32">
        <v>4.0491000000000001</v>
      </c>
      <c r="N428" s="5" t="str">
        <f t="shared" si="12"/>
        <v>未买</v>
      </c>
    </row>
    <row r="429" spans="8:14" x14ac:dyDescent="0.15">
      <c r="H429" s="17">
        <v>427</v>
      </c>
      <c r="I429" s="7">
        <v>113616</v>
      </c>
      <c r="J429" s="7" t="s">
        <v>1776</v>
      </c>
      <c r="K429" s="7">
        <v>114.151</v>
      </c>
      <c r="L429" s="58">
        <v>1.1981999999999999</v>
      </c>
      <c r="M429" s="32">
        <v>24.332730000000002</v>
      </c>
      <c r="N429" s="5" t="str">
        <f t="shared" si="12"/>
        <v>未买</v>
      </c>
    </row>
    <row r="430" spans="8:14" x14ac:dyDescent="0.15">
      <c r="H430" s="17">
        <v>428</v>
      </c>
      <c r="I430" s="7">
        <v>123126</v>
      </c>
      <c r="J430" s="7" t="s">
        <v>164</v>
      </c>
      <c r="K430" s="7">
        <v>111.86799999999999</v>
      </c>
      <c r="L430" s="58">
        <v>1.2450000000000001</v>
      </c>
      <c r="M430" s="32">
        <v>3.3996160000000004</v>
      </c>
      <c r="N430" s="5" t="str">
        <f t="shared" si="12"/>
        <v>未买</v>
      </c>
    </row>
    <row r="431" spans="8:14" x14ac:dyDescent="0.15">
      <c r="H431" s="17">
        <v>429</v>
      </c>
      <c r="I431" s="7">
        <v>113608</v>
      </c>
      <c r="J431" s="7" t="s">
        <v>65</v>
      </c>
      <c r="K431" s="7">
        <v>107.04600000000001</v>
      </c>
      <c r="L431" s="58">
        <v>1.2555000000000001</v>
      </c>
      <c r="M431" s="32">
        <v>4.1998499999999996</v>
      </c>
      <c r="N431" s="5" t="str">
        <f t="shared" si="12"/>
        <v>未买</v>
      </c>
    </row>
    <row r="432" spans="8:14" x14ac:dyDescent="0.15">
      <c r="H432" s="17">
        <v>430</v>
      </c>
      <c r="I432" s="7">
        <v>110044</v>
      </c>
      <c r="J432" s="7" t="s">
        <v>124</v>
      </c>
      <c r="K432" s="7">
        <v>194.51400000000001</v>
      </c>
      <c r="L432" s="58">
        <v>1.3300999999999998</v>
      </c>
      <c r="M432" s="32">
        <v>0.70709</v>
      </c>
      <c r="N432" s="5" t="str">
        <f t="shared" si="12"/>
        <v>未买</v>
      </c>
    </row>
    <row r="433" spans="8:14" x14ac:dyDescent="0.15">
      <c r="H433" s="17">
        <v>431</v>
      </c>
      <c r="I433" s="7">
        <v>123076</v>
      </c>
      <c r="J433" s="7" t="s">
        <v>143</v>
      </c>
      <c r="K433" s="7">
        <v>105.54900000000001</v>
      </c>
      <c r="L433" s="58">
        <v>1.3413999999999999</v>
      </c>
      <c r="M433" s="32">
        <v>8.4985409999999995</v>
      </c>
      <c r="N433" s="5" t="str">
        <f t="shared" si="12"/>
        <v>未买</v>
      </c>
    </row>
    <row r="434" spans="8:14" x14ac:dyDescent="0.15">
      <c r="H434" s="17">
        <v>432</v>
      </c>
      <c r="I434" s="7">
        <v>123065</v>
      </c>
      <c r="J434" s="7" t="s">
        <v>2093</v>
      </c>
      <c r="K434" s="7">
        <v>118.33799999999999</v>
      </c>
      <c r="L434" s="58">
        <v>1.3497999999999999</v>
      </c>
      <c r="M434" s="32">
        <v>2.1884779999999999</v>
      </c>
      <c r="N434" s="5" t="str">
        <f t="shared" si="12"/>
        <v>未买</v>
      </c>
    </row>
    <row r="435" spans="8:14" x14ac:dyDescent="0.15">
      <c r="H435" s="17">
        <v>433</v>
      </c>
      <c r="I435" s="7">
        <v>127004</v>
      </c>
      <c r="J435" s="7" t="s">
        <v>2090</v>
      </c>
      <c r="K435" s="7">
        <v>175.96</v>
      </c>
      <c r="L435" s="58">
        <v>1.3549</v>
      </c>
      <c r="M435" s="32">
        <v>1.3108379999999999</v>
      </c>
      <c r="N435" s="5" t="str">
        <f t="shared" si="12"/>
        <v>未买</v>
      </c>
    </row>
    <row r="436" spans="8:14" x14ac:dyDescent="0.15">
      <c r="H436" s="17">
        <v>434</v>
      </c>
      <c r="I436" s="7">
        <v>123093</v>
      </c>
      <c r="J436" s="7" t="s">
        <v>127</v>
      </c>
      <c r="K436" s="7">
        <v>121.47799999999999</v>
      </c>
      <c r="L436" s="58">
        <v>1.4027000000000001</v>
      </c>
      <c r="M436" s="32">
        <v>2.499781</v>
      </c>
      <c r="N436" s="5" t="str">
        <f t="shared" si="12"/>
        <v>未买</v>
      </c>
    </row>
    <row r="437" spans="8:14" x14ac:dyDescent="0.15">
      <c r="H437" s="17">
        <v>435</v>
      </c>
      <c r="I437" s="7">
        <v>128138</v>
      </c>
      <c r="J437" s="7" t="s">
        <v>132</v>
      </c>
      <c r="K437" s="7">
        <v>117.21299999999999</v>
      </c>
      <c r="L437" s="58">
        <v>1.4379</v>
      </c>
      <c r="M437" s="32">
        <v>4.1987420000000002</v>
      </c>
      <c r="N437" s="5" t="str">
        <f t="shared" si="12"/>
        <v>未买</v>
      </c>
    </row>
    <row r="438" spans="8:14" x14ac:dyDescent="0.15">
      <c r="H438" s="17">
        <v>436</v>
      </c>
      <c r="I438" s="7">
        <v>123018</v>
      </c>
      <c r="J438" s="7" t="s">
        <v>76</v>
      </c>
      <c r="K438" s="7">
        <v>260.50099999999998</v>
      </c>
      <c r="L438" s="58">
        <v>1.4430000000000001</v>
      </c>
      <c r="M438" s="32">
        <v>0.54211200000000004</v>
      </c>
      <c r="N438" s="5" t="str">
        <f t="shared" si="12"/>
        <v>未买</v>
      </c>
    </row>
    <row r="439" spans="8:14" x14ac:dyDescent="0.15">
      <c r="H439" s="17">
        <v>437</v>
      </c>
      <c r="I439" s="7">
        <v>123015</v>
      </c>
      <c r="J439" s="7" t="s">
        <v>2091</v>
      </c>
      <c r="K439" s="7">
        <v>198</v>
      </c>
      <c r="L439" s="58">
        <v>1.5065999999999999</v>
      </c>
      <c r="M439" s="32">
        <v>1.0003979999999999</v>
      </c>
      <c r="N439" s="5" t="str">
        <f t="shared" si="12"/>
        <v>未买</v>
      </c>
    </row>
    <row r="440" spans="8:14" x14ac:dyDescent="0.15">
      <c r="H440" s="17">
        <v>438</v>
      </c>
      <c r="I440" s="7">
        <v>113633</v>
      </c>
      <c r="J440" s="7" t="s">
        <v>1786</v>
      </c>
      <c r="K440" s="7">
        <v>109.005</v>
      </c>
      <c r="L440" s="58">
        <v>1.5575999999999999</v>
      </c>
      <c r="M440" s="32">
        <v>10.39822</v>
      </c>
      <c r="N440" s="5" t="str">
        <f t="shared" si="12"/>
        <v>未买</v>
      </c>
    </row>
    <row r="441" spans="8:14" x14ac:dyDescent="0.15">
      <c r="H441" s="17">
        <v>439</v>
      </c>
      <c r="I441" s="7">
        <v>113569</v>
      </c>
      <c r="J441" s="7" t="s">
        <v>2092</v>
      </c>
      <c r="K441" s="7">
        <v>105.32599999999999</v>
      </c>
      <c r="L441" s="58">
        <v>1.591</v>
      </c>
      <c r="M441" s="32">
        <v>5.1559499999999998</v>
      </c>
      <c r="N441" s="5" t="str">
        <f t="shared" si="12"/>
        <v>未买</v>
      </c>
    </row>
    <row r="442" spans="8:14" x14ac:dyDescent="0.15">
      <c r="H442" s="17">
        <v>440</v>
      </c>
      <c r="I442" s="7">
        <v>113575</v>
      </c>
      <c r="J442" s="7" t="s">
        <v>2094</v>
      </c>
      <c r="K442" s="7">
        <v>136.90600000000001</v>
      </c>
      <c r="L442" s="58">
        <v>1.7222999999999999</v>
      </c>
      <c r="M442" s="32">
        <v>0.98319000000000001</v>
      </c>
      <c r="N442" s="5" t="str">
        <f t="shared" si="12"/>
        <v>未买</v>
      </c>
    </row>
    <row r="443" spans="8:14" x14ac:dyDescent="0.15">
      <c r="H443" s="17">
        <v>441</v>
      </c>
      <c r="I443" s="7">
        <v>113589</v>
      </c>
      <c r="J443" s="7" t="s">
        <v>130</v>
      </c>
      <c r="K443" s="7">
        <v>96.385000000000005</v>
      </c>
      <c r="L443" s="58">
        <v>1.7235</v>
      </c>
      <c r="M443" s="32">
        <v>5.9958600000000004</v>
      </c>
      <c r="N443" s="5" t="str">
        <f t="shared" si="12"/>
        <v>未买</v>
      </c>
    </row>
    <row r="444" spans="8:14" x14ac:dyDescent="0.15">
      <c r="H444" s="17">
        <v>442</v>
      </c>
      <c r="I444" s="7">
        <v>123117</v>
      </c>
      <c r="J444" s="7" t="s">
        <v>131</v>
      </c>
      <c r="K444" s="7">
        <v>110.9</v>
      </c>
      <c r="L444" s="58">
        <v>1.9683999999999999</v>
      </c>
      <c r="M444" s="32">
        <v>9.9985160000000004</v>
      </c>
      <c r="N444" s="5" t="str">
        <f t="shared" si="12"/>
        <v>未买</v>
      </c>
    </row>
    <row r="445" spans="8:14" x14ac:dyDescent="0.15">
      <c r="H445" s="17">
        <v>443</v>
      </c>
      <c r="I445" s="7">
        <v>113596</v>
      </c>
      <c r="J445" s="7" t="s">
        <v>2096</v>
      </c>
      <c r="K445" s="7">
        <v>95.427999999999997</v>
      </c>
      <c r="L445" s="58">
        <v>2.0226999999999999</v>
      </c>
      <c r="M445" s="32">
        <v>11.985910000000001</v>
      </c>
      <c r="N445" s="5" t="str">
        <f t="shared" si="12"/>
        <v>未买</v>
      </c>
    </row>
    <row r="446" spans="8:14" x14ac:dyDescent="0.15">
      <c r="H446" s="17">
        <v>444</v>
      </c>
      <c r="I446" s="7">
        <v>113627</v>
      </c>
      <c r="J446" s="7" t="s">
        <v>2095</v>
      </c>
      <c r="K446" s="7">
        <v>106.47799999999999</v>
      </c>
      <c r="L446" s="58">
        <v>2.0388000000000002</v>
      </c>
      <c r="M446" s="32">
        <v>7.9997699999999998</v>
      </c>
      <c r="N446" s="5" t="str">
        <f t="shared" si="12"/>
        <v>未买</v>
      </c>
    </row>
    <row r="447" spans="8:14" x14ac:dyDescent="0.15">
      <c r="H447" s="17">
        <v>445</v>
      </c>
      <c r="I447" s="7">
        <v>113574</v>
      </c>
      <c r="J447" s="7" t="s">
        <v>2097</v>
      </c>
      <c r="K447" s="7">
        <v>114.245</v>
      </c>
      <c r="L447" s="58">
        <v>2.0743999999999998</v>
      </c>
      <c r="M447" s="32">
        <v>2.0870299999999999</v>
      </c>
      <c r="N447" s="5" t="str">
        <f t="shared" si="12"/>
        <v>未买</v>
      </c>
    </row>
    <row r="448" spans="8:14" x14ac:dyDescent="0.15">
      <c r="H448" s="17">
        <v>446</v>
      </c>
      <c r="I448" s="7">
        <v>113576</v>
      </c>
      <c r="J448" s="7" t="s">
        <v>2098</v>
      </c>
      <c r="K448" s="7">
        <v>111.018</v>
      </c>
      <c r="L448" s="58">
        <v>2.2002999999999999</v>
      </c>
      <c r="M448" s="32">
        <v>2.6578400000000002</v>
      </c>
      <c r="N448" s="5" t="str">
        <f t="shared" si="12"/>
        <v>未买</v>
      </c>
    </row>
    <row r="449" spans="8:14" x14ac:dyDescent="0.15">
      <c r="H449" s="17">
        <v>447</v>
      </c>
      <c r="I449" s="7">
        <v>123072</v>
      </c>
      <c r="J449" s="7" t="s">
        <v>2099</v>
      </c>
      <c r="K449" s="7">
        <v>126.11799999999999</v>
      </c>
      <c r="L449" s="58">
        <v>2.4506000000000001</v>
      </c>
      <c r="M449" s="32">
        <v>1.4190039999999999</v>
      </c>
      <c r="N449" s="5" t="str">
        <f t="shared" si="12"/>
        <v>未买</v>
      </c>
    </row>
    <row r="450" spans="8:14" x14ac:dyDescent="0.15">
      <c r="H450" s="17">
        <v>448</v>
      </c>
      <c r="I450" s="7">
        <v>113584</v>
      </c>
      <c r="J450" s="7" t="s">
        <v>2100</v>
      </c>
      <c r="K450" s="7">
        <v>103.95</v>
      </c>
      <c r="L450" s="58">
        <v>2.5758999999999999</v>
      </c>
      <c r="M450" s="32">
        <v>6.4491199999999997</v>
      </c>
      <c r="N450" s="5" t="str">
        <f t="shared" si="12"/>
        <v>未买</v>
      </c>
    </row>
    <row r="451" spans="8:14" x14ac:dyDescent="0.15">
      <c r="H451" s="17">
        <v>449</v>
      </c>
      <c r="I451" s="7">
        <v>123013</v>
      </c>
      <c r="J451" s="7" t="s">
        <v>2101</v>
      </c>
      <c r="K451" s="7">
        <v>496.88900000000001</v>
      </c>
      <c r="L451" s="58">
        <v>3.6042000000000001</v>
      </c>
      <c r="M451" s="32">
        <v>0.37920300000000001</v>
      </c>
      <c r="N451"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J8" sqref="J8"/>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252</v>
      </c>
      <c r="B1" s="8"/>
      <c r="C1" s="49" t="s">
        <v>1818</v>
      </c>
      <c r="D1" s="7"/>
      <c r="E1" s="7"/>
      <c r="I1" s="8" t="s">
        <v>1803</v>
      </c>
      <c r="J1" s="8"/>
      <c r="K1" s="33" t="s">
        <v>1804</v>
      </c>
      <c r="L1" s="55"/>
      <c r="M1" s="33"/>
      <c r="N1" s="33"/>
      <c r="O1" s="33"/>
      <c r="P1" s="33"/>
      <c r="S1" s="8" t="s">
        <v>775</v>
      </c>
    </row>
    <row r="2" spans="1:22" s="6" customFormat="1" x14ac:dyDescent="0.15">
      <c r="A2" s="6" t="s">
        <v>59</v>
      </c>
      <c r="B2" s="6" t="s">
        <v>58</v>
      </c>
      <c r="C2" s="6" t="s">
        <v>57</v>
      </c>
      <c r="D2" s="4" t="s">
        <v>767</v>
      </c>
      <c r="E2" s="14" t="s">
        <v>764</v>
      </c>
      <c r="H2" s="18"/>
      <c r="I2" s="6" t="s">
        <v>1797</v>
      </c>
      <c r="J2" s="6" t="s">
        <v>1798</v>
      </c>
      <c r="K2" s="6" t="s">
        <v>1695</v>
      </c>
      <c r="L2" s="56" t="s">
        <v>35</v>
      </c>
      <c r="M2" s="6" t="s">
        <v>1799</v>
      </c>
      <c r="N2" s="31" t="s">
        <v>1800</v>
      </c>
      <c r="O2" s="4" t="s">
        <v>226</v>
      </c>
      <c r="R2" s="18"/>
      <c r="S2" s="6" t="s">
        <v>59</v>
      </c>
      <c r="T2" s="6" t="s">
        <v>58</v>
      </c>
      <c r="U2" s="6" t="s">
        <v>57</v>
      </c>
      <c r="V2" s="4" t="s">
        <v>226</v>
      </c>
    </row>
    <row r="3" spans="1:22" s="3" customFormat="1" x14ac:dyDescent="0.15">
      <c r="A3" s="3">
        <v>110070</v>
      </c>
      <c r="B3" s="3" t="s">
        <v>87</v>
      </c>
      <c r="C3" s="3">
        <f>VLOOKUP(A3,$I$1:$K$1000,3,FALSE)</f>
        <v>114.855</v>
      </c>
      <c r="D3" s="5">
        <f>MATCH(A3,$I$1:$I$1000,0)-2</f>
        <v>142</v>
      </c>
      <c r="E3" s="5">
        <f t="shared" ref="E3:E16" si="0">MATCH(A3,$S$1:$S$200,0)-2</f>
        <v>24</v>
      </c>
      <c r="H3" s="19">
        <v>1</v>
      </c>
      <c r="I3">
        <v>128100</v>
      </c>
      <c r="J3" t="s">
        <v>48</v>
      </c>
      <c r="K3">
        <v>91.46</v>
      </c>
      <c r="L3" s="57">
        <v>0.16140000000000002</v>
      </c>
      <c r="M3">
        <v>107.6</v>
      </c>
      <c r="N3" s="20">
        <v>7.9813140000000002</v>
      </c>
      <c r="O3" s="5" t="str">
        <f>IF(ISNA(MATCH(I3,$A$3:$A$1000,0)),"未买","Yes")</f>
        <v>Yes</v>
      </c>
      <c r="R3" s="19">
        <v>1</v>
      </c>
      <c r="S3" s="7">
        <v>128085</v>
      </c>
      <c r="T3" s="7" t="s">
        <v>761</v>
      </c>
      <c r="U3" s="7">
        <f>VLOOKUP(S3,$I$1:$K$1000,3,FALSE)</f>
        <v>113.631</v>
      </c>
      <c r="V3" s="5" t="str">
        <f>IF(ISNA(MATCH(S3,$A$3:$A$1000,0)),"未买","Yes")</f>
        <v>未买</v>
      </c>
    </row>
    <row r="4" spans="1:22" s="3" customFormat="1" x14ac:dyDescent="0.15">
      <c r="A4" s="3">
        <v>110080</v>
      </c>
      <c r="B4" s="3" t="s">
        <v>206</v>
      </c>
      <c r="C4" s="3">
        <f t="shared" ref="C4:C8" si="1">VLOOKUP(A4,$I$1:$K$1000,3,FALSE)</f>
        <v>114.297</v>
      </c>
      <c r="D4" s="5">
        <f t="shared" ref="D4:D8" si="2">MATCH(A4,$I$1:$I$1000,0)-2</f>
        <v>24</v>
      </c>
      <c r="E4" s="5" t="e">
        <f t="shared" si="0"/>
        <v>#N/A</v>
      </c>
      <c r="H4" s="19">
        <v>2</v>
      </c>
      <c r="I4">
        <v>110056</v>
      </c>
      <c r="J4" t="s">
        <v>2034</v>
      </c>
      <c r="K4">
        <v>108.26600000000001</v>
      </c>
      <c r="L4" s="57">
        <v>-5.9999999999999995E-4</v>
      </c>
      <c r="M4">
        <v>108.206</v>
      </c>
      <c r="N4" s="20">
        <v>9.9525600000000001</v>
      </c>
      <c r="O4" s="5" t="str">
        <f t="shared" ref="O4:O67" si="3">IF(ISNA(MATCH(I4,$A$3:$A$1000,0)),"未买","Yes")</f>
        <v>未买</v>
      </c>
      <c r="R4" s="19">
        <v>2</v>
      </c>
      <c r="S4" s="7">
        <v>128100</v>
      </c>
      <c r="T4" s="7" t="s">
        <v>48</v>
      </c>
      <c r="U4" s="7">
        <f t="shared" ref="U4:U28" si="4">VLOOKUP(S4,$I$1:$K$1000,3,FALSE)</f>
        <v>91.46</v>
      </c>
      <c r="V4" s="5" t="str">
        <f t="shared" ref="V4:V28" si="5">IF(ISNA(MATCH(S4,$A$3:$A$1000,0)),"未买","Yes")</f>
        <v>Yes</v>
      </c>
    </row>
    <row r="5" spans="1:22" x14ac:dyDescent="0.15">
      <c r="A5" s="7">
        <v>113017</v>
      </c>
      <c r="B5" s="7" t="s">
        <v>102</v>
      </c>
      <c r="C5" s="3">
        <f t="shared" si="1"/>
        <v>110.126</v>
      </c>
      <c r="D5" s="5">
        <f t="shared" si="2"/>
        <v>40</v>
      </c>
      <c r="E5" s="5" t="e">
        <f t="shared" si="0"/>
        <v>#N/A</v>
      </c>
      <c r="H5" s="19">
        <v>3</v>
      </c>
      <c r="I5">
        <v>123139</v>
      </c>
      <c r="J5" t="s">
        <v>748</v>
      </c>
      <c r="K5">
        <v>116.001</v>
      </c>
      <c r="L5" s="57">
        <v>-2.7000000000000001E-3</v>
      </c>
      <c r="M5">
        <v>115.73100000000001</v>
      </c>
      <c r="N5" s="20">
        <v>1.5465530000000001</v>
      </c>
      <c r="O5" s="5" t="str">
        <f t="shared" si="3"/>
        <v>未买</v>
      </c>
      <c r="R5" s="19">
        <v>3</v>
      </c>
      <c r="S5" s="7">
        <v>113567</v>
      </c>
      <c r="T5" s="7" t="s">
        <v>43</v>
      </c>
      <c r="U5" s="7">
        <f t="shared" si="4"/>
        <v>134.41900000000001</v>
      </c>
      <c r="V5" s="5" t="str">
        <f t="shared" si="5"/>
        <v>未买</v>
      </c>
    </row>
    <row r="6" spans="1:22" x14ac:dyDescent="0.15">
      <c r="A6" s="7">
        <v>113033</v>
      </c>
      <c r="B6" s="7" t="s">
        <v>88</v>
      </c>
      <c r="C6" s="3">
        <f t="shared" si="1"/>
        <v>105.47799999999999</v>
      </c>
      <c r="D6" s="5">
        <f t="shared" si="2"/>
        <v>17</v>
      </c>
      <c r="E6" s="5" t="e">
        <f t="shared" si="0"/>
        <v>#N/A</v>
      </c>
      <c r="H6" s="19">
        <v>4</v>
      </c>
      <c r="I6">
        <v>113044</v>
      </c>
      <c r="J6" t="s">
        <v>1709</v>
      </c>
      <c r="K6">
        <v>109.297</v>
      </c>
      <c r="L6" s="57">
        <v>0.13</v>
      </c>
      <c r="M6">
        <v>122.297</v>
      </c>
      <c r="N6" s="20">
        <v>319.98863999999998</v>
      </c>
      <c r="O6" s="5" t="str">
        <f t="shared" si="3"/>
        <v>未买</v>
      </c>
      <c r="R6" s="19">
        <v>4</v>
      </c>
      <c r="S6" s="7">
        <v>128076</v>
      </c>
      <c r="T6" s="7" t="s">
        <v>120</v>
      </c>
      <c r="U6" s="7">
        <f t="shared" si="4"/>
        <v>118.786</v>
      </c>
      <c r="V6" s="5" t="str">
        <f t="shared" si="5"/>
        <v>未买</v>
      </c>
    </row>
    <row r="7" spans="1:22" x14ac:dyDescent="0.15">
      <c r="A7" s="7">
        <v>113591</v>
      </c>
      <c r="B7" s="7" t="s">
        <v>41</v>
      </c>
      <c r="C7" s="3">
        <f t="shared" si="1"/>
        <v>124.895</v>
      </c>
      <c r="D7" s="5">
        <f t="shared" si="2"/>
        <v>27</v>
      </c>
      <c r="E7" s="5">
        <f t="shared" si="0"/>
        <v>22</v>
      </c>
      <c r="H7" s="19">
        <v>5</v>
      </c>
      <c r="I7">
        <v>128015</v>
      </c>
      <c r="J7" t="s">
        <v>145</v>
      </c>
      <c r="K7">
        <v>125.25</v>
      </c>
      <c r="L7" s="57">
        <v>-1.38E-2</v>
      </c>
      <c r="M7">
        <v>123.87</v>
      </c>
      <c r="N7" s="20">
        <v>3.1214789999999999</v>
      </c>
      <c r="O7" s="5" t="str">
        <f t="shared" si="3"/>
        <v>未买</v>
      </c>
      <c r="R7" s="19">
        <v>5</v>
      </c>
      <c r="S7" s="7">
        <v>113570</v>
      </c>
      <c r="T7" s="7" t="s">
        <v>42</v>
      </c>
      <c r="U7" s="7">
        <f t="shared" si="4"/>
        <v>130.96199999999999</v>
      </c>
      <c r="V7" s="5" t="str">
        <f t="shared" si="5"/>
        <v>未买</v>
      </c>
    </row>
    <row r="8" spans="1:22" x14ac:dyDescent="0.15">
      <c r="A8" s="7">
        <v>123002</v>
      </c>
      <c r="B8" s="7" t="s">
        <v>79</v>
      </c>
      <c r="C8" s="3">
        <f t="shared" si="1"/>
        <v>113.7</v>
      </c>
      <c r="D8" s="5">
        <f t="shared" si="2"/>
        <v>224</v>
      </c>
      <c r="E8" s="5">
        <f t="shared" si="0"/>
        <v>14</v>
      </c>
      <c r="H8" s="19">
        <v>6</v>
      </c>
      <c r="I8">
        <v>128114</v>
      </c>
      <c r="J8" t="s">
        <v>1702</v>
      </c>
      <c r="K8">
        <v>90.391000000000005</v>
      </c>
      <c r="L8" s="57">
        <v>0.3503</v>
      </c>
      <c r="M8">
        <v>125.42100000000001</v>
      </c>
      <c r="N8" s="20">
        <v>13.330474000000001</v>
      </c>
      <c r="O8" s="5" t="str">
        <f t="shared" si="3"/>
        <v>未买</v>
      </c>
      <c r="R8" s="19">
        <v>6</v>
      </c>
      <c r="S8" s="7">
        <v>123057</v>
      </c>
      <c r="T8" s="7" t="s">
        <v>755</v>
      </c>
      <c r="U8" s="7">
        <f t="shared" si="4"/>
        <v>216.8</v>
      </c>
      <c r="V8" s="5" t="str">
        <f t="shared" si="5"/>
        <v>未买</v>
      </c>
    </row>
    <row r="9" spans="1:22" s="3" customFormat="1" x14ac:dyDescent="0.15">
      <c r="A9" s="7">
        <v>127027</v>
      </c>
      <c r="B9" s="7" t="s">
        <v>211</v>
      </c>
      <c r="C9" s="3">
        <f t="shared" ref="C9:C16" si="6">VLOOKUP(A9,$I$1:$K$1000,3,FALSE)</f>
        <v>122.91500000000001</v>
      </c>
      <c r="D9" s="5">
        <f t="shared" ref="D9:D16" si="7">MATCH(A9,$I$1:$I$1000,0)-2</f>
        <v>47</v>
      </c>
      <c r="E9" s="5" t="e">
        <f t="shared" si="0"/>
        <v>#N/A</v>
      </c>
      <c r="H9" s="19">
        <v>7</v>
      </c>
      <c r="I9">
        <v>113642</v>
      </c>
      <c r="J9" t="s">
        <v>2030</v>
      </c>
      <c r="K9">
        <v>128.339</v>
      </c>
      <c r="L9" s="57">
        <v>-2.2799999999999997E-2</v>
      </c>
      <c r="M9">
        <v>126.059</v>
      </c>
      <c r="N9" s="20">
        <v>5.484E-2</v>
      </c>
      <c r="O9" s="5" t="str">
        <f t="shared" si="3"/>
        <v>未买</v>
      </c>
      <c r="R9" s="19">
        <v>7</v>
      </c>
      <c r="S9" s="7">
        <v>128053</v>
      </c>
      <c r="T9" s="7" t="s">
        <v>61</v>
      </c>
      <c r="U9" s="7">
        <f t="shared" si="4"/>
        <v>175.45</v>
      </c>
      <c r="V9" s="5" t="str">
        <f t="shared" si="5"/>
        <v>未买</v>
      </c>
    </row>
    <row r="10" spans="1:22" x14ac:dyDescent="0.15">
      <c r="A10" s="7">
        <v>127042</v>
      </c>
      <c r="B10" s="7" t="s">
        <v>91</v>
      </c>
      <c r="C10" s="3">
        <f t="shared" si="6"/>
        <v>110.21</v>
      </c>
      <c r="D10" s="5">
        <f t="shared" si="7"/>
        <v>86</v>
      </c>
      <c r="E10" s="5" t="e">
        <f t="shared" si="0"/>
        <v>#N/A</v>
      </c>
      <c r="H10" s="19">
        <v>8</v>
      </c>
      <c r="I10">
        <v>110053</v>
      </c>
      <c r="J10" t="s">
        <v>1699</v>
      </c>
      <c r="K10">
        <v>122.712</v>
      </c>
      <c r="L10" s="57">
        <v>4.0599999999999997E-2</v>
      </c>
      <c r="M10">
        <v>126.77200000000001</v>
      </c>
      <c r="N10" s="20">
        <v>199.99167</v>
      </c>
      <c r="O10" s="5" t="str">
        <f t="shared" si="3"/>
        <v>未买</v>
      </c>
      <c r="R10" s="19">
        <v>8</v>
      </c>
      <c r="S10" s="7">
        <v>113565</v>
      </c>
      <c r="T10" s="7" t="s">
        <v>114</v>
      </c>
      <c r="U10" s="7">
        <f t="shared" si="4"/>
        <v>117.80200000000001</v>
      </c>
      <c r="V10" s="5" t="str">
        <f t="shared" si="5"/>
        <v>未买</v>
      </c>
    </row>
    <row r="11" spans="1:22" x14ac:dyDescent="0.15">
      <c r="A11" s="7">
        <v>128013</v>
      </c>
      <c r="B11" s="7" t="s">
        <v>52</v>
      </c>
      <c r="C11" s="3" t="e">
        <f t="shared" si="6"/>
        <v>#N/A</v>
      </c>
      <c r="D11" s="5" t="e">
        <f t="shared" si="7"/>
        <v>#N/A</v>
      </c>
      <c r="E11" s="5">
        <f t="shared" si="0"/>
        <v>16</v>
      </c>
      <c r="H11" s="19">
        <v>9</v>
      </c>
      <c r="I11">
        <v>128081</v>
      </c>
      <c r="J11" t="s">
        <v>90</v>
      </c>
      <c r="K11">
        <v>127.1</v>
      </c>
      <c r="L11" s="57">
        <v>6.3E-3</v>
      </c>
      <c r="M11">
        <v>127.72999999999999</v>
      </c>
      <c r="N11" s="20">
        <v>29.251431</v>
      </c>
      <c r="O11" s="5" t="str">
        <f t="shared" si="3"/>
        <v>Yes</v>
      </c>
      <c r="R11" s="19">
        <v>9</v>
      </c>
      <c r="S11" s="7">
        <v>113561</v>
      </c>
      <c r="T11" s="7" t="s">
        <v>84</v>
      </c>
      <c r="U11" s="7">
        <f t="shared" si="4"/>
        <v>124.119</v>
      </c>
      <c r="V11" s="5" t="str">
        <f t="shared" si="5"/>
        <v>未买</v>
      </c>
    </row>
    <row r="12" spans="1:22" x14ac:dyDescent="0.15">
      <c r="A12" s="7">
        <v>128081</v>
      </c>
      <c r="B12" s="7" t="s">
        <v>90</v>
      </c>
      <c r="C12" s="3">
        <f t="shared" si="6"/>
        <v>127.1</v>
      </c>
      <c r="D12" s="5">
        <f t="shared" si="7"/>
        <v>9</v>
      </c>
      <c r="E12" s="5" t="e">
        <f t="shared" si="0"/>
        <v>#N/A</v>
      </c>
      <c r="H12" s="19">
        <v>10</v>
      </c>
      <c r="I12">
        <v>113595</v>
      </c>
      <c r="J12" t="s">
        <v>125</v>
      </c>
      <c r="K12">
        <v>112.68600000000001</v>
      </c>
      <c r="L12" s="57">
        <v>0.15529999999999999</v>
      </c>
      <c r="M12">
        <v>128.21600000000001</v>
      </c>
      <c r="N12" s="20">
        <v>3.29758</v>
      </c>
      <c r="O12" s="5" t="str">
        <f t="shared" si="3"/>
        <v>未买</v>
      </c>
      <c r="R12" s="19">
        <v>10</v>
      </c>
      <c r="S12" s="7">
        <v>113526</v>
      </c>
      <c r="T12" s="7" t="s">
        <v>128</v>
      </c>
      <c r="U12" s="7">
        <f t="shared" si="4"/>
        <v>127.498</v>
      </c>
      <c r="V12" s="5" t="str">
        <f t="shared" si="5"/>
        <v>未买</v>
      </c>
    </row>
    <row r="13" spans="1:22" x14ac:dyDescent="0.15">
      <c r="A13" s="7">
        <v>128087</v>
      </c>
      <c r="B13" s="7" t="s">
        <v>112</v>
      </c>
      <c r="C13" s="3">
        <f t="shared" si="6"/>
        <v>127.30500000000001</v>
      </c>
      <c r="D13" s="5">
        <f t="shared" si="7"/>
        <v>15</v>
      </c>
      <c r="E13" s="5">
        <f t="shared" si="0"/>
        <v>25</v>
      </c>
      <c r="H13" s="19">
        <v>11</v>
      </c>
      <c r="I13">
        <v>113011</v>
      </c>
      <c r="J13" t="s">
        <v>1711</v>
      </c>
      <c r="K13">
        <v>104.358</v>
      </c>
      <c r="L13" s="57">
        <v>0.2397</v>
      </c>
      <c r="M13">
        <v>128.328</v>
      </c>
      <c r="N13" s="20">
        <v>241.98827</v>
      </c>
      <c r="O13" s="5" t="str">
        <f t="shared" si="3"/>
        <v>未买</v>
      </c>
      <c r="R13" s="19">
        <v>11</v>
      </c>
      <c r="S13" s="7">
        <v>113030</v>
      </c>
      <c r="T13" s="7" t="s">
        <v>94</v>
      </c>
      <c r="U13" s="7">
        <f t="shared" si="4"/>
        <v>126.78</v>
      </c>
      <c r="V13" s="5" t="str">
        <f t="shared" si="5"/>
        <v>未买</v>
      </c>
    </row>
    <row r="14" spans="1:22" x14ac:dyDescent="0.15">
      <c r="A14" s="7">
        <v>128100</v>
      </c>
      <c r="B14" s="7" t="s">
        <v>48</v>
      </c>
      <c r="C14" s="3">
        <f t="shared" si="6"/>
        <v>91.46</v>
      </c>
      <c r="D14" s="5">
        <f t="shared" si="7"/>
        <v>1</v>
      </c>
      <c r="E14" s="5">
        <f t="shared" si="0"/>
        <v>2</v>
      </c>
      <c r="H14" s="19">
        <v>12</v>
      </c>
      <c r="I14">
        <v>110063</v>
      </c>
      <c r="J14" t="s">
        <v>1724</v>
      </c>
      <c r="K14">
        <v>116.71599999999999</v>
      </c>
      <c r="L14" s="57">
        <v>0.125</v>
      </c>
      <c r="M14">
        <v>129.21600000000001</v>
      </c>
      <c r="N14" s="20">
        <v>18.444610000000001</v>
      </c>
      <c r="O14" s="5" t="str">
        <f t="shared" si="3"/>
        <v>未买</v>
      </c>
      <c r="R14" s="19">
        <v>12</v>
      </c>
      <c r="S14" s="7">
        <v>113628</v>
      </c>
      <c r="T14" s="7" t="s">
        <v>204</v>
      </c>
      <c r="U14" s="7">
        <f t="shared" si="4"/>
        <v>110.783</v>
      </c>
      <c r="V14" s="5" t="str">
        <f t="shared" si="5"/>
        <v>未买</v>
      </c>
    </row>
    <row r="15" spans="1:22" x14ac:dyDescent="0.15">
      <c r="A15" s="7">
        <v>128127</v>
      </c>
      <c r="B15" s="7" t="s">
        <v>194</v>
      </c>
      <c r="C15" s="3">
        <f t="shared" si="6"/>
        <v>106.676</v>
      </c>
      <c r="D15" s="5">
        <f t="shared" si="7"/>
        <v>46</v>
      </c>
      <c r="E15" s="5">
        <f t="shared" si="0"/>
        <v>15</v>
      </c>
      <c r="H15" s="19">
        <v>13</v>
      </c>
      <c r="I15">
        <v>128034</v>
      </c>
      <c r="J15" t="s">
        <v>1710</v>
      </c>
      <c r="K15">
        <v>111.253</v>
      </c>
      <c r="L15" s="57">
        <v>0.184</v>
      </c>
      <c r="M15">
        <v>129.65299999999999</v>
      </c>
      <c r="N15" s="20">
        <v>17.579526999999999</v>
      </c>
      <c r="O15" s="5" t="str">
        <f t="shared" si="3"/>
        <v>未买</v>
      </c>
      <c r="R15" s="19">
        <v>13</v>
      </c>
      <c r="S15" s="7">
        <v>113039</v>
      </c>
      <c r="T15" s="7" t="s">
        <v>45</v>
      </c>
      <c r="U15" s="7">
        <f t="shared" si="4"/>
        <v>131.571</v>
      </c>
      <c r="V15" s="5" t="str">
        <f t="shared" si="5"/>
        <v>未买</v>
      </c>
    </row>
    <row r="16" spans="1:22" x14ac:dyDescent="0.15">
      <c r="A16" s="7">
        <v>128130</v>
      </c>
      <c r="B16" s="7" t="s">
        <v>99</v>
      </c>
      <c r="C16" s="3">
        <f t="shared" si="6"/>
        <v>117.301</v>
      </c>
      <c r="D16" s="5">
        <f t="shared" si="7"/>
        <v>23</v>
      </c>
      <c r="E16" s="5" t="e">
        <f t="shared" si="0"/>
        <v>#N/A</v>
      </c>
      <c r="H16" s="19">
        <v>14</v>
      </c>
      <c r="I16">
        <v>110084</v>
      </c>
      <c r="J16" t="s">
        <v>246</v>
      </c>
      <c r="K16">
        <v>120.56399999999999</v>
      </c>
      <c r="L16" s="57">
        <v>9.3000000000000013E-2</v>
      </c>
      <c r="M16">
        <v>129.864</v>
      </c>
      <c r="N16" s="20">
        <v>9.9947800000000004</v>
      </c>
      <c r="O16" s="5" t="str">
        <f t="shared" si="3"/>
        <v>未买</v>
      </c>
      <c r="R16" s="19">
        <v>14</v>
      </c>
      <c r="S16" s="7">
        <v>123002</v>
      </c>
      <c r="T16" s="7" t="s">
        <v>79</v>
      </c>
      <c r="U16" s="7">
        <f t="shared" si="4"/>
        <v>113.7</v>
      </c>
      <c r="V16" s="5" t="str">
        <f t="shared" si="5"/>
        <v>Yes</v>
      </c>
    </row>
    <row r="17" spans="3:22" x14ac:dyDescent="0.15">
      <c r="H17" s="19">
        <v>15</v>
      </c>
      <c r="I17">
        <v>128087</v>
      </c>
      <c r="J17" t="s">
        <v>112</v>
      </c>
      <c r="K17">
        <v>127.30500000000001</v>
      </c>
      <c r="L17" s="57">
        <v>2.63E-2</v>
      </c>
      <c r="M17">
        <v>129.935</v>
      </c>
      <c r="N17" s="20">
        <v>6.4603440000000001</v>
      </c>
      <c r="O17" s="5" t="str">
        <f t="shared" si="3"/>
        <v>Yes</v>
      </c>
      <c r="R17" s="19">
        <v>15</v>
      </c>
      <c r="S17" s="7">
        <v>128127</v>
      </c>
      <c r="T17" s="7" t="s">
        <v>194</v>
      </c>
      <c r="U17" s="7">
        <f t="shared" si="4"/>
        <v>106.676</v>
      </c>
      <c r="V17" s="5" t="str">
        <f t="shared" si="5"/>
        <v>Yes</v>
      </c>
    </row>
    <row r="18" spans="3:22" x14ac:dyDescent="0.15">
      <c r="C18" s="3"/>
      <c r="E18" s="5"/>
      <c r="H18" s="19">
        <v>16</v>
      </c>
      <c r="I18">
        <v>110047</v>
      </c>
      <c r="J18" t="s">
        <v>1729</v>
      </c>
      <c r="K18">
        <v>117.16200000000001</v>
      </c>
      <c r="L18" s="57">
        <v>0.1293</v>
      </c>
      <c r="M18">
        <v>130.09200000000001</v>
      </c>
      <c r="N18" s="20">
        <v>22.461279999999999</v>
      </c>
      <c r="O18" s="5" t="str">
        <f t="shared" si="3"/>
        <v>未买</v>
      </c>
      <c r="R18" s="19">
        <v>16</v>
      </c>
      <c r="S18" s="7">
        <v>128013</v>
      </c>
      <c r="T18" s="7" t="s">
        <v>52</v>
      </c>
      <c r="U18" s="7" t="e">
        <f t="shared" si="4"/>
        <v>#N/A</v>
      </c>
      <c r="V18" s="5" t="str">
        <f t="shared" si="5"/>
        <v>Yes</v>
      </c>
    </row>
    <row r="19" spans="3:22" x14ac:dyDescent="0.15">
      <c r="C19" s="3"/>
      <c r="E19" s="5"/>
      <c r="H19" s="19">
        <v>17</v>
      </c>
      <c r="I19">
        <v>113033</v>
      </c>
      <c r="J19" t="s">
        <v>88</v>
      </c>
      <c r="K19">
        <v>105.47799999999999</v>
      </c>
      <c r="L19" s="57">
        <v>0.2505</v>
      </c>
      <c r="M19">
        <v>130.52799999999999</v>
      </c>
      <c r="N19" s="20">
        <v>17.997959999999999</v>
      </c>
      <c r="O19" s="5" t="str">
        <f t="shared" si="3"/>
        <v>Yes</v>
      </c>
      <c r="R19" s="19">
        <v>17</v>
      </c>
      <c r="S19" s="7">
        <v>128090</v>
      </c>
      <c r="T19" s="7" t="s">
        <v>113</v>
      </c>
      <c r="U19" s="7">
        <f t="shared" si="4"/>
        <v>124.45</v>
      </c>
      <c r="V19" s="5" t="str">
        <f t="shared" si="5"/>
        <v>未买</v>
      </c>
    </row>
    <row r="20" spans="3:22" x14ac:dyDescent="0.15">
      <c r="C20" s="3"/>
      <c r="E20" s="5"/>
      <c r="H20" s="19">
        <v>18</v>
      </c>
      <c r="I20">
        <v>128048</v>
      </c>
      <c r="J20" t="s">
        <v>1703</v>
      </c>
      <c r="K20">
        <v>115.202</v>
      </c>
      <c r="L20" s="57">
        <v>0.15460000000000002</v>
      </c>
      <c r="M20">
        <v>130.66200000000001</v>
      </c>
      <c r="N20" s="20">
        <v>24.970385</v>
      </c>
      <c r="O20" s="5" t="str">
        <f t="shared" si="3"/>
        <v>未买</v>
      </c>
      <c r="R20" s="19">
        <v>18</v>
      </c>
      <c r="S20" s="7">
        <v>123052</v>
      </c>
      <c r="T20" s="7" t="s">
        <v>754</v>
      </c>
      <c r="U20" s="7">
        <f t="shared" si="4"/>
        <v>138.785</v>
      </c>
      <c r="V20" s="5" t="str">
        <f t="shared" si="5"/>
        <v>未买</v>
      </c>
    </row>
    <row r="21" spans="3:22" x14ac:dyDescent="0.15">
      <c r="C21" s="3"/>
      <c r="E21" s="5"/>
      <c r="H21" s="19">
        <v>19</v>
      </c>
      <c r="I21">
        <v>128029</v>
      </c>
      <c r="J21" t="s">
        <v>1858</v>
      </c>
      <c r="K21">
        <v>131</v>
      </c>
      <c r="L21" s="57">
        <v>-3.0000000000000001E-3</v>
      </c>
      <c r="M21">
        <v>130.69999999999999</v>
      </c>
      <c r="N21" s="20">
        <v>5.48116</v>
      </c>
      <c r="O21" s="5" t="str">
        <f t="shared" si="3"/>
        <v>未买</v>
      </c>
      <c r="R21" s="19">
        <v>19</v>
      </c>
      <c r="S21" s="7">
        <v>123080</v>
      </c>
      <c r="T21" s="7" t="s">
        <v>54</v>
      </c>
      <c r="U21" s="7">
        <f t="shared" si="4"/>
        <v>134.291</v>
      </c>
      <c r="V21" s="5" t="str">
        <f t="shared" si="5"/>
        <v>未买</v>
      </c>
    </row>
    <row r="22" spans="3:22" x14ac:dyDescent="0.15">
      <c r="C22" s="3"/>
      <c r="E22" s="5"/>
      <c r="H22" s="19">
        <v>20</v>
      </c>
      <c r="I22">
        <v>113631</v>
      </c>
      <c r="J22" t="s">
        <v>199</v>
      </c>
      <c r="K22">
        <v>117.706</v>
      </c>
      <c r="L22" s="57">
        <v>0.13070000000000001</v>
      </c>
      <c r="M22">
        <v>130.77600000000001</v>
      </c>
      <c r="N22" s="20">
        <v>9.2996700000000008</v>
      </c>
      <c r="O22" s="5" t="str">
        <f t="shared" si="3"/>
        <v>未买</v>
      </c>
      <c r="R22" s="19">
        <v>20</v>
      </c>
      <c r="S22" s="7">
        <v>113598</v>
      </c>
      <c r="T22" s="7" t="s">
        <v>97</v>
      </c>
      <c r="U22" s="7">
        <f t="shared" si="4"/>
        <v>139.53899999999999</v>
      </c>
      <c r="V22" s="5" t="str">
        <f t="shared" si="5"/>
        <v>未买</v>
      </c>
    </row>
    <row r="23" spans="3:22" x14ac:dyDescent="0.15">
      <c r="C23" s="3"/>
      <c r="E23" s="5"/>
      <c r="H23" s="19">
        <v>21</v>
      </c>
      <c r="I23">
        <v>110043</v>
      </c>
      <c r="J23" t="s">
        <v>1696</v>
      </c>
      <c r="K23">
        <v>111.45</v>
      </c>
      <c r="L23" s="57">
        <v>0.19359999999999999</v>
      </c>
      <c r="M23">
        <v>130.81</v>
      </c>
      <c r="N23" s="20">
        <v>29.2133</v>
      </c>
      <c r="O23" s="5" t="str">
        <f t="shared" si="3"/>
        <v>未买</v>
      </c>
      <c r="R23" s="19">
        <v>21</v>
      </c>
      <c r="S23" s="7">
        <v>128071</v>
      </c>
      <c r="T23" s="7" t="s">
        <v>86</v>
      </c>
      <c r="U23" s="7">
        <f t="shared" si="4"/>
        <v>112.303</v>
      </c>
      <c r="V23" s="5" t="str">
        <f t="shared" si="5"/>
        <v>未买</v>
      </c>
    </row>
    <row r="24" spans="3:22" x14ac:dyDescent="0.15">
      <c r="C24" s="3"/>
      <c r="E24" s="5"/>
      <c r="H24" s="19">
        <v>22</v>
      </c>
      <c r="I24">
        <v>110083</v>
      </c>
      <c r="J24" t="s">
        <v>1712</v>
      </c>
      <c r="K24">
        <v>120.158</v>
      </c>
      <c r="L24" s="57">
        <v>0.10769999999999999</v>
      </c>
      <c r="M24">
        <v>130.928</v>
      </c>
      <c r="N24" s="20">
        <v>49.981180000000002</v>
      </c>
      <c r="O24" s="5" t="str">
        <f t="shared" si="3"/>
        <v>未买</v>
      </c>
      <c r="R24" s="19">
        <v>22</v>
      </c>
      <c r="S24" s="7">
        <v>113591</v>
      </c>
      <c r="T24" s="7" t="s">
        <v>41</v>
      </c>
      <c r="U24" s="7">
        <f t="shared" si="4"/>
        <v>124.895</v>
      </c>
      <c r="V24" s="5" t="str">
        <f t="shared" si="5"/>
        <v>Yes</v>
      </c>
    </row>
    <row r="25" spans="3:22" x14ac:dyDescent="0.15">
      <c r="C25" s="3"/>
      <c r="E25" s="5"/>
      <c r="H25" s="19">
        <v>23</v>
      </c>
      <c r="I25">
        <v>128130</v>
      </c>
      <c r="J25" t="s">
        <v>99</v>
      </c>
      <c r="K25">
        <v>117.301</v>
      </c>
      <c r="L25" s="57">
        <v>0.13949999999999999</v>
      </c>
      <c r="M25">
        <v>131.251</v>
      </c>
      <c r="N25" s="20">
        <v>9.9866789999999988</v>
      </c>
      <c r="O25" s="5" t="str">
        <f t="shared" si="3"/>
        <v>Yes</v>
      </c>
      <c r="R25" s="19">
        <v>23</v>
      </c>
      <c r="S25" s="7">
        <v>128039</v>
      </c>
      <c r="T25" s="7" t="s">
        <v>111</v>
      </c>
      <c r="U25" s="7">
        <f t="shared" si="4"/>
        <v>117.747</v>
      </c>
      <c r="V25" s="5" t="str">
        <f t="shared" si="5"/>
        <v>未买</v>
      </c>
    </row>
    <row r="26" spans="3:22" x14ac:dyDescent="0.15">
      <c r="E26" s="5"/>
      <c r="H26" s="19">
        <v>24</v>
      </c>
      <c r="I26">
        <v>110080</v>
      </c>
      <c r="J26" t="s">
        <v>206</v>
      </c>
      <c r="K26">
        <v>114.297</v>
      </c>
      <c r="L26" s="57">
        <v>0.17309999999999998</v>
      </c>
      <c r="M26">
        <v>131.607</v>
      </c>
      <c r="N26" s="20">
        <v>15.491110000000001</v>
      </c>
      <c r="O26" s="5" t="str">
        <f t="shared" si="3"/>
        <v>Yes</v>
      </c>
      <c r="R26" s="19">
        <v>24</v>
      </c>
      <c r="S26" s="7">
        <v>110070</v>
      </c>
      <c r="T26" s="7" t="s">
        <v>87</v>
      </c>
      <c r="U26" s="7">
        <f t="shared" si="4"/>
        <v>114.855</v>
      </c>
      <c r="V26" s="5" t="str">
        <f t="shared" si="5"/>
        <v>Yes</v>
      </c>
    </row>
    <row r="27" spans="3:22" x14ac:dyDescent="0.15">
      <c r="E27" s="5"/>
      <c r="H27" s="19">
        <v>25</v>
      </c>
      <c r="I27">
        <v>110061</v>
      </c>
      <c r="J27" t="s">
        <v>2033</v>
      </c>
      <c r="K27">
        <v>130.565</v>
      </c>
      <c r="L27" s="57">
        <v>1.06E-2</v>
      </c>
      <c r="M27">
        <v>131.625</v>
      </c>
      <c r="N27" s="20">
        <v>35.111510000000003</v>
      </c>
      <c r="O27" s="5" t="str">
        <f t="shared" si="3"/>
        <v>未买</v>
      </c>
      <c r="R27" s="19">
        <v>25</v>
      </c>
      <c r="S27" s="7">
        <v>128087</v>
      </c>
      <c r="T27" s="7" t="s">
        <v>112</v>
      </c>
      <c r="U27" s="7">
        <f t="shared" si="4"/>
        <v>127.30500000000001</v>
      </c>
      <c r="V27" s="5" t="str">
        <f t="shared" si="5"/>
        <v>Yes</v>
      </c>
    </row>
    <row r="28" spans="3:22" x14ac:dyDescent="0.15">
      <c r="E28" s="5"/>
      <c r="H28" s="19">
        <v>26</v>
      </c>
      <c r="I28">
        <v>113050</v>
      </c>
      <c r="J28" t="s">
        <v>1701</v>
      </c>
      <c r="K28">
        <v>116.83799999999999</v>
      </c>
      <c r="L28" s="57">
        <v>0.14929999999999999</v>
      </c>
      <c r="M28">
        <v>131.768</v>
      </c>
      <c r="N28" s="20">
        <v>166.54132999999999</v>
      </c>
      <c r="O28" s="5" t="str">
        <f t="shared" si="3"/>
        <v>未买</v>
      </c>
      <c r="R28" s="19">
        <v>26</v>
      </c>
      <c r="S28" s="7">
        <v>128120</v>
      </c>
      <c r="T28" s="7" t="s">
        <v>108</v>
      </c>
      <c r="U28" s="7">
        <f t="shared" si="4"/>
        <v>117.91</v>
      </c>
      <c r="V28" s="5" t="str">
        <f t="shared" si="5"/>
        <v>未买</v>
      </c>
    </row>
    <row r="29" spans="3:22" x14ac:dyDescent="0.15">
      <c r="E29" s="5"/>
      <c r="H29" s="19">
        <v>27</v>
      </c>
      <c r="I29">
        <v>113591</v>
      </c>
      <c r="J29" t="s">
        <v>41</v>
      </c>
      <c r="K29">
        <v>124.895</v>
      </c>
      <c r="L29" s="57">
        <v>7.0199999999999999E-2</v>
      </c>
      <c r="M29">
        <v>131.91499999999999</v>
      </c>
      <c r="N29" s="20">
        <v>4.74308</v>
      </c>
      <c r="O29" s="5" t="str">
        <f t="shared" si="3"/>
        <v>Yes</v>
      </c>
      <c r="R29" s="19">
        <v>27</v>
      </c>
      <c r="V29" s="5"/>
    </row>
    <row r="30" spans="3:22" x14ac:dyDescent="0.15">
      <c r="E30" s="5"/>
      <c r="H30" s="19">
        <v>28</v>
      </c>
      <c r="I30">
        <v>127012</v>
      </c>
      <c r="J30" t="s">
        <v>1723</v>
      </c>
      <c r="K30">
        <v>113.355</v>
      </c>
      <c r="L30" s="57">
        <v>0.19409999999999999</v>
      </c>
      <c r="M30">
        <v>132.76500000000001</v>
      </c>
      <c r="N30" s="20">
        <v>49.998221000000001</v>
      </c>
      <c r="O30" s="5" t="str">
        <f t="shared" si="3"/>
        <v>未买</v>
      </c>
      <c r="R30" s="19">
        <v>28</v>
      </c>
      <c r="V30" s="5"/>
    </row>
    <row r="31" spans="3:22" x14ac:dyDescent="0.15">
      <c r="E31" s="5"/>
      <c r="H31" s="19">
        <v>29</v>
      </c>
      <c r="I31">
        <v>128037</v>
      </c>
      <c r="J31" t="s">
        <v>72</v>
      </c>
      <c r="K31">
        <v>115.96299999999999</v>
      </c>
      <c r="L31" s="57">
        <v>0.18640000000000001</v>
      </c>
      <c r="M31">
        <v>134.60300000000001</v>
      </c>
      <c r="N31" s="20">
        <v>6.0191359999999996</v>
      </c>
      <c r="O31" s="5" t="str">
        <f t="shared" si="3"/>
        <v>未买</v>
      </c>
      <c r="R31" s="19">
        <v>29</v>
      </c>
      <c r="V31" s="5"/>
    </row>
    <row r="32" spans="3:22" x14ac:dyDescent="0.15">
      <c r="E32" s="5"/>
      <c r="H32" s="19">
        <v>30</v>
      </c>
      <c r="I32">
        <v>110038</v>
      </c>
      <c r="J32" t="s">
        <v>2031</v>
      </c>
      <c r="K32">
        <v>134.33199999999999</v>
      </c>
      <c r="L32" s="57">
        <v>3.8E-3</v>
      </c>
      <c r="M32">
        <v>134.71199999999999</v>
      </c>
      <c r="N32" s="20">
        <v>7.5090000000000004E-2</v>
      </c>
      <c r="O32" s="5" t="str">
        <f t="shared" si="3"/>
        <v>未买</v>
      </c>
      <c r="R32" s="19">
        <v>30</v>
      </c>
      <c r="V32" s="5"/>
    </row>
    <row r="33" spans="5:22" x14ac:dyDescent="0.15">
      <c r="E33" s="5"/>
      <c r="H33" s="19">
        <v>31</v>
      </c>
      <c r="I33">
        <v>127006</v>
      </c>
      <c r="J33" t="s">
        <v>1758</v>
      </c>
      <c r="K33">
        <v>122.807</v>
      </c>
      <c r="L33" s="57">
        <v>0.11990000000000001</v>
      </c>
      <c r="M33">
        <v>134.797</v>
      </c>
      <c r="N33" s="20">
        <v>24.072153</v>
      </c>
      <c r="O33" s="5" t="str">
        <f t="shared" si="3"/>
        <v>未买</v>
      </c>
      <c r="R33" s="19">
        <v>31</v>
      </c>
      <c r="V33" s="5"/>
    </row>
    <row r="34" spans="5:22" x14ac:dyDescent="0.15">
      <c r="E34" s="5"/>
      <c r="H34" s="19">
        <v>32</v>
      </c>
      <c r="I34">
        <v>110079</v>
      </c>
      <c r="J34" t="s">
        <v>1708</v>
      </c>
      <c r="K34">
        <v>117.82</v>
      </c>
      <c r="L34" s="57">
        <v>0.17269999999999999</v>
      </c>
      <c r="M34">
        <v>135.09</v>
      </c>
      <c r="N34" s="20">
        <v>149.98985999999999</v>
      </c>
      <c r="O34" s="5" t="str">
        <f t="shared" si="3"/>
        <v>未买</v>
      </c>
      <c r="R34" s="19">
        <v>32</v>
      </c>
      <c r="V34" s="5"/>
    </row>
    <row r="35" spans="5:22" x14ac:dyDescent="0.15">
      <c r="E35" s="5"/>
      <c r="H35" s="19">
        <v>33</v>
      </c>
      <c r="I35">
        <v>127032</v>
      </c>
      <c r="J35" t="s">
        <v>1730</v>
      </c>
      <c r="K35">
        <v>116.9</v>
      </c>
      <c r="L35" s="57">
        <v>0.18239999999999998</v>
      </c>
      <c r="M35">
        <v>135.14000000000001</v>
      </c>
      <c r="N35" s="20">
        <v>49.995362</v>
      </c>
      <c r="O35" s="5" t="str">
        <f t="shared" si="3"/>
        <v>未买</v>
      </c>
      <c r="R35" s="19">
        <v>33</v>
      </c>
      <c r="V35" s="5"/>
    </row>
    <row r="36" spans="5:22" x14ac:dyDescent="0.15">
      <c r="E36" s="5"/>
      <c r="H36" s="19">
        <v>34</v>
      </c>
      <c r="I36">
        <v>110085</v>
      </c>
      <c r="J36" t="s">
        <v>1706</v>
      </c>
      <c r="K36">
        <v>125.60599999999999</v>
      </c>
      <c r="L36" s="57">
        <v>9.6500000000000002E-2</v>
      </c>
      <c r="M36">
        <v>135.256</v>
      </c>
      <c r="N36" s="20">
        <v>119.84902</v>
      </c>
      <c r="O36" s="5" t="str">
        <f t="shared" si="3"/>
        <v>未买</v>
      </c>
      <c r="R36" s="19">
        <v>34</v>
      </c>
      <c r="V36" s="5"/>
    </row>
    <row r="37" spans="5:22" x14ac:dyDescent="0.15">
      <c r="E37" s="5"/>
      <c r="H37" s="19">
        <v>35</v>
      </c>
      <c r="I37">
        <v>110077</v>
      </c>
      <c r="J37" t="s">
        <v>1698</v>
      </c>
      <c r="K37">
        <v>126.124</v>
      </c>
      <c r="L37" s="57">
        <v>9.2399999999999996E-2</v>
      </c>
      <c r="M37">
        <v>135.364</v>
      </c>
      <c r="N37" s="20">
        <v>17.672170000000001</v>
      </c>
      <c r="O37" s="5" t="str">
        <f t="shared" si="3"/>
        <v>未买</v>
      </c>
      <c r="R37" s="19">
        <v>35</v>
      </c>
      <c r="V37" s="5"/>
    </row>
    <row r="38" spans="5:22" x14ac:dyDescent="0.15">
      <c r="E38" s="5"/>
      <c r="H38" s="19">
        <v>36</v>
      </c>
      <c r="I38">
        <v>127040</v>
      </c>
      <c r="J38" t="s">
        <v>1697</v>
      </c>
      <c r="K38">
        <v>117.2</v>
      </c>
      <c r="L38" s="57">
        <v>0.1855</v>
      </c>
      <c r="M38">
        <v>135.75</v>
      </c>
      <c r="N38" s="20">
        <v>39.872905000000003</v>
      </c>
      <c r="O38" s="5" t="str">
        <f t="shared" si="3"/>
        <v>未买</v>
      </c>
      <c r="R38" s="19">
        <v>36</v>
      </c>
      <c r="V38" s="5"/>
    </row>
    <row r="39" spans="5:22" x14ac:dyDescent="0.15">
      <c r="E39" s="5"/>
      <c r="H39" s="19">
        <v>37</v>
      </c>
      <c r="I39">
        <v>128119</v>
      </c>
      <c r="J39" t="s">
        <v>216</v>
      </c>
      <c r="K39">
        <v>120.453</v>
      </c>
      <c r="L39" s="57">
        <v>0.1537</v>
      </c>
      <c r="M39">
        <v>135.82300000000001</v>
      </c>
      <c r="N39" s="20">
        <v>9.4606110000000001</v>
      </c>
      <c r="O39" s="5" t="str">
        <f t="shared" si="3"/>
        <v>未买</v>
      </c>
      <c r="R39" s="19">
        <v>37</v>
      </c>
      <c r="V39" s="5"/>
    </row>
    <row r="40" spans="5:22" x14ac:dyDescent="0.15">
      <c r="E40" s="5"/>
      <c r="H40" s="19">
        <v>38</v>
      </c>
      <c r="I40">
        <v>127028</v>
      </c>
      <c r="J40" t="s">
        <v>62</v>
      </c>
      <c r="K40">
        <v>130.07</v>
      </c>
      <c r="L40" s="57">
        <v>5.91E-2</v>
      </c>
      <c r="M40">
        <v>135.97999999999999</v>
      </c>
      <c r="N40" s="20">
        <v>5.9813150000000004</v>
      </c>
      <c r="O40" s="5" t="str">
        <f t="shared" si="3"/>
        <v>未买</v>
      </c>
      <c r="R40" s="19">
        <v>38</v>
      </c>
      <c r="V40" s="5"/>
    </row>
    <row r="41" spans="5:22" x14ac:dyDescent="0.15">
      <c r="E41" s="5"/>
      <c r="H41" s="19">
        <v>39</v>
      </c>
      <c r="I41">
        <v>110057</v>
      </c>
      <c r="J41" t="s">
        <v>1718</v>
      </c>
      <c r="K41">
        <v>118.336</v>
      </c>
      <c r="L41" s="57">
        <v>0.1772</v>
      </c>
      <c r="M41">
        <v>136.05599999999998</v>
      </c>
      <c r="N41" s="20">
        <v>16.15483</v>
      </c>
      <c r="O41" s="5" t="str">
        <f t="shared" si="3"/>
        <v>未买</v>
      </c>
      <c r="R41" s="19">
        <v>39</v>
      </c>
      <c r="V41" s="5"/>
    </row>
    <row r="42" spans="5:22" x14ac:dyDescent="0.15">
      <c r="E42" s="5"/>
      <c r="H42" s="19">
        <v>40</v>
      </c>
      <c r="I42">
        <v>113017</v>
      </c>
      <c r="J42" t="s">
        <v>102</v>
      </c>
      <c r="K42">
        <v>110.126</v>
      </c>
      <c r="L42" s="57">
        <v>0.25940000000000002</v>
      </c>
      <c r="M42">
        <v>136.066</v>
      </c>
      <c r="N42" s="20">
        <v>11.349740000000001</v>
      </c>
      <c r="O42" s="5" t="str">
        <f t="shared" si="3"/>
        <v>Yes</v>
      </c>
      <c r="R42" s="19">
        <v>40</v>
      </c>
      <c r="V42" s="5"/>
    </row>
    <row r="43" spans="5:22" x14ac:dyDescent="0.15">
      <c r="E43" s="5"/>
      <c r="H43" s="19">
        <v>41</v>
      </c>
      <c r="I43">
        <v>127049</v>
      </c>
      <c r="J43" t="s">
        <v>1717</v>
      </c>
      <c r="K43">
        <v>114.136</v>
      </c>
      <c r="L43" s="57">
        <v>0.22109999999999999</v>
      </c>
      <c r="M43">
        <v>136.24599999999998</v>
      </c>
      <c r="N43" s="20">
        <v>81.436384000000004</v>
      </c>
      <c r="O43" s="5" t="str">
        <f t="shared" si="3"/>
        <v>未买</v>
      </c>
      <c r="R43" s="19">
        <v>41</v>
      </c>
      <c r="V43" s="16"/>
    </row>
    <row r="44" spans="5:22" x14ac:dyDescent="0.15">
      <c r="E44" s="5"/>
      <c r="H44" s="19">
        <v>42</v>
      </c>
      <c r="I44">
        <v>113058</v>
      </c>
      <c r="J44" t="s">
        <v>1733</v>
      </c>
      <c r="K44">
        <v>110.664</v>
      </c>
      <c r="L44" s="57">
        <v>0.25600000000000001</v>
      </c>
      <c r="M44">
        <v>136.26400000000001</v>
      </c>
      <c r="N44" s="20">
        <v>19.999960000000002</v>
      </c>
      <c r="O44" s="5" t="str">
        <f t="shared" si="3"/>
        <v>未买</v>
      </c>
      <c r="R44" s="19">
        <v>42</v>
      </c>
      <c r="V44" s="16"/>
    </row>
    <row r="45" spans="5:22" x14ac:dyDescent="0.15">
      <c r="E45" s="5"/>
      <c r="H45" s="19">
        <v>43</v>
      </c>
      <c r="I45">
        <v>113570</v>
      </c>
      <c r="J45" t="s">
        <v>42</v>
      </c>
      <c r="K45">
        <v>130.96199999999999</v>
      </c>
      <c r="L45" s="57">
        <v>5.8499999999999996E-2</v>
      </c>
      <c r="M45">
        <v>136.81199999999998</v>
      </c>
      <c r="N45" s="20">
        <v>2.7983099999999999</v>
      </c>
      <c r="O45" s="5" t="str">
        <f t="shared" si="3"/>
        <v>未买</v>
      </c>
      <c r="R45" s="19">
        <v>43</v>
      </c>
    </row>
    <row r="46" spans="5:22" x14ac:dyDescent="0.15">
      <c r="E46" s="5"/>
      <c r="H46" s="19">
        <v>44</v>
      </c>
      <c r="I46">
        <v>128022</v>
      </c>
      <c r="J46" t="s">
        <v>141</v>
      </c>
      <c r="K46">
        <v>137</v>
      </c>
      <c r="L46" s="57">
        <v>-1E-3</v>
      </c>
      <c r="M46">
        <v>136.9</v>
      </c>
      <c r="N46" s="20">
        <v>4.2213789999999998</v>
      </c>
      <c r="O46" s="5" t="str">
        <f t="shared" si="3"/>
        <v>未买</v>
      </c>
      <c r="R46" s="19">
        <v>44</v>
      </c>
      <c r="V46" s="16"/>
    </row>
    <row r="47" spans="5:22" x14ac:dyDescent="0.15">
      <c r="E47" s="5"/>
      <c r="H47" s="19">
        <v>45</v>
      </c>
      <c r="I47">
        <v>128044</v>
      </c>
      <c r="J47" t="s">
        <v>121</v>
      </c>
      <c r="K47">
        <v>110.92100000000001</v>
      </c>
      <c r="L47" s="57">
        <v>0.25980000000000003</v>
      </c>
      <c r="M47">
        <v>136.90100000000001</v>
      </c>
      <c r="N47" s="20">
        <v>6.5723700000000003</v>
      </c>
      <c r="O47" s="5" t="str">
        <f t="shared" si="3"/>
        <v>未买</v>
      </c>
      <c r="R47" s="19">
        <v>45</v>
      </c>
      <c r="V47" s="16"/>
    </row>
    <row r="48" spans="5:22" x14ac:dyDescent="0.15">
      <c r="E48" s="5"/>
      <c r="H48" s="19">
        <v>46</v>
      </c>
      <c r="I48">
        <v>128127</v>
      </c>
      <c r="J48" t="s">
        <v>194</v>
      </c>
      <c r="K48">
        <v>106.676</v>
      </c>
      <c r="L48" s="57">
        <v>0.30469999999999997</v>
      </c>
      <c r="M48">
        <v>137.14600000000002</v>
      </c>
      <c r="N48" s="20">
        <v>9.4928129999999999</v>
      </c>
      <c r="O48" s="5" t="str">
        <f t="shared" si="3"/>
        <v>Yes</v>
      </c>
      <c r="R48" s="19">
        <v>46</v>
      </c>
      <c r="V48" s="16"/>
    </row>
    <row r="49" spans="5:18" x14ac:dyDescent="0.15">
      <c r="E49" s="5"/>
      <c r="H49" s="19">
        <v>47</v>
      </c>
      <c r="I49">
        <v>127027</v>
      </c>
      <c r="J49" t="s">
        <v>211</v>
      </c>
      <c r="K49">
        <v>122.91500000000001</v>
      </c>
      <c r="L49" s="57">
        <v>0.1472</v>
      </c>
      <c r="M49">
        <v>137.63500000000002</v>
      </c>
      <c r="N49" s="20">
        <v>19.465357000000001</v>
      </c>
      <c r="O49" s="5" t="str">
        <f t="shared" si="3"/>
        <v>Yes</v>
      </c>
      <c r="R49" s="19">
        <v>47</v>
      </c>
    </row>
    <row r="50" spans="5:18" x14ac:dyDescent="0.15">
      <c r="E50" s="5"/>
      <c r="H50" s="19">
        <v>48</v>
      </c>
      <c r="I50">
        <v>127045</v>
      </c>
      <c r="J50" t="s">
        <v>1713</v>
      </c>
      <c r="K50">
        <v>118.52</v>
      </c>
      <c r="L50" s="57">
        <v>0.1918</v>
      </c>
      <c r="M50">
        <v>137.69999999999999</v>
      </c>
      <c r="N50" s="20">
        <v>95.439631000000006</v>
      </c>
      <c r="O50" s="5" t="str">
        <f t="shared" si="3"/>
        <v>未买</v>
      </c>
      <c r="R50" s="19">
        <v>48</v>
      </c>
    </row>
    <row r="51" spans="5:18" x14ac:dyDescent="0.15">
      <c r="E51" s="5"/>
      <c r="H51" s="19">
        <v>49</v>
      </c>
      <c r="I51">
        <v>128083</v>
      </c>
      <c r="J51" t="s">
        <v>169</v>
      </c>
      <c r="K51">
        <v>125.666</v>
      </c>
      <c r="L51" s="57">
        <v>0.1232</v>
      </c>
      <c r="M51">
        <v>137.98599999999999</v>
      </c>
      <c r="N51" s="20">
        <v>8.7680919999999993</v>
      </c>
      <c r="O51" s="5" t="str">
        <f t="shared" si="3"/>
        <v>未买</v>
      </c>
      <c r="R51" s="19">
        <v>49</v>
      </c>
    </row>
    <row r="52" spans="5:18" x14ac:dyDescent="0.15">
      <c r="E52" s="5"/>
      <c r="H52" s="19">
        <v>50</v>
      </c>
      <c r="I52">
        <v>123146</v>
      </c>
      <c r="J52" t="s">
        <v>1715</v>
      </c>
      <c r="K52">
        <v>115.568</v>
      </c>
      <c r="L52" s="57">
        <v>0.22450000000000001</v>
      </c>
      <c r="M52">
        <v>138.018</v>
      </c>
      <c r="N52" s="20">
        <v>8.6399000000000008</v>
      </c>
      <c r="O52" s="5" t="str">
        <f t="shared" si="3"/>
        <v>未买</v>
      </c>
      <c r="R52" s="19">
        <v>50</v>
      </c>
    </row>
    <row r="53" spans="5:18" x14ac:dyDescent="0.15">
      <c r="E53" s="5"/>
      <c r="H53" s="19">
        <v>51</v>
      </c>
      <c r="I53">
        <v>128066</v>
      </c>
      <c r="J53" t="s">
        <v>95</v>
      </c>
      <c r="K53">
        <v>114.619</v>
      </c>
      <c r="L53" s="57">
        <v>0.2349</v>
      </c>
      <c r="M53">
        <v>138.10900000000001</v>
      </c>
      <c r="N53" s="20">
        <v>4.6105019999999994</v>
      </c>
      <c r="O53" s="5" t="str">
        <f t="shared" si="3"/>
        <v>未买</v>
      </c>
      <c r="R53" s="19">
        <v>51</v>
      </c>
    </row>
    <row r="54" spans="5:18" x14ac:dyDescent="0.15">
      <c r="E54" s="5"/>
      <c r="H54" s="19">
        <v>52</v>
      </c>
      <c r="I54">
        <v>113057</v>
      </c>
      <c r="J54" t="s">
        <v>1725</v>
      </c>
      <c r="K54">
        <v>117.755</v>
      </c>
      <c r="L54" s="57">
        <v>0.20430000000000001</v>
      </c>
      <c r="M54">
        <v>138.185</v>
      </c>
      <c r="N54" s="20">
        <v>77.998199999999997</v>
      </c>
      <c r="O54" s="5" t="str">
        <f t="shared" si="3"/>
        <v>未买</v>
      </c>
      <c r="R54" s="19">
        <v>52</v>
      </c>
    </row>
    <row r="55" spans="5:18" x14ac:dyDescent="0.15">
      <c r="E55" s="5"/>
      <c r="H55" s="19">
        <v>53</v>
      </c>
      <c r="I55">
        <v>123107</v>
      </c>
      <c r="J55" t="s">
        <v>2041</v>
      </c>
      <c r="K55">
        <v>119.08499999999999</v>
      </c>
      <c r="L55" s="57">
        <v>0.19219999999999998</v>
      </c>
      <c r="M55">
        <v>138.30500000000001</v>
      </c>
      <c r="N55" s="20">
        <v>77.387197</v>
      </c>
      <c r="O55" s="5" t="str">
        <f t="shared" si="3"/>
        <v>未买</v>
      </c>
      <c r="R55" s="19">
        <v>53</v>
      </c>
    </row>
    <row r="56" spans="5:18" x14ac:dyDescent="0.15">
      <c r="E56" s="5"/>
      <c r="H56" s="19">
        <v>54</v>
      </c>
      <c r="I56">
        <v>113640</v>
      </c>
      <c r="J56" t="s">
        <v>744</v>
      </c>
      <c r="K56">
        <v>117.00700000000001</v>
      </c>
      <c r="L56" s="57">
        <v>0.2157</v>
      </c>
      <c r="M56">
        <v>138.577</v>
      </c>
      <c r="N56" s="20">
        <v>9.5717300000000005</v>
      </c>
      <c r="O56" s="5" t="str">
        <f t="shared" si="3"/>
        <v>未买</v>
      </c>
      <c r="R56" s="19">
        <v>54</v>
      </c>
    </row>
    <row r="57" spans="5:18" x14ac:dyDescent="0.15">
      <c r="E57" s="5"/>
      <c r="H57" s="19">
        <v>55</v>
      </c>
      <c r="I57">
        <v>113062</v>
      </c>
      <c r="J57" t="s">
        <v>2060</v>
      </c>
      <c r="K57">
        <v>112.78400000000001</v>
      </c>
      <c r="L57" s="57">
        <v>0.26039999999999996</v>
      </c>
      <c r="M57">
        <v>138.82400000000001</v>
      </c>
      <c r="N57" s="20">
        <v>60</v>
      </c>
      <c r="O57" s="5" t="str">
        <f t="shared" si="3"/>
        <v>未买</v>
      </c>
      <c r="R57" s="19">
        <v>55</v>
      </c>
    </row>
    <row r="58" spans="5:18" x14ac:dyDescent="0.15">
      <c r="E58" s="5"/>
      <c r="H58" s="19">
        <v>56</v>
      </c>
      <c r="I58">
        <v>128141</v>
      </c>
      <c r="J58" t="s">
        <v>2037</v>
      </c>
      <c r="K58">
        <v>130.25</v>
      </c>
      <c r="L58" s="57">
        <v>8.6199999999999999E-2</v>
      </c>
      <c r="M58">
        <v>138.87</v>
      </c>
      <c r="N58" s="20">
        <v>12.701475</v>
      </c>
      <c r="O58" s="5" t="str">
        <f t="shared" si="3"/>
        <v>未买</v>
      </c>
      <c r="R58" s="19">
        <v>56</v>
      </c>
    </row>
    <row r="59" spans="5:18" x14ac:dyDescent="0.15">
      <c r="E59" s="5"/>
      <c r="H59" s="19">
        <v>57</v>
      </c>
      <c r="I59">
        <v>128075</v>
      </c>
      <c r="J59" t="s">
        <v>116</v>
      </c>
      <c r="K59">
        <v>117.6</v>
      </c>
      <c r="L59" s="57">
        <v>0.2132</v>
      </c>
      <c r="M59">
        <v>138.91999999999999</v>
      </c>
      <c r="N59" s="20">
        <v>5.4374310000000001</v>
      </c>
      <c r="O59" s="5" t="str">
        <f t="shared" si="3"/>
        <v>未买</v>
      </c>
      <c r="R59" s="19">
        <v>57</v>
      </c>
    </row>
    <row r="60" spans="5:18" x14ac:dyDescent="0.15">
      <c r="E60" s="5"/>
      <c r="H60" s="19">
        <v>58</v>
      </c>
      <c r="I60">
        <v>113516</v>
      </c>
      <c r="J60" t="s">
        <v>1719</v>
      </c>
      <c r="K60">
        <v>111.422</v>
      </c>
      <c r="L60" s="57">
        <v>0.27589999999999998</v>
      </c>
      <c r="M60">
        <v>139.012</v>
      </c>
      <c r="N60" s="20">
        <v>12.88593</v>
      </c>
      <c r="O60" s="5" t="str">
        <f t="shared" si="3"/>
        <v>未买</v>
      </c>
      <c r="R60" s="19">
        <v>58</v>
      </c>
    </row>
    <row r="61" spans="5:18" x14ac:dyDescent="0.15">
      <c r="E61" s="5"/>
      <c r="H61" s="19">
        <v>59</v>
      </c>
      <c r="I61">
        <v>127029</v>
      </c>
      <c r="J61" t="s">
        <v>1705</v>
      </c>
      <c r="K61">
        <v>121.657</v>
      </c>
      <c r="L61" s="57">
        <v>0.17420000000000002</v>
      </c>
      <c r="M61">
        <v>139.077</v>
      </c>
      <c r="N61" s="20">
        <v>8.1883850000000002</v>
      </c>
      <c r="O61" s="5" t="str">
        <f t="shared" si="3"/>
        <v>未买</v>
      </c>
      <c r="R61" s="19">
        <v>59</v>
      </c>
    </row>
    <row r="62" spans="5:18" x14ac:dyDescent="0.15">
      <c r="E62" s="5"/>
      <c r="H62" s="19">
        <v>60</v>
      </c>
      <c r="I62">
        <v>127020</v>
      </c>
      <c r="J62" t="s">
        <v>1722</v>
      </c>
      <c r="K62">
        <v>114.1</v>
      </c>
      <c r="L62" s="57">
        <v>0.25120000000000003</v>
      </c>
      <c r="M62">
        <v>139.22</v>
      </c>
      <c r="N62" s="20">
        <v>30.227889999999999</v>
      </c>
      <c r="O62" s="5" t="str">
        <f t="shared" si="3"/>
        <v>未买</v>
      </c>
      <c r="R62" s="19">
        <v>60</v>
      </c>
    </row>
    <row r="63" spans="5:18" x14ac:dyDescent="0.15">
      <c r="E63" s="5"/>
      <c r="H63" s="19">
        <v>61</v>
      </c>
      <c r="I63">
        <v>113055</v>
      </c>
      <c r="J63" t="s">
        <v>1707</v>
      </c>
      <c r="K63">
        <v>121.729</v>
      </c>
      <c r="L63" s="57">
        <v>0.17499999999999999</v>
      </c>
      <c r="M63">
        <v>139.22899999999998</v>
      </c>
      <c r="N63" s="20">
        <v>69.963489999999993</v>
      </c>
      <c r="O63" s="5" t="str">
        <f t="shared" si="3"/>
        <v>未买</v>
      </c>
      <c r="R63" s="19">
        <v>61</v>
      </c>
    </row>
    <row r="64" spans="5:18" x14ac:dyDescent="0.15">
      <c r="E64" s="5"/>
      <c r="H64" s="19">
        <v>62</v>
      </c>
      <c r="I64">
        <v>127016</v>
      </c>
      <c r="J64" t="s">
        <v>1735</v>
      </c>
      <c r="K64">
        <v>114.73</v>
      </c>
      <c r="L64" s="57">
        <v>0.2457</v>
      </c>
      <c r="M64">
        <v>139.30000000000001</v>
      </c>
      <c r="N64" s="20">
        <v>13.998524</v>
      </c>
      <c r="O64" s="5" t="str">
        <f t="shared" si="3"/>
        <v>未买</v>
      </c>
      <c r="R64" s="19">
        <v>62</v>
      </c>
    </row>
    <row r="65" spans="5:18" x14ac:dyDescent="0.15">
      <c r="E65" s="5"/>
      <c r="H65" s="19">
        <v>63</v>
      </c>
      <c r="I65">
        <v>113622</v>
      </c>
      <c r="J65" t="s">
        <v>1778</v>
      </c>
      <c r="K65">
        <v>131.751</v>
      </c>
      <c r="L65" s="57">
        <v>7.7499999999999999E-2</v>
      </c>
      <c r="M65">
        <v>139.501</v>
      </c>
      <c r="N65" s="20">
        <v>11.49968</v>
      </c>
      <c r="O65" s="5" t="str">
        <f t="shared" si="3"/>
        <v>未买</v>
      </c>
      <c r="R65" s="19">
        <v>63</v>
      </c>
    </row>
    <row r="66" spans="5:18" x14ac:dyDescent="0.15">
      <c r="E66" s="5"/>
      <c r="H66" s="19">
        <v>64</v>
      </c>
      <c r="I66">
        <v>123063</v>
      </c>
      <c r="J66" t="s">
        <v>89</v>
      </c>
      <c r="K66">
        <v>120.26600000000001</v>
      </c>
      <c r="L66" s="57">
        <v>0.19760000000000003</v>
      </c>
      <c r="M66">
        <v>140.02600000000001</v>
      </c>
      <c r="N66" s="20">
        <v>6.3456169999999998</v>
      </c>
      <c r="O66" s="5" t="str">
        <f t="shared" si="3"/>
        <v>未买</v>
      </c>
      <c r="R66" s="19">
        <v>64</v>
      </c>
    </row>
    <row r="67" spans="5:18" x14ac:dyDescent="0.15">
      <c r="E67" s="5"/>
      <c r="H67" s="19">
        <v>65</v>
      </c>
      <c r="I67">
        <v>113532</v>
      </c>
      <c r="J67" t="s">
        <v>179</v>
      </c>
      <c r="K67">
        <v>113.123</v>
      </c>
      <c r="L67" s="57">
        <v>0.27</v>
      </c>
      <c r="M67">
        <v>140.12299999999999</v>
      </c>
      <c r="N67" s="20">
        <v>4.5854699999999999</v>
      </c>
      <c r="O67" s="5" t="str">
        <f t="shared" si="3"/>
        <v>未买</v>
      </c>
      <c r="R67" s="19">
        <v>65</v>
      </c>
    </row>
    <row r="68" spans="5:18" x14ac:dyDescent="0.15">
      <c r="E68" s="5"/>
      <c r="H68" s="19">
        <v>66</v>
      </c>
      <c r="I68">
        <v>123162</v>
      </c>
      <c r="J68" t="s">
        <v>2044</v>
      </c>
      <c r="K68">
        <v>125.876</v>
      </c>
      <c r="L68" s="57">
        <v>0.1426</v>
      </c>
      <c r="M68">
        <v>140.136</v>
      </c>
      <c r="N68" s="20">
        <v>5.7</v>
      </c>
      <c r="O68" s="5" t="str">
        <f t="shared" ref="O68:O131" si="8">IF(ISNA(MATCH(I68,$A$3:$A$1000,0)),"未买","Yes")</f>
        <v>未买</v>
      </c>
      <c r="R68" s="19">
        <v>66</v>
      </c>
    </row>
    <row r="69" spans="5:18" x14ac:dyDescent="0.15">
      <c r="E69" s="5"/>
      <c r="H69" s="19">
        <v>67</v>
      </c>
      <c r="I69">
        <v>113609</v>
      </c>
      <c r="J69" t="s">
        <v>81</v>
      </c>
      <c r="K69">
        <v>111.953</v>
      </c>
      <c r="L69" s="57">
        <v>0.28670000000000001</v>
      </c>
      <c r="M69">
        <v>140.62299999999999</v>
      </c>
      <c r="N69" s="20">
        <v>7.3417399999999997</v>
      </c>
      <c r="O69" s="5" t="str">
        <f t="shared" si="8"/>
        <v>未买</v>
      </c>
      <c r="R69" s="19">
        <v>67</v>
      </c>
    </row>
    <row r="70" spans="5:18" x14ac:dyDescent="0.15">
      <c r="E70" s="5"/>
      <c r="H70" s="19">
        <v>68</v>
      </c>
      <c r="I70">
        <v>113647</v>
      </c>
      <c r="J70" t="s">
        <v>1740</v>
      </c>
      <c r="K70">
        <v>137.15299999999999</v>
      </c>
      <c r="L70" s="57">
        <v>3.85E-2</v>
      </c>
      <c r="M70">
        <v>141.00299999999999</v>
      </c>
      <c r="N70" s="20">
        <v>14.998699999999999</v>
      </c>
      <c r="O70" s="5" t="str">
        <f t="shared" si="8"/>
        <v>未买</v>
      </c>
      <c r="R70" s="19">
        <v>68</v>
      </c>
    </row>
    <row r="71" spans="5:18" x14ac:dyDescent="0.15">
      <c r="E71" s="5"/>
      <c r="H71" s="19">
        <v>69</v>
      </c>
      <c r="I71">
        <v>127035</v>
      </c>
      <c r="J71" t="s">
        <v>203</v>
      </c>
      <c r="K71">
        <v>120</v>
      </c>
      <c r="L71" s="57">
        <v>0.21100000000000002</v>
      </c>
      <c r="M71">
        <v>141.1</v>
      </c>
      <c r="N71" s="20">
        <v>6.2618489999999998</v>
      </c>
      <c r="O71" s="5" t="str">
        <f t="shared" si="8"/>
        <v>未买</v>
      </c>
      <c r="R71" s="19">
        <v>69</v>
      </c>
    </row>
    <row r="72" spans="5:18" x14ac:dyDescent="0.15">
      <c r="E72" s="5"/>
      <c r="H72" s="19">
        <v>70</v>
      </c>
      <c r="I72">
        <v>123089</v>
      </c>
      <c r="J72" t="s">
        <v>758</v>
      </c>
      <c r="K72">
        <v>129.55000000000001</v>
      </c>
      <c r="L72" s="57">
        <v>0.11689999999999999</v>
      </c>
      <c r="M72">
        <v>141.24</v>
      </c>
      <c r="N72" s="20">
        <v>3.0623369999999999</v>
      </c>
      <c r="O72" s="5" t="str">
        <f t="shared" si="8"/>
        <v>未买</v>
      </c>
      <c r="R72" s="19">
        <v>70</v>
      </c>
    </row>
    <row r="73" spans="5:18" x14ac:dyDescent="0.15">
      <c r="E73" s="5"/>
      <c r="H73" s="19">
        <v>71</v>
      </c>
      <c r="I73">
        <v>127005</v>
      </c>
      <c r="J73" t="s">
        <v>1745</v>
      </c>
      <c r="K73">
        <v>108.899</v>
      </c>
      <c r="L73" s="57">
        <v>0.32350000000000001</v>
      </c>
      <c r="M73">
        <v>141.249</v>
      </c>
      <c r="N73" s="20">
        <v>49.964174999999997</v>
      </c>
      <c r="O73" s="5" t="str">
        <f t="shared" si="8"/>
        <v>未买</v>
      </c>
      <c r="R73" s="19">
        <v>71</v>
      </c>
    </row>
    <row r="74" spans="5:18" x14ac:dyDescent="0.15">
      <c r="E74" s="5"/>
      <c r="H74" s="19">
        <v>72</v>
      </c>
      <c r="I74">
        <v>127060</v>
      </c>
      <c r="J74" t="s">
        <v>1878</v>
      </c>
      <c r="K74">
        <v>121.965</v>
      </c>
      <c r="L74" s="57">
        <v>0.19329999999999997</v>
      </c>
      <c r="M74">
        <v>141.29500000000002</v>
      </c>
      <c r="N74" s="20">
        <v>6.3996930000000001</v>
      </c>
      <c r="O74" s="5" t="str">
        <f t="shared" si="8"/>
        <v>未买</v>
      </c>
      <c r="R74" s="19">
        <v>72</v>
      </c>
    </row>
    <row r="75" spans="5:18" x14ac:dyDescent="0.15">
      <c r="E75" s="5"/>
      <c r="H75" s="19">
        <v>73</v>
      </c>
      <c r="I75">
        <v>123110</v>
      </c>
      <c r="J75" t="s">
        <v>2029</v>
      </c>
      <c r="K75">
        <v>141.72</v>
      </c>
      <c r="L75" s="57">
        <v>-3.7000000000000002E-3</v>
      </c>
      <c r="M75">
        <v>141.35</v>
      </c>
      <c r="N75" s="20">
        <v>0.560025</v>
      </c>
      <c r="O75" s="5" t="str">
        <f t="shared" si="8"/>
        <v>未买</v>
      </c>
      <c r="R75" s="19">
        <v>73</v>
      </c>
    </row>
    <row r="76" spans="5:18" x14ac:dyDescent="0.15">
      <c r="E76" s="5"/>
      <c r="H76" s="19">
        <v>74</v>
      </c>
      <c r="I76">
        <v>113013</v>
      </c>
      <c r="J76" t="s">
        <v>1742</v>
      </c>
      <c r="K76">
        <v>105.586</v>
      </c>
      <c r="L76" s="57">
        <v>0.35850000000000004</v>
      </c>
      <c r="M76">
        <v>141.43600000000001</v>
      </c>
      <c r="N76" s="20">
        <v>69.901709999999994</v>
      </c>
      <c r="O76" s="5" t="str">
        <f t="shared" si="8"/>
        <v>未买</v>
      </c>
      <c r="R76" s="19">
        <v>74</v>
      </c>
    </row>
    <row r="77" spans="5:18" x14ac:dyDescent="0.15">
      <c r="E77" s="5"/>
      <c r="H77" s="19">
        <v>75</v>
      </c>
      <c r="I77">
        <v>128133</v>
      </c>
      <c r="J77" t="s">
        <v>201</v>
      </c>
      <c r="K77">
        <v>125.78</v>
      </c>
      <c r="L77" s="57">
        <v>0.1578</v>
      </c>
      <c r="M77">
        <v>141.56</v>
      </c>
      <c r="N77" s="20">
        <v>7.9940480000000003</v>
      </c>
      <c r="O77" s="5" t="str">
        <f t="shared" si="8"/>
        <v>未买</v>
      </c>
      <c r="R77" s="19">
        <v>75</v>
      </c>
    </row>
    <row r="78" spans="5:18" x14ac:dyDescent="0.15">
      <c r="E78" s="5"/>
      <c r="H78" s="19">
        <v>76</v>
      </c>
      <c r="I78">
        <v>127039</v>
      </c>
      <c r="J78" t="s">
        <v>1714</v>
      </c>
      <c r="K78">
        <v>115.9</v>
      </c>
      <c r="L78" s="57">
        <v>0.25750000000000001</v>
      </c>
      <c r="M78">
        <v>141.65</v>
      </c>
      <c r="N78" s="20">
        <v>17.630973999999998</v>
      </c>
      <c r="O78" s="5" t="str">
        <f t="shared" si="8"/>
        <v>未买</v>
      </c>
      <c r="R78" s="19">
        <v>76</v>
      </c>
    </row>
    <row r="79" spans="5:18" x14ac:dyDescent="0.15">
      <c r="E79" s="5"/>
      <c r="H79" s="19">
        <v>77</v>
      </c>
      <c r="I79">
        <v>128049</v>
      </c>
      <c r="J79" t="s">
        <v>182</v>
      </c>
      <c r="K79">
        <v>114.908</v>
      </c>
      <c r="L79" s="57">
        <v>0.26769999999999999</v>
      </c>
      <c r="M79">
        <v>141.678</v>
      </c>
      <c r="N79" s="20">
        <v>3.6314389999999999</v>
      </c>
      <c r="O79" s="5" t="str">
        <f t="shared" si="8"/>
        <v>未买</v>
      </c>
      <c r="R79" s="19">
        <v>77</v>
      </c>
    </row>
    <row r="80" spans="5:18" x14ac:dyDescent="0.15">
      <c r="E80" s="5"/>
      <c r="H80" s="19">
        <v>78</v>
      </c>
      <c r="I80">
        <v>123080</v>
      </c>
      <c r="J80" t="s">
        <v>2039</v>
      </c>
      <c r="K80">
        <v>134.291</v>
      </c>
      <c r="L80" s="57">
        <v>7.5300000000000006E-2</v>
      </c>
      <c r="M80">
        <v>141.821</v>
      </c>
      <c r="N80" s="20">
        <v>1.971244</v>
      </c>
      <c r="O80" s="5" t="str">
        <f t="shared" si="8"/>
        <v>未买</v>
      </c>
      <c r="R80" s="19">
        <v>78</v>
      </c>
    </row>
    <row r="81" spans="5:18" x14ac:dyDescent="0.15">
      <c r="E81" s="5"/>
      <c r="H81" s="19">
        <v>79</v>
      </c>
      <c r="I81">
        <v>113545</v>
      </c>
      <c r="J81" t="s">
        <v>83</v>
      </c>
      <c r="K81">
        <v>117.88500000000001</v>
      </c>
      <c r="L81" s="57">
        <v>0.2404</v>
      </c>
      <c r="M81">
        <v>141.92500000000001</v>
      </c>
      <c r="N81" s="20">
        <v>9.8652700000000006</v>
      </c>
      <c r="O81" s="5" t="str">
        <f t="shared" si="8"/>
        <v>未买</v>
      </c>
      <c r="R81" s="19">
        <v>79</v>
      </c>
    </row>
    <row r="82" spans="5:18" x14ac:dyDescent="0.15">
      <c r="E82" s="5"/>
      <c r="H82" s="19">
        <v>80</v>
      </c>
      <c r="I82">
        <v>127063</v>
      </c>
      <c r="J82" t="s">
        <v>1874</v>
      </c>
      <c r="K82">
        <v>121.679</v>
      </c>
      <c r="L82" s="57">
        <v>0.20370000000000002</v>
      </c>
      <c r="M82">
        <v>142.04900000000001</v>
      </c>
      <c r="N82" s="20">
        <v>17.99944</v>
      </c>
      <c r="O82" s="5" t="str">
        <f t="shared" si="8"/>
        <v>未买</v>
      </c>
      <c r="R82" s="19">
        <v>80</v>
      </c>
    </row>
    <row r="83" spans="5:18" x14ac:dyDescent="0.15">
      <c r="E83" s="5"/>
      <c r="H83" s="19">
        <v>81</v>
      </c>
      <c r="I83">
        <v>113549</v>
      </c>
      <c r="J83" t="s">
        <v>96</v>
      </c>
      <c r="K83">
        <v>114.996</v>
      </c>
      <c r="L83" s="57">
        <v>0.27110000000000001</v>
      </c>
      <c r="M83">
        <v>142.10599999999999</v>
      </c>
      <c r="N83" s="20">
        <v>8.0468299999999999</v>
      </c>
      <c r="O83" s="5" t="str">
        <f t="shared" si="8"/>
        <v>未买</v>
      </c>
      <c r="R83" s="19">
        <v>81</v>
      </c>
    </row>
    <row r="84" spans="5:18" x14ac:dyDescent="0.15">
      <c r="E84" s="5"/>
      <c r="H84" s="19">
        <v>82</v>
      </c>
      <c r="I84">
        <v>110060</v>
      </c>
      <c r="J84" t="s">
        <v>191</v>
      </c>
      <c r="K84">
        <v>113.506</v>
      </c>
      <c r="L84" s="57">
        <v>0.28970000000000001</v>
      </c>
      <c r="M84">
        <v>142.476</v>
      </c>
      <c r="N84" s="20">
        <v>7.0625099999999996</v>
      </c>
      <c r="O84" s="5" t="str">
        <f t="shared" si="8"/>
        <v>未买</v>
      </c>
      <c r="R84" s="19">
        <v>82</v>
      </c>
    </row>
    <row r="85" spans="5:18" x14ac:dyDescent="0.15">
      <c r="E85" s="5"/>
      <c r="H85" s="19">
        <v>83</v>
      </c>
      <c r="I85">
        <v>118016</v>
      </c>
      <c r="J85" t="s">
        <v>2054</v>
      </c>
      <c r="K85">
        <v>118.902</v>
      </c>
      <c r="L85" s="57">
        <v>0.2361</v>
      </c>
      <c r="M85">
        <v>142.512</v>
      </c>
      <c r="N85" s="20">
        <v>3.3250000000000002</v>
      </c>
      <c r="O85" s="5" t="str">
        <f t="shared" si="8"/>
        <v>未买</v>
      </c>
      <c r="R85" s="19">
        <v>83</v>
      </c>
    </row>
    <row r="86" spans="5:18" x14ac:dyDescent="0.15">
      <c r="E86" s="5"/>
      <c r="H86" s="19">
        <v>84</v>
      </c>
      <c r="I86">
        <v>113039</v>
      </c>
      <c r="J86" t="s">
        <v>45</v>
      </c>
      <c r="K86">
        <v>131.571</v>
      </c>
      <c r="L86" s="57">
        <v>0.1108</v>
      </c>
      <c r="M86">
        <v>142.65100000000001</v>
      </c>
      <c r="N86" s="20">
        <v>2.8824100000000001</v>
      </c>
      <c r="O86" s="5" t="str">
        <f t="shared" si="8"/>
        <v>未买</v>
      </c>
      <c r="R86" s="19">
        <v>84</v>
      </c>
    </row>
    <row r="87" spans="5:18" x14ac:dyDescent="0.15">
      <c r="E87" s="5"/>
      <c r="H87" s="19">
        <v>85</v>
      </c>
      <c r="I87">
        <v>128090</v>
      </c>
      <c r="J87" t="s">
        <v>113</v>
      </c>
      <c r="K87">
        <v>124.45</v>
      </c>
      <c r="L87" s="57">
        <v>0.183</v>
      </c>
      <c r="M87">
        <v>142.75</v>
      </c>
      <c r="N87" s="20">
        <v>3.0987399999999998</v>
      </c>
      <c r="O87" s="5" t="str">
        <f t="shared" si="8"/>
        <v>未买</v>
      </c>
      <c r="R87" s="19">
        <v>85</v>
      </c>
    </row>
    <row r="88" spans="5:18" x14ac:dyDescent="0.15">
      <c r="E88" s="5"/>
      <c r="H88" s="19">
        <v>86</v>
      </c>
      <c r="I88">
        <v>127042</v>
      </c>
      <c r="J88" t="s">
        <v>91</v>
      </c>
      <c r="K88">
        <v>110.21</v>
      </c>
      <c r="L88" s="57">
        <v>0.32579999999999998</v>
      </c>
      <c r="M88">
        <v>142.79</v>
      </c>
      <c r="N88" s="20">
        <v>7.4980960000000012</v>
      </c>
      <c r="O88" s="5" t="str">
        <f t="shared" si="8"/>
        <v>Yes</v>
      </c>
      <c r="R88" s="19">
        <v>86</v>
      </c>
    </row>
    <row r="89" spans="5:18" x14ac:dyDescent="0.15">
      <c r="E89" s="5"/>
      <c r="H89" s="19">
        <v>87</v>
      </c>
      <c r="I89">
        <v>128085</v>
      </c>
      <c r="J89" t="s">
        <v>1873</v>
      </c>
      <c r="K89">
        <v>113.631</v>
      </c>
      <c r="L89" s="57">
        <v>0.29160000000000003</v>
      </c>
      <c r="M89">
        <v>142.791</v>
      </c>
      <c r="N89" s="20">
        <v>3.3715570000000001</v>
      </c>
      <c r="O89" s="5" t="str">
        <f t="shared" si="8"/>
        <v>未买</v>
      </c>
      <c r="R89" s="19">
        <v>87</v>
      </c>
    </row>
    <row r="90" spans="5:18" x14ac:dyDescent="0.15">
      <c r="E90" s="5"/>
      <c r="H90" s="19">
        <v>88</v>
      </c>
      <c r="I90">
        <v>113567</v>
      </c>
      <c r="J90" t="s">
        <v>43</v>
      </c>
      <c r="K90">
        <v>134.41900000000001</v>
      </c>
      <c r="L90" s="57">
        <v>8.5000000000000006E-2</v>
      </c>
      <c r="M90">
        <v>142.91900000000001</v>
      </c>
      <c r="N90" s="20">
        <v>1.93404</v>
      </c>
      <c r="O90" s="5" t="str">
        <f t="shared" si="8"/>
        <v>未买</v>
      </c>
      <c r="R90" s="19">
        <v>88</v>
      </c>
    </row>
    <row r="91" spans="5:18" x14ac:dyDescent="0.15">
      <c r="E91" s="5"/>
      <c r="H91" s="19">
        <v>89</v>
      </c>
      <c r="I91">
        <v>123129</v>
      </c>
      <c r="J91" t="s">
        <v>217</v>
      </c>
      <c r="K91">
        <v>111.82</v>
      </c>
      <c r="L91" s="57">
        <v>0.31440000000000001</v>
      </c>
      <c r="M91">
        <v>143.26</v>
      </c>
      <c r="N91" s="20">
        <v>5.9998779999999998</v>
      </c>
      <c r="O91" s="5" t="str">
        <f t="shared" si="8"/>
        <v>未买</v>
      </c>
      <c r="R91" s="19">
        <v>89</v>
      </c>
    </row>
    <row r="92" spans="5:18" x14ac:dyDescent="0.15">
      <c r="E92" s="5"/>
      <c r="H92" s="19">
        <v>90</v>
      </c>
      <c r="I92">
        <v>128033</v>
      </c>
      <c r="J92" t="s">
        <v>68</v>
      </c>
      <c r="K92">
        <v>123.15</v>
      </c>
      <c r="L92" s="57">
        <v>0.2024</v>
      </c>
      <c r="M92">
        <v>143.39000000000001</v>
      </c>
      <c r="N92" s="20">
        <v>2.9722949999999999</v>
      </c>
      <c r="O92" s="5" t="str">
        <f t="shared" si="8"/>
        <v>未买</v>
      </c>
      <c r="R92" s="19">
        <v>90</v>
      </c>
    </row>
    <row r="93" spans="5:18" x14ac:dyDescent="0.15">
      <c r="E93" s="5"/>
      <c r="H93" s="19">
        <v>91</v>
      </c>
      <c r="I93">
        <v>123147</v>
      </c>
      <c r="J93" t="s">
        <v>1879</v>
      </c>
      <c r="K93">
        <v>123.47</v>
      </c>
      <c r="L93" s="57">
        <v>0.20069999999999999</v>
      </c>
      <c r="M93">
        <v>143.54</v>
      </c>
      <c r="N93" s="20">
        <v>5.7053700000000003</v>
      </c>
      <c r="O93" s="5" t="str">
        <f t="shared" si="8"/>
        <v>未买</v>
      </c>
      <c r="R93" s="19">
        <v>91</v>
      </c>
    </row>
    <row r="94" spans="5:18" x14ac:dyDescent="0.15">
      <c r="E94" s="5"/>
      <c r="H94" s="19">
        <v>92</v>
      </c>
      <c r="I94">
        <v>123141</v>
      </c>
      <c r="J94" t="s">
        <v>750</v>
      </c>
      <c r="K94">
        <v>123.35</v>
      </c>
      <c r="L94" s="57">
        <v>0.20219999999999999</v>
      </c>
      <c r="M94">
        <v>143.57</v>
      </c>
      <c r="N94" s="20">
        <v>3.2117559999999998</v>
      </c>
      <c r="O94" s="5" t="str">
        <f t="shared" si="8"/>
        <v>未买</v>
      </c>
      <c r="R94" s="19">
        <v>92</v>
      </c>
    </row>
    <row r="95" spans="5:18" x14ac:dyDescent="0.15">
      <c r="E95" s="5"/>
      <c r="H95" s="19">
        <v>93</v>
      </c>
      <c r="I95">
        <v>128021</v>
      </c>
      <c r="J95" t="s">
        <v>51</v>
      </c>
      <c r="K95">
        <v>124.4</v>
      </c>
      <c r="L95" s="57">
        <v>0.1956</v>
      </c>
      <c r="M95">
        <v>143.96</v>
      </c>
      <c r="N95" s="20">
        <v>2.6515119999999999</v>
      </c>
      <c r="O95" s="5" t="str">
        <f t="shared" si="8"/>
        <v>未买</v>
      </c>
      <c r="R95" s="19">
        <v>93</v>
      </c>
    </row>
    <row r="96" spans="5:18" x14ac:dyDescent="0.15">
      <c r="E96" s="5"/>
      <c r="H96" s="19">
        <v>94</v>
      </c>
      <c r="I96">
        <v>128145</v>
      </c>
      <c r="J96" t="s">
        <v>2045</v>
      </c>
      <c r="K96">
        <v>127.395</v>
      </c>
      <c r="L96" s="57">
        <v>0.16870000000000002</v>
      </c>
      <c r="M96">
        <v>144.26499999999999</v>
      </c>
      <c r="N96" s="20">
        <v>3.7669199999999998</v>
      </c>
      <c r="O96" s="5" t="str">
        <f t="shared" si="8"/>
        <v>未买</v>
      </c>
      <c r="R96" s="19">
        <v>94</v>
      </c>
    </row>
    <row r="97" spans="5:18" x14ac:dyDescent="0.15">
      <c r="E97" s="5"/>
      <c r="H97" s="19">
        <v>95</v>
      </c>
      <c r="I97">
        <v>113637</v>
      </c>
      <c r="J97" t="s">
        <v>243</v>
      </c>
      <c r="K97">
        <v>125.08199999999999</v>
      </c>
      <c r="L97" s="57">
        <v>0.19190000000000002</v>
      </c>
      <c r="M97">
        <v>144.27199999999999</v>
      </c>
      <c r="N97" s="20">
        <v>7.9979699999999996</v>
      </c>
      <c r="O97" s="5" t="str">
        <f t="shared" si="8"/>
        <v>未买</v>
      </c>
      <c r="R97" s="19">
        <v>95</v>
      </c>
    </row>
    <row r="98" spans="5:18" x14ac:dyDescent="0.15">
      <c r="E98" s="5"/>
      <c r="H98" s="19">
        <v>96</v>
      </c>
      <c r="I98">
        <v>113045</v>
      </c>
      <c r="J98" t="s">
        <v>1771</v>
      </c>
      <c r="K98">
        <v>116.851</v>
      </c>
      <c r="L98" s="57">
        <v>0.27710000000000001</v>
      </c>
      <c r="M98">
        <v>144.56100000000001</v>
      </c>
      <c r="N98" s="20">
        <v>34.499319999999997</v>
      </c>
      <c r="O98" s="5" t="str">
        <f t="shared" si="8"/>
        <v>未买</v>
      </c>
      <c r="R98" s="19">
        <v>96</v>
      </c>
    </row>
    <row r="99" spans="5:18" x14ac:dyDescent="0.15">
      <c r="E99" s="5"/>
      <c r="H99" s="19">
        <v>97</v>
      </c>
      <c r="I99">
        <v>113632</v>
      </c>
      <c r="J99" t="s">
        <v>1790</v>
      </c>
      <c r="K99">
        <v>124.015</v>
      </c>
      <c r="L99" s="57">
        <v>0.20649999999999999</v>
      </c>
      <c r="M99">
        <v>144.66499999999999</v>
      </c>
      <c r="N99" s="20">
        <v>20.499179999999999</v>
      </c>
      <c r="O99" s="5" t="str">
        <f t="shared" si="8"/>
        <v>未买</v>
      </c>
      <c r="R99" s="19">
        <v>97</v>
      </c>
    </row>
    <row r="100" spans="5:18" x14ac:dyDescent="0.15">
      <c r="E100" s="5"/>
      <c r="H100" s="19">
        <v>98</v>
      </c>
      <c r="I100">
        <v>128121</v>
      </c>
      <c r="J100" t="s">
        <v>47</v>
      </c>
      <c r="K100">
        <v>123.6</v>
      </c>
      <c r="L100" s="57">
        <v>0.21179999999999999</v>
      </c>
      <c r="M100">
        <v>144.78</v>
      </c>
      <c r="N100" s="20">
        <v>6.6985720000000004</v>
      </c>
      <c r="O100" s="5" t="str">
        <f t="shared" si="8"/>
        <v>未买</v>
      </c>
      <c r="R100" s="19">
        <v>98</v>
      </c>
    </row>
    <row r="101" spans="5:18" x14ac:dyDescent="0.15">
      <c r="E101" s="5"/>
      <c r="H101" s="19">
        <v>99</v>
      </c>
      <c r="I101">
        <v>113060</v>
      </c>
      <c r="J101" t="s">
        <v>1897</v>
      </c>
      <c r="K101">
        <v>124.898</v>
      </c>
      <c r="L101" s="57">
        <v>0.19899999999999998</v>
      </c>
      <c r="M101">
        <v>144.798</v>
      </c>
      <c r="N101" s="20">
        <v>70</v>
      </c>
      <c r="O101" s="5" t="str">
        <f t="shared" si="8"/>
        <v>未买</v>
      </c>
      <c r="R101" s="19">
        <v>99</v>
      </c>
    </row>
    <row r="102" spans="5:18" x14ac:dyDescent="0.15">
      <c r="E102" s="5"/>
      <c r="H102" s="19">
        <v>100</v>
      </c>
      <c r="I102">
        <v>111004</v>
      </c>
      <c r="J102" t="s">
        <v>776</v>
      </c>
      <c r="K102">
        <v>132.72399999999999</v>
      </c>
      <c r="L102" s="57">
        <v>0.12210000000000001</v>
      </c>
      <c r="M102">
        <v>144.934</v>
      </c>
      <c r="N102" s="20">
        <v>6.72966</v>
      </c>
      <c r="O102" s="5" t="str">
        <f t="shared" si="8"/>
        <v>未买</v>
      </c>
      <c r="R102" s="19">
        <v>100</v>
      </c>
    </row>
    <row r="103" spans="5:18" x14ac:dyDescent="0.15">
      <c r="E103" s="5"/>
      <c r="H103" s="19">
        <v>101</v>
      </c>
      <c r="I103">
        <v>123133</v>
      </c>
      <c r="J103" t="s">
        <v>248</v>
      </c>
      <c r="K103">
        <v>122.827</v>
      </c>
      <c r="L103" s="57">
        <v>0.22140000000000001</v>
      </c>
      <c r="M103">
        <v>144.96699999999998</v>
      </c>
      <c r="N103" s="20">
        <v>7.1984700000000004</v>
      </c>
      <c r="O103" s="5" t="str">
        <f t="shared" si="8"/>
        <v>未买</v>
      </c>
      <c r="R103" s="19">
        <v>101</v>
      </c>
    </row>
    <row r="104" spans="5:18" x14ac:dyDescent="0.15">
      <c r="E104" s="5"/>
      <c r="H104" s="19">
        <v>102</v>
      </c>
      <c r="I104">
        <v>113051</v>
      </c>
      <c r="J104" t="s">
        <v>1868</v>
      </c>
      <c r="K104">
        <v>128.73599999999999</v>
      </c>
      <c r="L104" s="57">
        <v>0.16239999999999999</v>
      </c>
      <c r="M104">
        <v>144.976</v>
      </c>
      <c r="N104" s="20">
        <v>29.988759999999999</v>
      </c>
      <c r="O104" s="5" t="str">
        <f t="shared" si="8"/>
        <v>未买</v>
      </c>
      <c r="R104" s="19">
        <v>102</v>
      </c>
    </row>
    <row r="105" spans="5:18" x14ac:dyDescent="0.15">
      <c r="E105" s="5"/>
      <c r="H105" s="19">
        <v>103</v>
      </c>
      <c r="I105">
        <v>110067</v>
      </c>
      <c r="J105" t="s">
        <v>1762</v>
      </c>
      <c r="K105">
        <v>110.301</v>
      </c>
      <c r="L105" s="57">
        <v>0.34740000000000004</v>
      </c>
      <c r="M105">
        <v>145.041</v>
      </c>
      <c r="N105" s="20">
        <v>27.994990000000001</v>
      </c>
      <c r="O105" s="5" t="str">
        <f t="shared" si="8"/>
        <v>未买</v>
      </c>
      <c r="R105" s="19">
        <v>103</v>
      </c>
    </row>
    <row r="106" spans="5:18" x14ac:dyDescent="0.15">
      <c r="E106" s="5"/>
      <c r="H106" s="19">
        <v>104</v>
      </c>
      <c r="I106">
        <v>127034</v>
      </c>
      <c r="J106" t="s">
        <v>181</v>
      </c>
      <c r="K106">
        <v>104.07</v>
      </c>
      <c r="L106" s="57">
        <v>0.41110000000000002</v>
      </c>
      <c r="M106">
        <v>145.18</v>
      </c>
      <c r="N106" s="20">
        <v>7.1176969999999997</v>
      </c>
      <c r="O106" s="5" t="str">
        <f t="shared" si="8"/>
        <v>未买</v>
      </c>
      <c r="R106" s="19">
        <v>104</v>
      </c>
    </row>
    <row r="107" spans="5:18" x14ac:dyDescent="0.15">
      <c r="E107" s="5"/>
      <c r="H107" s="19">
        <v>105</v>
      </c>
      <c r="I107">
        <v>128042</v>
      </c>
      <c r="J107" t="s">
        <v>184</v>
      </c>
      <c r="K107">
        <v>121.999</v>
      </c>
      <c r="L107" s="57">
        <v>0.2334</v>
      </c>
      <c r="M107">
        <v>145.339</v>
      </c>
      <c r="N107" s="20">
        <v>4.1542519999999996</v>
      </c>
      <c r="O107" s="5" t="str">
        <f t="shared" si="8"/>
        <v>未买</v>
      </c>
      <c r="R107" s="19">
        <v>105</v>
      </c>
    </row>
    <row r="108" spans="5:18" x14ac:dyDescent="0.15">
      <c r="E108" s="5"/>
      <c r="H108" s="19">
        <v>106</v>
      </c>
      <c r="I108">
        <v>127019</v>
      </c>
      <c r="J108" t="s">
        <v>156</v>
      </c>
      <c r="K108">
        <v>114.12</v>
      </c>
      <c r="L108" s="57">
        <v>0.31309999999999999</v>
      </c>
      <c r="M108">
        <v>145.43</v>
      </c>
      <c r="N108" s="20">
        <v>8.4977260000000001</v>
      </c>
      <c r="O108" s="5" t="str">
        <f t="shared" si="8"/>
        <v>未买</v>
      </c>
      <c r="R108" s="19">
        <v>106</v>
      </c>
    </row>
    <row r="109" spans="5:18" x14ac:dyDescent="0.15">
      <c r="E109" s="5"/>
      <c r="H109" s="19">
        <v>107</v>
      </c>
      <c r="I109">
        <v>123112</v>
      </c>
      <c r="J109" t="s">
        <v>117</v>
      </c>
      <c r="K109">
        <v>133.80000000000001</v>
      </c>
      <c r="L109" s="57">
        <v>0.11779999999999999</v>
      </c>
      <c r="M109">
        <v>145.58000000000001</v>
      </c>
      <c r="N109" s="20">
        <v>2.45248</v>
      </c>
      <c r="O109" s="5" t="str">
        <f t="shared" si="8"/>
        <v>未买</v>
      </c>
      <c r="R109" s="19">
        <v>107</v>
      </c>
    </row>
    <row r="110" spans="5:18" x14ac:dyDescent="0.15">
      <c r="E110" s="5"/>
      <c r="H110" s="19">
        <v>108</v>
      </c>
      <c r="I110">
        <v>113024</v>
      </c>
      <c r="J110" t="s">
        <v>1736</v>
      </c>
      <c r="K110">
        <v>109.613</v>
      </c>
      <c r="L110" s="57">
        <v>0.36030000000000001</v>
      </c>
      <c r="M110">
        <v>145.643</v>
      </c>
      <c r="N110" s="20">
        <v>29.953769999999999</v>
      </c>
      <c r="O110" s="5" t="str">
        <f t="shared" si="8"/>
        <v>未买</v>
      </c>
      <c r="R110" s="19">
        <v>108</v>
      </c>
    </row>
    <row r="111" spans="5:18" x14ac:dyDescent="0.15">
      <c r="E111" s="5"/>
      <c r="H111" s="19">
        <v>109</v>
      </c>
      <c r="I111">
        <v>128129</v>
      </c>
      <c r="J111" t="s">
        <v>1741</v>
      </c>
      <c r="K111">
        <v>100.35</v>
      </c>
      <c r="L111" s="57">
        <v>0.45520000000000005</v>
      </c>
      <c r="M111">
        <v>145.87</v>
      </c>
      <c r="N111" s="20">
        <v>49.997380999999997</v>
      </c>
      <c r="O111" s="5" t="str">
        <f t="shared" si="8"/>
        <v>未买</v>
      </c>
      <c r="R111" s="19">
        <v>109</v>
      </c>
    </row>
    <row r="112" spans="5:18" x14ac:dyDescent="0.15">
      <c r="E112" s="5"/>
      <c r="H112" s="19">
        <v>110</v>
      </c>
      <c r="I112">
        <v>123119</v>
      </c>
      <c r="J112" t="s">
        <v>1785</v>
      </c>
      <c r="K112">
        <v>130.31299999999999</v>
      </c>
      <c r="L112" s="57">
        <v>0.15609999999999999</v>
      </c>
      <c r="M112">
        <v>145.923</v>
      </c>
      <c r="N112" s="20">
        <v>19.993981999999999</v>
      </c>
      <c r="O112" s="5" t="str">
        <f t="shared" si="8"/>
        <v>未买</v>
      </c>
      <c r="R112" s="19">
        <v>110</v>
      </c>
    </row>
    <row r="113" spans="5:18" x14ac:dyDescent="0.15">
      <c r="E113" s="5"/>
      <c r="H113" s="19">
        <v>111</v>
      </c>
      <c r="I113">
        <v>123105</v>
      </c>
      <c r="J113" t="s">
        <v>1889</v>
      </c>
      <c r="K113">
        <v>142</v>
      </c>
      <c r="L113" s="57">
        <v>4.0099999999999997E-2</v>
      </c>
      <c r="M113">
        <v>146.01</v>
      </c>
      <c r="N113" s="20">
        <v>7.9967379999999997</v>
      </c>
      <c r="O113" s="5" t="str">
        <f t="shared" si="8"/>
        <v>未买</v>
      </c>
      <c r="R113" s="19">
        <v>111</v>
      </c>
    </row>
    <row r="114" spans="5:18" x14ac:dyDescent="0.15">
      <c r="E114" s="5"/>
      <c r="H114" s="19">
        <v>112</v>
      </c>
      <c r="I114">
        <v>127050</v>
      </c>
      <c r="J114" t="s">
        <v>1761</v>
      </c>
      <c r="K114">
        <v>126.65</v>
      </c>
      <c r="L114" s="57">
        <v>0.19640000000000002</v>
      </c>
      <c r="M114">
        <v>146.29000000000002</v>
      </c>
      <c r="N114" s="20">
        <v>21.988821999999999</v>
      </c>
      <c r="O114" s="5" t="str">
        <f t="shared" si="8"/>
        <v>未买</v>
      </c>
      <c r="R114" s="19">
        <v>112</v>
      </c>
    </row>
    <row r="115" spans="5:18" x14ac:dyDescent="0.15">
      <c r="E115" s="5"/>
      <c r="H115" s="19">
        <v>113</v>
      </c>
      <c r="I115">
        <v>111002</v>
      </c>
      <c r="J115" t="s">
        <v>219</v>
      </c>
      <c r="K115">
        <v>133.49299999999999</v>
      </c>
      <c r="L115" s="57">
        <v>0.12909999999999999</v>
      </c>
      <c r="M115">
        <v>146.40299999999999</v>
      </c>
      <c r="N115" s="20">
        <v>6.6996799999999999</v>
      </c>
      <c r="O115" s="5" t="str">
        <f t="shared" si="8"/>
        <v>未买</v>
      </c>
      <c r="R115" s="19">
        <v>113</v>
      </c>
    </row>
    <row r="116" spans="5:18" x14ac:dyDescent="0.15">
      <c r="E116" s="5"/>
      <c r="H116" s="19">
        <v>114</v>
      </c>
      <c r="I116">
        <v>118021</v>
      </c>
      <c r="J116" t="s">
        <v>2056</v>
      </c>
      <c r="K116">
        <v>127.18300000000001</v>
      </c>
      <c r="L116" s="57">
        <v>0.1948</v>
      </c>
      <c r="M116">
        <v>146.66300000000001</v>
      </c>
      <c r="N116" s="20">
        <v>4.8480999999999996</v>
      </c>
      <c r="O116" s="5" t="str">
        <f t="shared" si="8"/>
        <v>未买</v>
      </c>
      <c r="R116" s="19">
        <v>114</v>
      </c>
    </row>
    <row r="117" spans="5:18" x14ac:dyDescent="0.15">
      <c r="E117" s="5"/>
      <c r="H117" s="19">
        <v>115</v>
      </c>
      <c r="I117">
        <v>128078</v>
      </c>
      <c r="J117" t="s">
        <v>1916</v>
      </c>
      <c r="K117">
        <v>144.01</v>
      </c>
      <c r="L117" s="57">
        <v>2.6600000000000002E-2</v>
      </c>
      <c r="M117">
        <v>146.66999999999999</v>
      </c>
      <c r="N117" s="20">
        <v>6.9908239999999999</v>
      </c>
      <c r="O117" s="5" t="str">
        <f t="shared" si="8"/>
        <v>未买</v>
      </c>
      <c r="R117" s="19">
        <v>115</v>
      </c>
    </row>
    <row r="118" spans="5:18" x14ac:dyDescent="0.15">
      <c r="E118" s="5"/>
      <c r="H118" s="19">
        <v>116</v>
      </c>
      <c r="I118">
        <v>110074</v>
      </c>
      <c r="J118" t="s">
        <v>1854</v>
      </c>
      <c r="K118">
        <v>135.40100000000001</v>
      </c>
      <c r="L118" s="57">
        <v>0.1128</v>
      </c>
      <c r="M118">
        <v>146.68100000000001</v>
      </c>
      <c r="N118" s="20">
        <v>5.09537</v>
      </c>
      <c r="O118" s="5" t="str">
        <f t="shared" si="8"/>
        <v>未买</v>
      </c>
      <c r="R118" s="19">
        <v>116</v>
      </c>
    </row>
    <row r="119" spans="5:18" x14ac:dyDescent="0.15">
      <c r="E119" s="5"/>
      <c r="H119" s="19">
        <v>117</v>
      </c>
      <c r="I119">
        <v>118022</v>
      </c>
      <c r="J119" t="s">
        <v>2053</v>
      </c>
      <c r="K119">
        <v>123.19</v>
      </c>
      <c r="L119" s="57">
        <v>0.2359</v>
      </c>
      <c r="M119">
        <v>146.78</v>
      </c>
      <c r="N119" s="20">
        <v>32.5</v>
      </c>
      <c r="O119" s="5" t="str">
        <f t="shared" si="8"/>
        <v>未买</v>
      </c>
      <c r="R119" s="19">
        <v>117</v>
      </c>
    </row>
    <row r="120" spans="5:18" x14ac:dyDescent="0.15">
      <c r="E120" s="5"/>
      <c r="H120" s="19">
        <v>118</v>
      </c>
      <c r="I120">
        <v>127043</v>
      </c>
      <c r="J120" t="s">
        <v>1850</v>
      </c>
      <c r="K120">
        <v>129</v>
      </c>
      <c r="L120" s="57">
        <v>0.1784</v>
      </c>
      <c r="M120">
        <v>146.84</v>
      </c>
      <c r="N120" s="20">
        <v>10.445142000000001</v>
      </c>
      <c r="O120" s="5" t="str">
        <f t="shared" si="8"/>
        <v>未买</v>
      </c>
      <c r="R120" s="19">
        <v>118</v>
      </c>
    </row>
    <row r="121" spans="5:18" x14ac:dyDescent="0.15">
      <c r="E121" s="5"/>
      <c r="H121" s="19">
        <v>119</v>
      </c>
      <c r="I121">
        <v>123150</v>
      </c>
      <c r="J121" t="s">
        <v>1900</v>
      </c>
      <c r="K121">
        <v>126.6</v>
      </c>
      <c r="L121" s="57">
        <v>0.20319999999999999</v>
      </c>
      <c r="M121">
        <v>146.91999999999999</v>
      </c>
      <c r="N121" s="20">
        <v>11.39</v>
      </c>
      <c r="O121" s="5" t="str">
        <f t="shared" si="8"/>
        <v>未买</v>
      </c>
      <c r="R121" s="19">
        <v>119</v>
      </c>
    </row>
    <row r="122" spans="5:18" x14ac:dyDescent="0.15">
      <c r="E122" s="5"/>
      <c r="H122" s="19">
        <v>120</v>
      </c>
      <c r="I122">
        <v>123044</v>
      </c>
      <c r="J122" t="s">
        <v>150</v>
      </c>
      <c r="K122">
        <v>121.25</v>
      </c>
      <c r="L122" s="57">
        <v>0.25700000000000001</v>
      </c>
      <c r="M122">
        <v>146.94999999999999</v>
      </c>
      <c r="N122" s="20">
        <v>5.4958799999999997</v>
      </c>
      <c r="O122" s="5" t="str">
        <f t="shared" si="8"/>
        <v>未买</v>
      </c>
      <c r="R122" s="19">
        <v>120</v>
      </c>
    </row>
    <row r="123" spans="5:18" x14ac:dyDescent="0.15">
      <c r="E123" s="5"/>
      <c r="H123" s="19">
        <v>121</v>
      </c>
      <c r="I123">
        <v>123130</v>
      </c>
      <c r="J123" t="s">
        <v>70</v>
      </c>
      <c r="K123">
        <v>124.018</v>
      </c>
      <c r="L123" s="57">
        <v>0.23219999999999999</v>
      </c>
      <c r="M123">
        <v>147.238</v>
      </c>
      <c r="N123" s="20">
        <v>3.7553939999999999</v>
      </c>
      <c r="O123" s="5" t="str">
        <f t="shared" si="8"/>
        <v>未买</v>
      </c>
      <c r="R123" s="19">
        <v>121</v>
      </c>
    </row>
    <row r="124" spans="5:18" x14ac:dyDescent="0.15">
      <c r="E124" s="5"/>
      <c r="H124" s="19">
        <v>122</v>
      </c>
      <c r="I124">
        <v>123156</v>
      </c>
      <c r="J124" t="s">
        <v>2047</v>
      </c>
      <c r="K124">
        <v>133.86500000000001</v>
      </c>
      <c r="L124" s="57">
        <v>0.13500000000000001</v>
      </c>
      <c r="M124">
        <v>147.36500000000001</v>
      </c>
      <c r="N124" s="20">
        <v>3.97</v>
      </c>
      <c r="O124" s="5" t="str">
        <f t="shared" si="8"/>
        <v>未买</v>
      </c>
      <c r="R124" s="19">
        <v>122</v>
      </c>
    </row>
    <row r="125" spans="5:18" x14ac:dyDescent="0.15">
      <c r="E125" s="5"/>
      <c r="H125" s="19">
        <v>123</v>
      </c>
      <c r="I125">
        <v>123082</v>
      </c>
      <c r="J125" t="s">
        <v>74</v>
      </c>
      <c r="K125">
        <v>114.51600000000001</v>
      </c>
      <c r="L125" s="57">
        <v>0.3342</v>
      </c>
      <c r="M125">
        <v>147.93600000000001</v>
      </c>
      <c r="N125" s="20">
        <v>4.9929649999999999</v>
      </c>
      <c r="O125" s="5" t="str">
        <f t="shared" si="8"/>
        <v>未买</v>
      </c>
      <c r="R125" s="19">
        <v>123</v>
      </c>
    </row>
    <row r="126" spans="5:18" x14ac:dyDescent="0.15">
      <c r="E126" s="5"/>
      <c r="H126" s="19">
        <v>124</v>
      </c>
      <c r="I126">
        <v>113505</v>
      </c>
      <c r="J126" t="s">
        <v>213</v>
      </c>
      <c r="K126">
        <v>112.7</v>
      </c>
      <c r="L126" s="57">
        <v>0.35439999999999999</v>
      </c>
      <c r="M126">
        <v>148.13999999999999</v>
      </c>
      <c r="N126" s="20">
        <v>7.4973799999999997</v>
      </c>
      <c r="O126" s="5" t="str">
        <f t="shared" si="8"/>
        <v>未买</v>
      </c>
      <c r="R126" s="19">
        <v>124</v>
      </c>
    </row>
    <row r="127" spans="5:18" x14ac:dyDescent="0.15">
      <c r="E127" s="5"/>
      <c r="H127" s="19">
        <v>125</v>
      </c>
      <c r="I127">
        <v>127007</v>
      </c>
      <c r="J127" t="s">
        <v>768</v>
      </c>
      <c r="K127">
        <v>138.98500000000001</v>
      </c>
      <c r="L127" s="57">
        <v>9.2300000000000007E-2</v>
      </c>
      <c r="M127">
        <v>148.215</v>
      </c>
      <c r="N127" s="20">
        <v>3.6851539999999998</v>
      </c>
      <c r="O127" s="5" t="str">
        <f t="shared" si="8"/>
        <v>未买</v>
      </c>
      <c r="R127" s="19">
        <v>125</v>
      </c>
    </row>
    <row r="128" spans="5:18" x14ac:dyDescent="0.15">
      <c r="E128" s="5"/>
      <c r="H128" s="19">
        <v>126</v>
      </c>
      <c r="I128">
        <v>123125</v>
      </c>
      <c r="J128" t="s">
        <v>200</v>
      </c>
      <c r="K128">
        <v>130.01300000000001</v>
      </c>
      <c r="L128" s="57">
        <v>0.18260000000000001</v>
      </c>
      <c r="M128">
        <v>148.273</v>
      </c>
      <c r="N128" s="20">
        <v>8.9983269999999997</v>
      </c>
      <c r="O128" s="5" t="str">
        <f t="shared" si="8"/>
        <v>未买</v>
      </c>
      <c r="R128" s="19">
        <v>126</v>
      </c>
    </row>
    <row r="129" spans="5:18" x14ac:dyDescent="0.15">
      <c r="E129" s="5"/>
      <c r="H129" s="19">
        <v>127</v>
      </c>
      <c r="I129">
        <v>113657</v>
      </c>
      <c r="J129" t="s">
        <v>2063</v>
      </c>
      <c r="K129">
        <v>119.005</v>
      </c>
      <c r="L129" s="57">
        <v>0.2928</v>
      </c>
      <c r="M129">
        <v>148.285</v>
      </c>
      <c r="N129" s="20">
        <v>5.0999999999999996</v>
      </c>
      <c r="O129" s="5" t="str">
        <f t="shared" si="8"/>
        <v>未买</v>
      </c>
      <c r="R129" s="19">
        <v>127</v>
      </c>
    </row>
    <row r="130" spans="5:18" x14ac:dyDescent="0.15">
      <c r="E130" s="5"/>
      <c r="H130" s="19">
        <v>128</v>
      </c>
      <c r="I130">
        <v>113048</v>
      </c>
      <c r="J130" t="s">
        <v>1728</v>
      </c>
      <c r="K130">
        <v>118.206</v>
      </c>
      <c r="L130" s="57">
        <v>0.3014</v>
      </c>
      <c r="M130">
        <v>148.346</v>
      </c>
      <c r="N130" s="20">
        <v>22.963419999999999</v>
      </c>
      <c r="O130" s="5" t="str">
        <f t="shared" si="8"/>
        <v>未买</v>
      </c>
      <c r="R130" s="19">
        <v>128</v>
      </c>
    </row>
    <row r="131" spans="5:18" x14ac:dyDescent="0.15">
      <c r="E131" s="5"/>
      <c r="H131" s="19">
        <v>129</v>
      </c>
      <c r="I131">
        <v>128144</v>
      </c>
      <c r="J131" t="s">
        <v>202</v>
      </c>
      <c r="K131">
        <v>118.39400000000001</v>
      </c>
      <c r="L131" s="57">
        <v>0.3</v>
      </c>
      <c r="M131">
        <v>148.39400000000001</v>
      </c>
      <c r="N131" s="20">
        <v>9.7941380000000002</v>
      </c>
      <c r="O131" s="5" t="str">
        <f t="shared" si="8"/>
        <v>未买</v>
      </c>
      <c r="R131" s="19">
        <v>129</v>
      </c>
    </row>
    <row r="132" spans="5:18" x14ac:dyDescent="0.15">
      <c r="E132" s="5"/>
      <c r="H132" s="19">
        <v>130</v>
      </c>
      <c r="I132">
        <v>110086</v>
      </c>
      <c r="J132" t="s">
        <v>1727</v>
      </c>
      <c r="K132">
        <v>115.80500000000001</v>
      </c>
      <c r="L132" s="57">
        <v>0.32650000000000001</v>
      </c>
      <c r="M132">
        <v>148.45500000000001</v>
      </c>
      <c r="N132" s="20">
        <v>19.999680000000001</v>
      </c>
      <c r="O132" s="5" t="str">
        <f t="shared" ref="O132:O195" si="9">IF(ISNA(MATCH(I132,$A$3:$A$1000,0)),"未买","Yes")</f>
        <v>未买</v>
      </c>
      <c r="R132" s="19">
        <v>130</v>
      </c>
    </row>
    <row r="133" spans="5:18" x14ac:dyDescent="0.15">
      <c r="E133" s="5"/>
      <c r="H133" s="19">
        <v>131</v>
      </c>
      <c r="I133">
        <v>113634</v>
      </c>
      <c r="J133" t="s">
        <v>222</v>
      </c>
      <c r="K133">
        <v>136.203</v>
      </c>
      <c r="L133" s="57">
        <v>0.12529999999999999</v>
      </c>
      <c r="M133">
        <v>148.733</v>
      </c>
      <c r="N133" s="20">
        <v>7.5093899999999998</v>
      </c>
      <c r="O133" s="5" t="str">
        <f t="shared" si="9"/>
        <v>未买</v>
      </c>
      <c r="R133" s="19">
        <v>131</v>
      </c>
    </row>
    <row r="134" spans="5:18" x14ac:dyDescent="0.15">
      <c r="E134" s="5"/>
      <c r="H134" s="19">
        <v>132</v>
      </c>
      <c r="I134">
        <v>123127</v>
      </c>
      <c r="J134" t="s">
        <v>106</v>
      </c>
      <c r="K134">
        <v>116.151</v>
      </c>
      <c r="L134" s="57">
        <v>0.3261</v>
      </c>
      <c r="M134">
        <v>148.761</v>
      </c>
      <c r="N134" s="20">
        <v>3.9994390000000002</v>
      </c>
      <c r="O134" s="5" t="str">
        <f t="shared" si="9"/>
        <v>未买</v>
      </c>
      <c r="R134" s="19">
        <v>132</v>
      </c>
    </row>
    <row r="135" spans="5:18" x14ac:dyDescent="0.15">
      <c r="E135" s="5"/>
      <c r="H135" s="19">
        <v>133</v>
      </c>
      <c r="I135">
        <v>123071</v>
      </c>
      <c r="J135" t="s">
        <v>2043</v>
      </c>
      <c r="K135">
        <v>134.631</v>
      </c>
      <c r="L135" s="57">
        <v>0.14429999999999998</v>
      </c>
      <c r="M135">
        <v>149.06100000000001</v>
      </c>
      <c r="N135" s="20">
        <v>6.9414309999999997</v>
      </c>
      <c r="O135" s="5" t="str">
        <f t="shared" si="9"/>
        <v>未买</v>
      </c>
      <c r="R135" s="19">
        <v>133</v>
      </c>
    </row>
    <row r="136" spans="5:18" x14ac:dyDescent="0.15">
      <c r="E136" s="5"/>
      <c r="H136" s="19">
        <v>134</v>
      </c>
      <c r="I136">
        <v>111000</v>
      </c>
      <c r="J136" t="s">
        <v>82</v>
      </c>
      <c r="K136">
        <v>141.09100000000001</v>
      </c>
      <c r="L136" s="57">
        <v>8.1099999999999992E-2</v>
      </c>
      <c r="M136">
        <v>149.20100000000002</v>
      </c>
      <c r="N136" s="20">
        <v>9.9930599999999998</v>
      </c>
      <c r="O136" s="5" t="str">
        <f t="shared" si="9"/>
        <v>未买</v>
      </c>
      <c r="R136" s="19">
        <v>134</v>
      </c>
    </row>
    <row r="137" spans="5:18" x14ac:dyDescent="0.15">
      <c r="E137" s="5"/>
      <c r="H137" s="19">
        <v>135</v>
      </c>
      <c r="I137">
        <v>118013</v>
      </c>
      <c r="J137" t="s">
        <v>1908</v>
      </c>
      <c r="K137">
        <v>135.21899999999999</v>
      </c>
      <c r="L137" s="57">
        <v>0.14099999999999999</v>
      </c>
      <c r="M137">
        <v>149.31899999999999</v>
      </c>
      <c r="N137" s="20">
        <v>12.8</v>
      </c>
      <c r="O137" s="5" t="str">
        <f t="shared" si="9"/>
        <v>未买</v>
      </c>
      <c r="R137" s="19">
        <v>135</v>
      </c>
    </row>
    <row r="138" spans="5:18" x14ac:dyDescent="0.15">
      <c r="E138" s="5"/>
      <c r="H138" s="19">
        <v>136</v>
      </c>
      <c r="I138">
        <v>113598</v>
      </c>
      <c r="J138" t="s">
        <v>2038</v>
      </c>
      <c r="K138">
        <v>139.53899999999999</v>
      </c>
      <c r="L138" s="57">
        <v>9.9600000000000008E-2</v>
      </c>
      <c r="M138">
        <v>149.499</v>
      </c>
      <c r="N138" s="20">
        <v>2.7525400000000002</v>
      </c>
      <c r="O138" s="5" t="str">
        <f t="shared" si="9"/>
        <v>未买</v>
      </c>
      <c r="R138" s="19">
        <v>136</v>
      </c>
    </row>
    <row r="139" spans="5:18" x14ac:dyDescent="0.15">
      <c r="E139" s="5"/>
      <c r="H139" s="19">
        <v>137</v>
      </c>
      <c r="I139">
        <v>113546</v>
      </c>
      <c r="J139" t="s">
        <v>85</v>
      </c>
      <c r="K139">
        <v>119.943</v>
      </c>
      <c r="L139" s="57">
        <v>0.29609999999999997</v>
      </c>
      <c r="M139">
        <v>149.553</v>
      </c>
      <c r="N139" s="20">
        <v>2.2963100000000001</v>
      </c>
      <c r="O139" s="5" t="str">
        <f t="shared" si="9"/>
        <v>未买</v>
      </c>
      <c r="R139" s="19">
        <v>137</v>
      </c>
    </row>
    <row r="140" spans="5:18" x14ac:dyDescent="0.15">
      <c r="E140" s="5"/>
      <c r="H140" s="19">
        <v>138</v>
      </c>
      <c r="I140">
        <v>127036</v>
      </c>
      <c r="J140" t="s">
        <v>2050</v>
      </c>
      <c r="K140">
        <v>127.5</v>
      </c>
      <c r="L140" s="57">
        <v>0.22109999999999999</v>
      </c>
      <c r="M140">
        <v>149.61000000000001</v>
      </c>
      <c r="N140" s="20">
        <v>29.984491999999999</v>
      </c>
      <c r="O140" s="5" t="str">
        <f t="shared" si="9"/>
        <v>未买</v>
      </c>
      <c r="R140" s="19">
        <v>138</v>
      </c>
    </row>
    <row r="141" spans="5:18" x14ac:dyDescent="0.15">
      <c r="E141" s="5"/>
      <c r="H141" s="19">
        <v>139</v>
      </c>
      <c r="I141">
        <v>128097</v>
      </c>
      <c r="J141" t="s">
        <v>103</v>
      </c>
      <c r="K141">
        <v>113.623</v>
      </c>
      <c r="L141" s="57">
        <v>0.36109999999999998</v>
      </c>
      <c r="M141">
        <v>149.733</v>
      </c>
      <c r="N141" s="20">
        <v>4.5853039999999998</v>
      </c>
      <c r="O141" s="5" t="str">
        <f t="shared" si="9"/>
        <v>未买</v>
      </c>
      <c r="R141" s="19">
        <v>139</v>
      </c>
    </row>
    <row r="142" spans="5:18" x14ac:dyDescent="0.15">
      <c r="E142" s="5"/>
      <c r="H142" s="19">
        <v>140</v>
      </c>
      <c r="I142">
        <v>110052</v>
      </c>
      <c r="J142" t="s">
        <v>2036</v>
      </c>
      <c r="K142">
        <v>145.54</v>
      </c>
      <c r="L142" s="57">
        <v>4.2900000000000001E-2</v>
      </c>
      <c r="M142">
        <v>149.82999999999998</v>
      </c>
      <c r="N142" s="20">
        <v>3.5804100000000001</v>
      </c>
      <c r="O142" s="5" t="str">
        <f t="shared" si="9"/>
        <v>未买</v>
      </c>
      <c r="R142" s="19">
        <v>140</v>
      </c>
    </row>
    <row r="143" spans="5:18" x14ac:dyDescent="0.15">
      <c r="E143" s="5"/>
      <c r="H143" s="19">
        <v>141</v>
      </c>
      <c r="I143">
        <v>127021</v>
      </c>
      <c r="J143" t="s">
        <v>196</v>
      </c>
      <c r="K143">
        <v>119.679</v>
      </c>
      <c r="L143" s="57">
        <v>0.30359999999999998</v>
      </c>
      <c r="M143">
        <v>150.03899999999999</v>
      </c>
      <c r="N143" s="20">
        <v>4.1592760000000002</v>
      </c>
      <c r="O143" s="5" t="str">
        <f t="shared" si="9"/>
        <v>未买</v>
      </c>
      <c r="R143" s="19">
        <v>141</v>
      </c>
    </row>
    <row r="144" spans="5:18" x14ac:dyDescent="0.15">
      <c r="E144" s="5"/>
      <c r="H144" s="19">
        <v>142</v>
      </c>
      <c r="I144">
        <v>110070</v>
      </c>
      <c r="J144" t="s">
        <v>87</v>
      </c>
      <c r="K144">
        <v>114.855</v>
      </c>
      <c r="L144" s="57">
        <v>0.35220000000000001</v>
      </c>
      <c r="M144">
        <v>150.07499999999999</v>
      </c>
      <c r="N144" s="20">
        <v>2.1705299999999998</v>
      </c>
      <c r="O144" s="5" t="str">
        <f t="shared" si="9"/>
        <v>Yes</v>
      </c>
      <c r="R144" s="19">
        <v>142</v>
      </c>
    </row>
    <row r="145" spans="5:18" x14ac:dyDescent="0.15">
      <c r="E145" s="5"/>
      <c r="H145" s="19">
        <v>143</v>
      </c>
      <c r="I145">
        <v>123077</v>
      </c>
      <c r="J145" t="s">
        <v>192</v>
      </c>
      <c r="K145">
        <v>121.179</v>
      </c>
      <c r="L145" s="57">
        <v>0.2893</v>
      </c>
      <c r="M145">
        <v>150.10900000000001</v>
      </c>
      <c r="N145" s="20">
        <v>9.3674339999999994</v>
      </c>
      <c r="O145" s="5" t="str">
        <f t="shared" si="9"/>
        <v>未买</v>
      </c>
      <c r="R145" s="19">
        <v>143</v>
      </c>
    </row>
    <row r="146" spans="5:18" x14ac:dyDescent="0.15">
      <c r="E146" s="5"/>
      <c r="H146" s="19">
        <v>144</v>
      </c>
      <c r="I146">
        <v>113588</v>
      </c>
      <c r="J146" t="s">
        <v>195</v>
      </c>
      <c r="K146">
        <v>116.90600000000001</v>
      </c>
      <c r="L146" s="57">
        <v>0.33299999999999996</v>
      </c>
      <c r="M146">
        <v>150.20600000000002</v>
      </c>
      <c r="N146" s="20">
        <v>5.4988000000000001</v>
      </c>
      <c r="O146" s="5" t="str">
        <f t="shared" si="9"/>
        <v>未买</v>
      </c>
      <c r="R146" s="19">
        <v>144</v>
      </c>
    </row>
    <row r="147" spans="5:18" x14ac:dyDescent="0.15">
      <c r="E147" s="5"/>
      <c r="H147" s="19">
        <v>145</v>
      </c>
      <c r="I147">
        <v>127069</v>
      </c>
      <c r="J147" t="s">
        <v>2040</v>
      </c>
      <c r="K147">
        <v>134.5</v>
      </c>
      <c r="L147" s="57">
        <v>0.1573</v>
      </c>
      <c r="M147">
        <v>150.22999999999999</v>
      </c>
      <c r="N147" s="20">
        <v>5.36</v>
      </c>
      <c r="O147" s="5" t="str">
        <f t="shared" si="9"/>
        <v>未买</v>
      </c>
      <c r="R147" s="19">
        <v>145</v>
      </c>
    </row>
    <row r="148" spans="5:18" x14ac:dyDescent="0.15">
      <c r="E148" s="5"/>
      <c r="H148" s="19">
        <v>146</v>
      </c>
      <c r="I148">
        <v>123098</v>
      </c>
      <c r="J148" t="s">
        <v>1898</v>
      </c>
      <c r="K148">
        <v>147.99199999999999</v>
      </c>
      <c r="L148" s="57">
        <v>2.4E-2</v>
      </c>
      <c r="M148">
        <v>150.392</v>
      </c>
      <c r="N148" s="20">
        <v>4.2358450000000003</v>
      </c>
      <c r="O148" s="5" t="str">
        <f t="shared" si="9"/>
        <v>未买</v>
      </c>
      <c r="R148" s="19">
        <v>146</v>
      </c>
    </row>
    <row r="149" spans="5:18" x14ac:dyDescent="0.15">
      <c r="E149" s="5"/>
      <c r="H149" s="19">
        <v>147</v>
      </c>
      <c r="I149">
        <v>110064</v>
      </c>
      <c r="J149" t="s">
        <v>1704</v>
      </c>
      <c r="K149">
        <v>112.693</v>
      </c>
      <c r="L149" s="57">
        <v>0.37869999999999998</v>
      </c>
      <c r="M149">
        <v>150.56299999999999</v>
      </c>
      <c r="N149" s="20">
        <v>12.64592</v>
      </c>
      <c r="O149" s="5" t="str">
        <f t="shared" si="9"/>
        <v>未买</v>
      </c>
      <c r="R149" s="19">
        <v>147</v>
      </c>
    </row>
    <row r="150" spans="5:18" x14ac:dyDescent="0.15">
      <c r="E150" s="5"/>
      <c r="H150" s="19">
        <v>148</v>
      </c>
      <c r="I150">
        <v>128128</v>
      </c>
      <c r="J150" t="s">
        <v>1848</v>
      </c>
      <c r="K150">
        <v>144.934</v>
      </c>
      <c r="L150" s="57">
        <v>5.7300000000000004E-2</v>
      </c>
      <c r="M150">
        <v>150.66399999999999</v>
      </c>
      <c r="N150" s="20">
        <v>6.7976359999999998</v>
      </c>
      <c r="O150" s="5" t="str">
        <f t="shared" si="9"/>
        <v>未买</v>
      </c>
      <c r="R150" s="19">
        <v>148</v>
      </c>
    </row>
    <row r="151" spans="5:18" x14ac:dyDescent="0.15">
      <c r="E151" s="5"/>
      <c r="H151" s="19">
        <v>149</v>
      </c>
      <c r="I151">
        <v>110075</v>
      </c>
      <c r="J151" t="s">
        <v>1721</v>
      </c>
      <c r="K151">
        <v>133.30099999999999</v>
      </c>
      <c r="L151" s="57">
        <v>0.1739</v>
      </c>
      <c r="M151">
        <v>150.69099999999997</v>
      </c>
      <c r="N151" s="20">
        <v>58.964179999999999</v>
      </c>
      <c r="O151" s="5" t="str">
        <f t="shared" si="9"/>
        <v>未买</v>
      </c>
      <c r="R151" s="19">
        <v>149</v>
      </c>
    </row>
    <row r="152" spans="5:18" x14ac:dyDescent="0.15">
      <c r="E152" s="5"/>
      <c r="H152" s="19">
        <v>150</v>
      </c>
      <c r="I152">
        <v>113628</v>
      </c>
      <c r="J152" t="s">
        <v>204</v>
      </c>
      <c r="K152">
        <v>110.783</v>
      </c>
      <c r="L152" s="57">
        <v>0.4</v>
      </c>
      <c r="M152">
        <v>150.78300000000002</v>
      </c>
      <c r="N152" s="20">
        <v>4.1497599999999997</v>
      </c>
      <c r="O152" s="5" t="str">
        <f t="shared" si="9"/>
        <v>未买</v>
      </c>
      <c r="R152" s="19">
        <v>150</v>
      </c>
    </row>
    <row r="153" spans="5:18" x14ac:dyDescent="0.15">
      <c r="E153" s="5"/>
      <c r="H153" s="19">
        <v>151</v>
      </c>
      <c r="I153">
        <v>113600</v>
      </c>
      <c r="J153" t="s">
        <v>245</v>
      </c>
      <c r="K153">
        <v>117.949</v>
      </c>
      <c r="L153" s="57">
        <v>0.32950000000000002</v>
      </c>
      <c r="M153">
        <v>150.899</v>
      </c>
      <c r="N153" s="20">
        <v>4.5303300000000002</v>
      </c>
      <c r="O153" s="5" t="str">
        <f t="shared" si="9"/>
        <v>未买</v>
      </c>
      <c r="R153" s="19">
        <v>151</v>
      </c>
    </row>
    <row r="154" spans="5:18" x14ac:dyDescent="0.15">
      <c r="E154" s="5"/>
      <c r="H154" s="19">
        <v>152</v>
      </c>
      <c r="I154">
        <v>123157</v>
      </c>
      <c r="J154" t="s">
        <v>2057</v>
      </c>
      <c r="K154">
        <v>122.937</v>
      </c>
      <c r="L154" s="57">
        <v>0.28059999999999996</v>
      </c>
      <c r="M154">
        <v>150.99699999999999</v>
      </c>
      <c r="N154" s="20">
        <v>4.9459999999999997</v>
      </c>
      <c r="O154" s="5" t="str">
        <f t="shared" si="9"/>
        <v>未买</v>
      </c>
      <c r="R154" s="19">
        <v>152</v>
      </c>
    </row>
    <row r="155" spans="5:18" x14ac:dyDescent="0.15">
      <c r="E155" s="5"/>
      <c r="H155" s="19">
        <v>153</v>
      </c>
      <c r="I155">
        <v>128071</v>
      </c>
      <c r="J155" t="s">
        <v>86</v>
      </c>
      <c r="K155">
        <v>112.303</v>
      </c>
      <c r="L155" s="57">
        <v>0.38750000000000001</v>
      </c>
      <c r="M155">
        <v>151.053</v>
      </c>
      <c r="N155" s="20">
        <v>2.999336</v>
      </c>
      <c r="O155" s="5" t="str">
        <f t="shared" si="9"/>
        <v>未买</v>
      </c>
      <c r="R155" s="19">
        <v>153</v>
      </c>
    </row>
    <row r="156" spans="5:18" x14ac:dyDescent="0.15">
      <c r="E156" s="5"/>
      <c r="H156" s="19">
        <v>154</v>
      </c>
      <c r="I156">
        <v>113649</v>
      </c>
      <c r="J156" t="s">
        <v>1896</v>
      </c>
      <c r="K156">
        <v>140.03200000000001</v>
      </c>
      <c r="L156" s="57">
        <v>0.11310000000000001</v>
      </c>
      <c r="M156">
        <v>151.34200000000001</v>
      </c>
      <c r="N156" s="20">
        <v>5</v>
      </c>
      <c r="O156" s="5" t="str">
        <f t="shared" si="9"/>
        <v>未买</v>
      </c>
      <c r="R156" s="19">
        <v>154</v>
      </c>
    </row>
    <row r="157" spans="5:18" x14ac:dyDescent="0.15">
      <c r="E157" s="5"/>
      <c r="H157" s="19">
        <v>155</v>
      </c>
      <c r="I157">
        <v>113530</v>
      </c>
      <c r="J157" t="s">
        <v>170</v>
      </c>
      <c r="K157">
        <v>117.59</v>
      </c>
      <c r="L157" s="57">
        <v>0.33789999999999998</v>
      </c>
      <c r="M157">
        <v>151.38</v>
      </c>
      <c r="N157" s="20">
        <v>6.2976000000000001</v>
      </c>
      <c r="O157" s="5" t="str">
        <f t="shared" si="9"/>
        <v>未买</v>
      </c>
      <c r="R157" s="19">
        <v>155</v>
      </c>
    </row>
    <row r="158" spans="5:18" x14ac:dyDescent="0.15">
      <c r="E158" s="5"/>
      <c r="H158" s="19">
        <v>156</v>
      </c>
      <c r="I158">
        <v>127014</v>
      </c>
      <c r="J158" t="s">
        <v>2048</v>
      </c>
      <c r="K158">
        <v>129.4</v>
      </c>
      <c r="L158" s="57">
        <v>0.22039999999999998</v>
      </c>
      <c r="M158">
        <v>151.44</v>
      </c>
      <c r="N158" s="20">
        <v>5.3440160000000008</v>
      </c>
      <c r="O158" s="5" t="str">
        <f t="shared" si="9"/>
        <v>未买</v>
      </c>
      <c r="R158" s="19">
        <v>156</v>
      </c>
    </row>
    <row r="159" spans="5:18" x14ac:dyDescent="0.15">
      <c r="E159" s="5"/>
      <c r="H159" s="19">
        <v>157</v>
      </c>
      <c r="I159">
        <v>128137</v>
      </c>
      <c r="J159" t="s">
        <v>1911</v>
      </c>
      <c r="K159">
        <v>126.259</v>
      </c>
      <c r="L159" s="57">
        <v>0.25480000000000003</v>
      </c>
      <c r="M159">
        <v>151.739</v>
      </c>
      <c r="N159" s="20">
        <v>5.9940619999999996</v>
      </c>
      <c r="O159" s="5" t="str">
        <f t="shared" si="9"/>
        <v>未买</v>
      </c>
      <c r="R159" s="19">
        <v>157</v>
      </c>
    </row>
    <row r="160" spans="5:18" x14ac:dyDescent="0.15">
      <c r="E160" s="5"/>
      <c r="H160" s="19">
        <v>158</v>
      </c>
      <c r="I160">
        <v>123087</v>
      </c>
      <c r="J160" t="s">
        <v>71</v>
      </c>
      <c r="K160">
        <v>120.66</v>
      </c>
      <c r="L160" s="57">
        <v>0.31209999999999999</v>
      </c>
      <c r="M160">
        <v>151.87</v>
      </c>
      <c r="N160" s="20">
        <v>4.1892120000000004</v>
      </c>
      <c r="O160" s="5" t="str">
        <f t="shared" si="9"/>
        <v>未买</v>
      </c>
      <c r="R160" s="19">
        <v>158</v>
      </c>
    </row>
    <row r="161" spans="5:18" x14ac:dyDescent="0.15">
      <c r="E161" s="5"/>
      <c r="H161" s="19">
        <v>159</v>
      </c>
      <c r="I161">
        <v>128076</v>
      </c>
      <c r="J161" t="s">
        <v>120</v>
      </c>
      <c r="K161">
        <v>118.786</v>
      </c>
      <c r="L161" s="57">
        <v>0.33509999999999995</v>
      </c>
      <c r="M161">
        <v>152.29599999999999</v>
      </c>
      <c r="N161" s="20">
        <v>2.136962</v>
      </c>
      <c r="O161" s="5" t="str">
        <f t="shared" si="9"/>
        <v>未买</v>
      </c>
      <c r="R161" s="19">
        <v>159</v>
      </c>
    </row>
    <row r="162" spans="5:18" x14ac:dyDescent="0.15">
      <c r="E162" s="5"/>
      <c r="H162" s="19">
        <v>160</v>
      </c>
      <c r="I162">
        <v>123120</v>
      </c>
      <c r="J162" t="s">
        <v>210</v>
      </c>
      <c r="K162">
        <v>123.04900000000001</v>
      </c>
      <c r="L162" s="57">
        <v>0.29389999999999999</v>
      </c>
      <c r="M162">
        <v>152.43900000000002</v>
      </c>
      <c r="N162" s="20">
        <v>7.9825939999999997</v>
      </c>
      <c r="O162" s="5" t="str">
        <f t="shared" si="9"/>
        <v>未买</v>
      </c>
      <c r="R162" s="19">
        <v>160</v>
      </c>
    </row>
    <row r="163" spans="5:18" x14ac:dyDescent="0.15">
      <c r="E163" s="5"/>
      <c r="H163" s="19">
        <v>161</v>
      </c>
      <c r="I163">
        <v>113524</v>
      </c>
      <c r="J163" t="s">
        <v>197</v>
      </c>
      <c r="K163">
        <v>116.459</v>
      </c>
      <c r="L163" s="57">
        <v>0.36049999999999999</v>
      </c>
      <c r="M163">
        <v>152.50900000000001</v>
      </c>
      <c r="N163" s="20">
        <v>3.2974700000000001</v>
      </c>
      <c r="O163" s="5" t="str">
        <f t="shared" si="9"/>
        <v>未买</v>
      </c>
      <c r="R163" s="19">
        <v>161</v>
      </c>
    </row>
    <row r="164" spans="5:18" x14ac:dyDescent="0.15">
      <c r="E164" s="5"/>
      <c r="H164" s="19">
        <v>162</v>
      </c>
      <c r="I164">
        <v>123149</v>
      </c>
      <c r="J164" t="s">
        <v>1902</v>
      </c>
      <c r="K164">
        <v>122.1</v>
      </c>
      <c r="L164" s="57">
        <v>0.30590000000000001</v>
      </c>
      <c r="M164">
        <v>152.69</v>
      </c>
      <c r="N164" s="20">
        <v>14.847200000000001</v>
      </c>
      <c r="O164" s="5" t="str">
        <f t="shared" si="9"/>
        <v>未买</v>
      </c>
      <c r="R164" s="19">
        <v>162</v>
      </c>
    </row>
    <row r="165" spans="5:18" x14ac:dyDescent="0.15">
      <c r="E165" s="5"/>
      <c r="H165" s="19">
        <v>163</v>
      </c>
      <c r="I165">
        <v>123090</v>
      </c>
      <c r="J165" t="s">
        <v>163</v>
      </c>
      <c r="K165">
        <v>128.06</v>
      </c>
      <c r="L165" s="57">
        <v>0.24679999999999999</v>
      </c>
      <c r="M165">
        <v>152.74</v>
      </c>
      <c r="N165" s="20">
        <v>4.9994680000000002</v>
      </c>
      <c r="O165" s="5" t="str">
        <f t="shared" si="9"/>
        <v>未买</v>
      </c>
      <c r="R165" s="19">
        <v>163</v>
      </c>
    </row>
    <row r="166" spans="5:18" x14ac:dyDescent="0.15">
      <c r="E166" s="5"/>
      <c r="H166" s="19">
        <v>164</v>
      </c>
      <c r="I166">
        <v>123118</v>
      </c>
      <c r="J166" t="s">
        <v>212</v>
      </c>
      <c r="K166">
        <v>137.499</v>
      </c>
      <c r="L166" s="57">
        <v>0.1532</v>
      </c>
      <c r="M166">
        <v>152.81899999999999</v>
      </c>
      <c r="N166" s="20">
        <v>3.1992880000000001</v>
      </c>
      <c r="O166" s="5" t="str">
        <f t="shared" si="9"/>
        <v>未买</v>
      </c>
      <c r="R166" s="19">
        <v>164</v>
      </c>
    </row>
    <row r="167" spans="5:18" x14ac:dyDescent="0.15">
      <c r="E167" s="5"/>
      <c r="H167" s="19">
        <v>165</v>
      </c>
      <c r="I167">
        <v>127054</v>
      </c>
      <c r="J167" t="s">
        <v>745</v>
      </c>
      <c r="K167">
        <v>112</v>
      </c>
      <c r="L167" s="57">
        <v>0.40860000000000002</v>
      </c>
      <c r="M167">
        <v>152.86000000000001</v>
      </c>
      <c r="N167" s="20">
        <v>5.1362690000000004</v>
      </c>
      <c r="O167" s="5" t="str">
        <f t="shared" si="9"/>
        <v>未买</v>
      </c>
      <c r="R167" s="19">
        <v>165</v>
      </c>
    </row>
    <row r="168" spans="5:18" x14ac:dyDescent="0.15">
      <c r="E168" s="5"/>
      <c r="H168" s="19">
        <v>166</v>
      </c>
      <c r="I168">
        <v>110090</v>
      </c>
      <c r="J168" t="s">
        <v>2042</v>
      </c>
      <c r="K168">
        <v>131.09399999999999</v>
      </c>
      <c r="L168" s="57">
        <v>0.2177</v>
      </c>
      <c r="M168">
        <v>152.864</v>
      </c>
      <c r="N168" s="20">
        <v>15.7</v>
      </c>
      <c r="O168" s="5" t="str">
        <f t="shared" si="9"/>
        <v>未买</v>
      </c>
      <c r="R168" s="19">
        <v>166</v>
      </c>
    </row>
    <row r="169" spans="5:18" x14ac:dyDescent="0.15">
      <c r="E169" s="5"/>
      <c r="H169" s="19">
        <v>167</v>
      </c>
      <c r="I169">
        <v>123158</v>
      </c>
      <c r="J169" t="s">
        <v>2061</v>
      </c>
      <c r="K169">
        <v>122</v>
      </c>
      <c r="L169" s="57">
        <v>0.30969999999999998</v>
      </c>
      <c r="M169">
        <v>152.97</v>
      </c>
      <c r="N169" s="20">
        <v>19.7</v>
      </c>
      <c r="O169" s="5" t="str">
        <f t="shared" si="9"/>
        <v>未买</v>
      </c>
      <c r="R169" s="19">
        <v>167</v>
      </c>
    </row>
    <row r="170" spans="5:18" x14ac:dyDescent="0.15">
      <c r="E170" s="5"/>
      <c r="H170" s="19">
        <v>168</v>
      </c>
      <c r="I170">
        <v>127059</v>
      </c>
      <c r="J170" t="s">
        <v>1773</v>
      </c>
      <c r="K170">
        <v>126.76</v>
      </c>
      <c r="L170" s="57">
        <v>0.26319999999999999</v>
      </c>
      <c r="M170">
        <v>153.08000000000001</v>
      </c>
      <c r="N170" s="20">
        <v>3.7984769999999992</v>
      </c>
      <c r="O170" s="5" t="str">
        <f t="shared" si="9"/>
        <v>未买</v>
      </c>
      <c r="R170" s="19">
        <v>168</v>
      </c>
    </row>
    <row r="171" spans="5:18" x14ac:dyDescent="0.15">
      <c r="E171" s="5"/>
      <c r="H171" s="19">
        <v>169</v>
      </c>
      <c r="I171">
        <v>127061</v>
      </c>
      <c r="J171" t="s">
        <v>1876</v>
      </c>
      <c r="K171">
        <v>108.29</v>
      </c>
      <c r="L171" s="57">
        <v>0.44789999999999996</v>
      </c>
      <c r="M171">
        <v>153.08000000000001</v>
      </c>
      <c r="N171" s="20">
        <v>35.897289000000001</v>
      </c>
      <c r="O171" s="5" t="str">
        <f t="shared" si="9"/>
        <v>未买</v>
      </c>
      <c r="R171" s="19">
        <v>169</v>
      </c>
    </row>
    <row r="172" spans="5:18" x14ac:dyDescent="0.15">
      <c r="E172" s="5"/>
      <c r="H172" s="19">
        <v>170</v>
      </c>
      <c r="I172">
        <v>123010</v>
      </c>
      <c r="J172" t="s">
        <v>175</v>
      </c>
      <c r="K172">
        <v>111.25</v>
      </c>
      <c r="L172" s="57">
        <v>0.41950000000000004</v>
      </c>
      <c r="M172">
        <v>153.19999999999999</v>
      </c>
      <c r="N172" s="20">
        <v>4.2960060000000002</v>
      </c>
      <c r="O172" s="5" t="str">
        <f t="shared" si="9"/>
        <v>未买</v>
      </c>
      <c r="R172" s="19">
        <v>170</v>
      </c>
    </row>
    <row r="173" spans="5:18" x14ac:dyDescent="0.15">
      <c r="E173" s="5"/>
      <c r="H173" s="19">
        <v>171</v>
      </c>
      <c r="I173">
        <v>127030</v>
      </c>
      <c r="J173" t="s">
        <v>1893</v>
      </c>
      <c r="K173">
        <v>126.18</v>
      </c>
      <c r="L173" s="57">
        <v>0.2722</v>
      </c>
      <c r="M173">
        <v>153.4</v>
      </c>
      <c r="N173" s="20">
        <v>49.980428000000003</v>
      </c>
      <c r="O173" s="5" t="str">
        <f t="shared" si="9"/>
        <v>未买</v>
      </c>
      <c r="R173" s="19">
        <v>171</v>
      </c>
    </row>
    <row r="174" spans="5:18" x14ac:dyDescent="0.15">
      <c r="E174" s="5"/>
      <c r="H174" s="19">
        <v>172</v>
      </c>
      <c r="I174">
        <v>128134</v>
      </c>
      <c r="J174" t="s">
        <v>1731</v>
      </c>
      <c r="K174">
        <v>126.404</v>
      </c>
      <c r="L174" s="57">
        <v>0.2717</v>
      </c>
      <c r="M174">
        <v>153.57400000000001</v>
      </c>
      <c r="N174" s="20">
        <v>15.728154999999999</v>
      </c>
      <c r="O174" s="5" t="str">
        <f t="shared" si="9"/>
        <v>未买</v>
      </c>
      <c r="R174" s="19">
        <v>172</v>
      </c>
    </row>
    <row r="175" spans="5:18" x14ac:dyDescent="0.15">
      <c r="E175" s="5"/>
      <c r="H175" s="19">
        <v>173</v>
      </c>
      <c r="I175">
        <v>123121</v>
      </c>
      <c r="J175" t="s">
        <v>1890</v>
      </c>
      <c r="K175">
        <v>134.68799999999999</v>
      </c>
      <c r="L175" s="57">
        <v>0.19109999999999999</v>
      </c>
      <c r="M175">
        <v>153.798</v>
      </c>
      <c r="N175" s="20">
        <v>8.3093669999999999</v>
      </c>
      <c r="O175" s="5" t="str">
        <f t="shared" si="9"/>
        <v>未买</v>
      </c>
      <c r="R175" s="19">
        <v>173</v>
      </c>
    </row>
    <row r="176" spans="5:18" x14ac:dyDescent="0.15">
      <c r="E176" s="5"/>
      <c r="H176" s="19">
        <v>174</v>
      </c>
      <c r="I176">
        <v>113563</v>
      </c>
      <c r="J176" t="s">
        <v>148</v>
      </c>
      <c r="K176">
        <v>118.943</v>
      </c>
      <c r="L176" s="57">
        <v>0.35119999999999996</v>
      </c>
      <c r="M176">
        <v>154.06299999999999</v>
      </c>
      <c r="N176" s="20">
        <v>8.0190099999999997</v>
      </c>
      <c r="O176" s="5" t="str">
        <f t="shared" si="9"/>
        <v>未买</v>
      </c>
      <c r="R176" s="19">
        <v>174</v>
      </c>
    </row>
    <row r="177" spans="5:18" x14ac:dyDescent="0.15">
      <c r="E177" s="5"/>
      <c r="H177" s="19">
        <v>175</v>
      </c>
      <c r="I177">
        <v>113504</v>
      </c>
      <c r="J177" t="s">
        <v>118</v>
      </c>
      <c r="K177">
        <v>144.47900000000001</v>
      </c>
      <c r="L177" s="57">
        <v>9.7500000000000003E-2</v>
      </c>
      <c r="M177">
        <v>154.22900000000001</v>
      </c>
      <c r="N177" s="20">
        <v>4.6274199999999999</v>
      </c>
      <c r="O177" s="5" t="str">
        <f t="shared" si="9"/>
        <v>未买</v>
      </c>
      <c r="R177" s="19">
        <v>175</v>
      </c>
    </row>
    <row r="178" spans="5:18" x14ac:dyDescent="0.15">
      <c r="E178" s="5"/>
      <c r="H178" s="19">
        <v>176</v>
      </c>
      <c r="I178">
        <v>127033</v>
      </c>
      <c r="J178" t="s">
        <v>1726</v>
      </c>
      <c r="K178">
        <v>108.2</v>
      </c>
      <c r="L178" s="57">
        <v>0.46039999999999998</v>
      </c>
      <c r="M178">
        <v>154.24</v>
      </c>
      <c r="N178" s="20">
        <v>11.593465999999999</v>
      </c>
      <c r="O178" s="5" t="str">
        <f t="shared" si="9"/>
        <v>未买</v>
      </c>
      <c r="R178" s="19">
        <v>176</v>
      </c>
    </row>
    <row r="179" spans="5:18" x14ac:dyDescent="0.15">
      <c r="E179" s="5"/>
      <c r="H179" s="19">
        <v>177</v>
      </c>
      <c r="I179">
        <v>113054</v>
      </c>
      <c r="J179" t="s">
        <v>1748</v>
      </c>
      <c r="K179">
        <v>105.67</v>
      </c>
      <c r="L179" s="57">
        <v>0.4864</v>
      </c>
      <c r="M179">
        <v>154.31</v>
      </c>
      <c r="N179" s="20">
        <v>23.599329999999998</v>
      </c>
      <c r="O179" s="5" t="str">
        <f t="shared" si="9"/>
        <v>未买</v>
      </c>
      <c r="R179" s="19">
        <v>177</v>
      </c>
    </row>
    <row r="180" spans="5:18" x14ac:dyDescent="0.15">
      <c r="E180" s="5"/>
      <c r="H180" s="19">
        <v>178</v>
      </c>
      <c r="I180">
        <v>123100</v>
      </c>
      <c r="J180" t="s">
        <v>98</v>
      </c>
      <c r="K180">
        <v>114.79</v>
      </c>
      <c r="L180" s="57">
        <v>0.39700000000000002</v>
      </c>
      <c r="M180">
        <v>154.49</v>
      </c>
      <c r="N180" s="20">
        <v>3.797174</v>
      </c>
      <c r="O180" s="5" t="str">
        <f t="shared" si="9"/>
        <v>未买</v>
      </c>
      <c r="R180" s="19">
        <v>178</v>
      </c>
    </row>
    <row r="181" spans="5:18" x14ac:dyDescent="0.15">
      <c r="E181" s="5"/>
      <c r="H181" s="19">
        <v>179</v>
      </c>
      <c r="I181">
        <v>113654</v>
      </c>
      <c r="J181" t="s">
        <v>2055</v>
      </c>
      <c r="K181">
        <v>129.226</v>
      </c>
      <c r="L181" s="57">
        <v>0.253</v>
      </c>
      <c r="M181">
        <v>154.52600000000001</v>
      </c>
      <c r="N181" s="20">
        <v>6.1054700000000004</v>
      </c>
      <c r="O181" s="5" t="str">
        <f t="shared" si="9"/>
        <v>未买</v>
      </c>
      <c r="R181" s="19">
        <v>179</v>
      </c>
    </row>
    <row r="182" spans="5:18" x14ac:dyDescent="0.15">
      <c r="E182" s="5"/>
      <c r="H182" s="19">
        <v>180</v>
      </c>
      <c r="I182">
        <v>128062</v>
      </c>
      <c r="J182" t="s">
        <v>2085</v>
      </c>
      <c r="K182">
        <v>106.15</v>
      </c>
      <c r="L182" s="57">
        <v>0.48399999999999999</v>
      </c>
      <c r="M182">
        <v>154.55000000000001</v>
      </c>
      <c r="N182" s="20">
        <v>9.6191899999999997</v>
      </c>
      <c r="O182" s="5" t="str">
        <f t="shared" si="9"/>
        <v>未买</v>
      </c>
      <c r="R182" s="19">
        <v>180</v>
      </c>
    </row>
    <row r="183" spans="5:18" x14ac:dyDescent="0.15">
      <c r="E183" s="5"/>
      <c r="H183" s="19">
        <v>181</v>
      </c>
      <c r="I183">
        <v>127055</v>
      </c>
      <c r="J183" t="s">
        <v>741</v>
      </c>
      <c r="K183">
        <v>112.4</v>
      </c>
      <c r="L183" s="57">
        <v>0.42170000000000002</v>
      </c>
      <c r="M183">
        <v>154.57</v>
      </c>
      <c r="N183" s="20">
        <v>5.7693539999999999</v>
      </c>
      <c r="O183" s="5" t="str">
        <f t="shared" si="9"/>
        <v>未买</v>
      </c>
      <c r="R183" s="19">
        <v>181</v>
      </c>
    </row>
    <row r="184" spans="5:18" x14ac:dyDescent="0.15">
      <c r="E184" s="5"/>
      <c r="H184" s="19">
        <v>182</v>
      </c>
      <c r="I184">
        <v>113526</v>
      </c>
      <c r="J184" t="s">
        <v>128</v>
      </c>
      <c r="K184">
        <v>127.498</v>
      </c>
      <c r="L184" s="57">
        <v>0.27279999999999999</v>
      </c>
      <c r="M184">
        <v>154.77800000000002</v>
      </c>
      <c r="N184" s="20">
        <v>1.92781</v>
      </c>
      <c r="O184" s="5" t="str">
        <f t="shared" si="9"/>
        <v>未买</v>
      </c>
      <c r="R184" s="19">
        <v>182</v>
      </c>
    </row>
    <row r="185" spans="5:18" x14ac:dyDescent="0.15">
      <c r="E185" s="5"/>
      <c r="H185" s="19">
        <v>183</v>
      </c>
      <c r="I185">
        <v>118003</v>
      </c>
      <c r="J185" t="s">
        <v>223</v>
      </c>
      <c r="K185">
        <v>127.5</v>
      </c>
      <c r="L185" s="57">
        <v>0.27699999999999997</v>
      </c>
      <c r="M185">
        <v>155.19999999999999</v>
      </c>
      <c r="N185" s="20">
        <v>7.99892</v>
      </c>
      <c r="O185" s="5" t="str">
        <f t="shared" si="9"/>
        <v>未买</v>
      </c>
      <c r="R185" s="19">
        <v>183</v>
      </c>
    </row>
    <row r="186" spans="5:18" x14ac:dyDescent="0.15">
      <c r="E186" s="5"/>
      <c r="H186" s="19">
        <v>184</v>
      </c>
      <c r="I186">
        <v>113056</v>
      </c>
      <c r="J186" t="s">
        <v>1754</v>
      </c>
      <c r="K186">
        <v>98.588999999999999</v>
      </c>
      <c r="L186" s="57">
        <v>0.5696</v>
      </c>
      <c r="M186">
        <v>155.54900000000001</v>
      </c>
      <c r="N186" s="20">
        <v>129.99671000000001</v>
      </c>
      <c r="O186" s="5" t="str">
        <f t="shared" si="9"/>
        <v>未买</v>
      </c>
      <c r="R186" s="19">
        <v>184</v>
      </c>
    </row>
    <row r="187" spans="5:18" x14ac:dyDescent="0.15">
      <c r="E187" s="5"/>
      <c r="H187" s="19">
        <v>185</v>
      </c>
      <c r="I187">
        <v>110087</v>
      </c>
      <c r="J187" t="s">
        <v>1907</v>
      </c>
      <c r="K187">
        <v>114.111</v>
      </c>
      <c r="L187" s="57">
        <v>0.41609999999999997</v>
      </c>
      <c r="M187">
        <v>155.721</v>
      </c>
      <c r="N187" s="20">
        <v>30</v>
      </c>
      <c r="O187" s="5" t="str">
        <f t="shared" si="9"/>
        <v>未买</v>
      </c>
      <c r="R187" s="19">
        <v>185</v>
      </c>
    </row>
    <row r="188" spans="5:18" x14ac:dyDescent="0.15">
      <c r="E188" s="5"/>
      <c r="H188" s="19">
        <v>186</v>
      </c>
      <c r="I188">
        <v>113519</v>
      </c>
      <c r="J188" t="s">
        <v>154</v>
      </c>
      <c r="K188">
        <v>117.703</v>
      </c>
      <c r="L188" s="57">
        <v>0.38079999999999997</v>
      </c>
      <c r="M188">
        <v>155.78300000000002</v>
      </c>
      <c r="N188" s="20">
        <v>6.9609100000000002</v>
      </c>
      <c r="O188" s="5" t="str">
        <f t="shared" si="9"/>
        <v>未买</v>
      </c>
      <c r="R188" s="19">
        <v>186</v>
      </c>
    </row>
    <row r="189" spans="5:18" x14ac:dyDescent="0.15">
      <c r="E189" s="5"/>
      <c r="H189" s="19">
        <v>187</v>
      </c>
      <c r="I189">
        <v>123144</v>
      </c>
      <c r="J189" t="s">
        <v>1752</v>
      </c>
      <c r="K189">
        <v>118.087</v>
      </c>
      <c r="L189" s="57">
        <v>0.37819999999999998</v>
      </c>
      <c r="M189">
        <v>155.90700000000001</v>
      </c>
      <c r="N189" s="20">
        <v>5.9999599999999997</v>
      </c>
      <c r="O189" s="5" t="str">
        <f t="shared" si="9"/>
        <v>未买</v>
      </c>
      <c r="R189" s="19">
        <v>187</v>
      </c>
    </row>
    <row r="190" spans="5:18" x14ac:dyDescent="0.15">
      <c r="E190" s="5"/>
      <c r="H190" s="19">
        <v>188</v>
      </c>
      <c r="I190">
        <v>113610</v>
      </c>
      <c r="J190" t="s">
        <v>104</v>
      </c>
      <c r="K190">
        <v>114.867</v>
      </c>
      <c r="L190" s="57">
        <v>0.41060000000000002</v>
      </c>
      <c r="M190">
        <v>155.92700000000002</v>
      </c>
      <c r="N190" s="20">
        <v>4.5792599999999997</v>
      </c>
      <c r="O190" s="5" t="str">
        <f t="shared" si="9"/>
        <v>未买</v>
      </c>
      <c r="R190" s="19">
        <v>188</v>
      </c>
    </row>
    <row r="191" spans="5:18" x14ac:dyDescent="0.15">
      <c r="E191" s="5"/>
      <c r="H191" s="19">
        <v>189</v>
      </c>
      <c r="I191">
        <v>128082</v>
      </c>
      <c r="J191" t="s">
        <v>1880</v>
      </c>
      <c r="K191">
        <v>142.80000000000001</v>
      </c>
      <c r="L191" s="57">
        <v>0.13170000000000001</v>
      </c>
      <c r="M191">
        <v>155.97</v>
      </c>
      <c r="N191" s="20">
        <v>2.025652</v>
      </c>
      <c r="O191" s="5" t="str">
        <f t="shared" si="9"/>
        <v>未买</v>
      </c>
      <c r="R191" s="19">
        <v>189</v>
      </c>
    </row>
    <row r="192" spans="5:18" x14ac:dyDescent="0.15">
      <c r="E192" s="5"/>
      <c r="H192" s="19">
        <v>190</v>
      </c>
      <c r="I192">
        <v>123151</v>
      </c>
      <c r="J192" t="s">
        <v>1906</v>
      </c>
      <c r="K192">
        <v>127.23699999999999</v>
      </c>
      <c r="L192" s="57">
        <v>0.28739999999999999</v>
      </c>
      <c r="M192">
        <v>155.977</v>
      </c>
      <c r="N192" s="20">
        <v>7</v>
      </c>
      <c r="O192" s="5" t="str">
        <f t="shared" si="9"/>
        <v>未买</v>
      </c>
      <c r="R192" s="19">
        <v>190</v>
      </c>
    </row>
    <row r="193" spans="5:18" x14ac:dyDescent="0.15">
      <c r="E193" s="5"/>
      <c r="H193" s="19">
        <v>191</v>
      </c>
      <c r="I193">
        <v>128109</v>
      </c>
      <c r="J193" t="s">
        <v>1871</v>
      </c>
      <c r="K193">
        <v>120.309</v>
      </c>
      <c r="L193" s="57">
        <v>0.35700000000000004</v>
      </c>
      <c r="M193">
        <v>156.00900000000001</v>
      </c>
      <c r="N193" s="20">
        <v>18.225275</v>
      </c>
      <c r="O193" s="5" t="str">
        <f t="shared" si="9"/>
        <v>未买</v>
      </c>
      <c r="R193" s="19">
        <v>191</v>
      </c>
    </row>
    <row r="194" spans="5:18" x14ac:dyDescent="0.15">
      <c r="E194" s="5"/>
      <c r="H194" s="19">
        <v>192</v>
      </c>
      <c r="I194">
        <v>127037</v>
      </c>
      <c r="J194" t="s">
        <v>2046</v>
      </c>
      <c r="K194">
        <v>141.69800000000001</v>
      </c>
      <c r="L194" s="57">
        <v>0.1467</v>
      </c>
      <c r="M194">
        <v>156.36799999999999</v>
      </c>
      <c r="N194" s="20">
        <v>6.9951990000000004</v>
      </c>
      <c r="O194" s="5" t="str">
        <f t="shared" si="9"/>
        <v>未买</v>
      </c>
      <c r="R194" s="19">
        <v>192</v>
      </c>
    </row>
    <row r="195" spans="5:18" x14ac:dyDescent="0.15">
      <c r="E195" s="5"/>
      <c r="H195" s="19">
        <v>193</v>
      </c>
      <c r="I195">
        <v>110068</v>
      </c>
      <c r="J195" t="s">
        <v>1700</v>
      </c>
      <c r="K195">
        <v>154.078</v>
      </c>
      <c r="L195" s="57">
        <v>2.3199999999999998E-2</v>
      </c>
      <c r="M195">
        <v>156.398</v>
      </c>
      <c r="N195" s="20">
        <v>19.751159999999999</v>
      </c>
      <c r="O195" s="5" t="str">
        <f t="shared" si="9"/>
        <v>未买</v>
      </c>
      <c r="R195" s="19">
        <v>193</v>
      </c>
    </row>
    <row r="196" spans="5:18" x14ac:dyDescent="0.15">
      <c r="E196" s="5"/>
      <c r="H196" s="19">
        <v>194</v>
      </c>
      <c r="I196">
        <v>113037</v>
      </c>
      <c r="J196" t="s">
        <v>1751</v>
      </c>
      <c r="K196">
        <v>102.501</v>
      </c>
      <c r="L196" s="57">
        <v>0.53949999999999998</v>
      </c>
      <c r="M196">
        <v>156.45100000000002</v>
      </c>
      <c r="N196" s="20">
        <v>44.996119999999998</v>
      </c>
      <c r="O196" s="5" t="str">
        <f t="shared" ref="O196:O259" si="10">IF(ISNA(MATCH(I196,$A$3:$A$1000,0)),"未买","Yes")</f>
        <v>未买</v>
      </c>
      <c r="R196" s="19">
        <v>194</v>
      </c>
    </row>
    <row r="197" spans="5:18" x14ac:dyDescent="0.15">
      <c r="E197" s="5"/>
      <c r="H197" s="19">
        <v>195</v>
      </c>
      <c r="I197">
        <v>127052</v>
      </c>
      <c r="J197" t="s">
        <v>1792</v>
      </c>
      <c r="K197">
        <v>121.18</v>
      </c>
      <c r="L197" s="57">
        <v>0.35289999999999999</v>
      </c>
      <c r="M197">
        <v>156.47</v>
      </c>
      <c r="N197" s="20">
        <v>11.099648</v>
      </c>
      <c r="O197" s="5" t="str">
        <f t="shared" si="10"/>
        <v>未买</v>
      </c>
      <c r="R197" s="19">
        <v>195</v>
      </c>
    </row>
    <row r="198" spans="5:18" x14ac:dyDescent="0.15">
      <c r="E198" s="5"/>
      <c r="H198" s="19">
        <v>196</v>
      </c>
      <c r="I198">
        <v>123103</v>
      </c>
      <c r="J198" t="s">
        <v>778</v>
      </c>
      <c r="K198">
        <v>129.1</v>
      </c>
      <c r="L198" s="57">
        <v>0.27410000000000001</v>
      </c>
      <c r="M198">
        <v>156.51</v>
      </c>
      <c r="N198" s="20">
        <v>2.494443</v>
      </c>
      <c r="O198" s="5" t="str">
        <f t="shared" si="10"/>
        <v>未买</v>
      </c>
      <c r="R198" s="19">
        <v>196</v>
      </c>
    </row>
    <row r="199" spans="5:18" x14ac:dyDescent="0.15">
      <c r="E199" s="5"/>
      <c r="H199" s="19">
        <v>197</v>
      </c>
      <c r="I199">
        <v>123052</v>
      </c>
      <c r="J199" t="s">
        <v>754</v>
      </c>
      <c r="K199">
        <v>138.785</v>
      </c>
      <c r="L199" s="57">
        <v>0.17949999999999999</v>
      </c>
      <c r="M199">
        <v>156.73499999999999</v>
      </c>
      <c r="N199" s="20">
        <v>1.503649</v>
      </c>
      <c r="O199" s="5" t="str">
        <f t="shared" si="10"/>
        <v>未买</v>
      </c>
      <c r="R199" s="19">
        <v>197</v>
      </c>
    </row>
    <row r="200" spans="5:18" x14ac:dyDescent="0.15">
      <c r="E200" s="5"/>
      <c r="H200" s="19">
        <v>198</v>
      </c>
      <c r="I200">
        <v>113027</v>
      </c>
      <c r="J200" t="s">
        <v>1867</v>
      </c>
      <c r="K200">
        <v>141.27600000000001</v>
      </c>
      <c r="L200" s="57">
        <v>0.15689999999999998</v>
      </c>
      <c r="M200">
        <v>156.96600000000001</v>
      </c>
      <c r="N200" s="20">
        <v>2.3866999999999998</v>
      </c>
      <c r="O200" s="5" t="str">
        <f t="shared" si="10"/>
        <v>未买</v>
      </c>
      <c r="R200" s="19">
        <v>198</v>
      </c>
    </row>
    <row r="201" spans="5:18" x14ac:dyDescent="0.15">
      <c r="E201" s="5"/>
      <c r="H201" s="19">
        <v>199</v>
      </c>
      <c r="I201">
        <v>123091</v>
      </c>
      <c r="J201" t="s">
        <v>214</v>
      </c>
      <c r="K201">
        <v>123.7</v>
      </c>
      <c r="L201" s="57">
        <v>0.33279999999999998</v>
      </c>
      <c r="M201">
        <v>156.98000000000002</v>
      </c>
      <c r="N201" s="20">
        <v>5.4975389999999997</v>
      </c>
      <c r="O201" s="5" t="str">
        <f t="shared" si="10"/>
        <v>未买</v>
      </c>
      <c r="R201" s="19">
        <v>199</v>
      </c>
    </row>
    <row r="202" spans="5:18" x14ac:dyDescent="0.15">
      <c r="E202" s="5"/>
      <c r="H202" s="19">
        <v>200</v>
      </c>
      <c r="I202">
        <v>127026</v>
      </c>
      <c r="J202" t="s">
        <v>207</v>
      </c>
      <c r="K202">
        <v>113.77</v>
      </c>
      <c r="L202" s="57">
        <v>0.43290000000000001</v>
      </c>
      <c r="M202">
        <v>157.06</v>
      </c>
      <c r="N202" s="20">
        <v>6.9970539999999986</v>
      </c>
      <c r="O202" s="5" t="str">
        <f t="shared" si="10"/>
        <v>未买</v>
      </c>
      <c r="R202" s="19">
        <v>200</v>
      </c>
    </row>
    <row r="203" spans="5:18" x14ac:dyDescent="0.15">
      <c r="E203" s="5"/>
      <c r="H203" s="19">
        <v>201</v>
      </c>
      <c r="I203">
        <v>118012</v>
      </c>
      <c r="J203" t="s">
        <v>1903</v>
      </c>
      <c r="K203">
        <v>127.229</v>
      </c>
      <c r="L203" s="57">
        <v>0.2984</v>
      </c>
      <c r="M203">
        <v>157.06899999999999</v>
      </c>
      <c r="N203" s="20">
        <v>5</v>
      </c>
      <c r="O203" s="5" t="str">
        <f t="shared" si="10"/>
        <v>未买</v>
      </c>
      <c r="R203" s="19">
        <v>201</v>
      </c>
    </row>
    <row r="204" spans="5:18" x14ac:dyDescent="0.15">
      <c r="E204" s="5"/>
      <c r="H204" s="19">
        <v>202</v>
      </c>
      <c r="I204">
        <v>113565</v>
      </c>
      <c r="J204" t="s">
        <v>114</v>
      </c>
      <c r="K204">
        <v>117.80200000000001</v>
      </c>
      <c r="L204" s="57">
        <v>0.39329999999999998</v>
      </c>
      <c r="M204">
        <v>157.13200000000001</v>
      </c>
      <c r="N204" s="20">
        <v>2.24905</v>
      </c>
      <c r="O204" s="5" t="str">
        <f t="shared" si="10"/>
        <v>未买</v>
      </c>
      <c r="R204" s="19">
        <v>202</v>
      </c>
    </row>
    <row r="205" spans="5:18" x14ac:dyDescent="0.15">
      <c r="E205" s="5"/>
      <c r="H205" s="19">
        <v>203</v>
      </c>
      <c r="I205">
        <v>123160</v>
      </c>
      <c r="J205" t="s">
        <v>2065</v>
      </c>
      <c r="K205">
        <v>118.16800000000001</v>
      </c>
      <c r="L205" s="57">
        <v>0.39020000000000005</v>
      </c>
      <c r="M205">
        <v>157.18800000000002</v>
      </c>
      <c r="N205" s="20">
        <v>3.3489</v>
      </c>
      <c r="O205" s="5" t="str">
        <f t="shared" si="10"/>
        <v>未买</v>
      </c>
      <c r="R205" s="19">
        <v>203</v>
      </c>
    </row>
    <row r="206" spans="5:18" x14ac:dyDescent="0.15">
      <c r="E206" s="5"/>
      <c r="H206" s="19">
        <v>204</v>
      </c>
      <c r="I206">
        <v>113052</v>
      </c>
      <c r="J206" t="s">
        <v>1743</v>
      </c>
      <c r="K206">
        <v>102.551</v>
      </c>
      <c r="L206" s="57">
        <v>0.54770000000000008</v>
      </c>
      <c r="M206">
        <v>157.321</v>
      </c>
      <c r="N206" s="20">
        <v>499.98568</v>
      </c>
      <c r="O206" s="5" t="str">
        <f t="shared" si="10"/>
        <v>未买</v>
      </c>
      <c r="R206" s="19">
        <v>204</v>
      </c>
    </row>
    <row r="207" spans="5:18" x14ac:dyDescent="0.15">
      <c r="E207" s="5"/>
      <c r="H207" s="19">
        <v>205</v>
      </c>
      <c r="I207">
        <v>127058</v>
      </c>
      <c r="J207" t="s">
        <v>2035</v>
      </c>
      <c r="K207">
        <v>154</v>
      </c>
      <c r="L207" s="57">
        <v>3.39E-2</v>
      </c>
      <c r="M207">
        <v>157.38999999999999</v>
      </c>
      <c r="N207" s="20">
        <v>29.992777</v>
      </c>
      <c r="O207" s="5" t="str">
        <f t="shared" si="10"/>
        <v>未买</v>
      </c>
      <c r="R207" s="19">
        <v>205</v>
      </c>
    </row>
    <row r="208" spans="5:18" x14ac:dyDescent="0.15">
      <c r="E208" s="5"/>
      <c r="H208" s="19">
        <v>206</v>
      </c>
      <c r="I208">
        <v>113629</v>
      </c>
      <c r="J208" t="s">
        <v>2049</v>
      </c>
      <c r="K208">
        <v>129.136</v>
      </c>
      <c r="L208" s="57">
        <v>0.28350000000000003</v>
      </c>
      <c r="M208">
        <v>157.48599999999999</v>
      </c>
      <c r="N208" s="20">
        <v>6.19299</v>
      </c>
      <c r="O208" s="5" t="str">
        <f t="shared" si="10"/>
        <v>未买</v>
      </c>
      <c r="R208" s="19">
        <v>206</v>
      </c>
    </row>
    <row r="209" spans="5:18" x14ac:dyDescent="0.15">
      <c r="E209" s="5"/>
      <c r="H209" s="19">
        <v>207</v>
      </c>
      <c r="I209">
        <v>113594</v>
      </c>
      <c r="J209" t="s">
        <v>75</v>
      </c>
      <c r="K209">
        <v>130.46199999999999</v>
      </c>
      <c r="L209" s="57">
        <v>0.27079999999999999</v>
      </c>
      <c r="M209">
        <v>157.54199999999997</v>
      </c>
      <c r="N209" s="20">
        <v>2.9973999999999998</v>
      </c>
      <c r="O209" s="5" t="str">
        <f t="shared" si="10"/>
        <v>未买</v>
      </c>
      <c r="R209" s="19">
        <v>207</v>
      </c>
    </row>
    <row r="210" spans="5:18" x14ac:dyDescent="0.15">
      <c r="E210" s="5"/>
      <c r="H210" s="19">
        <v>208</v>
      </c>
      <c r="I210">
        <v>113577</v>
      </c>
      <c r="J210" t="s">
        <v>107</v>
      </c>
      <c r="K210">
        <v>129.58099999999999</v>
      </c>
      <c r="L210" s="57">
        <v>0.28029999999999999</v>
      </c>
      <c r="M210">
        <v>157.61099999999999</v>
      </c>
      <c r="N210" s="20">
        <v>1.7774799999999999</v>
      </c>
      <c r="O210" s="5" t="str">
        <f t="shared" si="10"/>
        <v>未买</v>
      </c>
      <c r="R210" s="19">
        <v>208</v>
      </c>
    </row>
    <row r="211" spans="5:18" x14ac:dyDescent="0.15">
      <c r="E211" s="5"/>
      <c r="H211" s="19">
        <v>209</v>
      </c>
      <c r="I211">
        <v>128124</v>
      </c>
      <c r="J211" t="s">
        <v>151</v>
      </c>
      <c r="K211">
        <v>103.626</v>
      </c>
      <c r="L211" s="57">
        <v>0.54339999999999999</v>
      </c>
      <c r="M211">
        <v>157.96600000000001</v>
      </c>
      <c r="N211" s="20">
        <v>7.3759289999999984</v>
      </c>
      <c r="O211" s="5" t="str">
        <f t="shared" si="10"/>
        <v>未买</v>
      </c>
      <c r="R211" s="19">
        <v>209</v>
      </c>
    </row>
    <row r="212" spans="5:18" x14ac:dyDescent="0.15">
      <c r="E212" s="5"/>
      <c r="H212" s="19">
        <v>210</v>
      </c>
      <c r="I212">
        <v>123075</v>
      </c>
      <c r="J212" t="s">
        <v>69</v>
      </c>
      <c r="K212">
        <v>117.727</v>
      </c>
      <c r="L212" s="57">
        <v>0.40369999999999995</v>
      </c>
      <c r="M212">
        <v>158.09700000000001</v>
      </c>
      <c r="N212" s="20">
        <v>5.9960870000000002</v>
      </c>
      <c r="O212" s="5" t="str">
        <f t="shared" si="10"/>
        <v>未买</v>
      </c>
      <c r="R212" s="19">
        <v>210</v>
      </c>
    </row>
    <row r="213" spans="5:18" x14ac:dyDescent="0.15">
      <c r="E213" s="5"/>
      <c r="H213" s="19">
        <v>211</v>
      </c>
      <c r="I213">
        <v>127072</v>
      </c>
      <c r="J213" t="s">
        <v>2064</v>
      </c>
      <c r="K213">
        <v>130</v>
      </c>
      <c r="L213" s="57">
        <v>0.28220000000000001</v>
      </c>
      <c r="M213">
        <v>158.22</v>
      </c>
      <c r="N213" s="20">
        <v>4.5</v>
      </c>
      <c r="O213" s="5" t="str">
        <f t="shared" si="10"/>
        <v>未买</v>
      </c>
      <c r="R213" s="19">
        <v>211</v>
      </c>
    </row>
    <row r="214" spans="5:18" x14ac:dyDescent="0.15">
      <c r="E214" s="5"/>
      <c r="H214" s="19">
        <v>212</v>
      </c>
      <c r="I214">
        <v>123022</v>
      </c>
      <c r="J214" t="s">
        <v>1744</v>
      </c>
      <c r="K214">
        <v>135.50200000000001</v>
      </c>
      <c r="L214" s="57">
        <v>0.22820000000000001</v>
      </c>
      <c r="M214">
        <v>158.322</v>
      </c>
      <c r="N214" s="20">
        <v>2.5625559999999998</v>
      </c>
      <c r="O214" s="5" t="str">
        <f t="shared" si="10"/>
        <v>未买</v>
      </c>
      <c r="R214" s="19">
        <v>212</v>
      </c>
    </row>
    <row r="215" spans="5:18" x14ac:dyDescent="0.15">
      <c r="E215" s="5"/>
      <c r="H215" s="19">
        <v>213</v>
      </c>
      <c r="I215">
        <v>123025</v>
      </c>
      <c r="J215" t="s">
        <v>66</v>
      </c>
      <c r="K215">
        <v>137.499</v>
      </c>
      <c r="L215" s="57">
        <v>0.20980000000000001</v>
      </c>
      <c r="M215">
        <v>158.47899999999998</v>
      </c>
      <c r="N215" s="20">
        <v>3.0864560000000001</v>
      </c>
      <c r="O215" s="5" t="str">
        <f t="shared" si="10"/>
        <v>未买</v>
      </c>
      <c r="R215" s="19">
        <v>213</v>
      </c>
    </row>
    <row r="216" spans="5:18" x14ac:dyDescent="0.15">
      <c r="E216" s="5"/>
      <c r="H216" s="19">
        <v>214</v>
      </c>
      <c r="I216">
        <v>113618</v>
      </c>
      <c r="J216" t="s">
        <v>1716</v>
      </c>
      <c r="K216">
        <v>138.80799999999999</v>
      </c>
      <c r="L216" s="57">
        <v>0.1986</v>
      </c>
      <c r="M216">
        <v>158.66800000000001</v>
      </c>
      <c r="N216" s="20">
        <v>4.76905</v>
      </c>
      <c r="O216" s="5" t="str">
        <f t="shared" si="10"/>
        <v>未买</v>
      </c>
      <c r="R216" s="19">
        <v>214</v>
      </c>
    </row>
    <row r="217" spans="5:18" x14ac:dyDescent="0.15">
      <c r="E217" s="5"/>
      <c r="H217" s="19">
        <v>215</v>
      </c>
      <c r="I217">
        <v>128143</v>
      </c>
      <c r="J217" t="s">
        <v>109</v>
      </c>
      <c r="K217">
        <v>123.078</v>
      </c>
      <c r="L217" s="57">
        <v>0.35759999999999997</v>
      </c>
      <c r="M217">
        <v>158.83799999999999</v>
      </c>
      <c r="N217" s="20">
        <v>2.4408439999999998</v>
      </c>
      <c r="O217" s="5" t="str">
        <f t="shared" si="10"/>
        <v>未买</v>
      </c>
      <c r="R217" s="19">
        <v>215</v>
      </c>
    </row>
    <row r="218" spans="5:18" x14ac:dyDescent="0.15">
      <c r="E218" s="5"/>
      <c r="H218" s="19">
        <v>216</v>
      </c>
      <c r="I218">
        <v>127018</v>
      </c>
      <c r="J218" t="s">
        <v>1720</v>
      </c>
      <c r="K218">
        <v>113.2</v>
      </c>
      <c r="L218" s="57">
        <v>0.45649999999999996</v>
      </c>
      <c r="M218">
        <v>158.85</v>
      </c>
      <c r="N218" s="20">
        <v>56.310521000000001</v>
      </c>
      <c r="O218" s="5" t="str">
        <f t="shared" si="10"/>
        <v>未买</v>
      </c>
      <c r="R218" s="19">
        <v>216</v>
      </c>
    </row>
    <row r="219" spans="5:18" x14ac:dyDescent="0.15">
      <c r="E219" s="5"/>
      <c r="H219" s="19">
        <v>217</v>
      </c>
      <c r="I219">
        <v>113621</v>
      </c>
      <c r="J219" t="s">
        <v>218</v>
      </c>
      <c r="K219">
        <v>140.42400000000001</v>
      </c>
      <c r="L219" s="57">
        <v>0.18739999999999998</v>
      </c>
      <c r="M219">
        <v>159.16400000000002</v>
      </c>
      <c r="N219" s="20">
        <v>5.3667213466000003</v>
      </c>
      <c r="O219" s="5" t="str">
        <f t="shared" si="10"/>
        <v>未买</v>
      </c>
      <c r="R219" s="19">
        <v>217</v>
      </c>
    </row>
    <row r="220" spans="5:18" x14ac:dyDescent="0.15">
      <c r="E220" s="5"/>
      <c r="H220" s="19">
        <v>218</v>
      </c>
      <c r="I220">
        <v>127073</v>
      </c>
      <c r="J220" t="s">
        <v>2058</v>
      </c>
      <c r="K220">
        <v>123.89400000000001</v>
      </c>
      <c r="L220" s="57">
        <v>0.3528</v>
      </c>
      <c r="M220">
        <v>159.17400000000001</v>
      </c>
      <c r="N220" s="20">
        <v>34.104999999999997</v>
      </c>
      <c r="O220" s="5" t="str">
        <f t="shared" si="10"/>
        <v>未买</v>
      </c>
      <c r="R220" s="19">
        <v>218</v>
      </c>
    </row>
    <row r="221" spans="5:18" x14ac:dyDescent="0.15">
      <c r="E221" s="5"/>
      <c r="H221" s="19">
        <v>219</v>
      </c>
      <c r="I221">
        <v>123050</v>
      </c>
      <c r="J221" t="s">
        <v>67</v>
      </c>
      <c r="K221">
        <v>121</v>
      </c>
      <c r="L221" s="57">
        <v>0.38520000000000004</v>
      </c>
      <c r="M221">
        <v>159.52000000000001</v>
      </c>
      <c r="N221" s="20">
        <v>3.7459370000000001</v>
      </c>
      <c r="O221" s="5" t="str">
        <f t="shared" si="10"/>
        <v>未买</v>
      </c>
      <c r="R221" s="19">
        <v>219</v>
      </c>
    </row>
    <row r="222" spans="5:18" x14ac:dyDescent="0.15">
      <c r="E222" s="5"/>
      <c r="H222" s="19">
        <v>220</v>
      </c>
      <c r="I222">
        <v>128140</v>
      </c>
      <c r="J222" t="s">
        <v>1864</v>
      </c>
      <c r="K222">
        <v>153.953</v>
      </c>
      <c r="L222" s="57">
        <v>5.6399999999999999E-2</v>
      </c>
      <c r="M222">
        <v>159.59299999999999</v>
      </c>
      <c r="N222" s="20">
        <v>10.895921</v>
      </c>
      <c r="O222" s="5" t="str">
        <f t="shared" si="10"/>
        <v>未买</v>
      </c>
      <c r="R222" s="19">
        <v>220</v>
      </c>
    </row>
    <row r="223" spans="5:18" x14ac:dyDescent="0.15">
      <c r="E223" s="5"/>
      <c r="H223" s="19">
        <v>221</v>
      </c>
      <c r="I223">
        <v>113643</v>
      </c>
      <c r="J223" t="s">
        <v>777</v>
      </c>
      <c r="K223">
        <v>119.157</v>
      </c>
      <c r="L223" s="57">
        <v>0.4052</v>
      </c>
      <c r="M223">
        <v>159.67699999999999</v>
      </c>
      <c r="N223" s="20">
        <v>4.9998100000000001</v>
      </c>
      <c r="O223" s="5" t="str">
        <f t="shared" si="10"/>
        <v>未买</v>
      </c>
      <c r="R223" s="19">
        <v>221</v>
      </c>
    </row>
    <row r="224" spans="5:18" x14ac:dyDescent="0.15">
      <c r="E224" s="5"/>
      <c r="H224" s="19">
        <v>222</v>
      </c>
      <c r="I224">
        <v>128079</v>
      </c>
      <c r="J224" t="s">
        <v>92</v>
      </c>
      <c r="K224">
        <v>134.5</v>
      </c>
      <c r="L224" s="57">
        <v>0.25280000000000002</v>
      </c>
      <c r="M224">
        <v>159.78</v>
      </c>
      <c r="N224" s="20">
        <v>1.519339</v>
      </c>
      <c r="O224" s="5" t="str">
        <f t="shared" si="10"/>
        <v>未买</v>
      </c>
      <c r="R224" s="19">
        <v>222</v>
      </c>
    </row>
    <row r="225" spans="5:18" x14ac:dyDescent="0.15">
      <c r="E225" s="5"/>
      <c r="H225" s="19">
        <v>223</v>
      </c>
      <c r="I225">
        <v>113525</v>
      </c>
      <c r="J225" t="s">
        <v>1857</v>
      </c>
      <c r="K225">
        <v>148.416</v>
      </c>
      <c r="L225" s="57">
        <v>0.11380000000000001</v>
      </c>
      <c r="M225">
        <v>159.79599999999999</v>
      </c>
      <c r="N225" s="20">
        <v>1.8532200000000001</v>
      </c>
      <c r="O225" s="5" t="str">
        <f t="shared" si="10"/>
        <v>未买</v>
      </c>
      <c r="R225" s="19">
        <v>223</v>
      </c>
    </row>
    <row r="226" spans="5:18" x14ac:dyDescent="0.15">
      <c r="E226" s="5"/>
      <c r="H226" s="19">
        <v>224</v>
      </c>
      <c r="I226">
        <v>123002</v>
      </c>
      <c r="J226" t="s">
        <v>79</v>
      </c>
      <c r="K226">
        <v>113.7</v>
      </c>
      <c r="L226" s="57">
        <v>0.46159999999999995</v>
      </c>
      <c r="M226">
        <v>159.86000000000001</v>
      </c>
      <c r="N226" s="20">
        <v>2.5214889999999999</v>
      </c>
      <c r="O226" s="5" t="str">
        <f t="shared" si="10"/>
        <v>Yes</v>
      </c>
      <c r="R226" s="19">
        <v>224</v>
      </c>
    </row>
    <row r="227" spans="5:18" x14ac:dyDescent="0.15">
      <c r="E227" s="5"/>
      <c r="H227" s="19">
        <v>225</v>
      </c>
      <c r="I227">
        <v>123059</v>
      </c>
      <c r="J227" t="s">
        <v>187</v>
      </c>
      <c r="K227">
        <v>118.017</v>
      </c>
      <c r="L227" s="57">
        <v>0.42</v>
      </c>
      <c r="M227">
        <v>160.017</v>
      </c>
      <c r="N227" s="20">
        <v>3.912382</v>
      </c>
      <c r="O227" s="5" t="str">
        <f t="shared" si="10"/>
        <v>未买</v>
      </c>
      <c r="R227" s="19">
        <v>225</v>
      </c>
    </row>
    <row r="228" spans="5:18" x14ac:dyDescent="0.15">
      <c r="E228" s="5"/>
      <c r="H228" s="19">
        <v>226</v>
      </c>
      <c r="I228">
        <v>113602</v>
      </c>
      <c r="J228" t="s">
        <v>1749</v>
      </c>
      <c r="K228">
        <v>114.938</v>
      </c>
      <c r="L228" s="57">
        <v>0.45140000000000002</v>
      </c>
      <c r="M228">
        <v>160.078</v>
      </c>
      <c r="N228" s="20">
        <v>17.798719999999999</v>
      </c>
      <c r="O228" s="5" t="str">
        <f t="shared" si="10"/>
        <v>未买</v>
      </c>
      <c r="R228" s="19">
        <v>226</v>
      </c>
    </row>
    <row r="229" spans="5:18" x14ac:dyDescent="0.15">
      <c r="E229" s="5"/>
      <c r="H229" s="19">
        <v>227</v>
      </c>
      <c r="I229">
        <v>118009</v>
      </c>
      <c r="J229" t="s">
        <v>1917</v>
      </c>
      <c r="K229">
        <v>137.946</v>
      </c>
      <c r="L229" s="57">
        <v>0.22469999999999998</v>
      </c>
      <c r="M229">
        <v>160.416</v>
      </c>
      <c r="N229" s="20">
        <v>4</v>
      </c>
      <c r="O229" s="5" t="str">
        <f t="shared" si="10"/>
        <v>未买</v>
      </c>
      <c r="R229" s="19">
        <v>227</v>
      </c>
    </row>
    <row r="230" spans="5:18" x14ac:dyDescent="0.15">
      <c r="E230" s="5"/>
      <c r="H230" s="19">
        <v>228</v>
      </c>
      <c r="I230">
        <v>128040</v>
      </c>
      <c r="J230" t="s">
        <v>1866</v>
      </c>
      <c r="K230">
        <v>159</v>
      </c>
      <c r="L230" s="57">
        <v>1.7100000000000001E-2</v>
      </c>
      <c r="M230">
        <v>160.71</v>
      </c>
      <c r="N230" s="20">
        <v>2.0037470000000002</v>
      </c>
      <c r="O230" s="5" t="str">
        <f t="shared" si="10"/>
        <v>未买</v>
      </c>
      <c r="R230" s="19">
        <v>228</v>
      </c>
    </row>
    <row r="231" spans="5:18" x14ac:dyDescent="0.15">
      <c r="E231" s="5"/>
      <c r="H231" s="19">
        <v>229</v>
      </c>
      <c r="I231">
        <v>118018</v>
      </c>
      <c r="J231" t="s">
        <v>2079</v>
      </c>
      <c r="K231">
        <v>120.43899999999999</v>
      </c>
      <c r="L231" s="57">
        <v>0.40369999999999995</v>
      </c>
      <c r="M231">
        <v>160.809</v>
      </c>
      <c r="N231" s="20">
        <v>4.3</v>
      </c>
      <c r="O231" s="5" t="str">
        <f t="shared" si="10"/>
        <v>未买</v>
      </c>
      <c r="R231" s="19">
        <v>229</v>
      </c>
    </row>
    <row r="232" spans="5:18" x14ac:dyDescent="0.15">
      <c r="E232" s="5"/>
      <c r="H232" s="19">
        <v>230</v>
      </c>
      <c r="I232">
        <v>110088</v>
      </c>
      <c r="J232" t="s">
        <v>2067</v>
      </c>
      <c r="K232">
        <v>124.306</v>
      </c>
      <c r="L232" s="57">
        <v>0.36649999999999999</v>
      </c>
      <c r="M232">
        <v>160.95599999999999</v>
      </c>
      <c r="N232" s="20">
        <v>30</v>
      </c>
      <c r="O232" s="5" t="str">
        <f t="shared" si="10"/>
        <v>未买</v>
      </c>
      <c r="R232" s="19">
        <v>230</v>
      </c>
    </row>
    <row r="233" spans="5:18" x14ac:dyDescent="0.15">
      <c r="E233" s="5"/>
      <c r="H233" s="19">
        <v>231</v>
      </c>
      <c r="I233">
        <v>113561</v>
      </c>
      <c r="J233" t="s">
        <v>84</v>
      </c>
      <c r="K233">
        <v>124.119</v>
      </c>
      <c r="L233" s="57">
        <v>0.36880000000000002</v>
      </c>
      <c r="M233">
        <v>160.999</v>
      </c>
      <c r="N233" s="20">
        <v>1.49898</v>
      </c>
      <c r="O233" s="5" t="str">
        <f t="shared" si="10"/>
        <v>未买</v>
      </c>
      <c r="R233" s="19">
        <v>231</v>
      </c>
    </row>
    <row r="234" spans="5:18" x14ac:dyDescent="0.15">
      <c r="E234" s="5"/>
      <c r="H234" s="19">
        <v>232</v>
      </c>
      <c r="I234">
        <v>111005</v>
      </c>
      <c r="J234" t="s">
        <v>1918</v>
      </c>
      <c r="K234">
        <v>118.72</v>
      </c>
      <c r="L234" s="57">
        <v>0.42280000000000001</v>
      </c>
      <c r="M234">
        <v>161</v>
      </c>
      <c r="N234" s="20">
        <v>5.7</v>
      </c>
      <c r="O234" s="5" t="str">
        <f t="shared" si="10"/>
        <v>未买</v>
      </c>
      <c r="R234" s="19">
        <v>232</v>
      </c>
    </row>
    <row r="235" spans="5:18" x14ac:dyDescent="0.15">
      <c r="E235" s="5"/>
      <c r="H235" s="19">
        <v>233</v>
      </c>
      <c r="I235">
        <v>113648</v>
      </c>
      <c r="J235" t="s">
        <v>1759</v>
      </c>
      <c r="K235">
        <v>119.63200000000001</v>
      </c>
      <c r="L235" s="57">
        <v>0.4143</v>
      </c>
      <c r="M235">
        <v>161.06200000000001</v>
      </c>
      <c r="N235" s="20">
        <v>9.9998699999999996</v>
      </c>
      <c r="O235" s="5" t="str">
        <f t="shared" si="10"/>
        <v>未买</v>
      </c>
      <c r="R235" s="19">
        <v>233</v>
      </c>
    </row>
    <row r="236" spans="5:18" x14ac:dyDescent="0.15">
      <c r="E236" s="5"/>
      <c r="H236" s="19">
        <v>234</v>
      </c>
      <c r="I236">
        <v>111003</v>
      </c>
      <c r="J236" t="s">
        <v>781</v>
      </c>
      <c r="K236">
        <v>123.872</v>
      </c>
      <c r="L236" s="57">
        <v>0.37409999999999999</v>
      </c>
      <c r="M236">
        <v>161.28199999999998</v>
      </c>
      <c r="N236" s="20">
        <v>2.0391300000000001</v>
      </c>
      <c r="O236" s="5" t="str">
        <f t="shared" si="10"/>
        <v>未买</v>
      </c>
      <c r="R236" s="19">
        <v>234</v>
      </c>
    </row>
    <row r="237" spans="5:18" x14ac:dyDescent="0.15">
      <c r="E237" s="5"/>
      <c r="H237" s="19">
        <v>235</v>
      </c>
      <c r="I237">
        <v>118020</v>
      </c>
      <c r="J237" t="s">
        <v>2062</v>
      </c>
      <c r="K237">
        <v>123.801</v>
      </c>
      <c r="L237" s="57">
        <v>0.37790000000000001</v>
      </c>
      <c r="M237">
        <v>161.59100000000001</v>
      </c>
      <c r="N237" s="20">
        <v>6.42</v>
      </c>
      <c r="O237" s="5" t="str">
        <f t="shared" si="10"/>
        <v>未买</v>
      </c>
      <c r="R237" s="19">
        <v>235</v>
      </c>
    </row>
    <row r="238" spans="5:18" x14ac:dyDescent="0.15">
      <c r="E238" s="5"/>
      <c r="H238" s="19">
        <v>236</v>
      </c>
      <c r="I238">
        <v>118011</v>
      </c>
      <c r="J238" t="s">
        <v>1913</v>
      </c>
      <c r="K238">
        <v>117.84099999999999</v>
      </c>
      <c r="L238" s="57">
        <v>0.43759999999999999</v>
      </c>
      <c r="M238">
        <v>161.601</v>
      </c>
      <c r="N238" s="20">
        <v>5</v>
      </c>
      <c r="O238" s="5" t="str">
        <f t="shared" si="10"/>
        <v>未买</v>
      </c>
      <c r="R238" s="19">
        <v>236</v>
      </c>
    </row>
    <row r="239" spans="5:18" x14ac:dyDescent="0.15">
      <c r="E239" s="5"/>
      <c r="H239" s="19">
        <v>237</v>
      </c>
      <c r="I239">
        <v>113601</v>
      </c>
      <c r="J239" t="s">
        <v>64</v>
      </c>
      <c r="K239">
        <v>111.94499999999999</v>
      </c>
      <c r="L239" s="57">
        <v>0.49680000000000002</v>
      </c>
      <c r="M239">
        <v>161.625</v>
      </c>
      <c r="N239" s="20">
        <v>5.4287200000000002</v>
      </c>
      <c r="O239" s="5" t="str">
        <f t="shared" si="10"/>
        <v>未买</v>
      </c>
      <c r="R239" s="19">
        <v>237</v>
      </c>
    </row>
    <row r="240" spans="5:18" x14ac:dyDescent="0.15">
      <c r="E240" s="5"/>
      <c r="H240" s="19">
        <v>238</v>
      </c>
      <c r="I240">
        <v>128039</v>
      </c>
      <c r="J240" t="s">
        <v>111</v>
      </c>
      <c r="K240">
        <v>117.747</v>
      </c>
      <c r="L240" s="57">
        <v>0.43939999999999996</v>
      </c>
      <c r="M240">
        <v>161.68700000000001</v>
      </c>
      <c r="N240" s="20">
        <v>2.0238990000000001</v>
      </c>
      <c r="O240" s="5" t="str">
        <f t="shared" si="10"/>
        <v>未买</v>
      </c>
      <c r="R240" s="19">
        <v>238</v>
      </c>
    </row>
    <row r="241" spans="5:18" x14ac:dyDescent="0.15">
      <c r="E241" s="5"/>
      <c r="H241" s="19">
        <v>239</v>
      </c>
      <c r="I241">
        <v>113653</v>
      </c>
      <c r="J241" t="s">
        <v>2070</v>
      </c>
      <c r="K241">
        <v>122.30800000000001</v>
      </c>
      <c r="L241" s="57">
        <v>0.39479999999999998</v>
      </c>
      <c r="M241">
        <v>161.78800000000001</v>
      </c>
      <c r="N241" s="20">
        <v>7.7</v>
      </c>
      <c r="O241" s="5" t="str">
        <f t="shared" si="10"/>
        <v>未买</v>
      </c>
      <c r="R241" s="19">
        <v>239</v>
      </c>
    </row>
    <row r="242" spans="5:18" x14ac:dyDescent="0.15">
      <c r="E242" s="5"/>
      <c r="H242" s="19">
        <v>240</v>
      </c>
      <c r="I242">
        <v>113619</v>
      </c>
      <c r="J242" t="s">
        <v>205</v>
      </c>
      <c r="K242">
        <v>119.72</v>
      </c>
      <c r="L242" s="57">
        <v>0.42170000000000002</v>
      </c>
      <c r="M242">
        <v>161.88999999999999</v>
      </c>
      <c r="N242" s="20">
        <v>9.9967400000000008</v>
      </c>
      <c r="O242" s="5" t="str">
        <f t="shared" si="10"/>
        <v>未买</v>
      </c>
      <c r="R242" s="19">
        <v>240</v>
      </c>
    </row>
    <row r="243" spans="5:18" x14ac:dyDescent="0.15">
      <c r="E243" s="5"/>
      <c r="H243" s="19">
        <v>241</v>
      </c>
      <c r="I243">
        <v>127071</v>
      </c>
      <c r="J243" t="s">
        <v>2076</v>
      </c>
      <c r="K243">
        <v>115.99</v>
      </c>
      <c r="L243" s="57">
        <v>0.4597</v>
      </c>
      <c r="M243">
        <v>161.95999999999998</v>
      </c>
      <c r="N243" s="20">
        <v>4.95</v>
      </c>
      <c r="O243" s="5" t="str">
        <f t="shared" si="10"/>
        <v>未买</v>
      </c>
      <c r="R243" s="19">
        <v>241</v>
      </c>
    </row>
    <row r="244" spans="5:18" x14ac:dyDescent="0.15">
      <c r="E244" s="5"/>
      <c r="H244" s="19">
        <v>242</v>
      </c>
      <c r="I244">
        <v>128120</v>
      </c>
      <c r="J244" t="s">
        <v>108</v>
      </c>
      <c r="K244">
        <v>117.91</v>
      </c>
      <c r="L244" s="57">
        <v>0.44090000000000001</v>
      </c>
      <c r="M244">
        <v>162</v>
      </c>
      <c r="N244" s="20">
        <v>2.5979830000000002</v>
      </c>
      <c r="O244" s="5" t="str">
        <f t="shared" si="10"/>
        <v>未买</v>
      </c>
      <c r="R244" s="19">
        <v>242</v>
      </c>
    </row>
    <row r="245" spans="5:18" x14ac:dyDescent="0.15">
      <c r="E245" s="5"/>
      <c r="H245" s="19">
        <v>243</v>
      </c>
      <c r="I245">
        <v>128023</v>
      </c>
      <c r="J245" t="s">
        <v>190</v>
      </c>
      <c r="K245">
        <v>116.03</v>
      </c>
      <c r="L245" s="57">
        <v>0.4597</v>
      </c>
      <c r="M245">
        <v>162</v>
      </c>
      <c r="N245" s="20">
        <v>9.9863149999999994</v>
      </c>
      <c r="O245" s="5" t="str">
        <f t="shared" si="10"/>
        <v>未买</v>
      </c>
      <c r="R245" s="19">
        <v>243</v>
      </c>
    </row>
    <row r="246" spans="5:18" x14ac:dyDescent="0.15">
      <c r="E246" s="5"/>
      <c r="H246" s="19">
        <v>244</v>
      </c>
      <c r="I246">
        <v>123035</v>
      </c>
      <c r="J246" t="s">
        <v>115</v>
      </c>
      <c r="K246">
        <v>122.735</v>
      </c>
      <c r="L246" s="57">
        <v>0.39270000000000005</v>
      </c>
      <c r="M246">
        <v>162.005</v>
      </c>
      <c r="N246" s="20">
        <v>7.9875530000000001</v>
      </c>
      <c r="O246" s="5" t="str">
        <f t="shared" si="10"/>
        <v>未买</v>
      </c>
      <c r="R246" s="19">
        <v>244</v>
      </c>
    </row>
    <row r="247" spans="5:18" x14ac:dyDescent="0.15">
      <c r="E247" s="5"/>
      <c r="H247" s="19">
        <v>245</v>
      </c>
      <c r="I247">
        <v>113604</v>
      </c>
      <c r="J247" t="s">
        <v>144</v>
      </c>
      <c r="K247">
        <v>105.889</v>
      </c>
      <c r="L247" s="57">
        <v>0.56640000000000001</v>
      </c>
      <c r="M247">
        <v>162.529</v>
      </c>
      <c r="N247" s="20">
        <v>6.3984399999999999</v>
      </c>
      <c r="O247" s="5" t="str">
        <f t="shared" si="10"/>
        <v>未买</v>
      </c>
      <c r="R247" s="19">
        <v>245</v>
      </c>
    </row>
    <row r="248" spans="5:18" x14ac:dyDescent="0.15">
      <c r="E248" s="5"/>
      <c r="H248" s="19">
        <v>246</v>
      </c>
      <c r="I248">
        <v>127062</v>
      </c>
      <c r="J248" t="s">
        <v>1772</v>
      </c>
      <c r="K248">
        <v>115</v>
      </c>
      <c r="L248" s="57">
        <v>0.47549999999999998</v>
      </c>
      <c r="M248">
        <v>162.55000000000001</v>
      </c>
      <c r="N248" s="20">
        <v>3.9624700000000002</v>
      </c>
      <c r="O248" s="5" t="str">
        <f t="shared" si="10"/>
        <v>未买</v>
      </c>
      <c r="R248" s="19">
        <v>246</v>
      </c>
    </row>
    <row r="249" spans="5:18" x14ac:dyDescent="0.15">
      <c r="E249" s="5"/>
      <c r="H249" s="19">
        <v>247</v>
      </c>
      <c r="I249">
        <v>123048</v>
      </c>
      <c r="J249" t="s">
        <v>208</v>
      </c>
      <c r="K249">
        <v>117.45</v>
      </c>
      <c r="L249" s="57">
        <v>0.45340000000000003</v>
      </c>
      <c r="M249">
        <v>162.79000000000002</v>
      </c>
      <c r="N249" s="20">
        <v>3.7902160000000005</v>
      </c>
      <c r="O249" s="5" t="str">
        <f t="shared" si="10"/>
        <v>未买</v>
      </c>
      <c r="R249" s="19">
        <v>247</v>
      </c>
    </row>
    <row r="250" spans="5:18" x14ac:dyDescent="0.15">
      <c r="E250" s="5"/>
      <c r="H250" s="19">
        <v>248</v>
      </c>
      <c r="I250">
        <v>127070</v>
      </c>
      <c r="J250" t="s">
        <v>2052</v>
      </c>
      <c r="K250">
        <v>148.999</v>
      </c>
      <c r="L250" s="57">
        <v>0.13830000000000001</v>
      </c>
      <c r="M250">
        <v>162.82900000000001</v>
      </c>
      <c r="N250" s="20">
        <v>15.2</v>
      </c>
      <c r="O250" s="5" t="str">
        <f t="shared" si="10"/>
        <v>未买</v>
      </c>
      <c r="R250" s="19">
        <v>248</v>
      </c>
    </row>
    <row r="251" spans="5:18" x14ac:dyDescent="0.15">
      <c r="E251" s="5"/>
      <c r="H251" s="19">
        <v>249</v>
      </c>
      <c r="I251">
        <v>110089</v>
      </c>
      <c r="J251" t="s">
        <v>2075</v>
      </c>
      <c r="K251">
        <v>112.133</v>
      </c>
      <c r="L251" s="57">
        <v>0.50759999999999994</v>
      </c>
      <c r="M251">
        <v>162.893</v>
      </c>
      <c r="N251" s="20">
        <v>28</v>
      </c>
      <c r="O251" s="5" t="str">
        <f t="shared" si="10"/>
        <v>未买</v>
      </c>
      <c r="R251" s="19">
        <v>249</v>
      </c>
    </row>
    <row r="252" spans="5:18" x14ac:dyDescent="0.15">
      <c r="E252" s="5"/>
      <c r="H252" s="19">
        <v>250</v>
      </c>
      <c r="I252">
        <v>111007</v>
      </c>
      <c r="J252" t="s">
        <v>2051</v>
      </c>
      <c r="K252">
        <v>147.779</v>
      </c>
      <c r="L252" s="57">
        <v>0.15240000000000001</v>
      </c>
      <c r="M252">
        <v>163.01900000000001</v>
      </c>
      <c r="N252" s="20">
        <v>8</v>
      </c>
      <c r="O252" s="5" t="str">
        <f t="shared" si="10"/>
        <v>未买</v>
      </c>
      <c r="R252" s="19">
        <v>250</v>
      </c>
    </row>
    <row r="253" spans="5:18" x14ac:dyDescent="0.15">
      <c r="E253" s="5"/>
      <c r="H253" s="19">
        <v>251</v>
      </c>
      <c r="I253">
        <v>123061</v>
      </c>
      <c r="J253" t="s">
        <v>93</v>
      </c>
      <c r="K253">
        <v>120.999</v>
      </c>
      <c r="L253" s="57">
        <v>0.42280000000000001</v>
      </c>
      <c r="M253">
        <v>163.279</v>
      </c>
      <c r="N253" s="20">
        <v>2.4960209999999998</v>
      </c>
      <c r="O253" s="5" t="str">
        <f t="shared" si="10"/>
        <v>未买</v>
      </c>
      <c r="R253" s="19">
        <v>251</v>
      </c>
    </row>
    <row r="254" spans="5:18" x14ac:dyDescent="0.15">
      <c r="E254" s="5"/>
      <c r="H254" s="19">
        <v>252</v>
      </c>
      <c r="I254">
        <v>123085</v>
      </c>
      <c r="J254" t="s">
        <v>1847</v>
      </c>
      <c r="K254">
        <v>161.28</v>
      </c>
      <c r="L254" s="57">
        <v>2.0400000000000001E-2</v>
      </c>
      <c r="M254">
        <v>163.32</v>
      </c>
      <c r="N254" s="20">
        <v>6.0832689999999996</v>
      </c>
      <c r="O254" s="5" t="str">
        <f t="shared" si="10"/>
        <v>未买</v>
      </c>
      <c r="R254" s="19">
        <v>252</v>
      </c>
    </row>
    <row r="255" spans="5:18" x14ac:dyDescent="0.15">
      <c r="E255" s="5"/>
      <c r="H255" s="19">
        <v>253</v>
      </c>
      <c r="I255">
        <v>123159</v>
      </c>
      <c r="J255" t="s">
        <v>2066</v>
      </c>
      <c r="K255">
        <v>121.497</v>
      </c>
      <c r="L255" s="57">
        <v>0.41920000000000002</v>
      </c>
      <c r="M255">
        <v>163.417</v>
      </c>
      <c r="N255" s="20">
        <v>2.9434999999999998</v>
      </c>
      <c r="O255" s="5" t="str">
        <f t="shared" si="10"/>
        <v>未买</v>
      </c>
      <c r="R255" s="19">
        <v>253</v>
      </c>
    </row>
    <row r="256" spans="5:18" x14ac:dyDescent="0.15">
      <c r="E256" s="5"/>
      <c r="H256" s="19">
        <v>254</v>
      </c>
      <c r="I256">
        <v>113021</v>
      </c>
      <c r="J256" t="s">
        <v>1763</v>
      </c>
      <c r="K256">
        <v>109.55</v>
      </c>
      <c r="L256" s="57">
        <v>0.54139999999999999</v>
      </c>
      <c r="M256">
        <v>163.69</v>
      </c>
      <c r="N256" s="20">
        <v>399.99664999999999</v>
      </c>
      <c r="O256" s="5" t="str">
        <f t="shared" si="10"/>
        <v>未买</v>
      </c>
      <c r="R256" s="19">
        <v>254</v>
      </c>
    </row>
    <row r="257" spans="5:18" x14ac:dyDescent="0.15">
      <c r="E257" s="5"/>
      <c r="H257" s="19">
        <v>255</v>
      </c>
      <c r="I257">
        <v>113030</v>
      </c>
      <c r="J257" t="s">
        <v>94</v>
      </c>
      <c r="K257">
        <v>126.78</v>
      </c>
      <c r="L257" s="57">
        <v>0.37</v>
      </c>
      <c r="M257">
        <v>163.78</v>
      </c>
      <c r="N257" s="20">
        <v>2.9485600000000001</v>
      </c>
      <c r="O257" s="5" t="str">
        <f t="shared" si="10"/>
        <v>未买</v>
      </c>
      <c r="R257" s="19">
        <v>255</v>
      </c>
    </row>
    <row r="258" spans="5:18" x14ac:dyDescent="0.15">
      <c r="E258" s="5"/>
      <c r="H258" s="19">
        <v>256</v>
      </c>
      <c r="I258">
        <v>123136</v>
      </c>
      <c r="J258" t="s">
        <v>244</v>
      </c>
      <c r="K258">
        <v>117.79900000000001</v>
      </c>
      <c r="L258" s="57">
        <v>0.4612</v>
      </c>
      <c r="M258">
        <v>163.91900000000001</v>
      </c>
      <c r="N258" s="20">
        <v>4.595243</v>
      </c>
      <c r="O258" s="5" t="str">
        <f t="shared" si="10"/>
        <v>未买</v>
      </c>
      <c r="R258" s="19">
        <v>256</v>
      </c>
    </row>
    <row r="259" spans="5:18" x14ac:dyDescent="0.15">
      <c r="E259" s="5"/>
      <c r="H259" s="19">
        <v>257</v>
      </c>
      <c r="I259">
        <v>123109</v>
      </c>
      <c r="J259" t="s">
        <v>1885</v>
      </c>
      <c r="K259">
        <v>118.65</v>
      </c>
      <c r="L259" s="57">
        <v>0.45329999999999998</v>
      </c>
      <c r="M259">
        <v>163.98000000000002</v>
      </c>
      <c r="N259" s="20">
        <v>4.59551</v>
      </c>
      <c r="O259" s="5" t="str">
        <f t="shared" si="10"/>
        <v>未买</v>
      </c>
      <c r="R259" s="19">
        <v>257</v>
      </c>
    </row>
    <row r="260" spans="5:18" x14ac:dyDescent="0.15">
      <c r="E260" s="5"/>
      <c r="H260" s="19">
        <v>258</v>
      </c>
      <c r="I260">
        <v>123123</v>
      </c>
      <c r="J260" t="s">
        <v>1892</v>
      </c>
      <c r="K260">
        <v>159.4</v>
      </c>
      <c r="L260" s="57">
        <v>4.6100000000000002E-2</v>
      </c>
      <c r="M260">
        <v>164.01000000000002</v>
      </c>
      <c r="N260" s="20">
        <v>5.1514360000000003</v>
      </c>
      <c r="O260" s="5" t="str">
        <f t="shared" ref="O260:O323" si="11">IF(ISNA(MATCH(I260,$A$3:$A$1000,0)),"未买","Yes")</f>
        <v>未买</v>
      </c>
      <c r="R260" s="19">
        <v>258</v>
      </c>
    </row>
    <row r="261" spans="5:18" x14ac:dyDescent="0.15">
      <c r="E261" s="5"/>
      <c r="H261" s="19">
        <v>259</v>
      </c>
      <c r="I261">
        <v>128122</v>
      </c>
      <c r="J261" t="s">
        <v>180</v>
      </c>
      <c r="K261">
        <v>124.31</v>
      </c>
      <c r="L261" s="57">
        <v>0.3972</v>
      </c>
      <c r="M261">
        <v>164.03</v>
      </c>
      <c r="N261" s="20">
        <v>2.6853509999999998</v>
      </c>
      <c r="O261" s="5" t="str">
        <f t="shared" si="11"/>
        <v>未买</v>
      </c>
      <c r="R261" s="19">
        <v>259</v>
      </c>
    </row>
    <row r="262" spans="5:18" x14ac:dyDescent="0.15">
      <c r="E262" s="5"/>
      <c r="H262" s="19">
        <v>260</v>
      </c>
      <c r="I262">
        <v>113656</v>
      </c>
      <c r="J262" t="s">
        <v>2073</v>
      </c>
      <c r="K262">
        <v>113.75</v>
      </c>
      <c r="L262" s="57">
        <v>0.50319999999999998</v>
      </c>
      <c r="M262">
        <v>164.07</v>
      </c>
      <c r="N262" s="20">
        <v>8</v>
      </c>
      <c r="O262" s="5" t="str">
        <f t="shared" si="11"/>
        <v>未买</v>
      </c>
      <c r="R262" s="19">
        <v>260</v>
      </c>
    </row>
    <row r="263" spans="5:18" x14ac:dyDescent="0.15">
      <c r="E263" s="5"/>
      <c r="H263" s="19">
        <v>261</v>
      </c>
      <c r="I263">
        <v>110045</v>
      </c>
      <c r="J263" t="s">
        <v>1756</v>
      </c>
      <c r="K263">
        <v>108.727</v>
      </c>
      <c r="L263" s="57">
        <v>0.55369999999999997</v>
      </c>
      <c r="M263">
        <v>164.09700000000001</v>
      </c>
      <c r="N263" s="20">
        <v>29.49606</v>
      </c>
      <c r="O263" s="5" t="str">
        <f t="shared" si="11"/>
        <v>未买</v>
      </c>
      <c r="R263" s="19">
        <v>261</v>
      </c>
    </row>
    <row r="264" spans="5:18" x14ac:dyDescent="0.15">
      <c r="E264" s="5"/>
      <c r="H264" s="19">
        <v>262</v>
      </c>
      <c r="I264">
        <v>123114</v>
      </c>
      <c r="J264" t="s">
        <v>1860</v>
      </c>
      <c r="K264">
        <v>148.9</v>
      </c>
      <c r="L264" s="57">
        <v>0.152</v>
      </c>
      <c r="M264">
        <v>164.1</v>
      </c>
      <c r="N264" s="20">
        <v>9.0080789999999986</v>
      </c>
      <c r="O264" s="5" t="str">
        <f t="shared" si="11"/>
        <v>未买</v>
      </c>
      <c r="R264" s="19">
        <v>262</v>
      </c>
    </row>
    <row r="265" spans="5:18" x14ac:dyDescent="0.15">
      <c r="E265" s="5"/>
      <c r="H265" s="19">
        <v>263</v>
      </c>
      <c r="I265">
        <v>113061</v>
      </c>
      <c r="J265" t="s">
        <v>1904</v>
      </c>
      <c r="K265">
        <v>129.249</v>
      </c>
      <c r="L265" s="57">
        <v>0.35</v>
      </c>
      <c r="M265">
        <v>164.249</v>
      </c>
      <c r="N265" s="20">
        <v>25</v>
      </c>
      <c r="O265" s="5" t="str">
        <f t="shared" si="11"/>
        <v>未买</v>
      </c>
      <c r="R265" s="19">
        <v>263</v>
      </c>
    </row>
    <row r="266" spans="5:18" x14ac:dyDescent="0.15">
      <c r="E266" s="5"/>
      <c r="H266" s="19">
        <v>264</v>
      </c>
      <c r="I266">
        <v>113651</v>
      </c>
      <c r="J266" t="s">
        <v>2077</v>
      </c>
      <c r="K266">
        <v>123.82599999999999</v>
      </c>
      <c r="L266" s="57">
        <v>0.4052</v>
      </c>
      <c r="M266">
        <v>164.346</v>
      </c>
      <c r="N266" s="20">
        <v>6.1</v>
      </c>
      <c r="O266" s="5" t="str">
        <f t="shared" si="11"/>
        <v>未买</v>
      </c>
      <c r="R266" s="19">
        <v>264</v>
      </c>
    </row>
    <row r="267" spans="5:18" x14ac:dyDescent="0.15">
      <c r="E267" s="5"/>
      <c r="H267" s="19">
        <v>265</v>
      </c>
      <c r="I267">
        <v>118007</v>
      </c>
      <c r="J267" t="s">
        <v>779</v>
      </c>
      <c r="K267">
        <v>127.047</v>
      </c>
      <c r="L267" s="57">
        <v>0.37540000000000001</v>
      </c>
      <c r="M267">
        <v>164.58699999999999</v>
      </c>
      <c r="N267" s="20">
        <v>2.6740499999999998</v>
      </c>
      <c r="O267" s="5" t="str">
        <f t="shared" si="11"/>
        <v>未买</v>
      </c>
      <c r="R267" s="19">
        <v>265</v>
      </c>
    </row>
    <row r="268" spans="5:18" x14ac:dyDescent="0.15">
      <c r="E268" s="5"/>
      <c r="H268" s="19">
        <v>266</v>
      </c>
      <c r="I268">
        <v>123152</v>
      </c>
      <c r="J268" t="s">
        <v>1901</v>
      </c>
      <c r="K268">
        <v>128.71199999999999</v>
      </c>
      <c r="L268" s="57">
        <v>0.35920000000000002</v>
      </c>
      <c r="M268">
        <v>164.63200000000001</v>
      </c>
      <c r="N268" s="20">
        <v>2.9235000000000002</v>
      </c>
      <c r="O268" s="5" t="str">
        <f t="shared" si="11"/>
        <v>未买</v>
      </c>
      <c r="R268" s="19">
        <v>266</v>
      </c>
    </row>
    <row r="269" spans="5:18" x14ac:dyDescent="0.15">
      <c r="E269" s="5"/>
      <c r="H269" s="19">
        <v>267</v>
      </c>
      <c r="I269">
        <v>128132</v>
      </c>
      <c r="J269" t="s">
        <v>142</v>
      </c>
      <c r="K269">
        <v>109.202</v>
      </c>
      <c r="L269" s="57">
        <v>0.55649999999999999</v>
      </c>
      <c r="M269">
        <v>164.852</v>
      </c>
      <c r="N269" s="20">
        <v>8.4893870000000007</v>
      </c>
      <c r="O269" s="5" t="str">
        <f t="shared" si="11"/>
        <v>未买</v>
      </c>
      <c r="R269" s="19">
        <v>267</v>
      </c>
    </row>
    <row r="270" spans="5:18" x14ac:dyDescent="0.15">
      <c r="E270" s="5"/>
      <c r="H270" s="19">
        <v>268</v>
      </c>
      <c r="I270">
        <v>118019</v>
      </c>
      <c r="J270" t="s">
        <v>2069</v>
      </c>
      <c r="K270">
        <v>137.82400000000001</v>
      </c>
      <c r="L270" s="57">
        <v>0.2707</v>
      </c>
      <c r="M270">
        <v>164.89400000000001</v>
      </c>
      <c r="N270" s="20">
        <v>9.7670200000000005</v>
      </c>
      <c r="O270" s="5" t="str">
        <f t="shared" si="11"/>
        <v>未买</v>
      </c>
      <c r="R270" s="19">
        <v>268</v>
      </c>
    </row>
    <row r="271" spans="5:18" x14ac:dyDescent="0.15">
      <c r="E271" s="5"/>
      <c r="H271" s="19">
        <v>269</v>
      </c>
      <c r="I271">
        <v>123145</v>
      </c>
      <c r="J271" t="s">
        <v>1746</v>
      </c>
      <c r="K271">
        <v>129.6</v>
      </c>
      <c r="L271" s="57">
        <v>0.35470000000000002</v>
      </c>
      <c r="M271">
        <v>165.07</v>
      </c>
      <c r="N271" s="20">
        <v>11.494399</v>
      </c>
      <c r="O271" s="5" t="str">
        <f t="shared" si="11"/>
        <v>未买</v>
      </c>
      <c r="R271" s="19">
        <v>269</v>
      </c>
    </row>
    <row r="272" spans="5:18" x14ac:dyDescent="0.15">
      <c r="E272" s="5"/>
      <c r="H272" s="19">
        <v>270</v>
      </c>
      <c r="I272">
        <v>110073</v>
      </c>
      <c r="J272" t="s">
        <v>1768</v>
      </c>
      <c r="K272">
        <v>103.7</v>
      </c>
      <c r="L272" s="57">
        <v>0.61499999999999999</v>
      </c>
      <c r="M272">
        <v>165.2</v>
      </c>
      <c r="N272" s="20">
        <v>79.993110000000001</v>
      </c>
      <c r="O272" s="5" t="str">
        <f t="shared" si="11"/>
        <v>未买</v>
      </c>
      <c r="R272" s="19">
        <v>270</v>
      </c>
    </row>
    <row r="273" spans="5:18" x14ac:dyDescent="0.15">
      <c r="E273" s="5"/>
      <c r="H273" s="19">
        <v>271</v>
      </c>
      <c r="I273">
        <v>123132</v>
      </c>
      <c r="J273" t="s">
        <v>224</v>
      </c>
      <c r="K273">
        <v>116.73699999999999</v>
      </c>
      <c r="L273" s="57">
        <v>0.48499999999999999</v>
      </c>
      <c r="M273">
        <v>165.23699999999999</v>
      </c>
      <c r="N273" s="20">
        <v>6.9996570000000009</v>
      </c>
      <c r="O273" s="5" t="str">
        <f t="shared" si="11"/>
        <v>未买</v>
      </c>
      <c r="R273" s="19">
        <v>271</v>
      </c>
    </row>
    <row r="274" spans="5:18" x14ac:dyDescent="0.15">
      <c r="E274" s="5"/>
      <c r="H274" s="19">
        <v>272</v>
      </c>
      <c r="I274">
        <v>113542</v>
      </c>
      <c r="J274" t="s">
        <v>158</v>
      </c>
      <c r="K274">
        <v>112.414</v>
      </c>
      <c r="L274" s="57">
        <v>0.53049999999999997</v>
      </c>
      <c r="M274">
        <v>165.464</v>
      </c>
      <c r="N274" s="20">
        <v>6.0262200000000004</v>
      </c>
      <c r="O274" s="5" t="str">
        <f t="shared" si="11"/>
        <v>未买</v>
      </c>
      <c r="R274" s="19">
        <v>272</v>
      </c>
    </row>
    <row r="275" spans="5:18" x14ac:dyDescent="0.15">
      <c r="E275" s="5"/>
      <c r="H275" s="19">
        <v>273</v>
      </c>
      <c r="I275">
        <v>123140</v>
      </c>
      <c r="J275" t="s">
        <v>751</v>
      </c>
      <c r="K275">
        <v>135.018</v>
      </c>
      <c r="L275" s="57">
        <v>0.30459999999999998</v>
      </c>
      <c r="M275">
        <v>165.47800000000001</v>
      </c>
      <c r="N275" s="20">
        <v>1.719738</v>
      </c>
      <c r="O275" s="5" t="str">
        <f t="shared" si="11"/>
        <v>未买</v>
      </c>
      <c r="R275" s="19">
        <v>273</v>
      </c>
    </row>
    <row r="276" spans="5:18" x14ac:dyDescent="0.15">
      <c r="E276" s="5"/>
      <c r="H276" s="19">
        <v>274</v>
      </c>
      <c r="I276">
        <v>113043</v>
      </c>
      <c r="J276" t="s">
        <v>1769</v>
      </c>
      <c r="K276">
        <v>105.325</v>
      </c>
      <c r="L276" s="57">
        <v>0.60289999999999999</v>
      </c>
      <c r="M276">
        <v>165.61500000000001</v>
      </c>
      <c r="N276" s="20">
        <v>37.99756</v>
      </c>
      <c r="O276" s="5" t="str">
        <f t="shared" si="11"/>
        <v>未买</v>
      </c>
      <c r="R276" s="19">
        <v>274</v>
      </c>
    </row>
    <row r="277" spans="5:18" x14ac:dyDescent="0.15">
      <c r="E277" s="5"/>
      <c r="H277" s="19">
        <v>275</v>
      </c>
      <c r="I277">
        <v>127056</v>
      </c>
      <c r="J277" t="s">
        <v>1755</v>
      </c>
      <c r="K277">
        <v>109.4</v>
      </c>
      <c r="L277" s="57">
        <v>0.56669999999999998</v>
      </c>
      <c r="M277">
        <v>166.07</v>
      </c>
      <c r="N277" s="20">
        <v>49.997469000000002</v>
      </c>
      <c r="O277" s="5" t="str">
        <f t="shared" si="11"/>
        <v>未买</v>
      </c>
      <c r="R277" s="19">
        <v>275</v>
      </c>
    </row>
    <row r="278" spans="5:18" x14ac:dyDescent="0.15">
      <c r="E278" s="5"/>
      <c r="H278" s="19">
        <v>276</v>
      </c>
      <c r="I278">
        <v>118017</v>
      </c>
      <c r="J278" t="s">
        <v>2074</v>
      </c>
      <c r="K278">
        <v>123.16</v>
      </c>
      <c r="L278" s="57">
        <v>0.43310000000000004</v>
      </c>
      <c r="M278">
        <v>166.47</v>
      </c>
      <c r="N278" s="20">
        <v>3.6</v>
      </c>
      <c r="O278" s="5" t="str">
        <f t="shared" si="11"/>
        <v>未买</v>
      </c>
      <c r="R278" s="19">
        <v>276</v>
      </c>
    </row>
    <row r="279" spans="5:18" x14ac:dyDescent="0.15">
      <c r="E279" s="5"/>
      <c r="H279" s="19">
        <v>277</v>
      </c>
      <c r="I279">
        <v>128014</v>
      </c>
      <c r="J279" t="s">
        <v>168</v>
      </c>
      <c r="K279">
        <v>114.7</v>
      </c>
      <c r="L279" s="57">
        <v>0.51840000000000008</v>
      </c>
      <c r="M279">
        <v>166.54000000000002</v>
      </c>
      <c r="N279" s="20">
        <v>3.369488</v>
      </c>
      <c r="O279" s="5" t="str">
        <f t="shared" si="11"/>
        <v>未买</v>
      </c>
      <c r="R279" s="19">
        <v>277</v>
      </c>
    </row>
    <row r="280" spans="5:18" x14ac:dyDescent="0.15">
      <c r="E280" s="5"/>
      <c r="H280" s="19">
        <v>278</v>
      </c>
      <c r="I280">
        <v>123115</v>
      </c>
      <c r="J280" t="s">
        <v>1765</v>
      </c>
      <c r="K280">
        <v>114.506</v>
      </c>
      <c r="L280" s="57">
        <v>0.52070000000000005</v>
      </c>
      <c r="M280">
        <v>166.57599999999999</v>
      </c>
      <c r="N280" s="20">
        <v>11.946094</v>
      </c>
      <c r="O280" s="5" t="str">
        <f t="shared" si="11"/>
        <v>未买</v>
      </c>
      <c r="R280" s="19">
        <v>278</v>
      </c>
    </row>
    <row r="281" spans="5:18" x14ac:dyDescent="0.15">
      <c r="E281" s="5"/>
      <c r="H281" s="19">
        <v>279</v>
      </c>
      <c r="I281">
        <v>128135</v>
      </c>
      <c r="J281" t="s">
        <v>1737</v>
      </c>
      <c r="K281">
        <v>119</v>
      </c>
      <c r="L281" s="57">
        <v>0.47729999999999995</v>
      </c>
      <c r="M281">
        <v>166.73</v>
      </c>
      <c r="N281" s="20">
        <v>13.398585000000001</v>
      </c>
      <c r="O281" s="5" t="str">
        <f t="shared" si="11"/>
        <v>未买</v>
      </c>
      <c r="R281" s="19">
        <v>279</v>
      </c>
    </row>
    <row r="282" spans="5:18" x14ac:dyDescent="0.15">
      <c r="E282" s="5"/>
      <c r="H282" s="19">
        <v>280</v>
      </c>
      <c r="I282">
        <v>123088</v>
      </c>
      <c r="J282" t="s">
        <v>209</v>
      </c>
      <c r="K282">
        <v>120.39700000000001</v>
      </c>
      <c r="L282" s="57">
        <v>0.46539999999999998</v>
      </c>
      <c r="M282">
        <v>166.93700000000001</v>
      </c>
      <c r="N282" s="20">
        <v>3.0112640000000002</v>
      </c>
      <c r="O282" s="5" t="str">
        <f t="shared" si="11"/>
        <v>未买</v>
      </c>
      <c r="R282" s="19">
        <v>280</v>
      </c>
    </row>
    <row r="283" spans="5:18" x14ac:dyDescent="0.15">
      <c r="E283" s="5"/>
      <c r="H283" s="19">
        <v>281</v>
      </c>
      <c r="I283">
        <v>123153</v>
      </c>
      <c r="J283" t="s">
        <v>1922</v>
      </c>
      <c r="K283">
        <v>118.027</v>
      </c>
      <c r="L283" s="57">
        <v>0.49009999999999998</v>
      </c>
      <c r="M283">
        <v>167.03700000000001</v>
      </c>
      <c r="N283" s="20">
        <v>3.4</v>
      </c>
      <c r="O283" s="5" t="str">
        <f t="shared" si="11"/>
        <v>未买</v>
      </c>
      <c r="R283" s="19">
        <v>281</v>
      </c>
    </row>
    <row r="284" spans="5:18" x14ac:dyDescent="0.15">
      <c r="E284" s="5"/>
      <c r="H284" s="19">
        <v>282</v>
      </c>
      <c r="I284">
        <v>111001</v>
      </c>
      <c r="J284" t="s">
        <v>198</v>
      </c>
      <c r="K284">
        <v>115.667</v>
      </c>
      <c r="L284" s="57">
        <v>0.51500000000000001</v>
      </c>
      <c r="M284">
        <v>167.167</v>
      </c>
      <c r="N284" s="20">
        <v>5.9993699999999999</v>
      </c>
      <c r="O284" s="5" t="str">
        <f t="shared" si="11"/>
        <v>未买</v>
      </c>
      <c r="R284" s="19">
        <v>282</v>
      </c>
    </row>
    <row r="285" spans="5:18" x14ac:dyDescent="0.15">
      <c r="E285" s="5"/>
      <c r="H285" s="19">
        <v>283</v>
      </c>
      <c r="I285">
        <v>128101</v>
      </c>
      <c r="J285" t="s">
        <v>1905</v>
      </c>
      <c r="K285">
        <v>133.73400000000001</v>
      </c>
      <c r="L285" s="57">
        <v>0.33439999999999998</v>
      </c>
      <c r="M285">
        <v>167.17400000000001</v>
      </c>
      <c r="N285" s="20">
        <v>2.9901110000000002</v>
      </c>
      <c r="O285" s="5" t="str">
        <f t="shared" si="11"/>
        <v>未买</v>
      </c>
      <c r="R285" s="19">
        <v>283</v>
      </c>
    </row>
    <row r="286" spans="5:18" x14ac:dyDescent="0.15">
      <c r="E286" s="5"/>
      <c r="H286" s="19">
        <v>284</v>
      </c>
      <c r="I286">
        <v>123054</v>
      </c>
      <c r="J286" t="s">
        <v>80</v>
      </c>
      <c r="K286">
        <v>124.64</v>
      </c>
      <c r="L286" s="57">
        <v>0.4264</v>
      </c>
      <c r="M286">
        <v>167.28</v>
      </c>
      <c r="N286" s="20">
        <v>2.0730419999999996</v>
      </c>
      <c r="O286" s="5" t="str">
        <f t="shared" si="11"/>
        <v>未买</v>
      </c>
      <c r="R286" s="19">
        <v>284</v>
      </c>
    </row>
    <row r="287" spans="5:18" x14ac:dyDescent="0.15">
      <c r="E287" s="5"/>
      <c r="H287" s="19">
        <v>285</v>
      </c>
      <c r="I287" s="7">
        <v>123078</v>
      </c>
      <c r="J287" s="7" t="s">
        <v>2059</v>
      </c>
      <c r="K287" s="7">
        <v>145.65</v>
      </c>
      <c r="L287" s="58">
        <v>0.21879999999999999</v>
      </c>
      <c r="M287" s="7">
        <v>167.53</v>
      </c>
      <c r="N287" s="32">
        <v>6.183573</v>
      </c>
      <c r="O287" s="5" t="str">
        <f t="shared" si="11"/>
        <v>未买</v>
      </c>
      <c r="R287" s="19">
        <v>285</v>
      </c>
    </row>
    <row r="288" spans="5:18" x14ac:dyDescent="0.15">
      <c r="E288" s="5"/>
      <c r="H288" s="19">
        <v>286</v>
      </c>
      <c r="I288" s="7">
        <v>118006</v>
      </c>
      <c r="J288" s="7" t="s">
        <v>770</v>
      </c>
      <c r="K288" s="7">
        <v>122.584</v>
      </c>
      <c r="L288" s="58">
        <v>0.44950000000000001</v>
      </c>
      <c r="M288" s="7">
        <v>167.53399999999999</v>
      </c>
      <c r="N288" s="32">
        <v>3.8737499999999998</v>
      </c>
      <c r="O288" s="5" t="str">
        <f t="shared" si="11"/>
        <v>未买</v>
      </c>
      <c r="R288" s="19">
        <v>286</v>
      </c>
    </row>
    <row r="289" spans="5:18" x14ac:dyDescent="0.15">
      <c r="E289" s="5"/>
      <c r="H289" s="19">
        <v>287</v>
      </c>
      <c r="I289" s="7">
        <v>113605</v>
      </c>
      <c r="J289" s="7" t="s">
        <v>1791</v>
      </c>
      <c r="K289" s="7">
        <v>117.697</v>
      </c>
      <c r="L289" s="58">
        <v>0.49950000000000006</v>
      </c>
      <c r="M289" s="7">
        <v>167.64699999999999</v>
      </c>
      <c r="N289" s="32">
        <v>14.04745</v>
      </c>
      <c r="O289" s="5" t="str">
        <f t="shared" si="11"/>
        <v>未买</v>
      </c>
      <c r="R289" s="19">
        <v>287</v>
      </c>
    </row>
    <row r="290" spans="5:18" x14ac:dyDescent="0.15">
      <c r="E290" s="5"/>
      <c r="H290" s="19">
        <v>288</v>
      </c>
      <c r="I290" s="7">
        <v>123131</v>
      </c>
      <c r="J290" s="7" t="s">
        <v>220</v>
      </c>
      <c r="K290" s="7">
        <v>117.952</v>
      </c>
      <c r="L290" s="58">
        <v>0.49840000000000001</v>
      </c>
      <c r="M290" s="7">
        <v>167.792</v>
      </c>
      <c r="N290" s="32">
        <v>6.3496860000000002</v>
      </c>
      <c r="O290" s="5" t="str">
        <f t="shared" si="11"/>
        <v>未买</v>
      </c>
      <c r="R290" s="19">
        <v>288</v>
      </c>
    </row>
    <row r="291" spans="5:18" x14ac:dyDescent="0.15">
      <c r="E291" s="5"/>
      <c r="H291" s="19">
        <v>289</v>
      </c>
      <c r="I291" s="7">
        <v>113636</v>
      </c>
      <c r="J291" s="7" t="s">
        <v>221</v>
      </c>
      <c r="K291" s="7">
        <v>117.79600000000001</v>
      </c>
      <c r="L291" s="58">
        <v>0.50369999999999993</v>
      </c>
      <c r="M291" s="7">
        <v>168.166</v>
      </c>
      <c r="N291" s="32">
        <v>9.9954099999999997</v>
      </c>
      <c r="O291" s="5" t="str">
        <f t="shared" si="11"/>
        <v>未买</v>
      </c>
      <c r="R291" s="19">
        <v>289</v>
      </c>
    </row>
    <row r="292" spans="5:18" x14ac:dyDescent="0.15">
      <c r="E292" s="5"/>
      <c r="H292" s="19">
        <v>290</v>
      </c>
      <c r="I292" s="7">
        <v>127067</v>
      </c>
      <c r="J292" s="7" t="s">
        <v>2081</v>
      </c>
      <c r="K292" s="7">
        <v>108.307</v>
      </c>
      <c r="L292" s="58">
        <v>0.60860000000000003</v>
      </c>
      <c r="M292" s="7">
        <v>169.167</v>
      </c>
      <c r="N292" s="32">
        <v>30</v>
      </c>
      <c r="O292" s="5" t="str">
        <f t="shared" si="11"/>
        <v>未买</v>
      </c>
      <c r="R292" s="19">
        <v>290</v>
      </c>
    </row>
    <row r="293" spans="5:18" x14ac:dyDescent="0.15">
      <c r="E293" s="5"/>
      <c r="H293" s="19">
        <v>291</v>
      </c>
      <c r="I293" s="7">
        <v>123106</v>
      </c>
      <c r="J293" s="7" t="s">
        <v>63</v>
      </c>
      <c r="K293" s="7">
        <v>114.087</v>
      </c>
      <c r="L293" s="58">
        <v>0.55090000000000006</v>
      </c>
      <c r="M293" s="7">
        <v>169.17700000000002</v>
      </c>
      <c r="N293" s="32">
        <v>3.1996630000000001</v>
      </c>
      <c r="O293" s="5" t="str">
        <f t="shared" si="11"/>
        <v>未买</v>
      </c>
      <c r="R293" s="19">
        <v>291</v>
      </c>
    </row>
    <row r="294" spans="5:18" x14ac:dyDescent="0.15">
      <c r="E294" s="5"/>
      <c r="H294" s="19">
        <v>292</v>
      </c>
      <c r="I294" s="7">
        <v>123163</v>
      </c>
      <c r="J294" s="7" t="s">
        <v>2072</v>
      </c>
      <c r="K294" s="7">
        <v>124.7</v>
      </c>
      <c r="L294" s="58">
        <v>0.44700000000000001</v>
      </c>
      <c r="M294" s="7">
        <v>169.4</v>
      </c>
      <c r="N294" s="32">
        <v>3.1</v>
      </c>
      <c r="O294" s="5" t="str">
        <f t="shared" si="11"/>
        <v>未买</v>
      </c>
      <c r="R294" s="19">
        <v>292</v>
      </c>
    </row>
    <row r="295" spans="5:18" x14ac:dyDescent="0.15">
      <c r="E295" s="5"/>
      <c r="H295" s="19">
        <v>293</v>
      </c>
      <c r="I295" s="7">
        <v>113046</v>
      </c>
      <c r="J295" s="7" t="s">
        <v>1764</v>
      </c>
      <c r="K295" s="7">
        <v>106.953</v>
      </c>
      <c r="L295" s="58">
        <v>0.62570000000000003</v>
      </c>
      <c r="M295" s="7">
        <v>169.523</v>
      </c>
      <c r="N295" s="32">
        <v>14.998749999999999</v>
      </c>
      <c r="O295" s="5" t="str">
        <f t="shared" si="11"/>
        <v>未买</v>
      </c>
      <c r="R295" s="19">
        <v>293</v>
      </c>
    </row>
    <row r="296" spans="5:18" x14ac:dyDescent="0.15">
      <c r="E296" s="5"/>
      <c r="H296" s="19">
        <v>294</v>
      </c>
      <c r="I296" s="7">
        <v>123108</v>
      </c>
      <c r="J296" s="7" t="s">
        <v>1780</v>
      </c>
      <c r="K296" s="7">
        <v>121.9</v>
      </c>
      <c r="L296" s="58">
        <v>0.4763</v>
      </c>
      <c r="M296" s="7">
        <v>169.53</v>
      </c>
      <c r="N296" s="32">
        <v>16.377229</v>
      </c>
      <c r="O296" s="5" t="str">
        <f t="shared" si="11"/>
        <v>未买</v>
      </c>
      <c r="R296" s="19">
        <v>294</v>
      </c>
    </row>
    <row r="297" spans="5:18" x14ac:dyDescent="0.15">
      <c r="E297" s="5"/>
      <c r="H297" s="19">
        <v>295</v>
      </c>
      <c r="I297" s="7">
        <v>127047</v>
      </c>
      <c r="J297" s="7" t="s">
        <v>1757</v>
      </c>
      <c r="K297" s="7">
        <v>97.7</v>
      </c>
      <c r="L297" s="58">
        <v>0.72160000000000002</v>
      </c>
      <c r="M297" s="7">
        <v>169.86</v>
      </c>
      <c r="N297" s="32">
        <v>14.998894</v>
      </c>
      <c r="O297" s="5" t="str">
        <f t="shared" si="11"/>
        <v>未买</v>
      </c>
      <c r="R297" s="19">
        <v>295</v>
      </c>
    </row>
    <row r="298" spans="5:18" x14ac:dyDescent="0.15">
      <c r="E298" s="5"/>
      <c r="H298" s="19">
        <v>296</v>
      </c>
      <c r="I298" s="7">
        <v>113049</v>
      </c>
      <c r="J298" s="7" t="s">
        <v>1732</v>
      </c>
      <c r="K298" s="7">
        <v>116.712</v>
      </c>
      <c r="L298" s="58">
        <v>0.53349999999999997</v>
      </c>
      <c r="M298" s="7">
        <v>170.06200000000001</v>
      </c>
      <c r="N298" s="32">
        <v>34.95496</v>
      </c>
      <c r="O298" s="5" t="str">
        <f t="shared" si="11"/>
        <v>未买</v>
      </c>
      <c r="R298" s="19">
        <v>296</v>
      </c>
    </row>
    <row r="299" spans="5:18" x14ac:dyDescent="0.15">
      <c r="E299" s="5"/>
      <c r="H299" s="19">
        <v>297</v>
      </c>
      <c r="I299" s="7">
        <v>113658</v>
      </c>
      <c r="J299" s="7" t="s">
        <v>2071</v>
      </c>
      <c r="K299" s="7">
        <v>123.678</v>
      </c>
      <c r="L299" s="58">
        <v>0.4642</v>
      </c>
      <c r="M299" s="7">
        <v>170.09800000000001</v>
      </c>
      <c r="N299" s="32">
        <v>8.7238799999999994</v>
      </c>
      <c r="O299" s="5" t="str">
        <f t="shared" si="11"/>
        <v>未买</v>
      </c>
      <c r="R299" s="19">
        <v>297</v>
      </c>
    </row>
    <row r="300" spans="5:18" x14ac:dyDescent="0.15">
      <c r="E300" s="5"/>
      <c r="H300" s="19">
        <v>298</v>
      </c>
      <c r="I300" s="7">
        <v>123014</v>
      </c>
      <c r="J300" s="7" t="s">
        <v>55</v>
      </c>
      <c r="K300" s="7">
        <v>136.4</v>
      </c>
      <c r="L300" s="58">
        <v>0.33740000000000003</v>
      </c>
      <c r="M300" s="7">
        <v>170.14000000000001</v>
      </c>
      <c r="N300" s="32">
        <v>1.1602950000000001</v>
      </c>
      <c r="O300" s="5" t="str">
        <f t="shared" si="11"/>
        <v>未买</v>
      </c>
      <c r="R300" s="19">
        <v>298</v>
      </c>
    </row>
    <row r="301" spans="5:18" x14ac:dyDescent="0.15">
      <c r="E301" s="5"/>
      <c r="H301" s="19">
        <v>299</v>
      </c>
      <c r="I301" s="7">
        <v>110058</v>
      </c>
      <c r="J301" s="7" t="s">
        <v>77</v>
      </c>
      <c r="K301" s="7">
        <v>114.396</v>
      </c>
      <c r="L301" s="58">
        <v>0.55830000000000002</v>
      </c>
      <c r="M301" s="7">
        <v>170.226</v>
      </c>
      <c r="N301" s="32">
        <v>2.6101999999999999</v>
      </c>
      <c r="O301" s="5" t="str">
        <f t="shared" si="11"/>
        <v>未买</v>
      </c>
      <c r="R301" s="19">
        <v>299</v>
      </c>
    </row>
    <row r="302" spans="5:18" x14ac:dyDescent="0.15">
      <c r="E302" s="5"/>
      <c r="H302" s="19">
        <v>300</v>
      </c>
      <c r="I302" s="7">
        <v>128105</v>
      </c>
      <c r="J302" s="7" t="s">
        <v>166</v>
      </c>
      <c r="K302" s="7">
        <v>103.95699999999999</v>
      </c>
      <c r="L302" s="58">
        <v>0.66459999999999997</v>
      </c>
      <c r="M302" s="7">
        <v>170.41699999999997</v>
      </c>
      <c r="N302" s="32">
        <v>7.9945289999999991</v>
      </c>
      <c r="O302" s="5" t="str">
        <f t="shared" si="11"/>
        <v>未买</v>
      </c>
      <c r="R302" s="19">
        <v>300</v>
      </c>
    </row>
    <row r="303" spans="5:18" x14ac:dyDescent="0.15">
      <c r="E303" s="5"/>
      <c r="H303" s="19">
        <v>301</v>
      </c>
      <c r="I303" s="7">
        <v>128026</v>
      </c>
      <c r="J303" s="7" t="s">
        <v>171</v>
      </c>
      <c r="K303" s="7">
        <v>113.65</v>
      </c>
      <c r="L303" s="58">
        <v>0.56820000000000004</v>
      </c>
      <c r="M303" s="7">
        <v>170.47</v>
      </c>
      <c r="N303" s="32">
        <v>4.0853299999999999</v>
      </c>
      <c r="O303" s="5" t="str">
        <f t="shared" si="11"/>
        <v>未买</v>
      </c>
      <c r="R303" s="19">
        <v>301</v>
      </c>
    </row>
    <row r="304" spans="5:18" x14ac:dyDescent="0.15">
      <c r="E304" s="5"/>
      <c r="H304" s="19">
        <v>302</v>
      </c>
      <c r="I304" s="7">
        <v>127015</v>
      </c>
      <c r="J304" s="7" t="s">
        <v>149</v>
      </c>
      <c r="K304" s="7">
        <v>109.95699999999999</v>
      </c>
      <c r="L304" s="58">
        <v>0.60609999999999997</v>
      </c>
      <c r="M304" s="7">
        <v>170.56700000000001</v>
      </c>
      <c r="N304" s="32">
        <v>9.4948960000000007</v>
      </c>
      <c r="O304" s="5" t="str">
        <f t="shared" si="11"/>
        <v>未买</v>
      </c>
      <c r="R304" s="19">
        <v>302</v>
      </c>
    </row>
    <row r="305" spans="5:18" x14ac:dyDescent="0.15">
      <c r="E305" s="5"/>
      <c r="H305" s="19">
        <v>303</v>
      </c>
      <c r="I305" s="7">
        <v>110072</v>
      </c>
      <c r="J305" s="7" t="s">
        <v>1753</v>
      </c>
      <c r="K305" s="7">
        <v>94.835999999999999</v>
      </c>
      <c r="L305" s="58">
        <v>0.7611</v>
      </c>
      <c r="M305" s="7">
        <v>170.946</v>
      </c>
      <c r="N305" s="32">
        <v>33.661360000000002</v>
      </c>
      <c r="O305" s="5" t="str">
        <f t="shared" si="11"/>
        <v>未买</v>
      </c>
      <c r="R305" s="19">
        <v>303</v>
      </c>
    </row>
    <row r="306" spans="5:18" x14ac:dyDescent="0.15">
      <c r="E306" s="5"/>
      <c r="H306" s="19">
        <v>304</v>
      </c>
      <c r="I306" s="7">
        <v>118014</v>
      </c>
      <c r="J306" s="7" t="s">
        <v>1915</v>
      </c>
      <c r="K306" s="7">
        <v>130.197</v>
      </c>
      <c r="L306" s="58">
        <v>0.40749999999999997</v>
      </c>
      <c r="M306" s="7">
        <v>170.947</v>
      </c>
      <c r="N306" s="32">
        <v>4.8330000000000002</v>
      </c>
      <c r="O306" s="5" t="str">
        <f t="shared" si="11"/>
        <v>未买</v>
      </c>
      <c r="R306" s="19">
        <v>304</v>
      </c>
    </row>
    <row r="307" spans="5:18" x14ac:dyDescent="0.15">
      <c r="E307" s="5"/>
      <c r="H307" s="19">
        <v>305</v>
      </c>
      <c r="I307" s="7">
        <v>127064</v>
      </c>
      <c r="J307" s="7" t="s">
        <v>1909</v>
      </c>
      <c r="K307" s="7">
        <v>158.30000000000001</v>
      </c>
      <c r="L307" s="58">
        <v>0.12689999999999999</v>
      </c>
      <c r="M307" s="7">
        <v>170.99</v>
      </c>
      <c r="N307" s="32">
        <v>11.37</v>
      </c>
      <c r="O307" s="5" t="str">
        <f t="shared" si="11"/>
        <v>未买</v>
      </c>
      <c r="R307" s="19">
        <v>305</v>
      </c>
    </row>
    <row r="308" spans="5:18" x14ac:dyDescent="0.15">
      <c r="E308" s="5"/>
      <c r="H308" s="19">
        <v>306</v>
      </c>
      <c r="I308" s="7">
        <v>127022</v>
      </c>
      <c r="J308" s="7" t="s">
        <v>1738</v>
      </c>
      <c r="K308" s="7">
        <v>106.5</v>
      </c>
      <c r="L308" s="58">
        <v>0.65709999999999991</v>
      </c>
      <c r="M308" s="7">
        <v>172.20999999999998</v>
      </c>
      <c r="N308" s="32">
        <v>19.998282</v>
      </c>
      <c r="O308" s="5" t="str">
        <f t="shared" si="11"/>
        <v>未买</v>
      </c>
      <c r="R308" s="19">
        <v>306</v>
      </c>
    </row>
    <row r="309" spans="5:18" x14ac:dyDescent="0.15">
      <c r="E309" s="5"/>
      <c r="H309" s="19">
        <v>307</v>
      </c>
      <c r="I309" s="7">
        <v>128123</v>
      </c>
      <c r="J309" s="7" t="s">
        <v>146</v>
      </c>
      <c r="K309" s="7">
        <v>112.386</v>
      </c>
      <c r="L309" s="58">
        <v>0.59840000000000004</v>
      </c>
      <c r="M309" s="7">
        <v>172.226</v>
      </c>
      <c r="N309" s="32">
        <v>3.199198</v>
      </c>
      <c r="O309" s="5" t="str">
        <f t="shared" si="11"/>
        <v>未买</v>
      </c>
      <c r="R309" s="19">
        <v>307</v>
      </c>
    </row>
    <row r="310" spans="5:18" x14ac:dyDescent="0.15">
      <c r="E310" s="5"/>
      <c r="H310" s="19">
        <v>308</v>
      </c>
      <c r="I310" s="7">
        <v>113053</v>
      </c>
      <c r="J310" s="7" t="s">
        <v>1734</v>
      </c>
      <c r="K310" s="7">
        <v>120.91</v>
      </c>
      <c r="L310" s="58">
        <v>0.51359999999999995</v>
      </c>
      <c r="M310" s="7">
        <v>172.26999999999998</v>
      </c>
      <c r="N310" s="32">
        <v>69.965440000000001</v>
      </c>
      <c r="O310" s="5" t="str">
        <f t="shared" si="11"/>
        <v>未买</v>
      </c>
      <c r="R310" s="19">
        <v>308</v>
      </c>
    </row>
    <row r="311" spans="5:18" x14ac:dyDescent="0.15">
      <c r="E311" s="5"/>
      <c r="H311" s="19">
        <v>309</v>
      </c>
      <c r="I311" s="7">
        <v>113566</v>
      </c>
      <c r="J311" s="7" t="s">
        <v>173</v>
      </c>
      <c r="K311" s="7">
        <v>119.012</v>
      </c>
      <c r="L311" s="58">
        <v>0.5333</v>
      </c>
      <c r="M311" s="7">
        <v>172.34199999999998</v>
      </c>
      <c r="N311" s="32">
        <v>1.6127199999999999</v>
      </c>
      <c r="O311" s="5" t="str">
        <f t="shared" si="11"/>
        <v>未买</v>
      </c>
      <c r="R311" s="19">
        <v>309</v>
      </c>
    </row>
    <row r="312" spans="5:18" x14ac:dyDescent="0.15">
      <c r="E312" s="5"/>
      <c r="H312" s="19">
        <v>310</v>
      </c>
      <c r="I312" s="7">
        <v>123064</v>
      </c>
      <c r="J312" s="7" t="s">
        <v>126</v>
      </c>
      <c r="K312" s="7">
        <v>117.262</v>
      </c>
      <c r="L312" s="58">
        <v>0.55110000000000003</v>
      </c>
      <c r="M312" s="7">
        <v>172.37200000000001</v>
      </c>
      <c r="N312" s="32">
        <v>5.9801330000000004</v>
      </c>
      <c r="O312" s="5" t="str">
        <f t="shared" si="11"/>
        <v>未买</v>
      </c>
      <c r="R312" s="19">
        <v>310</v>
      </c>
    </row>
    <row r="313" spans="5:18" x14ac:dyDescent="0.15">
      <c r="E313" s="5"/>
      <c r="H313" s="19">
        <v>311</v>
      </c>
      <c r="I313" s="7">
        <v>113641</v>
      </c>
      <c r="J313" s="7" t="s">
        <v>1750</v>
      </c>
      <c r="K313" s="7">
        <v>116.63500000000001</v>
      </c>
      <c r="L313" s="58">
        <v>0.56119999999999992</v>
      </c>
      <c r="M313" s="7">
        <v>172.755</v>
      </c>
      <c r="N313" s="32">
        <v>75.988560000000007</v>
      </c>
      <c r="O313" s="5" t="str">
        <f t="shared" si="11"/>
        <v>未买</v>
      </c>
      <c r="R313" s="19">
        <v>311</v>
      </c>
    </row>
    <row r="314" spans="5:18" x14ac:dyDescent="0.15">
      <c r="E314" s="5"/>
      <c r="H314" s="19">
        <v>312</v>
      </c>
      <c r="I314" s="7">
        <v>118000</v>
      </c>
      <c r="J314" s="7" t="s">
        <v>1912</v>
      </c>
      <c r="K314" s="7">
        <v>117.003</v>
      </c>
      <c r="L314" s="58">
        <v>0.57069999999999999</v>
      </c>
      <c r="M314" s="7">
        <v>174.07300000000001</v>
      </c>
      <c r="N314" s="32">
        <v>9.7839899999999993</v>
      </c>
      <c r="O314" s="5" t="str">
        <f t="shared" si="11"/>
        <v>未买</v>
      </c>
      <c r="R314" s="19">
        <v>312</v>
      </c>
    </row>
    <row r="315" spans="5:18" x14ac:dyDescent="0.15">
      <c r="E315" s="5"/>
      <c r="H315" s="19">
        <v>313</v>
      </c>
      <c r="I315" s="7">
        <v>127053</v>
      </c>
      <c r="J315" s="7" t="s">
        <v>753</v>
      </c>
      <c r="K315" s="7">
        <v>112.45</v>
      </c>
      <c r="L315" s="58">
        <v>0.61659999999999993</v>
      </c>
      <c r="M315" s="7">
        <v>174.11</v>
      </c>
      <c r="N315" s="32">
        <v>8.2398900000000008</v>
      </c>
      <c r="O315" s="5" t="str">
        <f t="shared" si="11"/>
        <v>未买</v>
      </c>
      <c r="R315" s="19">
        <v>313</v>
      </c>
    </row>
    <row r="316" spans="5:18" x14ac:dyDescent="0.15">
      <c r="E316" s="5"/>
      <c r="H316" s="19">
        <v>314</v>
      </c>
      <c r="I316" s="7">
        <v>123096</v>
      </c>
      <c r="J316" s="7" t="s">
        <v>186</v>
      </c>
      <c r="K316" s="7">
        <v>103.239</v>
      </c>
      <c r="L316" s="58">
        <v>0.71439999999999992</v>
      </c>
      <c r="M316" s="7">
        <v>174.679</v>
      </c>
      <c r="N316" s="32">
        <v>8.1672980000000006</v>
      </c>
      <c r="O316" s="5" t="str">
        <f t="shared" si="11"/>
        <v>未买</v>
      </c>
      <c r="R316" s="19">
        <v>314</v>
      </c>
    </row>
    <row r="317" spans="5:18" x14ac:dyDescent="0.15">
      <c r="E317" s="5"/>
      <c r="H317" s="19">
        <v>315</v>
      </c>
      <c r="I317" s="7">
        <v>123155</v>
      </c>
      <c r="J317" s="7" t="s">
        <v>2080</v>
      </c>
      <c r="K317" s="7">
        <v>113.5</v>
      </c>
      <c r="L317" s="58">
        <v>0.61199999999999999</v>
      </c>
      <c r="M317" s="7">
        <v>174.7</v>
      </c>
      <c r="N317" s="32">
        <v>3.6</v>
      </c>
      <c r="O317" s="5" t="str">
        <f t="shared" si="11"/>
        <v>未买</v>
      </c>
      <c r="R317" s="19">
        <v>315</v>
      </c>
    </row>
    <row r="318" spans="5:18" x14ac:dyDescent="0.15">
      <c r="E318" s="5"/>
      <c r="H318" s="19">
        <v>316</v>
      </c>
      <c r="I318" s="7">
        <v>128070</v>
      </c>
      <c r="J318" s="7" t="s">
        <v>147</v>
      </c>
      <c r="K318" s="7">
        <v>123</v>
      </c>
      <c r="L318" s="58">
        <v>0.52060000000000006</v>
      </c>
      <c r="M318" s="7">
        <v>175.06</v>
      </c>
      <c r="N318" s="32">
        <v>2.2938200000000002</v>
      </c>
      <c r="O318" s="5" t="str">
        <f t="shared" si="11"/>
        <v>未买</v>
      </c>
      <c r="R318" s="19">
        <v>316</v>
      </c>
    </row>
    <row r="319" spans="5:18" x14ac:dyDescent="0.15">
      <c r="E319" s="5"/>
      <c r="H319" s="19">
        <v>317</v>
      </c>
      <c r="I319" s="7">
        <v>123154</v>
      </c>
      <c r="J319" s="7" t="s">
        <v>2083</v>
      </c>
      <c r="K319" s="7">
        <v>116.7</v>
      </c>
      <c r="L319" s="58">
        <v>0.58599999999999997</v>
      </c>
      <c r="M319" s="7">
        <v>175.3</v>
      </c>
      <c r="N319" s="32">
        <v>5.2899900000000004</v>
      </c>
      <c r="O319" s="5" t="str">
        <f t="shared" si="11"/>
        <v>未买</v>
      </c>
      <c r="R319" s="19">
        <v>317</v>
      </c>
    </row>
    <row r="320" spans="5:18" x14ac:dyDescent="0.15">
      <c r="E320" s="5"/>
      <c r="H320" s="19">
        <v>318</v>
      </c>
      <c r="I320" s="7">
        <v>123116</v>
      </c>
      <c r="J320" s="7" t="s">
        <v>189</v>
      </c>
      <c r="K320" s="7">
        <v>116.72</v>
      </c>
      <c r="L320" s="58">
        <v>0.58609999999999995</v>
      </c>
      <c r="M320" s="7">
        <v>175.32999999999998</v>
      </c>
      <c r="N320" s="32">
        <v>3.7811189999999999</v>
      </c>
      <c r="O320" s="5" t="str">
        <f t="shared" si="11"/>
        <v>未买</v>
      </c>
      <c r="R320" s="19">
        <v>318</v>
      </c>
    </row>
    <row r="321" spans="5:18" x14ac:dyDescent="0.15">
      <c r="E321" s="5"/>
      <c r="H321" s="19">
        <v>319</v>
      </c>
      <c r="I321" s="7">
        <v>127024</v>
      </c>
      <c r="J321" s="7" t="s">
        <v>1779</v>
      </c>
      <c r="K321" s="7">
        <v>104.405</v>
      </c>
      <c r="L321" s="58">
        <v>0.70989999999999998</v>
      </c>
      <c r="M321" s="7">
        <v>175.39499999999998</v>
      </c>
      <c r="N321" s="32">
        <v>14.760597000000001</v>
      </c>
      <c r="O321" s="5" t="str">
        <f t="shared" si="11"/>
        <v>未买</v>
      </c>
      <c r="R321" s="19">
        <v>319</v>
      </c>
    </row>
    <row r="322" spans="5:18" x14ac:dyDescent="0.15">
      <c r="E322" s="5"/>
      <c r="H322" s="19">
        <v>320</v>
      </c>
      <c r="I322" s="7">
        <v>110062</v>
      </c>
      <c r="J322" s="7" t="s">
        <v>1775</v>
      </c>
      <c r="K322" s="7">
        <v>106.40900000000001</v>
      </c>
      <c r="L322" s="58">
        <v>0.69090000000000007</v>
      </c>
      <c r="M322" s="7">
        <v>175.49900000000002</v>
      </c>
      <c r="N322" s="32">
        <v>30.87621</v>
      </c>
      <c r="O322" s="5" t="str">
        <f t="shared" si="11"/>
        <v>未买</v>
      </c>
      <c r="R322" s="19">
        <v>320</v>
      </c>
    </row>
    <row r="323" spans="5:18" x14ac:dyDescent="0.15">
      <c r="E323" s="5"/>
      <c r="H323" s="19">
        <v>321</v>
      </c>
      <c r="I323" s="7">
        <v>128056</v>
      </c>
      <c r="J323" s="7" t="s">
        <v>78</v>
      </c>
      <c r="K323" s="7">
        <v>124.096</v>
      </c>
      <c r="L323" s="58">
        <v>0.51539999999999997</v>
      </c>
      <c r="M323" s="7">
        <v>175.636</v>
      </c>
      <c r="N323" s="32">
        <v>1.7208840000000001</v>
      </c>
      <c r="O323" s="5" t="str">
        <f t="shared" si="11"/>
        <v>未买</v>
      </c>
      <c r="R323" s="19">
        <v>321</v>
      </c>
    </row>
    <row r="324" spans="5:18" x14ac:dyDescent="0.15">
      <c r="E324" s="5"/>
      <c r="H324" s="19">
        <v>322</v>
      </c>
      <c r="I324" s="7">
        <v>111006</v>
      </c>
      <c r="J324" s="7" t="s">
        <v>2068</v>
      </c>
      <c r="K324" s="7">
        <v>128.30000000000001</v>
      </c>
      <c r="L324" s="58">
        <v>0.47340000000000004</v>
      </c>
      <c r="M324" s="7">
        <v>175.64000000000001</v>
      </c>
      <c r="N324" s="32">
        <v>6.5067000000000004</v>
      </c>
      <c r="O324" s="5" t="str">
        <f t="shared" ref="O324:O387" si="12">IF(ISNA(MATCH(I324,$A$3:$A$1000,0)),"未买","Yes")</f>
        <v>未买</v>
      </c>
      <c r="R324" s="19">
        <v>322</v>
      </c>
    </row>
    <row r="325" spans="5:18" x14ac:dyDescent="0.15">
      <c r="E325" s="5"/>
      <c r="H325" s="19">
        <v>323</v>
      </c>
      <c r="I325" s="7">
        <v>123134</v>
      </c>
      <c r="J325" s="7" t="s">
        <v>250</v>
      </c>
      <c r="K325" s="7">
        <v>142.6</v>
      </c>
      <c r="L325" s="58">
        <v>0.33270000000000005</v>
      </c>
      <c r="M325" s="7">
        <v>175.87</v>
      </c>
      <c r="N325" s="32">
        <v>2.7857090000000002</v>
      </c>
      <c r="O325" s="5" t="str">
        <f t="shared" si="12"/>
        <v>未买</v>
      </c>
      <c r="R325" s="19">
        <v>323</v>
      </c>
    </row>
    <row r="326" spans="5:18" x14ac:dyDescent="0.15">
      <c r="E326" s="5"/>
      <c r="H326" s="19">
        <v>324</v>
      </c>
      <c r="I326" s="7">
        <v>127025</v>
      </c>
      <c r="J326" s="7" t="s">
        <v>1747</v>
      </c>
      <c r="K326" s="7">
        <v>107.35</v>
      </c>
      <c r="L326" s="58">
        <v>0.68659999999999999</v>
      </c>
      <c r="M326" s="7">
        <v>176.01</v>
      </c>
      <c r="N326" s="32">
        <v>17.764520000000001</v>
      </c>
      <c r="O326" s="5" t="str">
        <f t="shared" si="12"/>
        <v>未买</v>
      </c>
      <c r="R326" s="19">
        <v>324</v>
      </c>
    </row>
    <row r="327" spans="5:18" x14ac:dyDescent="0.15">
      <c r="E327" s="5"/>
      <c r="H327" s="19">
        <v>325</v>
      </c>
      <c r="I327" s="7">
        <v>113047</v>
      </c>
      <c r="J327" s="7" t="s">
        <v>1739</v>
      </c>
      <c r="K327" s="7">
        <v>120.282</v>
      </c>
      <c r="L327" s="58">
        <v>0.56330000000000002</v>
      </c>
      <c r="M327" s="7">
        <v>176.61199999999999</v>
      </c>
      <c r="N327" s="32">
        <v>14.986560000000001</v>
      </c>
      <c r="O327" s="5" t="str">
        <f t="shared" si="12"/>
        <v>未买</v>
      </c>
      <c r="R327" s="19">
        <v>325</v>
      </c>
    </row>
    <row r="328" spans="5:18" x14ac:dyDescent="0.15">
      <c r="E328" s="5"/>
      <c r="H328" s="19">
        <v>326</v>
      </c>
      <c r="I328" s="7">
        <v>128069</v>
      </c>
      <c r="J328" s="7" t="s">
        <v>153</v>
      </c>
      <c r="K328" s="7">
        <v>180.05</v>
      </c>
      <c r="L328" s="58">
        <v>-2.8399999999999998E-2</v>
      </c>
      <c r="M328" s="7">
        <v>177.21</v>
      </c>
      <c r="N328" s="32">
        <v>2.0921580000000004</v>
      </c>
      <c r="O328" s="5" t="str">
        <f t="shared" si="12"/>
        <v>未买</v>
      </c>
      <c r="R328" s="19">
        <v>326</v>
      </c>
    </row>
    <row r="329" spans="5:18" x14ac:dyDescent="0.15">
      <c r="E329" s="5"/>
      <c r="H329" s="19">
        <v>327</v>
      </c>
      <c r="I329" s="7">
        <v>113579</v>
      </c>
      <c r="J329" s="7" t="s">
        <v>100</v>
      </c>
      <c r="K329" s="7">
        <v>118.818</v>
      </c>
      <c r="L329" s="58">
        <v>0.58399999999999996</v>
      </c>
      <c r="M329" s="7">
        <v>177.21799999999999</v>
      </c>
      <c r="N329" s="32">
        <v>5.02501</v>
      </c>
      <c r="O329" s="5" t="str">
        <f t="shared" si="12"/>
        <v>未买</v>
      </c>
      <c r="R329" s="19">
        <v>327</v>
      </c>
    </row>
    <row r="330" spans="5:18" x14ac:dyDescent="0.15">
      <c r="E330" s="5"/>
      <c r="H330" s="19">
        <v>328</v>
      </c>
      <c r="I330" s="7">
        <v>113606</v>
      </c>
      <c r="J330" s="7" t="s">
        <v>188</v>
      </c>
      <c r="K330" s="7">
        <v>109.94199999999999</v>
      </c>
      <c r="L330" s="58">
        <v>0.67519999999999991</v>
      </c>
      <c r="M330" s="7">
        <v>177.46199999999999</v>
      </c>
      <c r="N330" s="32">
        <v>5.9988700000000001</v>
      </c>
      <c r="O330" s="5" t="str">
        <f t="shared" si="12"/>
        <v>未买</v>
      </c>
      <c r="R330" s="19">
        <v>328</v>
      </c>
    </row>
    <row r="331" spans="5:18" x14ac:dyDescent="0.15">
      <c r="E331" s="5"/>
      <c r="H331" s="19">
        <v>329</v>
      </c>
      <c r="I331" s="7">
        <v>127017</v>
      </c>
      <c r="J331" s="7" t="s">
        <v>174</v>
      </c>
      <c r="K331" s="7">
        <v>112.4</v>
      </c>
      <c r="L331" s="58">
        <v>0.65659999999999996</v>
      </c>
      <c r="M331" s="7">
        <v>178.06</v>
      </c>
      <c r="N331" s="32">
        <v>9.9959349999999993</v>
      </c>
      <c r="O331" s="5" t="str">
        <f t="shared" si="12"/>
        <v>未买</v>
      </c>
      <c r="R331" s="19">
        <v>329</v>
      </c>
    </row>
    <row r="332" spans="5:18" x14ac:dyDescent="0.15">
      <c r="E332" s="5"/>
      <c r="H332" s="19">
        <v>330</v>
      </c>
      <c r="I332" s="7">
        <v>110048</v>
      </c>
      <c r="J332" s="7" t="s">
        <v>1869</v>
      </c>
      <c r="K332" s="7">
        <v>165.613</v>
      </c>
      <c r="L332" s="58">
        <v>0.12570000000000001</v>
      </c>
      <c r="M332" s="7">
        <v>178.18299999999999</v>
      </c>
      <c r="N332" s="32">
        <v>12.761749999999999</v>
      </c>
      <c r="O332" s="5" t="str">
        <f t="shared" si="12"/>
        <v>未买</v>
      </c>
      <c r="R332" s="19">
        <v>330</v>
      </c>
    </row>
    <row r="333" spans="5:18" x14ac:dyDescent="0.15">
      <c r="E333" s="5"/>
      <c r="H333" s="19">
        <v>331</v>
      </c>
      <c r="I333" s="7">
        <v>127046</v>
      </c>
      <c r="J333" s="7" t="s">
        <v>1793</v>
      </c>
      <c r="K333" s="7">
        <v>119.212</v>
      </c>
      <c r="L333" s="58">
        <v>0.59119999999999995</v>
      </c>
      <c r="M333" s="7">
        <v>178.33199999999999</v>
      </c>
      <c r="N333" s="32">
        <v>11.275744</v>
      </c>
      <c r="O333" s="5" t="str">
        <f t="shared" si="12"/>
        <v>未买</v>
      </c>
      <c r="R333" s="19">
        <v>331</v>
      </c>
    </row>
    <row r="334" spans="5:18" x14ac:dyDescent="0.15">
      <c r="E334" s="5"/>
      <c r="H334" s="19">
        <v>332</v>
      </c>
      <c r="I334" s="7">
        <v>113625</v>
      </c>
      <c r="J334" s="7" t="s">
        <v>134</v>
      </c>
      <c r="K334" s="7">
        <v>112.675</v>
      </c>
      <c r="L334" s="58">
        <v>0.66060000000000008</v>
      </c>
      <c r="M334" s="7">
        <v>178.73500000000001</v>
      </c>
      <c r="N334" s="32">
        <v>5.8254700000000001</v>
      </c>
      <c r="O334" s="5" t="str">
        <f t="shared" si="12"/>
        <v>未买</v>
      </c>
      <c r="R334" s="19">
        <v>332</v>
      </c>
    </row>
    <row r="335" spans="5:18" x14ac:dyDescent="0.15">
      <c r="E335" s="5"/>
      <c r="H335" s="19">
        <v>333</v>
      </c>
      <c r="I335" s="7">
        <v>118015</v>
      </c>
      <c r="J335" s="7" t="s">
        <v>2084</v>
      </c>
      <c r="K335" s="7">
        <v>123.676</v>
      </c>
      <c r="L335" s="58">
        <v>0.55349999999999999</v>
      </c>
      <c r="M335" s="7">
        <v>179.02600000000001</v>
      </c>
      <c r="N335" s="32">
        <v>4.0999999999999996</v>
      </c>
      <c r="O335" s="5" t="str">
        <f t="shared" si="12"/>
        <v>未买</v>
      </c>
      <c r="R335" s="19">
        <v>333</v>
      </c>
    </row>
    <row r="336" spans="5:18" x14ac:dyDescent="0.15">
      <c r="E336" s="5"/>
      <c r="H336" s="19">
        <v>334</v>
      </c>
      <c r="I336" s="7">
        <v>113059</v>
      </c>
      <c r="J336" s="7" t="s">
        <v>1881</v>
      </c>
      <c r="K336" s="7">
        <v>125.974</v>
      </c>
      <c r="L336" s="58">
        <v>0.53890000000000005</v>
      </c>
      <c r="M336" s="7">
        <v>179.864</v>
      </c>
      <c r="N336" s="32">
        <v>40</v>
      </c>
      <c r="O336" s="5" t="str">
        <f t="shared" si="12"/>
        <v>未买</v>
      </c>
      <c r="R336" s="19">
        <v>334</v>
      </c>
    </row>
    <row r="337" spans="5:18" x14ac:dyDescent="0.15">
      <c r="E337" s="5"/>
      <c r="H337" s="19">
        <v>335</v>
      </c>
      <c r="I337" s="7">
        <v>113655</v>
      </c>
      <c r="J337" s="7" t="s">
        <v>2086</v>
      </c>
      <c r="K337" s="7">
        <v>127.10899999999999</v>
      </c>
      <c r="L337" s="58">
        <v>0.52810000000000001</v>
      </c>
      <c r="M337" s="7">
        <v>179.91899999999998</v>
      </c>
      <c r="N337" s="32">
        <v>20</v>
      </c>
      <c r="O337" s="5" t="str">
        <f t="shared" si="12"/>
        <v>未买</v>
      </c>
      <c r="R337" s="19">
        <v>335</v>
      </c>
    </row>
    <row r="338" spans="5:18" x14ac:dyDescent="0.15">
      <c r="E338" s="5"/>
      <c r="H338" s="19">
        <v>336</v>
      </c>
      <c r="I338" s="7">
        <v>123049</v>
      </c>
      <c r="J338" s="7" t="s">
        <v>172</v>
      </c>
      <c r="K338" s="7">
        <v>107.2</v>
      </c>
      <c r="L338" s="58">
        <v>0.73040000000000005</v>
      </c>
      <c r="M338" s="7">
        <v>180.24</v>
      </c>
      <c r="N338" s="32">
        <v>9.1698199999999996</v>
      </c>
      <c r="O338" s="5" t="str">
        <f t="shared" si="12"/>
        <v>未买</v>
      </c>
      <c r="R338" s="19">
        <v>336</v>
      </c>
    </row>
    <row r="339" spans="5:18" x14ac:dyDescent="0.15">
      <c r="E339" s="5"/>
      <c r="H339" s="19">
        <v>337</v>
      </c>
      <c r="I339" s="7">
        <v>127031</v>
      </c>
      <c r="J339" s="7" t="s">
        <v>167</v>
      </c>
      <c r="K339" s="7">
        <v>113.504</v>
      </c>
      <c r="L339" s="58">
        <v>0.66749999999999998</v>
      </c>
      <c r="M339" s="7">
        <v>180.25400000000002</v>
      </c>
      <c r="N339" s="32">
        <v>9.9993800000000004</v>
      </c>
      <c r="O339" s="5" t="str">
        <f t="shared" si="12"/>
        <v>未买</v>
      </c>
      <c r="R339" s="19">
        <v>337</v>
      </c>
    </row>
    <row r="340" spans="5:18" x14ac:dyDescent="0.15">
      <c r="E340" s="5"/>
      <c r="H340" s="19">
        <v>338</v>
      </c>
      <c r="I340" s="7">
        <v>113527</v>
      </c>
      <c r="J340" s="7" t="s">
        <v>110</v>
      </c>
      <c r="K340" s="7">
        <v>116.462</v>
      </c>
      <c r="L340" s="58">
        <v>0.63850000000000007</v>
      </c>
      <c r="M340" s="7">
        <v>180.31200000000001</v>
      </c>
      <c r="N340" s="32">
        <v>2.8627699999999998</v>
      </c>
      <c r="O340" s="5" t="str">
        <f t="shared" si="12"/>
        <v>未买</v>
      </c>
      <c r="R340" s="19">
        <v>338</v>
      </c>
    </row>
    <row r="341" spans="5:18" x14ac:dyDescent="0.15">
      <c r="E341" s="5"/>
      <c r="H341" s="19">
        <v>339</v>
      </c>
      <c r="I341" s="7">
        <v>113644</v>
      </c>
      <c r="J341" s="7" t="s">
        <v>1760</v>
      </c>
      <c r="K341" s="7">
        <v>112.649</v>
      </c>
      <c r="L341" s="58">
        <v>0.6826000000000001</v>
      </c>
      <c r="M341" s="7">
        <v>180.90899999999999</v>
      </c>
      <c r="N341" s="32">
        <v>9.9999800000000008</v>
      </c>
      <c r="O341" s="5" t="str">
        <f t="shared" si="12"/>
        <v>未买</v>
      </c>
      <c r="R341" s="19">
        <v>339</v>
      </c>
    </row>
    <row r="342" spans="5:18" x14ac:dyDescent="0.15">
      <c r="E342" s="5"/>
      <c r="H342" s="19">
        <v>340</v>
      </c>
      <c r="I342" s="7">
        <v>127038</v>
      </c>
      <c r="J342" s="7" t="s">
        <v>1872</v>
      </c>
      <c r="K342" s="7">
        <v>166.042</v>
      </c>
      <c r="L342" s="58">
        <v>0.15259999999999999</v>
      </c>
      <c r="M342" s="7">
        <v>181.30199999999999</v>
      </c>
      <c r="N342" s="32">
        <v>14.935926</v>
      </c>
      <c r="O342" s="5" t="str">
        <f t="shared" si="12"/>
        <v>未买</v>
      </c>
      <c r="R342" s="19">
        <v>340</v>
      </c>
    </row>
    <row r="343" spans="5:18" x14ac:dyDescent="0.15">
      <c r="E343" s="5"/>
      <c r="H343" s="19">
        <v>341</v>
      </c>
      <c r="I343" s="7">
        <v>128063</v>
      </c>
      <c r="J343" s="7" t="s">
        <v>183</v>
      </c>
      <c r="K343" s="7">
        <v>117.952</v>
      </c>
      <c r="L343" s="58">
        <v>0.63529999999999998</v>
      </c>
      <c r="M343" s="7">
        <v>181.482</v>
      </c>
      <c r="N343" s="32">
        <v>6.2924350000000002</v>
      </c>
      <c r="O343" s="5" t="str">
        <f t="shared" si="12"/>
        <v>未买</v>
      </c>
      <c r="R343" s="19">
        <v>341</v>
      </c>
    </row>
    <row r="344" spans="5:18" x14ac:dyDescent="0.15">
      <c r="E344" s="5"/>
      <c r="H344" s="19">
        <v>342</v>
      </c>
      <c r="I344" s="7">
        <v>128036</v>
      </c>
      <c r="J344" s="7" t="s">
        <v>162</v>
      </c>
      <c r="K344" s="7">
        <v>130.82</v>
      </c>
      <c r="L344" s="58">
        <v>0.50780000000000003</v>
      </c>
      <c r="M344" s="7">
        <v>181.6</v>
      </c>
      <c r="N344" s="32">
        <v>1.4562010000000001</v>
      </c>
      <c r="O344" s="5" t="str">
        <f t="shared" si="12"/>
        <v>未买</v>
      </c>
      <c r="R344" s="19">
        <v>342</v>
      </c>
    </row>
    <row r="345" spans="5:18" x14ac:dyDescent="0.15">
      <c r="E345" s="5"/>
      <c r="H345" s="19">
        <v>343</v>
      </c>
      <c r="I345" s="7">
        <v>110082</v>
      </c>
      <c r="J345" s="7" t="s">
        <v>1767</v>
      </c>
      <c r="K345" s="7">
        <v>113.5</v>
      </c>
      <c r="L345" s="58">
        <v>0.68819999999999992</v>
      </c>
      <c r="M345" s="7">
        <v>182.32</v>
      </c>
      <c r="N345" s="32">
        <v>19.99587</v>
      </c>
      <c r="O345" s="5" t="str">
        <f t="shared" si="12"/>
        <v>未买</v>
      </c>
      <c r="R345" s="19">
        <v>343</v>
      </c>
    </row>
    <row r="346" spans="5:18" x14ac:dyDescent="0.15">
      <c r="E346" s="5"/>
      <c r="H346" s="19">
        <v>344</v>
      </c>
      <c r="I346" s="7">
        <v>128142</v>
      </c>
      <c r="J346" s="7" t="s">
        <v>178</v>
      </c>
      <c r="K346" s="7">
        <v>110.101</v>
      </c>
      <c r="L346" s="58">
        <v>0.72840000000000005</v>
      </c>
      <c r="M346" s="7">
        <v>182.941</v>
      </c>
      <c r="N346" s="32">
        <v>7.1797839999999997</v>
      </c>
      <c r="O346" s="5" t="str">
        <f t="shared" si="12"/>
        <v>未买</v>
      </c>
      <c r="R346" s="19">
        <v>344</v>
      </c>
    </row>
    <row r="347" spans="5:18" x14ac:dyDescent="0.15">
      <c r="E347" s="5"/>
      <c r="H347" s="19">
        <v>345</v>
      </c>
      <c r="I347" s="7">
        <v>123161</v>
      </c>
      <c r="J347" s="7" t="s">
        <v>2078</v>
      </c>
      <c r="K347" s="7">
        <v>121.80800000000001</v>
      </c>
      <c r="L347" s="58">
        <v>0.61960000000000004</v>
      </c>
      <c r="M347" s="7">
        <v>183.768</v>
      </c>
      <c r="N347" s="32">
        <v>12.1</v>
      </c>
      <c r="O347" s="5" t="str">
        <f t="shared" si="12"/>
        <v>未买</v>
      </c>
      <c r="R347" s="19">
        <v>345</v>
      </c>
    </row>
    <row r="348" spans="5:18" x14ac:dyDescent="0.15">
      <c r="E348" s="5"/>
      <c r="H348" s="19">
        <v>346</v>
      </c>
      <c r="I348" s="7">
        <v>113650</v>
      </c>
      <c r="J348" s="7" t="s">
        <v>1914</v>
      </c>
      <c r="K348" s="7">
        <v>114.446</v>
      </c>
      <c r="L348" s="58">
        <v>0.70030000000000003</v>
      </c>
      <c r="M348" s="7">
        <v>184.476</v>
      </c>
      <c r="N348" s="32">
        <v>8</v>
      </c>
      <c r="O348" s="5" t="str">
        <f t="shared" si="12"/>
        <v>未买</v>
      </c>
      <c r="R348" s="19">
        <v>346</v>
      </c>
    </row>
    <row r="349" spans="5:18" x14ac:dyDescent="0.15">
      <c r="E349" s="5"/>
      <c r="H349" s="19">
        <v>347</v>
      </c>
      <c r="I349" s="7">
        <v>118004</v>
      </c>
      <c r="J349" s="7" t="s">
        <v>249</v>
      </c>
      <c r="K349" s="7">
        <v>112.223</v>
      </c>
      <c r="L349" s="58">
        <v>0.72470000000000001</v>
      </c>
      <c r="M349" s="7">
        <v>184.69299999999998</v>
      </c>
      <c r="N349" s="32">
        <v>4.6499699999999997</v>
      </c>
      <c r="O349" s="5" t="str">
        <f t="shared" si="12"/>
        <v>未买</v>
      </c>
      <c r="R349" s="19">
        <v>347</v>
      </c>
    </row>
    <row r="350" spans="5:18" x14ac:dyDescent="0.15">
      <c r="E350" s="5"/>
      <c r="H350" s="19">
        <v>348</v>
      </c>
      <c r="I350" s="7">
        <v>123142</v>
      </c>
      <c r="J350" s="7" t="s">
        <v>742</v>
      </c>
      <c r="K350" s="7">
        <v>115.35</v>
      </c>
      <c r="L350" s="58">
        <v>0.7056</v>
      </c>
      <c r="M350" s="7">
        <v>185.91</v>
      </c>
      <c r="N350" s="32">
        <v>5.4965409999999997</v>
      </c>
      <c r="O350" s="5" t="str">
        <f t="shared" si="12"/>
        <v>未买</v>
      </c>
      <c r="R350" s="19">
        <v>348</v>
      </c>
    </row>
    <row r="351" spans="5:18" x14ac:dyDescent="0.15">
      <c r="E351" s="5"/>
      <c r="H351" s="19">
        <v>349</v>
      </c>
      <c r="I351" s="7">
        <v>127068</v>
      </c>
      <c r="J351" s="7" t="s">
        <v>2082</v>
      </c>
      <c r="K351" s="7">
        <v>115</v>
      </c>
      <c r="L351" s="58">
        <v>0.72750000000000004</v>
      </c>
      <c r="M351" s="7">
        <v>187.75</v>
      </c>
      <c r="N351" s="32">
        <v>8.3000000000000007</v>
      </c>
      <c r="O351" s="5" t="str">
        <f t="shared" si="12"/>
        <v>未买</v>
      </c>
      <c r="R351" s="19">
        <v>349</v>
      </c>
    </row>
    <row r="352" spans="5:18" x14ac:dyDescent="0.15">
      <c r="E352" s="5"/>
      <c r="H352" s="19">
        <v>350</v>
      </c>
      <c r="I352" s="7">
        <v>123004</v>
      </c>
      <c r="J352" s="7" t="s">
        <v>161</v>
      </c>
      <c r="K352" s="7">
        <v>108.17</v>
      </c>
      <c r="L352" s="58">
        <v>0.7965000000000001</v>
      </c>
      <c r="M352" s="7">
        <v>187.82</v>
      </c>
      <c r="N352" s="32">
        <v>8.0316869999999998</v>
      </c>
      <c r="O352" s="5" t="str">
        <f t="shared" si="12"/>
        <v>未买</v>
      </c>
      <c r="R352" s="19">
        <v>350</v>
      </c>
    </row>
    <row r="353" spans="5:18" x14ac:dyDescent="0.15">
      <c r="E353" s="5"/>
      <c r="H353" s="19">
        <v>351</v>
      </c>
      <c r="I353" s="7">
        <v>123148</v>
      </c>
      <c r="J353" s="7" t="s">
        <v>1895</v>
      </c>
      <c r="K353" s="7">
        <v>177.8</v>
      </c>
      <c r="L353" s="58">
        <v>0.11289999999999999</v>
      </c>
      <c r="M353" s="7">
        <v>189.09</v>
      </c>
      <c r="N353" s="32">
        <v>4.2</v>
      </c>
      <c r="O353" s="5" t="str">
        <f t="shared" si="12"/>
        <v>未买</v>
      </c>
      <c r="R353" s="19">
        <v>351</v>
      </c>
    </row>
    <row r="354" spans="5:18" x14ac:dyDescent="0.15">
      <c r="E354" s="5"/>
      <c r="H354" s="19">
        <v>352</v>
      </c>
      <c r="I354" s="7">
        <v>127044</v>
      </c>
      <c r="J354" s="7" t="s">
        <v>1789</v>
      </c>
      <c r="K354" s="7">
        <v>111.602</v>
      </c>
      <c r="L354" s="58">
        <v>0.77599999999999991</v>
      </c>
      <c r="M354" s="7">
        <v>189.202</v>
      </c>
      <c r="N354" s="32">
        <v>11.688675</v>
      </c>
      <c r="O354" s="5" t="str">
        <f t="shared" si="12"/>
        <v>未买</v>
      </c>
      <c r="R354" s="19">
        <v>352</v>
      </c>
    </row>
    <row r="355" spans="5:18" x14ac:dyDescent="0.15">
      <c r="E355" s="5"/>
      <c r="H355" s="19">
        <v>353</v>
      </c>
      <c r="I355" s="7">
        <v>128117</v>
      </c>
      <c r="J355" s="7" t="s">
        <v>137</v>
      </c>
      <c r="K355" s="7">
        <v>120.99</v>
      </c>
      <c r="L355" s="58">
        <v>0.68389999999999995</v>
      </c>
      <c r="M355" s="7">
        <v>189.38</v>
      </c>
      <c r="N355" s="32">
        <v>3.585731</v>
      </c>
      <c r="O355" s="5" t="str">
        <f t="shared" si="12"/>
        <v>未买</v>
      </c>
      <c r="R355" s="19">
        <v>353</v>
      </c>
    </row>
    <row r="356" spans="5:18" x14ac:dyDescent="0.15">
      <c r="E356" s="5"/>
      <c r="H356" s="19">
        <v>354</v>
      </c>
      <c r="I356" s="7">
        <v>123128</v>
      </c>
      <c r="J356" s="7" t="s">
        <v>1781</v>
      </c>
      <c r="K356" s="7">
        <v>103.419</v>
      </c>
      <c r="L356" s="58">
        <v>0.86409999999999998</v>
      </c>
      <c r="M356" s="7">
        <v>189.82900000000001</v>
      </c>
      <c r="N356" s="32">
        <v>13.794085999999998</v>
      </c>
      <c r="O356" s="5" t="str">
        <f t="shared" si="12"/>
        <v>未买</v>
      </c>
      <c r="R356" s="19">
        <v>354</v>
      </c>
    </row>
    <row r="357" spans="5:18" x14ac:dyDescent="0.15">
      <c r="E357" s="5"/>
      <c r="H357" s="19">
        <v>355</v>
      </c>
      <c r="I357" s="7">
        <v>123138</v>
      </c>
      <c r="J357" s="7" t="s">
        <v>749</v>
      </c>
      <c r="K357" s="7">
        <v>124.643</v>
      </c>
      <c r="L357" s="58">
        <v>0.6542</v>
      </c>
      <c r="M357" s="7">
        <v>190.06299999999999</v>
      </c>
      <c r="N357" s="32">
        <v>2.3995990000000003</v>
      </c>
      <c r="O357" s="5" t="str">
        <f t="shared" si="12"/>
        <v>未买</v>
      </c>
      <c r="R357" s="19">
        <v>355</v>
      </c>
    </row>
    <row r="358" spans="5:18" x14ac:dyDescent="0.15">
      <c r="E358" s="5"/>
      <c r="H358" s="19">
        <v>356</v>
      </c>
      <c r="I358" s="7">
        <v>127065</v>
      </c>
      <c r="J358" s="7" t="s">
        <v>1899</v>
      </c>
      <c r="K358" s="7">
        <v>167.5</v>
      </c>
      <c r="L358" s="58">
        <v>0.23</v>
      </c>
      <c r="M358" s="7">
        <v>190.5</v>
      </c>
      <c r="N358" s="32">
        <v>4.3979999999999997</v>
      </c>
      <c r="O358" s="5" t="str">
        <f t="shared" si="12"/>
        <v>未买</v>
      </c>
      <c r="R358" s="19">
        <v>356</v>
      </c>
    </row>
    <row r="359" spans="5:18" x14ac:dyDescent="0.15">
      <c r="E359" s="5"/>
      <c r="H359" s="19">
        <v>357</v>
      </c>
      <c r="I359" s="7">
        <v>113623</v>
      </c>
      <c r="J359" s="7" t="s">
        <v>1766</v>
      </c>
      <c r="K359" s="7">
        <v>109.56699999999999</v>
      </c>
      <c r="L359" s="58">
        <v>0.81129999999999991</v>
      </c>
      <c r="M359" s="7">
        <v>190.697</v>
      </c>
      <c r="N359" s="32">
        <v>24.999479999999998</v>
      </c>
      <c r="O359" s="5" t="str">
        <f t="shared" si="12"/>
        <v>未买</v>
      </c>
      <c r="R359" s="19">
        <v>357</v>
      </c>
    </row>
    <row r="360" spans="5:18" x14ac:dyDescent="0.15">
      <c r="E360" s="5"/>
      <c r="H360" s="19">
        <v>358</v>
      </c>
      <c r="I360" s="7">
        <v>123099</v>
      </c>
      <c r="J360" s="7" t="s">
        <v>215</v>
      </c>
      <c r="K360" s="7">
        <v>112.29</v>
      </c>
      <c r="L360" s="58">
        <v>0.78659999999999997</v>
      </c>
      <c r="M360" s="7">
        <v>190.95</v>
      </c>
      <c r="N360" s="32">
        <v>8.4964539999999982</v>
      </c>
      <c r="O360" s="5" t="str">
        <f t="shared" si="12"/>
        <v>未买</v>
      </c>
      <c r="R360" s="19">
        <v>358</v>
      </c>
    </row>
    <row r="361" spans="5:18" x14ac:dyDescent="0.15">
      <c r="E361" s="5"/>
      <c r="H361" s="19">
        <v>359</v>
      </c>
      <c r="I361" s="7">
        <v>127051</v>
      </c>
      <c r="J361" s="7" t="s">
        <v>225</v>
      </c>
      <c r="K361" s="7">
        <v>109.7</v>
      </c>
      <c r="L361" s="58">
        <v>0.81349999999999989</v>
      </c>
      <c r="M361" s="7">
        <v>191.05</v>
      </c>
      <c r="N361" s="32">
        <v>5.2591299999999999</v>
      </c>
      <c r="O361" s="5" t="str">
        <f t="shared" si="12"/>
        <v>未买</v>
      </c>
      <c r="R361" s="19">
        <v>359</v>
      </c>
    </row>
    <row r="362" spans="5:18" x14ac:dyDescent="0.15">
      <c r="E362" s="5"/>
      <c r="H362" s="19">
        <v>360</v>
      </c>
      <c r="I362" s="7">
        <v>113646</v>
      </c>
      <c r="J362" s="7" t="s">
        <v>1795</v>
      </c>
      <c r="K362" s="7">
        <v>141.12700000000001</v>
      </c>
      <c r="L362" s="58">
        <v>0.505</v>
      </c>
      <c r="M362" s="7">
        <v>191.62700000000001</v>
      </c>
      <c r="N362" s="32">
        <v>1.4583200000000001</v>
      </c>
      <c r="O362" s="5" t="str">
        <f t="shared" si="12"/>
        <v>未买</v>
      </c>
      <c r="R362" s="19">
        <v>360</v>
      </c>
    </row>
    <row r="363" spans="5:18" x14ac:dyDescent="0.15">
      <c r="E363" s="5"/>
      <c r="H363" s="19">
        <v>361</v>
      </c>
      <c r="I363" s="7">
        <v>113578</v>
      </c>
      <c r="J363" s="7" t="s">
        <v>155</v>
      </c>
      <c r="K363" s="7">
        <v>103.232</v>
      </c>
      <c r="L363" s="58">
        <v>0.88829999999999998</v>
      </c>
      <c r="M363" s="7">
        <v>192.06200000000001</v>
      </c>
      <c r="N363" s="32">
        <v>3.8380100000000001</v>
      </c>
      <c r="O363" s="5" t="str">
        <f t="shared" si="12"/>
        <v>未买</v>
      </c>
      <c r="R363" s="19">
        <v>361</v>
      </c>
    </row>
    <row r="364" spans="5:18" x14ac:dyDescent="0.15">
      <c r="E364" s="5"/>
      <c r="H364" s="19">
        <v>362</v>
      </c>
      <c r="I364" s="7">
        <v>110076</v>
      </c>
      <c r="J364" s="7" t="s">
        <v>1784</v>
      </c>
      <c r="K364" s="7">
        <v>114.492</v>
      </c>
      <c r="L364" s="58">
        <v>0.77670000000000006</v>
      </c>
      <c r="M364" s="7">
        <v>192.16200000000001</v>
      </c>
      <c r="N364" s="32">
        <v>18.424299999999999</v>
      </c>
      <c r="O364" s="5" t="str">
        <f t="shared" si="12"/>
        <v>未买</v>
      </c>
      <c r="R364" s="19">
        <v>362</v>
      </c>
    </row>
    <row r="365" spans="5:18" x14ac:dyDescent="0.15">
      <c r="E365" s="5"/>
      <c r="H365" s="19">
        <v>363</v>
      </c>
      <c r="I365" s="7">
        <v>128125</v>
      </c>
      <c r="J365" s="7" t="s">
        <v>133</v>
      </c>
      <c r="K365" s="7">
        <v>107.081</v>
      </c>
      <c r="L365" s="58">
        <v>0.85170000000000001</v>
      </c>
      <c r="M365" s="7">
        <v>192.251</v>
      </c>
      <c r="N365" s="32">
        <v>4.4978839999999991</v>
      </c>
      <c r="O365" s="5" t="str">
        <f t="shared" si="12"/>
        <v>未买</v>
      </c>
      <c r="R365" s="19">
        <v>363</v>
      </c>
    </row>
    <row r="366" spans="5:18" x14ac:dyDescent="0.15">
      <c r="E366" s="5"/>
      <c r="H366" s="19">
        <v>364</v>
      </c>
      <c r="I366" s="7">
        <v>123124</v>
      </c>
      <c r="J366" s="7" t="s">
        <v>176</v>
      </c>
      <c r="K366" s="7">
        <v>110.199</v>
      </c>
      <c r="L366" s="58">
        <v>0.82869999999999999</v>
      </c>
      <c r="M366" s="7">
        <v>193.06900000000002</v>
      </c>
      <c r="N366" s="32">
        <v>5.227666000000001</v>
      </c>
      <c r="O366" s="5" t="str">
        <f t="shared" si="12"/>
        <v>未买</v>
      </c>
      <c r="R366" s="19">
        <v>364</v>
      </c>
    </row>
    <row r="367" spans="5:18" x14ac:dyDescent="0.15">
      <c r="E367" s="5"/>
      <c r="H367" s="19">
        <v>365</v>
      </c>
      <c r="I367" s="7">
        <v>113042</v>
      </c>
      <c r="J367" s="7" t="s">
        <v>1770</v>
      </c>
      <c r="K367" s="7">
        <v>105.9</v>
      </c>
      <c r="L367" s="58">
        <v>0.87430000000000008</v>
      </c>
      <c r="M367" s="7">
        <v>193.33</v>
      </c>
      <c r="N367" s="32">
        <v>199.98576</v>
      </c>
      <c r="O367" s="5" t="str">
        <f t="shared" si="12"/>
        <v>未买</v>
      </c>
      <c r="R367" s="19">
        <v>365</v>
      </c>
    </row>
    <row r="368" spans="5:18" x14ac:dyDescent="0.15">
      <c r="E368" s="5"/>
      <c r="H368" s="19">
        <v>366</v>
      </c>
      <c r="I368" s="7">
        <v>110081</v>
      </c>
      <c r="J368" s="7" t="s">
        <v>1774</v>
      </c>
      <c r="K368" s="7">
        <v>110.92700000000001</v>
      </c>
      <c r="L368" s="58">
        <v>0.83109999999999995</v>
      </c>
      <c r="M368" s="7">
        <v>194.03700000000001</v>
      </c>
      <c r="N368" s="32">
        <v>85.981250000000003</v>
      </c>
      <c r="O368" s="5" t="str">
        <f t="shared" si="12"/>
        <v>未买</v>
      </c>
      <c r="R368" s="19">
        <v>366</v>
      </c>
    </row>
    <row r="369" spans="5:18" x14ac:dyDescent="0.15">
      <c r="E369" s="5"/>
      <c r="H369" s="19">
        <v>367</v>
      </c>
      <c r="I369" s="7">
        <v>113615</v>
      </c>
      <c r="J369" s="7" t="s">
        <v>1853</v>
      </c>
      <c r="K369" s="7">
        <v>192.67099999999999</v>
      </c>
      <c r="L369" s="58">
        <v>1.6E-2</v>
      </c>
      <c r="M369" s="7">
        <v>194.27099999999999</v>
      </c>
      <c r="N369" s="32">
        <v>8.4789300000000001</v>
      </c>
      <c r="O369" s="5" t="str">
        <f t="shared" si="12"/>
        <v>未买</v>
      </c>
      <c r="R369" s="19">
        <v>367</v>
      </c>
    </row>
    <row r="370" spans="5:18" x14ac:dyDescent="0.15">
      <c r="E370" s="5"/>
      <c r="H370" s="19">
        <v>368</v>
      </c>
      <c r="I370" s="7">
        <v>118008</v>
      </c>
      <c r="J370" s="7" t="s">
        <v>1910</v>
      </c>
      <c r="K370" s="7">
        <v>120.07</v>
      </c>
      <c r="L370" s="58">
        <v>0.7448999999999999</v>
      </c>
      <c r="M370" s="7">
        <v>194.56</v>
      </c>
      <c r="N370" s="32">
        <v>6.94</v>
      </c>
      <c r="O370" s="5" t="str">
        <f t="shared" si="12"/>
        <v>未买</v>
      </c>
      <c r="R370" s="19">
        <v>368</v>
      </c>
    </row>
    <row r="371" spans="5:18" x14ac:dyDescent="0.15">
      <c r="E371" s="5"/>
      <c r="H371" s="19">
        <v>369</v>
      </c>
      <c r="I371" s="7">
        <v>128106</v>
      </c>
      <c r="J371" s="7" t="s">
        <v>1845</v>
      </c>
      <c r="K371" s="7">
        <v>194.3</v>
      </c>
      <c r="L371" s="58">
        <v>8.5000000000000006E-3</v>
      </c>
      <c r="M371" s="7">
        <v>195.15</v>
      </c>
      <c r="N371" s="32">
        <v>2.8702049999999999</v>
      </c>
      <c r="O371" s="5" t="str">
        <f t="shared" si="12"/>
        <v>未买</v>
      </c>
      <c r="R371" s="19">
        <v>369</v>
      </c>
    </row>
    <row r="372" spans="5:18" x14ac:dyDescent="0.15">
      <c r="E372" s="5"/>
      <c r="H372" s="19">
        <v>370</v>
      </c>
      <c r="I372" s="7">
        <v>113639</v>
      </c>
      <c r="J372" s="7" t="s">
        <v>752</v>
      </c>
      <c r="K372" s="7">
        <v>108.072</v>
      </c>
      <c r="L372" s="58">
        <v>0.87170000000000003</v>
      </c>
      <c r="M372" s="7">
        <v>195.24200000000002</v>
      </c>
      <c r="N372" s="32">
        <v>5.6996900000000004</v>
      </c>
      <c r="O372" s="5" t="str">
        <f t="shared" si="12"/>
        <v>未买</v>
      </c>
      <c r="R372" s="19">
        <v>370</v>
      </c>
    </row>
    <row r="373" spans="5:18" x14ac:dyDescent="0.15">
      <c r="E373" s="5"/>
      <c r="H373" s="19">
        <v>371</v>
      </c>
      <c r="I373" s="7">
        <v>128017</v>
      </c>
      <c r="J373" s="7" t="s">
        <v>1859</v>
      </c>
      <c r="K373" s="7">
        <v>183.14599999999999</v>
      </c>
      <c r="L373" s="58">
        <v>0.12189999999999999</v>
      </c>
      <c r="M373" s="7">
        <v>195.33599999999998</v>
      </c>
      <c r="N373" s="32">
        <v>5.5179169999999997</v>
      </c>
      <c r="O373" s="5" t="str">
        <f t="shared" si="12"/>
        <v>未买</v>
      </c>
      <c r="R373" s="19">
        <v>371</v>
      </c>
    </row>
    <row r="374" spans="5:18" x14ac:dyDescent="0.15">
      <c r="E374" s="5"/>
      <c r="H374" s="19">
        <v>372</v>
      </c>
      <c r="I374" s="7">
        <v>123056</v>
      </c>
      <c r="J374" s="7" t="s">
        <v>140</v>
      </c>
      <c r="K374" s="7">
        <v>108.733</v>
      </c>
      <c r="L374" s="58">
        <v>0.86950000000000005</v>
      </c>
      <c r="M374" s="7">
        <v>195.68299999999999</v>
      </c>
      <c r="N374" s="32">
        <v>5.8400359999999996</v>
      </c>
      <c r="O374" s="5" t="str">
        <f t="shared" si="12"/>
        <v>未买</v>
      </c>
      <c r="R374" s="19">
        <v>372</v>
      </c>
    </row>
    <row r="375" spans="5:18" x14ac:dyDescent="0.15">
      <c r="E375" s="5"/>
      <c r="H375" s="19">
        <v>373</v>
      </c>
      <c r="I375" s="7">
        <v>128131</v>
      </c>
      <c r="J375" s="7" t="s">
        <v>1782</v>
      </c>
      <c r="K375" s="7">
        <v>110.02500000000001</v>
      </c>
      <c r="L375" s="58">
        <v>0.86040000000000005</v>
      </c>
      <c r="M375" s="7">
        <v>196.065</v>
      </c>
      <c r="N375" s="32">
        <v>13.997867000000003</v>
      </c>
      <c r="O375" s="5" t="str">
        <f t="shared" si="12"/>
        <v>未买</v>
      </c>
      <c r="R375" s="19">
        <v>373</v>
      </c>
    </row>
    <row r="376" spans="5:18" x14ac:dyDescent="0.15">
      <c r="E376" s="5"/>
      <c r="H376" s="19">
        <v>374</v>
      </c>
      <c r="I376" s="7">
        <v>118010</v>
      </c>
      <c r="J376" s="7" t="s">
        <v>1920</v>
      </c>
      <c r="K376" s="7">
        <v>114.279</v>
      </c>
      <c r="L376" s="58">
        <v>0.82209999999999994</v>
      </c>
      <c r="M376" s="7">
        <v>196.48899999999998</v>
      </c>
      <c r="N376" s="32">
        <v>4.4000000000000004</v>
      </c>
      <c r="O376" s="5" t="str">
        <f t="shared" si="12"/>
        <v>未买</v>
      </c>
      <c r="R376" s="19">
        <v>374</v>
      </c>
    </row>
    <row r="377" spans="5:18" x14ac:dyDescent="0.15">
      <c r="E377" s="5"/>
      <c r="H377" s="19">
        <v>375</v>
      </c>
      <c r="I377" s="7">
        <v>113535</v>
      </c>
      <c r="J377" s="7" t="s">
        <v>193</v>
      </c>
      <c r="K377" s="7">
        <v>114.577</v>
      </c>
      <c r="L377" s="58">
        <v>0.8216</v>
      </c>
      <c r="M377" s="7">
        <v>196.73699999999999</v>
      </c>
      <c r="N377" s="32">
        <v>4.9961000000000002</v>
      </c>
      <c r="O377" s="5" t="str">
        <f t="shared" si="12"/>
        <v>未买</v>
      </c>
      <c r="R377" s="19">
        <v>375</v>
      </c>
    </row>
    <row r="378" spans="5:18" x14ac:dyDescent="0.15">
      <c r="E378" s="5"/>
      <c r="H378" s="19">
        <v>376</v>
      </c>
      <c r="I378" s="7">
        <v>113638</v>
      </c>
      <c r="J378" s="7" t="s">
        <v>247</v>
      </c>
      <c r="K378" s="7">
        <v>112.221</v>
      </c>
      <c r="L378" s="58">
        <v>0.84819999999999995</v>
      </c>
      <c r="M378" s="7">
        <v>197.041</v>
      </c>
      <c r="N378" s="32">
        <v>5.99932</v>
      </c>
      <c r="O378" s="5" t="str">
        <f t="shared" si="12"/>
        <v>未买</v>
      </c>
      <c r="R378" s="19">
        <v>376</v>
      </c>
    </row>
    <row r="379" spans="5:18" x14ac:dyDescent="0.15">
      <c r="E379" s="5"/>
      <c r="H379" s="19">
        <v>377</v>
      </c>
      <c r="I379" s="7">
        <v>123122</v>
      </c>
      <c r="J379" s="7" t="s">
        <v>157</v>
      </c>
      <c r="K379" s="7">
        <v>114.9</v>
      </c>
      <c r="L379" s="58">
        <v>0.82209999999999994</v>
      </c>
      <c r="M379" s="7">
        <v>197.11</v>
      </c>
      <c r="N379" s="32">
        <v>5.8062750000000003</v>
      </c>
      <c r="O379" s="5" t="str">
        <f t="shared" si="12"/>
        <v>未买</v>
      </c>
      <c r="R379" s="19">
        <v>377</v>
      </c>
    </row>
    <row r="380" spans="5:18" x14ac:dyDescent="0.15">
      <c r="E380" s="5"/>
      <c r="H380" s="19">
        <v>378</v>
      </c>
      <c r="I380" s="7">
        <v>113597</v>
      </c>
      <c r="J380" s="7" t="s">
        <v>139</v>
      </c>
      <c r="K380" s="7">
        <v>118.309</v>
      </c>
      <c r="L380" s="58">
        <v>0.78879999999999995</v>
      </c>
      <c r="M380" s="7">
        <v>197.18899999999999</v>
      </c>
      <c r="N380" s="32">
        <v>2.98238</v>
      </c>
      <c r="O380" s="5" t="str">
        <f t="shared" si="12"/>
        <v>未买</v>
      </c>
      <c r="R380" s="19">
        <v>378</v>
      </c>
    </row>
    <row r="381" spans="5:18" x14ac:dyDescent="0.15">
      <c r="E381" s="5"/>
      <c r="H381" s="19">
        <v>379</v>
      </c>
      <c r="I381" s="7">
        <v>128108</v>
      </c>
      <c r="J381" s="7" t="s">
        <v>1788</v>
      </c>
      <c r="K381" s="7">
        <v>100.45</v>
      </c>
      <c r="L381" s="58">
        <v>0.96810000000000007</v>
      </c>
      <c r="M381" s="7">
        <v>197.26</v>
      </c>
      <c r="N381" s="32">
        <v>15.210572000000001</v>
      </c>
      <c r="O381" s="5" t="str">
        <f t="shared" si="12"/>
        <v>未买</v>
      </c>
      <c r="R381" s="19">
        <v>379</v>
      </c>
    </row>
    <row r="382" spans="5:18" x14ac:dyDescent="0.15">
      <c r="E382" s="5"/>
      <c r="H382" s="19">
        <v>380</v>
      </c>
      <c r="I382" s="7">
        <v>123012</v>
      </c>
      <c r="J382" s="7" t="s">
        <v>1855</v>
      </c>
      <c r="K382" s="7">
        <v>193.999</v>
      </c>
      <c r="L382" s="58">
        <v>4.3200000000000002E-2</v>
      </c>
      <c r="M382" s="7">
        <v>198.31899999999999</v>
      </c>
      <c r="N382" s="32">
        <v>1.223741</v>
      </c>
      <c r="O382" s="5" t="str">
        <f t="shared" si="12"/>
        <v>未买</v>
      </c>
      <c r="R382" s="19">
        <v>380</v>
      </c>
    </row>
    <row r="383" spans="5:18" x14ac:dyDescent="0.15">
      <c r="E383" s="5"/>
      <c r="H383" s="19">
        <v>381</v>
      </c>
      <c r="I383" s="7">
        <v>123113</v>
      </c>
      <c r="J383" s="7" t="s">
        <v>1794</v>
      </c>
      <c r="K383" s="7">
        <v>106.72499999999999</v>
      </c>
      <c r="L383" s="58">
        <v>0.91780000000000006</v>
      </c>
      <c r="M383" s="7">
        <v>198.505</v>
      </c>
      <c r="N383" s="32">
        <v>10.248562</v>
      </c>
      <c r="O383" s="5" t="str">
        <f t="shared" si="12"/>
        <v>未买</v>
      </c>
      <c r="R383" s="19">
        <v>381</v>
      </c>
    </row>
    <row r="384" spans="5:18" x14ac:dyDescent="0.15">
      <c r="E384" s="5"/>
      <c r="H384" s="19">
        <v>382</v>
      </c>
      <c r="I384" s="7">
        <v>113593</v>
      </c>
      <c r="J384" s="7" t="s">
        <v>60</v>
      </c>
      <c r="K384" s="7">
        <v>112.637</v>
      </c>
      <c r="L384" s="58">
        <v>0.85959999999999992</v>
      </c>
      <c r="M384" s="7">
        <v>198.59699999999998</v>
      </c>
      <c r="N384" s="32">
        <v>3.9977800000000001</v>
      </c>
      <c r="O384" s="5" t="str">
        <f t="shared" si="12"/>
        <v>未买</v>
      </c>
      <c r="R384" s="19">
        <v>382</v>
      </c>
    </row>
    <row r="385" spans="5:18" x14ac:dyDescent="0.15">
      <c r="E385" s="5"/>
      <c r="H385" s="19">
        <v>383</v>
      </c>
      <c r="I385" s="7">
        <v>123038</v>
      </c>
      <c r="J385" s="7" t="s">
        <v>73</v>
      </c>
      <c r="K385" s="7">
        <v>130.5</v>
      </c>
      <c r="L385" s="58">
        <v>0.68709999999999993</v>
      </c>
      <c r="M385" s="7">
        <v>199.20999999999998</v>
      </c>
      <c r="N385" s="32">
        <v>1.4726079999999999</v>
      </c>
      <c r="O385" s="5" t="str">
        <f t="shared" si="12"/>
        <v>未买</v>
      </c>
      <c r="R385" s="19">
        <v>383</v>
      </c>
    </row>
    <row r="386" spans="5:18" x14ac:dyDescent="0.15">
      <c r="E386" s="5"/>
      <c r="H386" s="19">
        <v>384</v>
      </c>
      <c r="I386" s="7">
        <v>110055</v>
      </c>
      <c r="J386" s="7" t="s">
        <v>1865</v>
      </c>
      <c r="K386" s="7">
        <v>175.94</v>
      </c>
      <c r="L386" s="58">
        <v>0.2341</v>
      </c>
      <c r="M386" s="7">
        <v>199.35</v>
      </c>
      <c r="N386" s="32">
        <v>2.43445</v>
      </c>
      <c r="O386" s="5" t="str">
        <f t="shared" si="12"/>
        <v>未买</v>
      </c>
      <c r="R386" s="19">
        <v>384</v>
      </c>
    </row>
    <row r="387" spans="5:18" x14ac:dyDescent="0.15">
      <c r="E387" s="5"/>
      <c r="H387" s="19">
        <v>385</v>
      </c>
      <c r="I387" s="7">
        <v>123101</v>
      </c>
      <c r="J387" s="7" t="s">
        <v>135</v>
      </c>
      <c r="K387" s="7">
        <v>113.313</v>
      </c>
      <c r="L387" s="58">
        <v>0.86709999999999998</v>
      </c>
      <c r="M387" s="7">
        <v>200.023</v>
      </c>
      <c r="N387" s="32">
        <v>6.6975860000000003</v>
      </c>
      <c r="O387" s="5" t="str">
        <f t="shared" si="12"/>
        <v>未买</v>
      </c>
      <c r="R387" s="19">
        <v>385</v>
      </c>
    </row>
    <row r="388" spans="5:18" x14ac:dyDescent="0.15">
      <c r="E388" s="5"/>
      <c r="H388" s="19">
        <v>386</v>
      </c>
      <c r="I388" s="7">
        <v>123083</v>
      </c>
      <c r="J388" s="7" t="s">
        <v>1894</v>
      </c>
      <c r="K388" s="7">
        <v>188.999</v>
      </c>
      <c r="L388" s="58">
        <v>0.11609999999999999</v>
      </c>
      <c r="M388" s="7">
        <v>200.60899999999998</v>
      </c>
      <c r="N388" s="32">
        <v>5.4825809999999997</v>
      </c>
      <c r="O388" s="5" t="str">
        <f t="shared" ref="O388:O451" si="13">IF(ISNA(MATCH(I388,$A$3:$A$1000,0)),"未买","Yes")</f>
        <v>未买</v>
      </c>
      <c r="R388" s="19">
        <v>386</v>
      </c>
    </row>
    <row r="389" spans="5:18" x14ac:dyDescent="0.15">
      <c r="E389" s="5"/>
      <c r="H389" s="19">
        <v>387</v>
      </c>
      <c r="I389" s="7">
        <v>113652</v>
      </c>
      <c r="J389" s="7" t="s">
        <v>1921</v>
      </c>
      <c r="K389" s="7">
        <v>115.598</v>
      </c>
      <c r="L389" s="58">
        <v>0.85609999999999997</v>
      </c>
      <c r="M389" s="7">
        <v>201.208</v>
      </c>
      <c r="N389" s="32">
        <v>14.77</v>
      </c>
      <c r="O389" s="5" t="str">
        <f t="shared" si="13"/>
        <v>未买</v>
      </c>
      <c r="R389" s="19">
        <v>387</v>
      </c>
    </row>
    <row r="390" spans="5:18" x14ac:dyDescent="0.15">
      <c r="E390" s="5"/>
      <c r="H390" s="19">
        <v>388</v>
      </c>
      <c r="I390" s="7">
        <v>127041</v>
      </c>
      <c r="J390" s="7" t="s">
        <v>177</v>
      </c>
      <c r="K390" s="7">
        <v>111.065</v>
      </c>
      <c r="L390" s="58">
        <v>0.9133</v>
      </c>
      <c r="M390" s="7">
        <v>202.39499999999998</v>
      </c>
      <c r="N390" s="32">
        <v>5.9994709999999998</v>
      </c>
      <c r="O390" s="5" t="str">
        <f t="shared" si="13"/>
        <v>未买</v>
      </c>
      <c r="R390" s="19">
        <v>388</v>
      </c>
    </row>
    <row r="391" spans="5:18" x14ac:dyDescent="0.15">
      <c r="E391" s="5"/>
      <c r="H391" s="19">
        <v>389</v>
      </c>
      <c r="I391" s="7">
        <v>127066</v>
      </c>
      <c r="J391" s="7" t="s">
        <v>1919</v>
      </c>
      <c r="K391" s="7">
        <v>113.3</v>
      </c>
      <c r="L391" s="58">
        <v>0.89500000000000002</v>
      </c>
      <c r="M391" s="7">
        <v>202.8</v>
      </c>
      <c r="N391" s="32">
        <v>15.343705</v>
      </c>
      <c r="O391" s="5" t="str">
        <f t="shared" si="13"/>
        <v>未买</v>
      </c>
      <c r="R391" s="19">
        <v>389</v>
      </c>
    </row>
    <row r="392" spans="5:18" x14ac:dyDescent="0.15">
      <c r="E392" s="5"/>
      <c r="H392" s="19">
        <v>390</v>
      </c>
      <c r="I392" s="7">
        <v>123143</v>
      </c>
      <c r="J392" s="7" t="s">
        <v>780</v>
      </c>
      <c r="K392" s="7">
        <v>135.114</v>
      </c>
      <c r="L392" s="58">
        <v>0.68659999999999999</v>
      </c>
      <c r="M392" s="7">
        <v>203.774</v>
      </c>
      <c r="N392" s="32">
        <v>3.2995089999999996</v>
      </c>
      <c r="O392" s="5" t="str">
        <f t="shared" si="13"/>
        <v>未买</v>
      </c>
      <c r="R392" s="19">
        <v>390</v>
      </c>
    </row>
    <row r="393" spans="5:18" x14ac:dyDescent="0.15">
      <c r="E393" s="5"/>
      <c r="H393" s="19">
        <v>391</v>
      </c>
      <c r="I393" s="7">
        <v>118005</v>
      </c>
      <c r="J393" s="7" t="s">
        <v>747</v>
      </c>
      <c r="K393" s="7">
        <v>115.27800000000001</v>
      </c>
      <c r="L393" s="58">
        <v>0.89230000000000009</v>
      </c>
      <c r="M393" s="7">
        <v>204.50800000000001</v>
      </c>
      <c r="N393" s="32">
        <v>8.2996200000000009</v>
      </c>
      <c r="O393" s="5" t="str">
        <f t="shared" si="13"/>
        <v>未买</v>
      </c>
      <c r="R393" s="19">
        <v>391</v>
      </c>
    </row>
    <row r="394" spans="5:18" x14ac:dyDescent="0.15">
      <c r="E394" s="5"/>
      <c r="H394" s="19">
        <v>392</v>
      </c>
      <c r="I394" s="7">
        <v>128035</v>
      </c>
      <c r="J394" s="7" t="s">
        <v>1783</v>
      </c>
      <c r="K394" s="7">
        <v>107.04</v>
      </c>
      <c r="L394" s="58">
        <v>0.98769999999999991</v>
      </c>
      <c r="M394" s="7">
        <v>205.81</v>
      </c>
      <c r="N394" s="32">
        <v>22.992626000000001</v>
      </c>
      <c r="O394" s="5" t="str">
        <f t="shared" si="13"/>
        <v>未买</v>
      </c>
      <c r="R394" s="19">
        <v>392</v>
      </c>
    </row>
    <row r="395" spans="5:18" x14ac:dyDescent="0.15">
      <c r="E395" s="5"/>
      <c r="H395" s="19">
        <v>393</v>
      </c>
      <c r="I395" s="7">
        <v>113573</v>
      </c>
      <c r="J395" s="7" t="s">
        <v>129</v>
      </c>
      <c r="K395" s="7">
        <v>115.914</v>
      </c>
      <c r="L395" s="58">
        <v>0.90489999999999993</v>
      </c>
      <c r="M395" s="7">
        <v>206.404</v>
      </c>
      <c r="N395" s="32">
        <v>2.6982599999999999</v>
      </c>
      <c r="O395" s="5" t="str">
        <f t="shared" si="13"/>
        <v>未买</v>
      </c>
      <c r="R395" s="19">
        <v>393</v>
      </c>
    </row>
    <row r="396" spans="5:18" x14ac:dyDescent="0.15">
      <c r="E396" s="5"/>
      <c r="H396" s="19">
        <v>394</v>
      </c>
      <c r="I396" s="7">
        <v>113025</v>
      </c>
      <c r="J396" s="7" t="s">
        <v>1852</v>
      </c>
      <c r="K396" s="7">
        <v>203.51400000000001</v>
      </c>
      <c r="L396" s="58">
        <v>2.8999999999999998E-2</v>
      </c>
      <c r="M396" s="7">
        <v>206.41400000000002</v>
      </c>
      <c r="N396" s="32">
        <v>10.146599999999999</v>
      </c>
      <c r="O396" s="5" t="str">
        <f t="shared" si="13"/>
        <v>未买</v>
      </c>
      <c r="R396" s="19">
        <v>394</v>
      </c>
    </row>
    <row r="397" spans="5:18" x14ac:dyDescent="0.15">
      <c r="E397" s="5"/>
      <c r="H397" s="19">
        <v>395</v>
      </c>
      <c r="I397" s="7">
        <v>127057</v>
      </c>
      <c r="J397" s="7" t="s">
        <v>740</v>
      </c>
      <c r="K397" s="7">
        <v>197</v>
      </c>
      <c r="L397" s="58">
        <v>0.1119</v>
      </c>
      <c r="M397" s="7">
        <v>208.19</v>
      </c>
      <c r="N397" s="32">
        <v>2.75047</v>
      </c>
      <c r="O397" s="5" t="str">
        <f t="shared" si="13"/>
        <v>未买</v>
      </c>
      <c r="R397" s="19">
        <v>395</v>
      </c>
    </row>
    <row r="398" spans="5:18" x14ac:dyDescent="0.15">
      <c r="E398" s="5"/>
      <c r="H398" s="19">
        <v>396</v>
      </c>
      <c r="I398" s="7">
        <v>113582</v>
      </c>
      <c r="J398" s="7" t="s">
        <v>1870</v>
      </c>
      <c r="K398" s="7">
        <v>197.09399999999999</v>
      </c>
      <c r="L398" s="58">
        <v>0.111</v>
      </c>
      <c r="M398" s="7">
        <v>208.19399999999999</v>
      </c>
      <c r="N398" s="32">
        <v>4.1754100000000003</v>
      </c>
      <c r="O398" s="5" t="str">
        <f t="shared" si="13"/>
        <v>未买</v>
      </c>
      <c r="R398" s="19">
        <v>396</v>
      </c>
    </row>
    <row r="399" spans="5:18" x14ac:dyDescent="0.15">
      <c r="E399" s="5"/>
      <c r="H399" s="19">
        <v>397</v>
      </c>
      <c r="I399" s="7">
        <v>113585</v>
      </c>
      <c r="J399" s="7" t="s">
        <v>1861</v>
      </c>
      <c r="K399" s="7">
        <v>199.124</v>
      </c>
      <c r="L399" s="58">
        <v>9.98E-2</v>
      </c>
      <c r="M399" s="7">
        <v>209.10399999999998</v>
      </c>
      <c r="N399" s="32">
        <v>1.00143</v>
      </c>
      <c r="O399" s="5" t="str">
        <f t="shared" si="13"/>
        <v>未买</v>
      </c>
      <c r="R399" s="19">
        <v>397</v>
      </c>
    </row>
    <row r="400" spans="5:18" x14ac:dyDescent="0.15">
      <c r="E400" s="5"/>
      <c r="H400" s="19">
        <v>398</v>
      </c>
      <c r="I400" s="7">
        <v>128136</v>
      </c>
      <c r="J400" s="7" t="s">
        <v>1787</v>
      </c>
      <c r="K400" s="7">
        <v>112.7</v>
      </c>
      <c r="L400" s="58">
        <v>0.99470000000000003</v>
      </c>
      <c r="M400" s="7">
        <v>212.17000000000002</v>
      </c>
      <c r="N400" s="32">
        <v>29.992702000000001</v>
      </c>
      <c r="O400" s="5" t="str">
        <f t="shared" si="13"/>
        <v>未买</v>
      </c>
      <c r="R400" s="19">
        <v>398</v>
      </c>
    </row>
    <row r="401" spans="5:18" x14ac:dyDescent="0.15">
      <c r="E401" s="5"/>
      <c r="H401" s="19">
        <v>399</v>
      </c>
      <c r="I401" s="7">
        <v>110059</v>
      </c>
      <c r="J401" s="7" t="s">
        <v>1777</v>
      </c>
      <c r="K401" s="7">
        <v>105.57</v>
      </c>
      <c r="L401" s="58">
        <v>1.0715999999999999</v>
      </c>
      <c r="M401" s="7">
        <v>212.73</v>
      </c>
      <c r="N401" s="32">
        <v>499.98626999999999</v>
      </c>
      <c r="O401" s="5" t="str">
        <f t="shared" si="13"/>
        <v>未买</v>
      </c>
      <c r="R401" s="19">
        <v>399</v>
      </c>
    </row>
    <row r="402" spans="5:18" x14ac:dyDescent="0.15">
      <c r="E402" s="5"/>
      <c r="H402" s="19">
        <v>400</v>
      </c>
      <c r="I402" s="7">
        <v>123104</v>
      </c>
      <c r="J402" s="7" t="s">
        <v>159</v>
      </c>
      <c r="K402" s="7">
        <v>113.93</v>
      </c>
      <c r="L402" s="58">
        <v>0.9948999999999999</v>
      </c>
      <c r="M402" s="7">
        <v>213.42000000000002</v>
      </c>
      <c r="N402" s="32">
        <v>9.7009240000000005</v>
      </c>
      <c r="O402" s="5" t="str">
        <f t="shared" si="13"/>
        <v>未买</v>
      </c>
      <c r="R402" s="19">
        <v>400</v>
      </c>
    </row>
    <row r="403" spans="5:18" x14ac:dyDescent="0.15">
      <c r="E403" s="5"/>
      <c r="H403" s="19">
        <v>401</v>
      </c>
      <c r="I403" s="7">
        <v>128072</v>
      </c>
      <c r="J403" s="7" t="s">
        <v>138</v>
      </c>
      <c r="K403" s="7">
        <v>111.235</v>
      </c>
      <c r="L403" s="58">
        <v>1.0321</v>
      </c>
      <c r="M403" s="7">
        <v>214.44499999999999</v>
      </c>
      <c r="N403" s="32">
        <v>3.0173199999999998</v>
      </c>
      <c r="O403" s="5" t="str">
        <f t="shared" si="13"/>
        <v>未买</v>
      </c>
      <c r="R403" s="19">
        <v>401</v>
      </c>
    </row>
    <row r="404" spans="5:18" x14ac:dyDescent="0.15">
      <c r="E404" s="5"/>
      <c r="H404" s="19">
        <v>402</v>
      </c>
      <c r="I404" s="7">
        <v>128091</v>
      </c>
      <c r="J404" s="7" t="s">
        <v>1883</v>
      </c>
      <c r="K404" s="7">
        <v>215.5</v>
      </c>
      <c r="L404" s="58">
        <v>1.2199999999999999E-2</v>
      </c>
      <c r="M404" s="7">
        <v>216.72</v>
      </c>
      <c r="N404" s="32">
        <v>1.5272330000000001</v>
      </c>
      <c r="O404" s="5" t="str">
        <f t="shared" si="13"/>
        <v>未买</v>
      </c>
      <c r="R404" s="19">
        <v>402</v>
      </c>
    </row>
    <row r="405" spans="5:18" x14ac:dyDescent="0.15">
      <c r="E405" s="5"/>
      <c r="H405" s="19">
        <v>403</v>
      </c>
      <c r="I405" s="7">
        <v>128074</v>
      </c>
      <c r="J405" s="7" t="s">
        <v>185</v>
      </c>
      <c r="K405" s="7">
        <v>109.33</v>
      </c>
      <c r="L405" s="58">
        <v>1.0825</v>
      </c>
      <c r="M405" s="7">
        <v>217.57999999999998</v>
      </c>
      <c r="N405" s="32">
        <v>6.8249060000000004</v>
      </c>
      <c r="O405" s="5" t="str">
        <f t="shared" si="13"/>
        <v>未买</v>
      </c>
      <c r="R405" s="19">
        <v>403</v>
      </c>
    </row>
    <row r="406" spans="5:18" x14ac:dyDescent="0.15">
      <c r="E406" s="5"/>
      <c r="H406" s="19">
        <v>404</v>
      </c>
      <c r="I406" s="7">
        <v>123011</v>
      </c>
      <c r="J406" s="7" t="s">
        <v>152</v>
      </c>
      <c r="K406" s="7">
        <v>115.017</v>
      </c>
      <c r="L406" s="58">
        <v>1.0266999999999999</v>
      </c>
      <c r="M406" s="7">
        <v>217.68700000000001</v>
      </c>
      <c r="N406" s="32">
        <v>2.5059550000000002</v>
      </c>
      <c r="O406" s="5" t="str">
        <f t="shared" si="13"/>
        <v>未买</v>
      </c>
      <c r="R406" s="19">
        <v>404</v>
      </c>
    </row>
    <row r="407" spans="5:18" x14ac:dyDescent="0.15">
      <c r="E407" s="5"/>
      <c r="H407" s="19">
        <v>405</v>
      </c>
      <c r="I407" s="7">
        <v>123057</v>
      </c>
      <c r="J407" s="7" t="s">
        <v>1891</v>
      </c>
      <c r="K407" s="7">
        <v>216.8</v>
      </c>
      <c r="L407" s="58">
        <v>1.01E-2</v>
      </c>
      <c r="M407" s="7">
        <v>217.81</v>
      </c>
      <c r="N407" s="32">
        <v>2.0595089999999998</v>
      </c>
      <c r="O407" s="5" t="str">
        <f t="shared" si="13"/>
        <v>未买</v>
      </c>
      <c r="R407" s="19">
        <v>405</v>
      </c>
    </row>
    <row r="408" spans="5:18" x14ac:dyDescent="0.15">
      <c r="E408" s="5"/>
      <c r="H408" s="19">
        <v>406</v>
      </c>
      <c r="I408" s="7">
        <v>128116</v>
      </c>
      <c r="J408" s="7" t="s">
        <v>165</v>
      </c>
      <c r="K408" s="7">
        <v>106.797</v>
      </c>
      <c r="L408" s="58">
        <v>1.1316999999999999</v>
      </c>
      <c r="M408" s="7">
        <v>219.96699999999998</v>
      </c>
      <c r="N408" s="32">
        <v>6.4913590000000001</v>
      </c>
      <c r="O408" s="5" t="str">
        <f t="shared" si="13"/>
        <v>未买</v>
      </c>
      <c r="R408" s="19">
        <v>406</v>
      </c>
    </row>
    <row r="409" spans="5:18" x14ac:dyDescent="0.15">
      <c r="E409" s="5"/>
      <c r="H409" s="19">
        <v>407</v>
      </c>
      <c r="I409" s="7">
        <v>128118</v>
      </c>
      <c r="J409" s="7" t="s">
        <v>136</v>
      </c>
      <c r="K409" s="7">
        <v>110.31</v>
      </c>
      <c r="L409" s="58">
        <v>1.1140000000000001</v>
      </c>
      <c r="M409" s="7">
        <v>221.71</v>
      </c>
      <c r="N409" s="32">
        <v>2.9957310000000001</v>
      </c>
      <c r="O409" s="5" t="str">
        <f t="shared" si="13"/>
        <v>未买</v>
      </c>
      <c r="R409" s="19">
        <v>407</v>
      </c>
    </row>
    <row r="410" spans="5:18" x14ac:dyDescent="0.15">
      <c r="E410" s="5"/>
      <c r="H410" s="19">
        <v>408</v>
      </c>
      <c r="I410" s="7">
        <v>113626</v>
      </c>
      <c r="J410" s="7" t="s">
        <v>2032</v>
      </c>
      <c r="K410" s="7">
        <v>221.76</v>
      </c>
      <c r="L410" s="58">
        <v>1E-3</v>
      </c>
      <c r="M410" s="7">
        <v>221.85999999999999</v>
      </c>
      <c r="N410" s="32">
        <v>8.1364300000000007</v>
      </c>
      <c r="O410" s="5" t="str">
        <f t="shared" si="13"/>
        <v>未买</v>
      </c>
      <c r="R410" s="19">
        <v>408</v>
      </c>
    </row>
    <row r="411" spans="5:18" x14ac:dyDescent="0.15">
      <c r="E411" s="5"/>
      <c r="H411" s="19">
        <v>409</v>
      </c>
      <c r="I411" s="7">
        <v>128053</v>
      </c>
      <c r="J411" s="7" t="s">
        <v>61</v>
      </c>
      <c r="K411" s="7">
        <v>175.45</v>
      </c>
      <c r="L411" s="58">
        <v>0.49420000000000003</v>
      </c>
      <c r="M411" s="7">
        <v>224.87</v>
      </c>
      <c r="N411" s="32">
        <v>1.8993100000000001</v>
      </c>
      <c r="O411" s="5" t="str">
        <f t="shared" si="13"/>
        <v>未买</v>
      </c>
      <c r="R411" s="19">
        <v>409</v>
      </c>
    </row>
    <row r="412" spans="5:18" x14ac:dyDescent="0.15">
      <c r="E412" s="5"/>
      <c r="H412" s="19">
        <v>410</v>
      </c>
      <c r="I412" s="7">
        <v>113624</v>
      </c>
      <c r="J412" s="7" t="s">
        <v>160</v>
      </c>
      <c r="K412" s="7">
        <v>108.134</v>
      </c>
      <c r="L412" s="58">
        <v>1.1740000000000002</v>
      </c>
      <c r="M412" s="7">
        <v>225.53399999999999</v>
      </c>
      <c r="N412" s="32">
        <v>4.0491000000000001</v>
      </c>
      <c r="O412" s="5" t="str">
        <f t="shared" si="13"/>
        <v>未买</v>
      </c>
      <c r="R412" s="19">
        <v>410</v>
      </c>
    </row>
    <row r="413" spans="5:18" x14ac:dyDescent="0.15">
      <c r="E413" s="5"/>
      <c r="H413" s="19">
        <v>411</v>
      </c>
      <c r="I413" s="7">
        <v>123039</v>
      </c>
      <c r="J413" s="7" t="s">
        <v>2089</v>
      </c>
      <c r="K413" s="7">
        <v>115.97</v>
      </c>
      <c r="L413" s="58">
        <v>1.1101000000000001</v>
      </c>
      <c r="M413" s="7">
        <v>226.98000000000002</v>
      </c>
      <c r="N413" s="32">
        <v>2.216961</v>
      </c>
      <c r="O413" s="5" t="str">
        <f t="shared" si="13"/>
        <v>未买</v>
      </c>
      <c r="R413" s="19">
        <v>411</v>
      </c>
    </row>
    <row r="414" spans="5:18" x14ac:dyDescent="0.15">
      <c r="E414" s="5"/>
      <c r="H414" s="19">
        <v>412</v>
      </c>
      <c r="I414" s="7">
        <v>128025</v>
      </c>
      <c r="J414" s="7" t="s">
        <v>50</v>
      </c>
      <c r="K414" s="7">
        <v>223.553</v>
      </c>
      <c r="L414" s="58">
        <v>6.3200000000000006E-2</v>
      </c>
      <c r="M414" s="7">
        <v>229.87299999999999</v>
      </c>
      <c r="N414" s="32">
        <v>2.6569180000000001</v>
      </c>
      <c r="O414" s="5" t="str">
        <f t="shared" si="13"/>
        <v>未买</v>
      </c>
      <c r="R414" s="19">
        <v>412</v>
      </c>
    </row>
    <row r="415" spans="5:18" x14ac:dyDescent="0.15">
      <c r="E415" s="5"/>
      <c r="H415" s="19">
        <v>413</v>
      </c>
      <c r="I415" s="7">
        <v>113608</v>
      </c>
      <c r="J415" s="7" t="s">
        <v>65</v>
      </c>
      <c r="K415" s="7">
        <v>107.04600000000001</v>
      </c>
      <c r="L415" s="58">
        <v>1.2555000000000001</v>
      </c>
      <c r="M415" s="7">
        <v>232.596</v>
      </c>
      <c r="N415" s="32">
        <v>4.1998499999999996</v>
      </c>
      <c r="O415" s="5" t="str">
        <f t="shared" si="13"/>
        <v>未买</v>
      </c>
      <c r="R415" s="19">
        <v>413</v>
      </c>
    </row>
    <row r="416" spans="5:18" x14ac:dyDescent="0.15">
      <c r="E416" s="5"/>
      <c r="H416" s="19">
        <v>414</v>
      </c>
      <c r="I416" s="7">
        <v>123067</v>
      </c>
      <c r="J416" s="7" t="s">
        <v>1862</v>
      </c>
      <c r="K416" s="7">
        <v>233.101</v>
      </c>
      <c r="L416" s="58">
        <v>1.6000000000000001E-3</v>
      </c>
      <c r="M416" s="7">
        <v>233.261</v>
      </c>
      <c r="N416" s="32">
        <v>2.3953660000000001</v>
      </c>
      <c r="O416" s="5" t="str">
        <f t="shared" si="13"/>
        <v>未买</v>
      </c>
      <c r="R416" s="19">
        <v>414</v>
      </c>
    </row>
    <row r="417" spans="5:18" x14ac:dyDescent="0.15">
      <c r="E417" s="5"/>
      <c r="H417" s="19">
        <v>415</v>
      </c>
      <c r="I417" s="7">
        <v>113616</v>
      </c>
      <c r="J417" s="7" t="s">
        <v>1776</v>
      </c>
      <c r="K417" s="7">
        <v>114.151</v>
      </c>
      <c r="L417" s="58">
        <v>1.1981999999999999</v>
      </c>
      <c r="M417" s="7">
        <v>233.971</v>
      </c>
      <c r="N417" s="32">
        <v>24.332730000000002</v>
      </c>
      <c r="O417" s="5" t="str">
        <f t="shared" si="13"/>
        <v>未买</v>
      </c>
      <c r="R417" s="19">
        <v>415</v>
      </c>
    </row>
    <row r="418" spans="5:18" x14ac:dyDescent="0.15">
      <c r="E418" s="5"/>
      <c r="H418" s="19">
        <v>416</v>
      </c>
      <c r="I418" s="7">
        <v>123126</v>
      </c>
      <c r="J418" s="7" t="s">
        <v>164</v>
      </c>
      <c r="K418" s="7">
        <v>111.86799999999999</v>
      </c>
      <c r="L418" s="58">
        <v>1.2450000000000001</v>
      </c>
      <c r="M418" s="7">
        <v>236.36799999999999</v>
      </c>
      <c r="N418" s="32">
        <v>3.3996160000000004</v>
      </c>
      <c r="O418" s="5" t="str">
        <f t="shared" si="13"/>
        <v>未买</v>
      </c>
      <c r="R418" s="19">
        <v>416</v>
      </c>
    </row>
    <row r="419" spans="5:18" x14ac:dyDescent="0.15">
      <c r="E419" s="5"/>
      <c r="H419" s="19">
        <v>417</v>
      </c>
      <c r="I419" s="7">
        <v>123076</v>
      </c>
      <c r="J419" s="7" t="s">
        <v>143</v>
      </c>
      <c r="K419" s="7">
        <v>105.54900000000001</v>
      </c>
      <c r="L419" s="58">
        <v>1.3413999999999999</v>
      </c>
      <c r="M419" s="7">
        <v>239.68899999999999</v>
      </c>
      <c r="N419" s="32">
        <v>8.4985409999999995</v>
      </c>
      <c r="O419" s="5" t="str">
        <f t="shared" si="13"/>
        <v>未买</v>
      </c>
      <c r="R419" s="19">
        <v>417</v>
      </c>
    </row>
    <row r="420" spans="5:18" x14ac:dyDescent="0.15">
      <c r="E420" s="5"/>
      <c r="H420" s="19">
        <v>418</v>
      </c>
      <c r="I420" s="7">
        <v>123060</v>
      </c>
      <c r="J420" s="7" t="s">
        <v>1863</v>
      </c>
      <c r="K420" s="7">
        <v>236.65</v>
      </c>
      <c r="L420" s="58">
        <v>6.4000000000000001E-2</v>
      </c>
      <c r="M420" s="7">
        <v>243.05</v>
      </c>
      <c r="N420" s="32">
        <v>3.0957680000000001</v>
      </c>
      <c r="O420" s="5" t="str">
        <f t="shared" si="13"/>
        <v>未买</v>
      </c>
      <c r="R420" s="19">
        <v>418</v>
      </c>
    </row>
    <row r="421" spans="5:18" x14ac:dyDescent="0.15">
      <c r="E421" s="5"/>
      <c r="H421" s="19">
        <v>419</v>
      </c>
      <c r="I421" s="7">
        <v>123135</v>
      </c>
      <c r="J421" s="7" t="s">
        <v>1796</v>
      </c>
      <c r="K421" s="7">
        <v>185.81</v>
      </c>
      <c r="L421" s="58">
        <v>0.57530000000000003</v>
      </c>
      <c r="M421" s="7">
        <v>243.34</v>
      </c>
      <c r="N421" s="32">
        <v>2.0929570000000002</v>
      </c>
      <c r="O421" s="5" t="str">
        <f t="shared" si="13"/>
        <v>未买</v>
      </c>
      <c r="R421" s="19">
        <v>419</v>
      </c>
    </row>
    <row r="422" spans="5:18" x14ac:dyDescent="0.15">
      <c r="E422" s="5"/>
      <c r="H422" s="19">
        <v>420</v>
      </c>
      <c r="I422" s="7">
        <v>123065</v>
      </c>
      <c r="J422" s="7" t="s">
        <v>2093</v>
      </c>
      <c r="K422" s="7">
        <v>118.33799999999999</v>
      </c>
      <c r="L422" s="58">
        <v>1.3497999999999999</v>
      </c>
      <c r="M422" s="7">
        <v>253.31799999999998</v>
      </c>
      <c r="N422" s="32">
        <v>2.1884779999999999</v>
      </c>
      <c r="O422" s="5" t="str">
        <f t="shared" si="13"/>
        <v>未买</v>
      </c>
      <c r="R422" s="19">
        <v>420</v>
      </c>
    </row>
    <row r="423" spans="5:18" x14ac:dyDescent="0.15">
      <c r="E423" s="5"/>
      <c r="H423" s="19">
        <v>421</v>
      </c>
      <c r="I423" s="7">
        <v>123092</v>
      </c>
      <c r="J423" s="7" t="s">
        <v>1849</v>
      </c>
      <c r="K423" s="7">
        <v>253.9</v>
      </c>
      <c r="L423" s="58">
        <v>4.07E-2</v>
      </c>
      <c r="M423" s="7">
        <v>257.97000000000003</v>
      </c>
      <c r="N423" s="32">
        <v>4.1420029999999999</v>
      </c>
      <c r="O423" s="5" t="str">
        <f t="shared" si="13"/>
        <v>未买</v>
      </c>
      <c r="R423" s="19">
        <v>421</v>
      </c>
    </row>
    <row r="424" spans="5:18" x14ac:dyDescent="0.15">
      <c r="E424" s="5"/>
      <c r="H424" s="19">
        <v>422</v>
      </c>
      <c r="I424" s="7">
        <v>128138</v>
      </c>
      <c r="J424" s="7" t="s">
        <v>132</v>
      </c>
      <c r="K424" s="7">
        <v>117.21299999999999</v>
      </c>
      <c r="L424" s="58">
        <v>1.4379</v>
      </c>
      <c r="M424" s="7">
        <v>261.00299999999999</v>
      </c>
      <c r="N424" s="32">
        <v>4.1987420000000002</v>
      </c>
      <c r="O424" s="5" t="str">
        <f t="shared" si="13"/>
        <v>未买</v>
      </c>
      <c r="R424" s="19">
        <v>422</v>
      </c>
    </row>
    <row r="425" spans="5:18" x14ac:dyDescent="0.15">
      <c r="E425" s="5"/>
      <c r="H425" s="19">
        <v>423</v>
      </c>
      <c r="I425" s="7">
        <v>123093</v>
      </c>
      <c r="J425" s="7" t="s">
        <v>127</v>
      </c>
      <c r="K425" s="7">
        <v>121.47799999999999</v>
      </c>
      <c r="L425" s="58">
        <v>1.4027000000000001</v>
      </c>
      <c r="M425" s="7">
        <v>261.74799999999999</v>
      </c>
      <c r="N425" s="32">
        <v>2.499781</v>
      </c>
      <c r="O425" s="5" t="str">
        <f t="shared" si="13"/>
        <v>未买</v>
      </c>
      <c r="R425" s="19">
        <v>423</v>
      </c>
    </row>
    <row r="426" spans="5:18" x14ac:dyDescent="0.15">
      <c r="E426" s="5"/>
      <c r="H426" s="19">
        <v>424</v>
      </c>
      <c r="I426" s="7">
        <v>113569</v>
      </c>
      <c r="J426" s="7" t="s">
        <v>2092</v>
      </c>
      <c r="K426" s="7">
        <v>105.32599999999999</v>
      </c>
      <c r="L426" s="58">
        <v>1.591</v>
      </c>
      <c r="M426" s="7">
        <v>264.42599999999999</v>
      </c>
      <c r="N426" s="32">
        <v>5.1559499999999998</v>
      </c>
      <c r="O426" s="5" t="str">
        <f t="shared" si="13"/>
        <v>未买</v>
      </c>
      <c r="R426" s="19">
        <v>424</v>
      </c>
    </row>
    <row r="427" spans="5:18" x14ac:dyDescent="0.15">
      <c r="E427" s="5"/>
      <c r="H427" s="19">
        <v>425</v>
      </c>
      <c r="I427" s="7">
        <v>113633</v>
      </c>
      <c r="J427" s="7" t="s">
        <v>1786</v>
      </c>
      <c r="K427" s="7">
        <v>109.005</v>
      </c>
      <c r="L427" s="58">
        <v>1.5575999999999999</v>
      </c>
      <c r="M427" s="7">
        <v>264.76499999999999</v>
      </c>
      <c r="N427" s="32">
        <v>10.39822</v>
      </c>
      <c r="O427" s="5" t="str">
        <f t="shared" si="13"/>
        <v>未买</v>
      </c>
      <c r="R427" s="19">
        <v>425</v>
      </c>
    </row>
    <row r="428" spans="5:18" x14ac:dyDescent="0.15">
      <c r="E428" s="5"/>
      <c r="H428" s="19">
        <v>426</v>
      </c>
      <c r="I428" s="7">
        <v>113589</v>
      </c>
      <c r="J428" s="7" t="s">
        <v>130</v>
      </c>
      <c r="K428" s="7">
        <v>96.385000000000005</v>
      </c>
      <c r="L428" s="58">
        <v>1.7235</v>
      </c>
      <c r="M428" s="7">
        <v>268.73500000000001</v>
      </c>
      <c r="N428" s="32">
        <v>5.9958600000000004</v>
      </c>
      <c r="O428" s="5" t="str">
        <f t="shared" si="13"/>
        <v>未买</v>
      </c>
      <c r="R428" s="19">
        <v>426</v>
      </c>
    </row>
    <row r="429" spans="5:18" x14ac:dyDescent="0.15">
      <c r="E429" s="5"/>
      <c r="H429" s="19">
        <v>427</v>
      </c>
      <c r="I429" s="7">
        <v>128095</v>
      </c>
      <c r="J429" s="7" t="s">
        <v>1856</v>
      </c>
      <c r="K429" s="7">
        <v>261.8</v>
      </c>
      <c r="L429" s="58">
        <v>0.10060000000000001</v>
      </c>
      <c r="M429" s="7">
        <v>271.86</v>
      </c>
      <c r="N429" s="32">
        <v>4.5392349999999997</v>
      </c>
      <c r="O429" s="5" t="str">
        <f t="shared" si="13"/>
        <v>未买</v>
      </c>
      <c r="R429" s="19">
        <v>427</v>
      </c>
    </row>
    <row r="430" spans="5:18" x14ac:dyDescent="0.15">
      <c r="E430" s="5"/>
      <c r="H430" s="19">
        <v>428</v>
      </c>
      <c r="I430" s="7">
        <v>113596</v>
      </c>
      <c r="J430" s="7" t="s">
        <v>2096</v>
      </c>
      <c r="K430" s="7">
        <v>95.427999999999997</v>
      </c>
      <c r="L430" s="58">
        <v>2.0226999999999999</v>
      </c>
      <c r="M430" s="7">
        <v>297.69799999999998</v>
      </c>
      <c r="N430" s="32">
        <v>11.985910000000001</v>
      </c>
      <c r="O430" s="5" t="str">
        <f t="shared" si="13"/>
        <v>未买</v>
      </c>
      <c r="R430" s="19">
        <v>428</v>
      </c>
    </row>
    <row r="431" spans="5:18" x14ac:dyDescent="0.15">
      <c r="E431" s="5"/>
      <c r="H431" s="19">
        <v>429</v>
      </c>
      <c r="I431" s="7">
        <v>123117</v>
      </c>
      <c r="J431" s="7" t="s">
        <v>131</v>
      </c>
      <c r="K431" s="7">
        <v>110.9</v>
      </c>
      <c r="L431" s="58">
        <v>1.9683999999999999</v>
      </c>
      <c r="M431" s="7">
        <v>307.74</v>
      </c>
      <c r="N431" s="32">
        <v>9.9985160000000004</v>
      </c>
      <c r="O431" s="5" t="str">
        <f t="shared" si="13"/>
        <v>未买</v>
      </c>
      <c r="R431" s="19">
        <v>429</v>
      </c>
    </row>
    <row r="432" spans="5:18" x14ac:dyDescent="0.15">
      <c r="E432" s="5"/>
      <c r="H432" s="19">
        <v>430</v>
      </c>
      <c r="I432" s="7">
        <v>113575</v>
      </c>
      <c r="J432" s="7" t="s">
        <v>2094</v>
      </c>
      <c r="K432" s="7">
        <v>136.90600000000001</v>
      </c>
      <c r="L432" s="58">
        <v>1.7222999999999999</v>
      </c>
      <c r="M432" s="7">
        <v>309.13599999999997</v>
      </c>
      <c r="N432" s="32">
        <v>0.98319000000000001</v>
      </c>
      <c r="O432" s="5" t="str">
        <f t="shared" si="13"/>
        <v>未买</v>
      </c>
      <c r="R432" s="19">
        <v>430</v>
      </c>
    </row>
    <row r="433" spans="5:18" x14ac:dyDescent="0.15">
      <c r="E433" s="5"/>
      <c r="H433" s="19">
        <v>431</v>
      </c>
      <c r="I433" s="7">
        <v>113627</v>
      </c>
      <c r="J433" s="7" t="s">
        <v>2095</v>
      </c>
      <c r="K433" s="7">
        <v>106.47799999999999</v>
      </c>
      <c r="L433" s="58">
        <v>2.0388000000000002</v>
      </c>
      <c r="M433" s="7">
        <v>310.358</v>
      </c>
      <c r="N433" s="32">
        <v>7.9997699999999998</v>
      </c>
      <c r="O433" s="5" t="str">
        <f t="shared" si="13"/>
        <v>未买</v>
      </c>
      <c r="R433" s="19">
        <v>431</v>
      </c>
    </row>
    <row r="434" spans="5:18" x14ac:dyDescent="0.15">
      <c r="E434" s="5"/>
      <c r="H434" s="19">
        <v>432</v>
      </c>
      <c r="I434" s="7">
        <v>127004</v>
      </c>
      <c r="J434" s="7" t="s">
        <v>2090</v>
      </c>
      <c r="K434" s="7">
        <v>175.96</v>
      </c>
      <c r="L434" s="58">
        <v>1.3549</v>
      </c>
      <c r="M434" s="7">
        <v>311.45000000000005</v>
      </c>
      <c r="N434" s="32">
        <v>1.3108379999999999</v>
      </c>
      <c r="O434" s="5" t="str">
        <f t="shared" si="13"/>
        <v>未买</v>
      </c>
      <c r="R434" s="19">
        <v>432</v>
      </c>
    </row>
    <row r="435" spans="5:18" x14ac:dyDescent="0.15">
      <c r="E435" s="5"/>
      <c r="H435" s="19">
        <v>433</v>
      </c>
      <c r="I435" s="7">
        <v>128041</v>
      </c>
      <c r="J435" s="7" t="s">
        <v>2087</v>
      </c>
      <c r="K435" s="7">
        <v>259.60000000000002</v>
      </c>
      <c r="L435" s="58">
        <v>0.60229999999999995</v>
      </c>
      <c r="M435" s="7">
        <v>319.83000000000004</v>
      </c>
      <c r="N435" s="32">
        <v>0.52917199999999998</v>
      </c>
      <c r="O435" s="5" t="str">
        <f t="shared" si="13"/>
        <v>未买</v>
      </c>
      <c r="R435" s="19">
        <v>433</v>
      </c>
    </row>
    <row r="436" spans="5:18" x14ac:dyDescent="0.15">
      <c r="E436" s="5"/>
      <c r="H436" s="19">
        <v>434</v>
      </c>
      <c r="I436" s="7">
        <v>113574</v>
      </c>
      <c r="J436" s="7" t="s">
        <v>2097</v>
      </c>
      <c r="K436" s="7">
        <v>114.245</v>
      </c>
      <c r="L436" s="58">
        <v>2.0743999999999998</v>
      </c>
      <c r="M436" s="7">
        <v>321.685</v>
      </c>
      <c r="N436" s="32">
        <v>2.0870299999999999</v>
      </c>
      <c r="O436" s="5" t="str">
        <f t="shared" si="13"/>
        <v>未买</v>
      </c>
      <c r="R436" s="19">
        <v>434</v>
      </c>
    </row>
    <row r="437" spans="5:18" x14ac:dyDescent="0.15">
      <c r="E437" s="5"/>
      <c r="H437" s="19">
        <v>435</v>
      </c>
      <c r="I437" s="7">
        <v>110044</v>
      </c>
      <c r="J437" s="7" t="s">
        <v>124</v>
      </c>
      <c r="K437" s="7">
        <v>194.51400000000001</v>
      </c>
      <c r="L437" s="58">
        <v>1.3300999999999998</v>
      </c>
      <c r="M437" s="7">
        <v>327.524</v>
      </c>
      <c r="N437" s="32">
        <v>0.70709</v>
      </c>
      <c r="O437" s="5" t="str">
        <f t="shared" si="13"/>
        <v>未买</v>
      </c>
      <c r="R437" s="19">
        <v>435</v>
      </c>
    </row>
    <row r="438" spans="5:18" x14ac:dyDescent="0.15">
      <c r="E438" s="5"/>
      <c r="H438" s="19">
        <v>436</v>
      </c>
      <c r="I438" s="7">
        <v>113576</v>
      </c>
      <c r="J438" s="7" t="s">
        <v>2098</v>
      </c>
      <c r="K438" s="7">
        <v>111.018</v>
      </c>
      <c r="L438" s="58">
        <v>2.2002999999999999</v>
      </c>
      <c r="M438" s="7">
        <v>331.048</v>
      </c>
      <c r="N438" s="32">
        <v>2.6578400000000002</v>
      </c>
      <c r="O438" s="5" t="str">
        <f t="shared" si="13"/>
        <v>未买</v>
      </c>
      <c r="R438" s="19">
        <v>436</v>
      </c>
    </row>
    <row r="439" spans="5:18" x14ac:dyDescent="0.15">
      <c r="E439" s="5"/>
      <c r="H439" s="19">
        <v>437</v>
      </c>
      <c r="I439" s="7">
        <v>113534</v>
      </c>
      <c r="J439" s="7" t="s">
        <v>1846</v>
      </c>
      <c r="K439" s="7">
        <v>323.78699999999998</v>
      </c>
      <c r="L439" s="58">
        <v>7.8100000000000003E-2</v>
      </c>
      <c r="M439" s="7">
        <v>331.59699999999998</v>
      </c>
      <c r="N439" s="32">
        <v>3.93336</v>
      </c>
      <c r="O439" s="5" t="str">
        <f t="shared" si="13"/>
        <v>未买</v>
      </c>
      <c r="R439" s="19">
        <v>437</v>
      </c>
    </row>
    <row r="440" spans="5:18" x14ac:dyDescent="0.15">
      <c r="E440" s="5"/>
      <c r="H440" s="19">
        <v>438</v>
      </c>
      <c r="I440" s="7">
        <v>123034</v>
      </c>
      <c r="J440" s="7" t="s">
        <v>2088</v>
      </c>
      <c r="K440" s="7">
        <v>232.9</v>
      </c>
      <c r="L440" s="58">
        <v>1.0543</v>
      </c>
      <c r="M440" s="7">
        <v>338.33000000000004</v>
      </c>
      <c r="N440" s="32">
        <v>0.77826099999999998</v>
      </c>
      <c r="O440" s="5" t="str">
        <f t="shared" si="13"/>
        <v>未买</v>
      </c>
      <c r="R440" s="19">
        <v>438</v>
      </c>
    </row>
    <row r="441" spans="5:18" x14ac:dyDescent="0.15">
      <c r="E441" s="5"/>
      <c r="H441" s="19">
        <v>439</v>
      </c>
      <c r="I441" s="7">
        <v>123015</v>
      </c>
      <c r="J441" s="7" t="s">
        <v>2091</v>
      </c>
      <c r="K441" s="7">
        <v>198</v>
      </c>
      <c r="L441" s="58">
        <v>1.5065999999999999</v>
      </c>
      <c r="M441" s="7">
        <v>348.65999999999997</v>
      </c>
      <c r="N441" s="32">
        <v>1.0003979999999999</v>
      </c>
      <c r="O441" s="5" t="str">
        <f t="shared" si="13"/>
        <v>未买</v>
      </c>
      <c r="R441" s="19">
        <v>439</v>
      </c>
    </row>
    <row r="442" spans="5:18" x14ac:dyDescent="0.15">
      <c r="E442" s="5"/>
      <c r="H442" s="19">
        <v>440</v>
      </c>
      <c r="I442" s="7">
        <v>123031</v>
      </c>
      <c r="J442" s="7" t="s">
        <v>1882</v>
      </c>
      <c r="K442" s="7">
        <v>341.04599999999999</v>
      </c>
      <c r="L442" s="58">
        <v>0.19350000000000001</v>
      </c>
      <c r="M442" s="7">
        <v>360.39600000000002</v>
      </c>
      <c r="N442" s="32">
        <v>0.52919899999999997</v>
      </c>
      <c r="O442" s="5" t="str">
        <f t="shared" si="13"/>
        <v>未买</v>
      </c>
      <c r="R442" s="19">
        <v>440</v>
      </c>
    </row>
    <row r="443" spans="5:18" x14ac:dyDescent="0.15">
      <c r="E443" s="5"/>
      <c r="H443" s="19">
        <v>441</v>
      </c>
      <c r="I443" s="7">
        <v>113584</v>
      </c>
      <c r="J443" s="7" t="s">
        <v>2100</v>
      </c>
      <c r="K443" s="7">
        <v>103.95</v>
      </c>
      <c r="L443" s="58">
        <v>2.5758999999999999</v>
      </c>
      <c r="M443" s="7">
        <v>361.53999999999996</v>
      </c>
      <c r="N443" s="32">
        <v>6.4491199999999997</v>
      </c>
      <c r="O443" s="5" t="str">
        <f t="shared" si="13"/>
        <v>未买</v>
      </c>
      <c r="R443" s="19">
        <v>441</v>
      </c>
    </row>
    <row r="444" spans="5:18" x14ac:dyDescent="0.15">
      <c r="E444" s="5"/>
      <c r="H444" s="19">
        <v>442</v>
      </c>
      <c r="I444" s="7">
        <v>113016</v>
      </c>
      <c r="J444" s="7" t="s">
        <v>1877</v>
      </c>
      <c r="K444" s="7">
        <v>327.18700000000001</v>
      </c>
      <c r="L444" s="58">
        <v>0.34490000000000004</v>
      </c>
      <c r="M444" s="7">
        <v>361.67700000000002</v>
      </c>
      <c r="N444" s="32">
        <v>2.0636299999999999</v>
      </c>
      <c r="O444" s="5" t="str">
        <f t="shared" si="13"/>
        <v>未买</v>
      </c>
      <c r="R444" s="19">
        <v>442</v>
      </c>
    </row>
    <row r="445" spans="5:18" x14ac:dyDescent="0.15">
      <c r="E445" s="5"/>
      <c r="H445" s="19">
        <v>443</v>
      </c>
      <c r="I445" s="7">
        <v>123046</v>
      </c>
      <c r="J445" s="7" t="s">
        <v>1875</v>
      </c>
      <c r="K445" s="7">
        <v>352.36799999999999</v>
      </c>
      <c r="L445" s="58">
        <v>0.1389</v>
      </c>
      <c r="M445" s="7">
        <v>366.25799999999998</v>
      </c>
      <c r="N445" s="32">
        <v>0.58530099999999996</v>
      </c>
      <c r="O445" s="5" t="str">
        <f t="shared" si="13"/>
        <v>未买</v>
      </c>
      <c r="R445" s="19">
        <v>443</v>
      </c>
    </row>
    <row r="446" spans="5:18" x14ac:dyDescent="0.15">
      <c r="E446" s="5"/>
      <c r="H446" s="19">
        <v>444</v>
      </c>
      <c r="I446" s="7">
        <v>128030</v>
      </c>
      <c r="J446" s="7" t="s">
        <v>1884</v>
      </c>
      <c r="K446" s="7">
        <v>253.06</v>
      </c>
      <c r="L446" s="58">
        <v>1.1328</v>
      </c>
      <c r="M446" s="7">
        <v>366.34000000000003</v>
      </c>
      <c r="N446" s="32">
        <v>0.843916</v>
      </c>
      <c r="O446" s="5" t="str">
        <f t="shared" si="13"/>
        <v>未买</v>
      </c>
      <c r="R446" s="19">
        <v>444</v>
      </c>
    </row>
    <row r="447" spans="5:18" x14ac:dyDescent="0.15">
      <c r="E447" s="5"/>
      <c r="H447" s="19">
        <v>445</v>
      </c>
      <c r="I447" s="7">
        <v>123072</v>
      </c>
      <c r="J447" s="7" t="s">
        <v>2099</v>
      </c>
      <c r="K447" s="7">
        <v>126.11799999999999</v>
      </c>
      <c r="L447" s="58">
        <v>2.4506000000000001</v>
      </c>
      <c r="M447" s="7">
        <v>371.178</v>
      </c>
      <c r="N447" s="32">
        <v>1.4190039999999999</v>
      </c>
      <c r="O447" s="5" t="str">
        <f t="shared" si="13"/>
        <v>未买</v>
      </c>
      <c r="R447" s="19">
        <v>445</v>
      </c>
    </row>
    <row r="448" spans="5:18" x14ac:dyDescent="0.15">
      <c r="E448" s="5"/>
      <c r="H448" s="19">
        <v>446</v>
      </c>
      <c r="I448" s="7">
        <v>113537</v>
      </c>
      <c r="J448" s="7" t="s">
        <v>1851</v>
      </c>
      <c r="K448" s="7">
        <v>379.005</v>
      </c>
      <c r="L448" s="58">
        <v>9.0299999999999991E-2</v>
      </c>
      <c r="M448" s="7">
        <v>388.03499999999997</v>
      </c>
      <c r="N448" s="32">
        <v>1.2393099999999999</v>
      </c>
      <c r="O448" s="5" t="str">
        <f t="shared" si="13"/>
        <v>未买</v>
      </c>
      <c r="R448" s="19">
        <v>446</v>
      </c>
    </row>
    <row r="449" spans="5:18" x14ac:dyDescent="0.15">
      <c r="E449" s="5"/>
      <c r="H449" s="19">
        <v>447</v>
      </c>
      <c r="I449" s="7">
        <v>123018</v>
      </c>
      <c r="J449" s="7" t="s">
        <v>76</v>
      </c>
      <c r="K449" s="7">
        <v>260.50099999999998</v>
      </c>
      <c r="L449" s="58">
        <v>1.4430000000000001</v>
      </c>
      <c r="M449" s="7">
        <v>404.80099999999999</v>
      </c>
      <c r="N449" s="32">
        <v>0.54211200000000004</v>
      </c>
      <c r="O449" s="5" t="str">
        <f t="shared" si="13"/>
        <v>未买</v>
      </c>
      <c r="R449" s="19">
        <v>447</v>
      </c>
    </row>
    <row r="450" spans="5:18" x14ac:dyDescent="0.15">
      <c r="E450" s="5"/>
      <c r="H450" s="19">
        <v>448</v>
      </c>
      <c r="I450" s="7">
        <v>128111</v>
      </c>
      <c r="J450" s="7" t="s">
        <v>1844</v>
      </c>
      <c r="K450" s="7">
        <v>730</v>
      </c>
      <c r="L450" s="58">
        <v>3.8900000000000004E-2</v>
      </c>
      <c r="M450" s="7">
        <v>733.89</v>
      </c>
      <c r="N450" s="32">
        <v>1.1477010000000001</v>
      </c>
      <c r="O450" s="5" t="str">
        <f t="shared" si="13"/>
        <v>未买</v>
      </c>
      <c r="R450" s="19">
        <v>448</v>
      </c>
    </row>
    <row r="451" spans="5:18" x14ac:dyDescent="0.15">
      <c r="E451" s="5"/>
      <c r="H451" s="19">
        <v>449</v>
      </c>
      <c r="I451" s="7">
        <v>123013</v>
      </c>
      <c r="J451" s="7" t="s">
        <v>2101</v>
      </c>
      <c r="K451" s="7">
        <v>496.88900000000001</v>
      </c>
      <c r="L451" s="58">
        <v>3.6042000000000001</v>
      </c>
      <c r="M451" s="7">
        <v>857.30899999999997</v>
      </c>
      <c r="N451" s="32">
        <v>0.37920300000000001</v>
      </c>
      <c r="O451" s="5" t="str">
        <f t="shared" si="13"/>
        <v>未买</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721"/>
  <sheetViews>
    <sheetView topLeftCell="E1" workbookViewId="0">
      <pane ySplit="1" topLeftCell="A2" activePane="bottomLeft" state="frozen"/>
      <selection pane="bottomLeft" activeCell="Q15" sqref="Q15"/>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9" width="8.625" style="57" customWidth="1"/>
    <col min="20" max="20" width="8.875" customWidth="1"/>
    <col min="21" max="21" width="9" customWidth="1"/>
    <col min="22" max="22" width="8" customWidth="1"/>
    <col min="23" max="23" width="11.625" style="20" customWidth="1"/>
  </cols>
  <sheetData>
    <row r="1" spans="1:26" s="21" customFormat="1" ht="53.25" customHeight="1" x14ac:dyDescent="0.15">
      <c r="A1" s="27" t="s">
        <v>253</v>
      </c>
      <c r="B1" s="22" t="s">
        <v>39</v>
      </c>
      <c r="C1" s="22" t="s">
        <v>38</v>
      </c>
      <c r="D1" s="22" t="s">
        <v>1612</v>
      </c>
      <c r="E1" s="25"/>
      <c r="F1" s="27" t="s">
        <v>739</v>
      </c>
      <c r="G1" s="23"/>
      <c r="H1" s="22" t="s">
        <v>39</v>
      </c>
      <c r="I1" s="22" t="s">
        <v>38</v>
      </c>
      <c r="J1" s="22" t="s">
        <v>37</v>
      </c>
      <c r="K1" s="60" t="s">
        <v>35</v>
      </c>
      <c r="L1" s="59" t="s">
        <v>1824</v>
      </c>
      <c r="M1" s="59" t="s">
        <v>1825</v>
      </c>
      <c r="N1" s="60" t="s">
        <v>36</v>
      </c>
      <c r="O1" s="59" t="s">
        <v>1940</v>
      </c>
      <c r="P1" s="59" t="s">
        <v>1941</v>
      </c>
      <c r="Q1" s="59" t="s">
        <v>1942</v>
      </c>
      <c r="R1" s="59" t="s">
        <v>1943</v>
      </c>
      <c r="S1" s="59" t="s">
        <v>2102</v>
      </c>
      <c r="T1" s="22" t="s">
        <v>34</v>
      </c>
      <c r="U1" s="22" t="s">
        <v>1606</v>
      </c>
      <c r="V1" s="22" t="s">
        <v>1607</v>
      </c>
      <c r="W1" s="24" t="s">
        <v>1608</v>
      </c>
      <c r="Y1" s="50" t="s">
        <v>1816</v>
      </c>
    </row>
    <row r="2" spans="1:26" x14ac:dyDescent="0.15">
      <c r="A2">
        <v>1</v>
      </c>
      <c r="B2">
        <v>159981</v>
      </c>
      <c r="C2" t="s">
        <v>33</v>
      </c>
      <c r="D2">
        <f t="shared" ref="D2:D11" si="0">MATCH(IF(B2&lt;499999,"SZ"&amp;B2,"SH"&amp;B2),$H$2:$H$2316,0)</f>
        <v>718</v>
      </c>
      <c r="G2" s="11">
        <v>1</v>
      </c>
      <c r="H2" s="10" t="s">
        <v>595</v>
      </c>
      <c r="I2" t="s">
        <v>1233</v>
      </c>
      <c r="J2" t="s">
        <v>1212</v>
      </c>
      <c r="K2" s="61">
        <v>-6.7999999999999996E-3</v>
      </c>
      <c r="L2" s="57">
        <v>6.2799999999999995E-2</v>
      </c>
      <c r="M2" s="57">
        <v>0.12709999999999999</v>
      </c>
      <c r="N2" s="61">
        <v>0.2059</v>
      </c>
      <c r="O2" s="57">
        <v>-6.7500000000000004E-2</v>
      </c>
      <c r="P2" s="57">
        <v>-1.3100000000000001E-2</v>
      </c>
      <c r="Q2" s="57">
        <v>-0.3367</v>
      </c>
      <c r="R2" s="57">
        <v>-0.48749999999999999</v>
      </c>
      <c r="S2" s="57">
        <v>-0.48749999999999999</v>
      </c>
      <c r="T2">
        <v>100</v>
      </c>
      <c r="U2">
        <v>99.03</v>
      </c>
      <c r="V2">
        <v>95.14</v>
      </c>
      <c r="W2" s="20">
        <v>27265.458200599998</v>
      </c>
      <c r="Y2" s="9"/>
      <c r="Z2" s="9"/>
    </row>
    <row r="3" spans="1:26" x14ac:dyDescent="0.15">
      <c r="A3">
        <v>2</v>
      </c>
      <c r="B3">
        <v>160416</v>
      </c>
      <c r="C3" t="s">
        <v>32</v>
      </c>
      <c r="D3">
        <f t="shared" si="0"/>
        <v>53</v>
      </c>
      <c r="G3" s="11">
        <v>2</v>
      </c>
      <c r="H3" s="10" t="s">
        <v>535</v>
      </c>
      <c r="I3" t="s">
        <v>1235</v>
      </c>
      <c r="J3" t="s">
        <v>1212</v>
      </c>
      <c r="K3" s="61">
        <v>-6.4000000000000003E-3</v>
      </c>
      <c r="L3" s="57">
        <v>6.8900000000000003E-2</v>
      </c>
      <c r="M3" s="57">
        <v>9.8199999999999996E-2</v>
      </c>
      <c r="N3" s="61">
        <v>0.2014</v>
      </c>
      <c r="O3" s="57">
        <v>7.3800000000000004E-2</v>
      </c>
      <c r="P3" s="57">
        <v>0.2306</v>
      </c>
      <c r="Q3" s="57">
        <v>-0.25259999999999999</v>
      </c>
      <c r="R3" s="57">
        <v>-0.41830000000000001</v>
      </c>
      <c r="S3" s="57">
        <v>-0.41830000000000001</v>
      </c>
      <c r="T3">
        <v>99.86</v>
      </c>
      <c r="U3">
        <v>98.47</v>
      </c>
      <c r="V3">
        <v>94.72</v>
      </c>
      <c r="W3" s="20">
        <v>224565.20060000001</v>
      </c>
      <c r="Y3" s="9"/>
      <c r="Z3" s="9"/>
    </row>
    <row r="4" spans="1:26" x14ac:dyDescent="0.15">
      <c r="A4">
        <v>3</v>
      </c>
      <c r="B4">
        <v>164906</v>
      </c>
      <c r="C4" t="s">
        <v>31</v>
      </c>
      <c r="D4">
        <f t="shared" si="0"/>
        <v>27</v>
      </c>
      <c r="G4" s="11">
        <v>3</v>
      </c>
      <c r="H4" s="10" t="s">
        <v>559</v>
      </c>
      <c r="I4" t="s">
        <v>774</v>
      </c>
      <c r="J4" t="s">
        <v>1212</v>
      </c>
      <c r="K4" s="61">
        <v>-5.4999999999999997E-3</v>
      </c>
      <c r="L4" s="57">
        <v>6.0600000000000001E-2</v>
      </c>
      <c r="M4" s="57">
        <v>0.1235</v>
      </c>
      <c r="N4" s="61">
        <v>0.2006</v>
      </c>
      <c r="O4" s="57">
        <v>-7.1900000000000006E-2</v>
      </c>
      <c r="P4" s="57">
        <v>-2.0299999999999999E-2</v>
      </c>
      <c r="Q4" s="57">
        <v>-0.34160000000000001</v>
      </c>
      <c r="R4" s="57">
        <v>-0.49419999999999997</v>
      </c>
      <c r="S4" s="57">
        <v>-0.49419999999999997</v>
      </c>
      <c r="T4">
        <v>99.72</v>
      </c>
      <c r="U4">
        <v>98.06</v>
      </c>
      <c r="V4">
        <v>93.33</v>
      </c>
      <c r="W4" s="20">
        <v>70666.346212100005</v>
      </c>
      <c r="Y4" s="9"/>
      <c r="Z4" s="9"/>
    </row>
    <row r="5" spans="1:26" x14ac:dyDescent="0.15">
      <c r="A5">
        <v>4</v>
      </c>
      <c r="B5">
        <v>159985</v>
      </c>
      <c r="C5" t="s">
        <v>30</v>
      </c>
      <c r="D5">
        <f t="shared" si="0"/>
        <v>227</v>
      </c>
      <c r="G5" s="11">
        <v>4</v>
      </c>
      <c r="H5" s="10" t="s">
        <v>1513</v>
      </c>
      <c r="I5" t="s">
        <v>1514</v>
      </c>
      <c r="J5" t="s">
        <v>1609</v>
      </c>
      <c r="K5" s="61">
        <v>-6.1000000000000004E-3</v>
      </c>
      <c r="L5" s="57">
        <v>5.8200000000000002E-2</v>
      </c>
      <c r="M5" s="57">
        <v>8.7599999999999997E-2</v>
      </c>
      <c r="N5" s="61">
        <v>0.1835</v>
      </c>
      <c r="O5" s="57">
        <v>7.0999999999999994E-2</v>
      </c>
      <c r="P5" s="57">
        <v>0.2412</v>
      </c>
      <c r="Q5" s="57">
        <v>-0.14480000000000001</v>
      </c>
      <c r="R5" s="57">
        <v>-0.14480000000000001</v>
      </c>
      <c r="S5" s="57">
        <v>-0.14480000000000001</v>
      </c>
      <c r="T5">
        <v>99.58</v>
      </c>
      <c r="U5">
        <v>96.53</v>
      </c>
      <c r="V5">
        <v>94.03</v>
      </c>
      <c r="W5" s="20">
        <v>957.85849000000007</v>
      </c>
      <c r="Y5" s="9"/>
      <c r="Z5" s="9"/>
    </row>
    <row r="6" spans="1:26" x14ac:dyDescent="0.15">
      <c r="A6">
        <v>5</v>
      </c>
      <c r="B6">
        <v>501046</v>
      </c>
      <c r="C6" t="s">
        <v>40</v>
      </c>
      <c r="D6">
        <f t="shared" si="0"/>
        <v>481</v>
      </c>
      <c r="G6" s="11">
        <v>5</v>
      </c>
      <c r="H6" s="10" t="s">
        <v>539</v>
      </c>
      <c r="I6" t="s">
        <v>988</v>
      </c>
      <c r="J6" t="s">
        <v>830</v>
      </c>
      <c r="K6" s="61">
        <v>-8.3000000000000001E-3</v>
      </c>
      <c r="L6" s="57">
        <v>5.4399999999999997E-2</v>
      </c>
      <c r="M6" s="57">
        <v>8.4900000000000003E-2</v>
      </c>
      <c r="N6" s="61">
        <v>0.16259999999999999</v>
      </c>
      <c r="O6" s="57">
        <v>1.6500000000000001E-2</v>
      </c>
      <c r="P6" s="57">
        <v>8.1600000000000006E-2</v>
      </c>
      <c r="Q6" s="57">
        <v>-0.2626</v>
      </c>
      <c r="R6" s="57">
        <v>-0.42220000000000002</v>
      </c>
      <c r="S6" s="57">
        <v>-0.42220000000000002</v>
      </c>
      <c r="T6">
        <v>99.44</v>
      </c>
      <c r="U6">
        <v>93.33</v>
      </c>
      <c r="V6">
        <v>96.39</v>
      </c>
      <c r="W6" s="20">
        <v>2739.1738</v>
      </c>
      <c r="Y6" t="s">
        <v>2108</v>
      </c>
    </row>
    <row r="7" spans="1:26" x14ac:dyDescent="0.15">
      <c r="A7">
        <v>6</v>
      </c>
      <c r="B7">
        <v>159980</v>
      </c>
      <c r="C7" t="s">
        <v>29</v>
      </c>
      <c r="D7">
        <f t="shared" si="0"/>
        <v>81</v>
      </c>
      <c r="G7" s="11">
        <v>6</v>
      </c>
      <c r="H7" s="10" t="s">
        <v>1936</v>
      </c>
      <c r="I7" t="s">
        <v>1984</v>
      </c>
      <c r="J7" t="s">
        <v>1946</v>
      </c>
      <c r="K7" s="61">
        <v>-4.1999999999999997E-3</v>
      </c>
      <c r="L7" s="57">
        <v>6.93E-2</v>
      </c>
      <c r="M7" s="57">
        <v>9.7600000000000006E-2</v>
      </c>
      <c r="N7" s="61">
        <v>0.20130000000000001</v>
      </c>
      <c r="O7" s="57">
        <v>8.4400000000000003E-2</v>
      </c>
      <c r="P7" s="57">
        <v>3.2000000000000002E-3</v>
      </c>
      <c r="Q7" s="57">
        <v>3.2000000000000002E-3</v>
      </c>
      <c r="R7" s="57">
        <v>3.2000000000000002E-3</v>
      </c>
      <c r="S7" s="57">
        <v>3.2000000000000002E-3</v>
      </c>
      <c r="T7">
        <v>99.31</v>
      </c>
      <c r="U7">
        <v>98.19</v>
      </c>
      <c r="V7">
        <v>89.44</v>
      </c>
      <c r="W7" s="20">
        <v>14699.8939833</v>
      </c>
    </row>
    <row r="8" spans="1:26" x14ac:dyDescent="0.15">
      <c r="A8">
        <v>7</v>
      </c>
      <c r="B8">
        <v>160216</v>
      </c>
      <c r="C8" t="s">
        <v>28</v>
      </c>
      <c r="D8">
        <f t="shared" si="0"/>
        <v>719</v>
      </c>
      <c r="G8" s="11">
        <v>7</v>
      </c>
      <c r="H8" s="10" t="s">
        <v>1933</v>
      </c>
      <c r="I8" t="s">
        <v>1983</v>
      </c>
      <c r="J8" t="s">
        <v>1946</v>
      </c>
      <c r="K8" s="61">
        <v>-4.1000000000000003E-3</v>
      </c>
      <c r="L8" s="57">
        <v>6.9199999999999998E-2</v>
      </c>
      <c r="M8" s="57">
        <v>9.6299999999999997E-2</v>
      </c>
      <c r="N8" s="61">
        <v>0.19320000000000001</v>
      </c>
      <c r="O8" s="57">
        <v>8.4099999999999994E-2</v>
      </c>
      <c r="P8" s="57">
        <v>-2.3E-2</v>
      </c>
      <c r="Q8" s="57">
        <v>-2.3E-2</v>
      </c>
      <c r="R8" s="57">
        <v>-2.3E-2</v>
      </c>
      <c r="S8" s="57">
        <v>-2.3E-2</v>
      </c>
      <c r="T8">
        <v>99.17</v>
      </c>
      <c r="U8">
        <v>97.5</v>
      </c>
      <c r="V8">
        <v>88.75</v>
      </c>
      <c r="W8" s="20">
        <v>2415.5545999999999</v>
      </c>
    </row>
    <row r="9" spans="1:26" x14ac:dyDescent="0.15">
      <c r="A9">
        <v>8</v>
      </c>
      <c r="B9">
        <v>513680</v>
      </c>
      <c r="C9" t="s">
        <v>227</v>
      </c>
      <c r="D9">
        <f t="shared" si="0"/>
        <v>421</v>
      </c>
      <c r="G9" s="11">
        <v>8</v>
      </c>
      <c r="H9" s="10" t="s">
        <v>684</v>
      </c>
      <c r="I9" t="s">
        <v>1217</v>
      </c>
      <c r="J9" t="s">
        <v>1212</v>
      </c>
      <c r="K9" s="61">
        <v>-8.5000000000000006E-3</v>
      </c>
      <c r="L9" s="57">
        <v>2.7400000000000001E-2</v>
      </c>
      <c r="M9" s="57">
        <v>8.5900000000000004E-2</v>
      </c>
      <c r="N9" s="61">
        <v>0.12509999999999999</v>
      </c>
      <c r="O9" s="57">
        <v>-1.9400000000000001E-2</v>
      </c>
      <c r="P9" s="57">
        <v>-4.2599999999999999E-2</v>
      </c>
      <c r="Q9" s="57">
        <v>-0.2248</v>
      </c>
      <c r="R9" s="57">
        <v>-0.20230000000000001</v>
      </c>
      <c r="S9" s="57">
        <v>-0.1273</v>
      </c>
      <c r="T9">
        <v>99.03</v>
      </c>
      <c r="U9">
        <v>88.89</v>
      </c>
      <c r="V9">
        <v>96.53</v>
      </c>
      <c r="W9" s="20">
        <v>99.933999999999997</v>
      </c>
    </row>
    <row r="10" spans="1:26" x14ac:dyDescent="0.15">
      <c r="A10">
        <v>9</v>
      </c>
      <c r="B10">
        <v>160717</v>
      </c>
      <c r="C10" t="s">
        <v>25</v>
      </c>
      <c r="D10">
        <f t="shared" si="0"/>
        <v>33</v>
      </c>
      <c r="G10" s="11">
        <v>9</v>
      </c>
      <c r="H10" s="10" t="s">
        <v>1501</v>
      </c>
      <c r="I10" t="s">
        <v>1502</v>
      </c>
      <c r="J10" t="s">
        <v>1609</v>
      </c>
      <c r="K10" s="61">
        <v>-5.1000000000000004E-3</v>
      </c>
      <c r="L10" s="57">
        <v>5.4100000000000002E-2</v>
      </c>
      <c r="M10" s="57">
        <v>8.2500000000000004E-2</v>
      </c>
      <c r="N10" s="61">
        <v>0.15989999999999999</v>
      </c>
      <c r="O10" s="57">
        <v>1.35E-2</v>
      </c>
      <c r="P10" s="57">
        <v>6.93E-2</v>
      </c>
      <c r="Q10" s="57">
        <v>-0.27579999999999999</v>
      </c>
      <c r="R10" s="57">
        <v>-0.36880000000000002</v>
      </c>
      <c r="S10" s="57">
        <v>-0.36880000000000002</v>
      </c>
      <c r="T10">
        <v>98.89</v>
      </c>
      <c r="U10">
        <v>92.78</v>
      </c>
      <c r="V10">
        <v>92.5</v>
      </c>
      <c r="W10" s="20">
        <v>155.33652000000001</v>
      </c>
    </row>
    <row r="11" spans="1:26" x14ac:dyDescent="0.15">
      <c r="A11">
        <v>10</v>
      </c>
      <c r="B11">
        <v>162411</v>
      </c>
      <c r="C11" t="s">
        <v>27</v>
      </c>
      <c r="D11">
        <f t="shared" si="0"/>
        <v>51</v>
      </c>
      <c r="G11" s="11">
        <v>10</v>
      </c>
      <c r="H11" s="10" t="s">
        <v>1529</v>
      </c>
      <c r="I11" t="s">
        <v>1530</v>
      </c>
      <c r="J11" t="s">
        <v>1609</v>
      </c>
      <c r="K11" s="61">
        <v>-4.5999999999999999E-3</v>
      </c>
      <c r="L11" s="57">
        <v>5.4399999999999997E-2</v>
      </c>
      <c r="M11" s="57">
        <v>6.1800000000000001E-2</v>
      </c>
      <c r="N11" s="61">
        <v>0.16819999999999999</v>
      </c>
      <c r="O11" s="57">
        <v>6.1600000000000002E-2</v>
      </c>
      <c r="P11" s="57">
        <v>0.13830000000000001</v>
      </c>
      <c r="Q11" s="57">
        <v>-0.1464</v>
      </c>
      <c r="R11" s="57">
        <v>-0.28870000000000001</v>
      </c>
      <c r="S11" s="57">
        <v>-0.28870000000000001</v>
      </c>
      <c r="T11">
        <v>98.75</v>
      </c>
      <c r="U11">
        <v>93.61</v>
      </c>
      <c r="V11">
        <v>90.97</v>
      </c>
      <c r="W11" s="20">
        <v>845.53769999999997</v>
      </c>
    </row>
    <row r="12" spans="1:26" x14ac:dyDescent="0.15">
      <c r="G12" s="11">
        <v>11</v>
      </c>
      <c r="H12" s="10" t="s">
        <v>1507</v>
      </c>
      <c r="I12" t="s">
        <v>1508</v>
      </c>
      <c r="J12" t="s">
        <v>1609</v>
      </c>
      <c r="K12" s="61">
        <v>-6.6E-3</v>
      </c>
      <c r="L12" s="57">
        <v>2.01E-2</v>
      </c>
      <c r="M12" s="57">
        <v>7.3200000000000001E-2</v>
      </c>
      <c r="N12" s="61">
        <v>0.13350000000000001</v>
      </c>
      <c r="O12" s="57">
        <v>-7.0199999999999999E-2</v>
      </c>
      <c r="P12" s="57">
        <v>-1.47E-2</v>
      </c>
      <c r="Q12" s="57">
        <v>-0.28060000000000002</v>
      </c>
      <c r="R12" s="57">
        <v>-0.3165</v>
      </c>
      <c r="S12" s="57">
        <v>-0.3165</v>
      </c>
      <c r="T12">
        <v>98.61</v>
      </c>
      <c r="U12">
        <v>89.58</v>
      </c>
      <c r="V12">
        <v>95</v>
      </c>
      <c r="W12" s="20">
        <v>560.03340000000003</v>
      </c>
    </row>
    <row r="13" spans="1:26" x14ac:dyDescent="0.15">
      <c r="G13" s="11">
        <v>12</v>
      </c>
      <c r="H13" s="10" t="s">
        <v>720</v>
      </c>
      <c r="I13" t="s">
        <v>1025</v>
      </c>
      <c r="J13" t="s">
        <v>830</v>
      </c>
      <c r="K13" s="61">
        <v>-4.7000000000000002E-3</v>
      </c>
      <c r="L13" s="57">
        <v>5.4199999999999998E-2</v>
      </c>
      <c r="M13" s="57">
        <v>8.2400000000000001E-2</v>
      </c>
      <c r="N13" s="61">
        <v>0.15939999999999999</v>
      </c>
      <c r="O13" s="57">
        <v>1.17E-2</v>
      </c>
      <c r="P13" s="57">
        <v>7.2900000000000006E-2</v>
      </c>
      <c r="Q13" s="57">
        <v>-0.28070000000000001</v>
      </c>
      <c r="R13" s="57">
        <v>-0.47049999999999997</v>
      </c>
      <c r="S13" s="57">
        <v>-0.47049999999999997</v>
      </c>
      <c r="T13">
        <v>98.47</v>
      </c>
      <c r="U13">
        <v>92.64</v>
      </c>
      <c r="V13">
        <v>91.53</v>
      </c>
      <c r="W13" s="20">
        <v>3004.3205499999999</v>
      </c>
    </row>
    <row r="14" spans="1:26" x14ac:dyDescent="0.15">
      <c r="G14" s="11">
        <v>13</v>
      </c>
      <c r="H14" s="10" t="s">
        <v>714</v>
      </c>
      <c r="I14" t="s">
        <v>1220</v>
      </c>
      <c r="J14" t="s">
        <v>1212</v>
      </c>
      <c r="K14" s="61">
        <v>-7.3000000000000001E-3</v>
      </c>
      <c r="L14" s="57">
        <v>3.9399999999999998E-2</v>
      </c>
      <c r="M14" s="57">
        <v>0.1031</v>
      </c>
      <c r="N14" s="61">
        <v>0.1195</v>
      </c>
      <c r="O14" s="57">
        <v>-4.1099999999999998E-2</v>
      </c>
      <c r="P14" s="57">
        <v>-2.1700000000000001E-2</v>
      </c>
      <c r="Q14" s="57">
        <v>-0.24179999999999999</v>
      </c>
      <c r="R14" s="57">
        <v>-0.45329999999999998</v>
      </c>
      <c r="S14" s="57">
        <v>-0.501</v>
      </c>
      <c r="T14">
        <v>98.33</v>
      </c>
      <c r="U14">
        <v>88.33</v>
      </c>
      <c r="V14">
        <v>95.69</v>
      </c>
      <c r="W14" s="20">
        <v>111.87556000000001</v>
      </c>
    </row>
    <row r="15" spans="1:26" x14ac:dyDescent="0.15">
      <c r="G15" s="11">
        <v>14</v>
      </c>
      <c r="H15" s="10" t="s">
        <v>413</v>
      </c>
      <c r="I15" t="s">
        <v>800</v>
      </c>
      <c r="J15" t="s">
        <v>793</v>
      </c>
      <c r="K15" s="61">
        <v>-3.32E-2</v>
      </c>
      <c r="L15" s="57">
        <v>1.61E-2</v>
      </c>
      <c r="M15" s="57">
        <v>2.0799999999999999E-2</v>
      </c>
      <c r="N15" s="61">
        <v>9.7299999999999998E-2</v>
      </c>
      <c r="O15" s="57">
        <v>6.1400000000000003E-2</v>
      </c>
      <c r="P15" s="57">
        <v>0.19769999999999999</v>
      </c>
      <c r="Q15" s="57">
        <v>-0.11459999999999999</v>
      </c>
      <c r="R15" s="57">
        <v>9.4999999999999998E-3</v>
      </c>
      <c r="S15" s="57">
        <v>9.4999999999999998E-3</v>
      </c>
      <c r="T15">
        <v>98.19</v>
      </c>
      <c r="U15">
        <v>84.17</v>
      </c>
      <c r="V15">
        <v>98.47</v>
      </c>
      <c r="W15" s="20">
        <v>44.691217599999995</v>
      </c>
    </row>
    <row r="16" spans="1:26" x14ac:dyDescent="0.15">
      <c r="G16" s="11">
        <v>15</v>
      </c>
      <c r="H16" s="10" t="s">
        <v>1527</v>
      </c>
      <c r="I16" t="s">
        <v>1528</v>
      </c>
      <c r="J16" t="s">
        <v>1609</v>
      </c>
      <c r="K16" s="61">
        <v>-7.9000000000000008E-3</v>
      </c>
      <c r="L16" s="57">
        <v>1.8700000000000001E-2</v>
      </c>
      <c r="M16" s="57">
        <v>8.7800000000000003E-2</v>
      </c>
      <c r="N16" s="61">
        <v>0.10680000000000001</v>
      </c>
      <c r="O16" s="57">
        <v>-4.6800000000000001E-2</v>
      </c>
      <c r="P16" s="57">
        <v>-3.5400000000000001E-2</v>
      </c>
      <c r="Q16" s="57">
        <v>-0.12509999999999999</v>
      </c>
      <c r="R16" s="57">
        <v>-0.12509999999999999</v>
      </c>
      <c r="S16" s="57">
        <v>-0.12509999999999999</v>
      </c>
      <c r="T16">
        <v>98.06</v>
      </c>
      <c r="U16">
        <v>86.39</v>
      </c>
      <c r="V16">
        <v>95.97</v>
      </c>
      <c r="W16" s="20">
        <v>644.62648999999999</v>
      </c>
    </row>
    <row r="17" spans="7:23" x14ac:dyDescent="0.15">
      <c r="G17" s="11">
        <v>16</v>
      </c>
      <c r="H17" s="10" t="s">
        <v>1509</v>
      </c>
      <c r="I17" t="s">
        <v>1510</v>
      </c>
      <c r="J17" t="s">
        <v>1609</v>
      </c>
      <c r="K17" s="61">
        <v>-5.7999999999999996E-3</v>
      </c>
      <c r="L17" s="57">
        <v>4.0800000000000003E-2</v>
      </c>
      <c r="M17" s="57">
        <v>4.2900000000000001E-2</v>
      </c>
      <c r="N17" s="61">
        <v>0.12189999999999999</v>
      </c>
      <c r="O17" s="57">
        <v>2.7199999999999998E-2</v>
      </c>
      <c r="P17" s="57">
        <v>0.14399999999999999</v>
      </c>
      <c r="Q17" s="57">
        <v>-0.25569999999999998</v>
      </c>
      <c r="R17" s="57">
        <v>-0.25569999999999998</v>
      </c>
      <c r="S17" s="57">
        <v>-0.25569999999999998</v>
      </c>
      <c r="T17">
        <v>97.92</v>
      </c>
      <c r="U17">
        <v>88.47</v>
      </c>
      <c r="V17">
        <v>93.75</v>
      </c>
      <c r="W17" s="20">
        <v>2182.9601825</v>
      </c>
    </row>
    <row r="18" spans="7:23" x14ac:dyDescent="0.15">
      <c r="G18" s="11">
        <v>17</v>
      </c>
      <c r="H18" s="10" t="s">
        <v>1248</v>
      </c>
      <c r="I18" t="s">
        <v>1249</v>
      </c>
      <c r="J18" t="s">
        <v>1609</v>
      </c>
      <c r="K18" s="61">
        <v>-4.3E-3</v>
      </c>
      <c r="L18" s="57">
        <v>6.3299999999999995E-2</v>
      </c>
      <c r="M18" s="57">
        <v>9.3299999999999994E-2</v>
      </c>
      <c r="N18" s="61">
        <v>0.15060000000000001</v>
      </c>
      <c r="O18" s="57">
        <v>-1.1299999999999999E-2</v>
      </c>
      <c r="P18" s="57">
        <v>1.3599999999999999E-2</v>
      </c>
      <c r="Q18" s="57">
        <v>-0.13880000000000001</v>
      </c>
      <c r="R18" s="57">
        <v>-9.3100000000000002E-2</v>
      </c>
      <c r="S18" s="57">
        <v>-9.3100000000000002E-2</v>
      </c>
      <c r="T18">
        <v>97.78</v>
      </c>
      <c r="U18">
        <v>91.94</v>
      </c>
      <c r="V18">
        <v>90.14</v>
      </c>
      <c r="W18" s="20">
        <v>1288.9657</v>
      </c>
    </row>
    <row r="19" spans="7:23" x14ac:dyDescent="0.15">
      <c r="G19" s="11">
        <v>18</v>
      </c>
      <c r="H19" s="10" t="s">
        <v>505</v>
      </c>
      <c r="I19" t="s">
        <v>1544</v>
      </c>
      <c r="J19" t="s">
        <v>1609</v>
      </c>
      <c r="K19" s="61">
        <v>-3.0999999999999999E-3</v>
      </c>
      <c r="L19" s="57">
        <v>5.16E-2</v>
      </c>
      <c r="M19" s="57">
        <v>0.10680000000000001</v>
      </c>
      <c r="N19" s="61">
        <v>0.18099999999999999</v>
      </c>
      <c r="O19" s="57">
        <v>-0.1074</v>
      </c>
      <c r="P19" s="57">
        <v>-3.0499999999999999E-2</v>
      </c>
      <c r="Q19" s="57">
        <v>-0.2477</v>
      </c>
      <c r="R19" s="57">
        <v>-0.2477</v>
      </c>
      <c r="S19" s="57">
        <v>-0.2477</v>
      </c>
      <c r="T19">
        <v>97.64</v>
      </c>
      <c r="U19">
        <v>96.25</v>
      </c>
      <c r="V19">
        <v>85.42</v>
      </c>
      <c r="W19" s="20">
        <v>10843.164920000001</v>
      </c>
    </row>
    <row r="20" spans="7:23" x14ac:dyDescent="0.15">
      <c r="G20" s="11">
        <v>19</v>
      </c>
      <c r="H20" s="10" t="s">
        <v>279</v>
      </c>
      <c r="I20" t="s">
        <v>814</v>
      </c>
      <c r="J20" t="s">
        <v>793</v>
      </c>
      <c r="K20" s="61">
        <v>-5.4899999999999997E-2</v>
      </c>
      <c r="L20" s="57">
        <v>4.87E-2</v>
      </c>
      <c r="M20" s="57">
        <v>3.1099999999999999E-2</v>
      </c>
      <c r="N20" s="61">
        <v>8.9800000000000005E-2</v>
      </c>
      <c r="O20" s="57">
        <v>7.51E-2</v>
      </c>
      <c r="P20" s="57">
        <v>0.16120000000000001</v>
      </c>
      <c r="Q20" s="57">
        <v>-0.1716</v>
      </c>
      <c r="R20" s="57">
        <v>-5.9400000000000001E-2</v>
      </c>
      <c r="S20" s="57">
        <v>-5.9400000000000001E-2</v>
      </c>
      <c r="T20">
        <v>97.5</v>
      </c>
      <c r="U20">
        <v>81.53</v>
      </c>
      <c r="V20">
        <v>100</v>
      </c>
      <c r="W20" s="20">
        <v>66.846285999999992</v>
      </c>
    </row>
    <row r="21" spans="7:23" x14ac:dyDescent="0.15">
      <c r="G21" s="11">
        <v>20</v>
      </c>
      <c r="H21" s="10" t="s">
        <v>632</v>
      </c>
      <c r="I21" t="s">
        <v>994</v>
      </c>
      <c r="J21" t="s">
        <v>830</v>
      </c>
      <c r="K21" s="61">
        <v>-4.3E-3</v>
      </c>
      <c r="L21" s="57">
        <v>6.25E-2</v>
      </c>
      <c r="M21" s="57">
        <v>0.1053</v>
      </c>
      <c r="N21" s="61">
        <v>0.1484</v>
      </c>
      <c r="O21" s="57">
        <v>-1.5E-3</v>
      </c>
      <c r="P21" s="57">
        <v>1.0200000000000001E-2</v>
      </c>
      <c r="Q21" s="57">
        <v>-0.1842</v>
      </c>
      <c r="R21" s="57">
        <v>-0.35959999999999998</v>
      </c>
      <c r="S21" s="57">
        <v>-0.19270000000000001</v>
      </c>
      <c r="T21">
        <v>97.36</v>
      </c>
      <c r="U21">
        <v>91.81</v>
      </c>
      <c r="V21">
        <v>89.58</v>
      </c>
      <c r="W21" s="20">
        <v>14430.5841</v>
      </c>
    </row>
    <row r="22" spans="7:23" x14ac:dyDescent="0.15">
      <c r="G22" s="11">
        <v>21</v>
      </c>
      <c r="H22" s="10" t="s">
        <v>722</v>
      </c>
      <c r="I22" t="s">
        <v>1233</v>
      </c>
      <c r="J22" t="s">
        <v>1212</v>
      </c>
      <c r="K22" s="61">
        <v>-2.5999999999999999E-3</v>
      </c>
      <c r="L22" s="57">
        <v>6.0499999999999998E-2</v>
      </c>
      <c r="M22" s="57">
        <v>0.12540000000000001</v>
      </c>
      <c r="N22" s="61">
        <v>0.20580000000000001</v>
      </c>
      <c r="O22" s="57">
        <v>-6.7599999999999993E-2</v>
      </c>
      <c r="P22" s="57">
        <v>-1.67E-2</v>
      </c>
      <c r="Q22" s="57">
        <v>-0.34289999999999998</v>
      </c>
      <c r="R22" s="57">
        <v>-0.49370000000000003</v>
      </c>
      <c r="S22" s="57">
        <v>-0.49370000000000003</v>
      </c>
      <c r="T22">
        <v>97.22</v>
      </c>
      <c r="U22">
        <v>98.89</v>
      </c>
      <c r="V22">
        <v>82.36</v>
      </c>
      <c r="W22" s="20">
        <v>413204.93939999997</v>
      </c>
    </row>
    <row r="23" spans="7:23" x14ac:dyDescent="0.15">
      <c r="G23" s="11">
        <v>22</v>
      </c>
      <c r="H23" s="10" t="s">
        <v>496</v>
      </c>
      <c r="I23" t="s">
        <v>1227</v>
      </c>
      <c r="J23" t="s">
        <v>1212</v>
      </c>
      <c r="K23" s="61">
        <v>-4.4999999999999997E-3</v>
      </c>
      <c r="L23" s="57">
        <v>2.6599999999999999E-2</v>
      </c>
      <c r="M23" s="57">
        <v>9.6600000000000005E-2</v>
      </c>
      <c r="N23" s="61">
        <v>0.1255</v>
      </c>
      <c r="O23" s="57">
        <v>-5.7500000000000002E-2</v>
      </c>
      <c r="P23" s="57">
        <v>-4.24E-2</v>
      </c>
      <c r="Q23" s="57">
        <v>-0.21290000000000001</v>
      </c>
      <c r="R23" s="57">
        <v>-0.23549999999999999</v>
      </c>
      <c r="S23" s="57">
        <v>-0.1885</v>
      </c>
      <c r="T23">
        <v>97.08</v>
      </c>
      <c r="U23">
        <v>89.17</v>
      </c>
      <c r="V23">
        <v>90.56</v>
      </c>
      <c r="W23" s="20">
        <v>4586.4034000000001</v>
      </c>
    </row>
    <row r="24" spans="7:23" x14ac:dyDescent="0.15">
      <c r="G24" s="11">
        <v>23</v>
      </c>
      <c r="H24" s="10" t="s">
        <v>408</v>
      </c>
      <c r="I24" t="s">
        <v>831</v>
      </c>
      <c r="J24" t="s">
        <v>830</v>
      </c>
      <c r="K24" s="61">
        <v>-8.0000000000000002E-3</v>
      </c>
      <c r="L24" s="57">
        <v>4.3200000000000002E-2</v>
      </c>
      <c r="M24" s="57">
        <v>2.41E-2</v>
      </c>
      <c r="N24" s="61">
        <v>9.5200000000000007E-2</v>
      </c>
      <c r="O24" s="57">
        <v>-6.0199999999999997E-2</v>
      </c>
      <c r="P24" s="57">
        <v>2.6800000000000001E-2</v>
      </c>
      <c r="Q24" s="57">
        <v>-0.28489999999999999</v>
      </c>
      <c r="R24" s="57">
        <v>-0.2107</v>
      </c>
      <c r="S24" s="57">
        <v>-0.2107</v>
      </c>
      <c r="T24">
        <v>96.94</v>
      </c>
      <c r="U24">
        <v>83.47</v>
      </c>
      <c r="V24">
        <v>96.11</v>
      </c>
      <c r="W24" s="20">
        <v>49.644159799999997</v>
      </c>
    </row>
    <row r="25" spans="7:23" x14ac:dyDescent="0.15">
      <c r="G25" s="11">
        <v>24</v>
      </c>
      <c r="H25" s="10" t="s">
        <v>580</v>
      </c>
      <c r="I25" t="s">
        <v>1228</v>
      </c>
      <c r="J25" t="s">
        <v>1212</v>
      </c>
      <c r="K25" s="61">
        <v>-2.3999999999999998E-3</v>
      </c>
      <c r="L25" s="57">
        <v>6.1899999999999997E-2</v>
      </c>
      <c r="M25" s="57">
        <v>0.12620000000000001</v>
      </c>
      <c r="N25" s="61">
        <v>0.20710000000000001</v>
      </c>
      <c r="O25" s="57">
        <v>-6.4199999999999993E-2</v>
      </c>
      <c r="P25" s="57">
        <v>-1.06E-2</v>
      </c>
      <c r="Q25" s="57">
        <v>-0.3367</v>
      </c>
      <c r="R25" s="57">
        <v>-0.49580000000000002</v>
      </c>
      <c r="S25" s="57">
        <v>-0.49580000000000002</v>
      </c>
      <c r="T25">
        <v>96.81</v>
      </c>
      <c r="U25">
        <v>99.17</v>
      </c>
      <c r="V25">
        <v>80.28</v>
      </c>
      <c r="W25" s="20">
        <v>14362.0596114</v>
      </c>
    </row>
    <row r="26" spans="7:23" x14ac:dyDescent="0.15">
      <c r="G26" s="11">
        <v>25</v>
      </c>
      <c r="H26" s="10" t="s">
        <v>716</v>
      </c>
      <c r="I26" t="s">
        <v>889</v>
      </c>
      <c r="J26" t="s">
        <v>830</v>
      </c>
      <c r="K26" s="61">
        <v>-7.1000000000000004E-3</v>
      </c>
      <c r="L26" s="57">
        <v>3.3599999999999998E-2</v>
      </c>
      <c r="M26" s="57">
        <v>5.0200000000000002E-2</v>
      </c>
      <c r="N26" s="61">
        <v>9.64E-2</v>
      </c>
      <c r="O26" s="57">
        <v>-4.7100000000000003E-2</v>
      </c>
      <c r="P26" s="57">
        <v>2.3099999999999999E-2</v>
      </c>
      <c r="Q26" s="57">
        <v>-0.28920000000000001</v>
      </c>
      <c r="R26" s="57">
        <v>-0.39369999999999999</v>
      </c>
      <c r="S26" s="57">
        <v>-0.39369999999999999</v>
      </c>
      <c r="T26">
        <v>96.67</v>
      </c>
      <c r="U26">
        <v>83.89</v>
      </c>
      <c r="V26">
        <v>95.56</v>
      </c>
      <c r="W26" s="20">
        <v>244.95750000000001</v>
      </c>
    </row>
    <row r="27" spans="7:23" x14ac:dyDescent="0.15">
      <c r="G27" s="11">
        <v>26</v>
      </c>
      <c r="H27" s="10" t="s">
        <v>274</v>
      </c>
      <c r="I27" t="s">
        <v>1197</v>
      </c>
      <c r="J27" t="s">
        <v>1175</v>
      </c>
      <c r="K27" s="61">
        <v>-2.8999999999999998E-3</v>
      </c>
      <c r="L27" s="57">
        <v>9.0899999999999995E-2</v>
      </c>
      <c r="M27" s="57">
        <v>0.10489999999999999</v>
      </c>
      <c r="N27" s="61">
        <v>0.1711</v>
      </c>
      <c r="O27" s="57">
        <v>0.20930000000000001</v>
      </c>
      <c r="P27" s="57">
        <v>0.23419999999999999</v>
      </c>
      <c r="Q27" s="57">
        <v>0.26300000000000001</v>
      </c>
      <c r="R27" s="57">
        <v>0.34970000000000001</v>
      </c>
      <c r="S27" s="57">
        <v>0.69520000000000004</v>
      </c>
      <c r="T27">
        <v>96.53</v>
      </c>
      <c r="U27">
        <v>94.72</v>
      </c>
      <c r="V27">
        <v>84.31</v>
      </c>
      <c r="W27" s="20">
        <v>1207.0456999999999</v>
      </c>
    </row>
    <row r="28" spans="7:23" x14ac:dyDescent="0.15">
      <c r="G28" s="11">
        <v>27</v>
      </c>
      <c r="H28" s="10" t="s">
        <v>679</v>
      </c>
      <c r="I28" t="s">
        <v>1148</v>
      </c>
      <c r="J28" t="s">
        <v>1146</v>
      </c>
      <c r="K28" s="61">
        <v>-2.3E-3</v>
      </c>
      <c r="L28" s="57">
        <v>0.17799999999999999</v>
      </c>
      <c r="M28" s="57">
        <v>0.2167</v>
      </c>
      <c r="N28" s="61">
        <v>0.2084</v>
      </c>
      <c r="O28" s="57">
        <v>-1.77E-2</v>
      </c>
      <c r="P28" s="57">
        <v>9.9099999999999994E-2</v>
      </c>
      <c r="Q28" s="57">
        <v>-0.29880000000000001</v>
      </c>
      <c r="R28" s="57">
        <v>-0.53169999999999995</v>
      </c>
      <c r="S28" s="57">
        <v>-0.27</v>
      </c>
      <c r="T28">
        <v>96.39</v>
      </c>
      <c r="U28">
        <v>99.44</v>
      </c>
      <c r="V28">
        <v>79.58</v>
      </c>
      <c r="W28" s="20">
        <v>16353.5816072</v>
      </c>
    </row>
    <row r="29" spans="7:23" x14ac:dyDescent="0.15">
      <c r="G29" s="11">
        <v>28</v>
      </c>
      <c r="H29" s="10" t="s">
        <v>653</v>
      </c>
      <c r="I29" t="s">
        <v>1005</v>
      </c>
      <c r="J29" t="s">
        <v>830</v>
      </c>
      <c r="K29" s="61">
        <v>-3.2000000000000002E-3</v>
      </c>
      <c r="L29" s="57">
        <v>3.9399999999999998E-2</v>
      </c>
      <c r="M29" s="57">
        <v>4.3999999999999997E-2</v>
      </c>
      <c r="N29" s="61">
        <v>0.15190000000000001</v>
      </c>
      <c r="O29" s="57">
        <v>6.7599999999999993E-2</v>
      </c>
      <c r="P29" s="57">
        <v>0.20669999999999999</v>
      </c>
      <c r="Q29" s="57">
        <v>-0.2107</v>
      </c>
      <c r="R29" s="57">
        <v>-0.2195</v>
      </c>
      <c r="S29" s="57">
        <v>-0.2195</v>
      </c>
      <c r="T29">
        <v>96.25</v>
      </c>
      <c r="U29">
        <v>92.22</v>
      </c>
      <c r="V29">
        <v>85.97</v>
      </c>
      <c r="W29" s="20">
        <v>5585.5375000000004</v>
      </c>
    </row>
    <row r="30" spans="7:23" x14ac:dyDescent="0.15">
      <c r="G30" s="11">
        <v>29</v>
      </c>
      <c r="H30" s="10" t="s">
        <v>1213</v>
      </c>
      <c r="I30" t="s">
        <v>1214</v>
      </c>
      <c r="J30" t="s">
        <v>1212</v>
      </c>
      <c r="K30" s="61">
        <v>-3.3E-3</v>
      </c>
      <c r="L30" s="57">
        <v>2.1899999999999999E-2</v>
      </c>
      <c r="M30" s="57">
        <v>7.8100000000000003E-2</v>
      </c>
      <c r="N30" s="61">
        <v>0.14630000000000001</v>
      </c>
      <c r="O30" s="57">
        <v>-8.9599999999999999E-2</v>
      </c>
      <c r="P30" s="57">
        <v>-2.24E-2</v>
      </c>
      <c r="Q30" s="57">
        <v>-0.33610000000000001</v>
      </c>
      <c r="R30" s="57">
        <v>-0.36959999999999998</v>
      </c>
      <c r="S30" s="57">
        <v>-0.15190000000000001</v>
      </c>
      <c r="T30">
        <v>96.11</v>
      </c>
      <c r="U30">
        <v>91.25</v>
      </c>
      <c r="V30">
        <v>86.67</v>
      </c>
      <c r="W30" s="20">
        <v>167.39259999999999</v>
      </c>
    </row>
    <row r="31" spans="7:23" x14ac:dyDescent="0.15">
      <c r="G31" s="11">
        <v>30</v>
      </c>
      <c r="H31" s="10" t="s">
        <v>280</v>
      </c>
      <c r="I31" t="s">
        <v>1190</v>
      </c>
      <c r="J31" t="s">
        <v>1175</v>
      </c>
      <c r="K31" s="61">
        <v>-2.8E-3</v>
      </c>
      <c r="L31" s="57">
        <v>9.0800000000000006E-2</v>
      </c>
      <c r="M31" s="57">
        <v>0.1047</v>
      </c>
      <c r="N31" s="61">
        <v>0.17069999999999999</v>
      </c>
      <c r="O31" s="57">
        <v>0.20810000000000001</v>
      </c>
      <c r="P31" s="57">
        <v>0.23180000000000001</v>
      </c>
      <c r="Q31" s="57">
        <v>0.25779999999999997</v>
      </c>
      <c r="R31" s="57">
        <v>0.3387</v>
      </c>
      <c r="S31" s="57">
        <v>0.67430000000000001</v>
      </c>
      <c r="T31">
        <v>95.97</v>
      </c>
      <c r="U31">
        <v>94.44</v>
      </c>
      <c r="V31">
        <v>83.33</v>
      </c>
      <c r="W31" s="20">
        <v>240.7131</v>
      </c>
    </row>
    <row r="32" spans="7:23" x14ac:dyDescent="0.15">
      <c r="G32" s="11">
        <v>31</v>
      </c>
      <c r="H32" s="10" t="s">
        <v>472</v>
      </c>
      <c r="I32" t="s">
        <v>1174</v>
      </c>
      <c r="J32" t="s">
        <v>1166</v>
      </c>
      <c r="K32" s="61">
        <v>-5.5999999999999999E-3</v>
      </c>
      <c r="L32" s="57">
        <v>2.7300000000000001E-2</v>
      </c>
      <c r="M32" s="57">
        <v>6.1800000000000001E-2</v>
      </c>
      <c r="N32" s="61">
        <v>9.5200000000000007E-2</v>
      </c>
      <c r="O32" s="57">
        <v>-9.0899999999999995E-2</v>
      </c>
      <c r="P32" s="57">
        <v>-1.5299999999999999E-2</v>
      </c>
      <c r="Q32" s="57">
        <v>-0.24079999999999999</v>
      </c>
      <c r="R32" s="57">
        <v>-0.20069999999999999</v>
      </c>
      <c r="S32" s="57">
        <v>0.34310000000000002</v>
      </c>
      <c r="T32">
        <v>95.83</v>
      </c>
      <c r="U32">
        <v>83.61</v>
      </c>
      <c r="V32">
        <v>93.47</v>
      </c>
      <c r="W32" s="20">
        <v>2628.0143302000001</v>
      </c>
    </row>
    <row r="33" spans="7:23" x14ac:dyDescent="0.15">
      <c r="G33" s="11">
        <v>32</v>
      </c>
      <c r="H33" s="10" t="s">
        <v>631</v>
      </c>
      <c r="I33" t="s">
        <v>1545</v>
      </c>
      <c r="J33" t="s">
        <v>1609</v>
      </c>
      <c r="K33" s="61">
        <v>-2.3999999999999998E-3</v>
      </c>
      <c r="L33" s="57">
        <v>5.0900000000000001E-2</v>
      </c>
      <c r="M33" s="57">
        <v>0.1067</v>
      </c>
      <c r="N33" s="61">
        <v>0.18129999999999999</v>
      </c>
      <c r="O33" s="57">
        <v>-0.10009999999999999</v>
      </c>
      <c r="P33" s="57">
        <v>-2.1600000000000001E-2</v>
      </c>
      <c r="Q33" s="57">
        <v>-0.3795</v>
      </c>
      <c r="R33" s="57">
        <v>-0.49380000000000002</v>
      </c>
      <c r="S33" s="57">
        <v>-0.49380000000000002</v>
      </c>
      <c r="T33">
        <v>95.69</v>
      </c>
      <c r="U33">
        <v>96.39</v>
      </c>
      <c r="V33">
        <v>80.14</v>
      </c>
      <c r="W33" s="20">
        <v>9983.5939299999991</v>
      </c>
    </row>
    <row r="34" spans="7:23" x14ac:dyDescent="0.15">
      <c r="G34" s="11">
        <v>33</v>
      </c>
      <c r="H34" s="10" t="s">
        <v>717</v>
      </c>
      <c r="I34" t="s">
        <v>1241</v>
      </c>
      <c r="J34" t="s">
        <v>1212</v>
      </c>
      <c r="K34" s="61">
        <v>-4.4000000000000003E-3</v>
      </c>
      <c r="L34" s="57">
        <v>3.2000000000000001E-2</v>
      </c>
      <c r="M34" s="57">
        <v>9.1499999999999998E-2</v>
      </c>
      <c r="N34" s="61">
        <v>0.1045</v>
      </c>
      <c r="O34" s="57">
        <v>-3.3300000000000003E-2</v>
      </c>
      <c r="P34" s="57">
        <v>-2.01E-2</v>
      </c>
      <c r="Q34" s="57">
        <v>-0.19939999999999999</v>
      </c>
      <c r="R34" s="57">
        <v>-0.32790000000000002</v>
      </c>
      <c r="S34" s="57">
        <v>-0.37759999999999999</v>
      </c>
      <c r="T34">
        <v>95.56</v>
      </c>
      <c r="U34">
        <v>85.97</v>
      </c>
      <c r="V34">
        <v>90.28</v>
      </c>
      <c r="W34" s="20">
        <v>142.10147509999999</v>
      </c>
    </row>
    <row r="35" spans="7:23" x14ac:dyDescent="0.15">
      <c r="G35" s="11">
        <v>34</v>
      </c>
      <c r="H35" s="10" t="s">
        <v>1499</v>
      </c>
      <c r="I35" t="s">
        <v>1500</v>
      </c>
      <c r="J35" t="s">
        <v>1609</v>
      </c>
      <c r="K35" s="61">
        <v>-3.5000000000000001E-3</v>
      </c>
      <c r="L35" s="57">
        <v>3.9800000000000002E-2</v>
      </c>
      <c r="M35" s="57">
        <v>4.1300000000000003E-2</v>
      </c>
      <c r="N35" s="61">
        <v>0.1186</v>
      </c>
      <c r="O35" s="57">
        <v>2.6499999999999999E-2</v>
      </c>
      <c r="P35" s="57">
        <v>0.13730000000000001</v>
      </c>
      <c r="Q35" s="57">
        <v>-0.1973</v>
      </c>
      <c r="R35" s="57">
        <v>-0.27850000000000003</v>
      </c>
      <c r="S35" s="57">
        <v>-0.27850000000000003</v>
      </c>
      <c r="T35">
        <v>95.42</v>
      </c>
      <c r="U35">
        <v>88.19</v>
      </c>
      <c r="V35">
        <v>87.36</v>
      </c>
      <c r="W35" s="20">
        <v>1561.3312000000001</v>
      </c>
    </row>
    <row r="36" spans="7:23" x14ac:dyDescent="0.15">
      <c r="G36" s="11">
        <v>35</v>
      </c>
      <c r="H36" s="10" t="s">
        <v>1541</v>
      </c>
      <c r="I36" t="s">
        <v>1542</v>
      </c>
      <c r="J36" t="s">
        <v>1609</v>
      </c>
      <c r="K36" s="61">
        <v>-2E-3</v>
      </c>
      <c r="L36" s="57">
        <v>6.1199999999999997E-2</v>
      </c>
      <c r="M36" s="57">
        <v>0.12590000000000001</v>
      </c>
      <c r="N36" s="61">
        <v>0.20319999999999999</v>
      </c>
      <c r="O36" s="57">
        <v>-8.6099999999999996E-2</v>
      </c>
      <c r="P36" s="57">
        <v>-4.7399999999999998E-2</v>
      </c>
      <c r="Q36" s="57">
        <v>-6.3100000000000003E-2</v>
      </c>
      <c r="R36" s="57">
        <v>-6.3100000000000003E-2</v>
      </c>
      <c r="S36" s="57">
        <v>-6.3100000000000003E-2</v>
      </c>
      <c r="T36">
        <v>95.28</v>
      </c>
      <c r="U36">
        <v>98.75</v>
      </c>
      <c r="V36">
        <v>76.53</v>
      </c>
      <c r="W36" s="20">
        <v>9806.3261999999995</v>
      </c>
    </row>
    <row r="37" spans="7:23" x14ac:dyDescent="0.15">
      <c r="G37" s="11">
        <v>36</v>
      </c>
      <c r="H37" s="10" t="s">
        <v>1539</v>
      </c>
      <c r="I37" t="s">
        <v>1540</v>
      </c>
      <c r="J37" t="s">
        <v>1609</v>
      </c>
      <c r="K37" s="61">
        <v>-2.5000000000000001E-3</v>
      </c>
      <c r="L37" s="57">
        <v>2.4899999999999999E-2</v>
      </c>
      <c r="M37" s="57">
        <v>7.6999999999999999E-2</v>
      </c>
      <c r="N37" s="61">
        <v>0.16819999999999999</v>
      </c>
      <c r="O37" s="57">
        <v>-0.1037</v>
      </c>
      <c r="P37" s="57">
        <v>-2.7400000000000001E-2</v>
      </c>
      <c r="Q37" s="57">
        <v>-0.2331</v>
      </c>
      <c r="R37" s="57">
        <v>-0.2331</v>
      </c>
      <c r="S37" s="57">
        <v>-0.2331</v>
      </c>
      <c r="T37">
        <v>95.14</v>
      </c>
      <c r="U37">
        <v>93.75</v>
      </c>
      <c r="V37">
        <v>81.53</v>
      </c>
      <c r="W37" s="20">
        <v>7058.8164999999999</v>
      </c>
    </row>
    <row r="38" spans="7:23" x14ac:dyDescent="0.15">
      <c r="G38" s="11">
        <v>37</v>
      </c>
      <c r="H38" s="10" t="s">
        <v>316</v>
      </c>
      <c r="I38" t="s">
        <v>926</v>
      </c>
      <c r="J38" t="s">
        <v>830</v>
      </c>
      <c r="K38" s="61">
        <v>-3.3999999999999998E-3</v>
      </c>
      <c r="L38" s="57">
        <v>3.9800000000000002E-2</v>
      </c>
      <c r="M38" s="57">
        <v>4.2500000000000003E-2</v>
      </c>
      <c r="N38" s="61">
        <v>0.11600000000000001</v>
      </c>
      <c r="O38" s="57">
        <v>2.7699999999999999E-2</v>
      </c>
      <c r="P38" s="57">
        <v>0.14710000000000001</v>
      </c>
      <c r="Q38" s="57">
        <v>-0.1973</v>
      </c>
      <c r="R38" s="57">
        <v>-0.3498</v>
      </c>
      <c r="S38" s="57">
        <v>-0.3498</v>
      </c>
      <c r="T38">
        <v>95</v>
      </c>
      <c r="U38">
        <v>87.92</v>
      </c>
      <c r="V38">
        <v>86.94</v>
      </c>
      <c r="W38" s="20">
        <v>1115.6094000000001</v>
      </c>
    </row>
    <row r="39" spans="7:23" x14ac:dyDescent="0.15">
      <c r="G39" s="11">
        <v>38</v>
      </c>
      <c r="H39" s="10" t="s">
        <v>1469</v>
      </c>
      <c r="I39" t="s">
        <v>1470</v>
      </c>
      <c r="J39" t="s">
        <v>1609</v>
      </c>
      <c r="K39" s="61">
        <v>-3.5999999999999999E-3</v>
      </c>
      <c r="L39" s="57">
        <v>4.0399999999999998E-2</v>
      </c>
      <c r="M39" s="57">
        <v>4.41E-2</v>
      </c>
      <c r="N39" s="61">
        <v>0.1091</v>
      </c>
      <c r="O39" s="57">
        <v>-0.10100000000000001</v>
      </c>
      <c r="P39" s="57">
        <v>-0.04</v>
      </c>
      <c r="Q39" s="57">
        <v>-0.27710000000000001</v>
      </c>
      <c r="R39" s="57">
        <v>-0.27339999999999998</v>
      </c>
      <c r="S39" s="57">
        <v>-0.27339999999999998</v>
      </c>
      <c r="T39">
        <v>94.86</v>
      </c>
      <c r="U39">
        <v>86.94</v>
      </c>
      <c r="V39">
        <v>87.64</v>
      </c>
      <c r="W39" s="20">
        <v>1736.2508</v>
      </c>
    </row>
    <row r="40" spans="7:23" x14ac:dyDescent="0.15">
      <c r="G40" s="11">
        <v>39</v>
      </c>
      <c r="H40" s="10" t="s">
        <v>1521</v>
      </c>
      <c r="I40" t="s">
        <v>1522</v>
      </c>
      <c r="J40" t="s">
        <v>1609</v>
      </c>
      <c r="K40" s="61">
        <v>-4.1999999999999997E-3</v>
      </c>
      <c r="L40" s="57">
        <v>1.6500000000000001E-2</v>
      </c>
      <c r="M40" s="57">
        <v>8.3699999999999997E-2</v>
      </c>
      <c r="N40" s="61">
        <v>0.1016</v>
      </c>
      <c r="O40" s="57">
        <v>-4.6199999999999998E-2</v>
      </c>
      <c r="P40" s="57">
        <v>-3.2099999999999997E-2</v>
      </c>
      <c r="Q40" s="57">
        <v>-0.16830000000000001</v>
      </c>
      <c r="R40" s="57">
        <v>-0.16850000000000001</v>
      </c>
      <c r="S40" s="57">
        <v>-0.16850000000000001</v>
      </c>
      <c r="T40">
        <v>94.72</v>
      </c>
      <c r="U40">
        <v>85.42</v>
      </c>
      <c r="V40">
        <v>89.03</v>
      </c>
      <c r="W40" s="20">
        <v>3272.8278399999999</v>
      </c>
    </row>
    <row r="41" spans="7:23" x14ac:dyDescent="0.15">
      <c r="G41" s="11">
        <v>40</v>
      </c>
      <c r="H41" s="10" t="s">
        <v>661</v>
      </c>
      <c r="I41" t="s">
        <v>1221</v>
      </c>
      <c r="J41" t="s">
        <v>1212</v>
      </c>
      <c r="K41" s="61">
        <v>-3.8E-3</v>
      </c>
      <c r="L41" s="57">
        <v>3.3500000000000002E-2</v>
      </c>
      <c r="M41" s="57">
        <v>9.6699999999999994E-2</v>
      </c>
      <c r="N41" s="61">
        <v>0.1024</v>
      </c>
      <c r="O41" s="57">
        <v>-4.2799999999999998E-2</v>
      </c>
      <c r="P41" s="57">
        <v>-3.3399999999999999E-2</v>
      </c>
      <c r="Q41" s="57">
        <v>-0.217</v>
      </c>
      <c r="R41" s="57">
        <v>-0.3468</v>
      </c>
      <c r="S41" s="57">
        <v>-0.34549999999999997</v>
      </c>
      <c r="T41">
        <v>94.58</v>
      </c>
      <c r="U41">
        <v>85.83</v>
      </c>
      <c r="V41">
        <v>87.92</v>
      </c>
      <c r="W41" s="20">
        <v>189.33158999999998</v>
      </c>
    </row>
    <row r="42" spans="7:23" x14ac:dyDescent="0.15">
      <c r="G42" s="11">
        <v>41</v>
      </c>
      <c r="H42" s="10" t="s">
        <v>361</v>
      </c>
      <c r="I42" t="s">
        <v>1169</v>
      </c>
      <c r="J42" t="s">
        <v>1166</v>
      </c>
      <c r="K42" s="61">
        <v>-6.1000000000000004E-3</v>
      </c>
      <c r="L42" s="57">
        <v>1.66E-2</v>
      </c>
      <c r="M42" s="57">
        <v>-1.54E-2</v>
      </c>
      <c r="N42" s="61">
        <v>7.3099999999999998E-2</v>
      </c>
      <c r="O42" s="57">
        <v>-5.8599999999999999E-2</v>
      </c>
      <c r="P42" s="57">
        <v>7.8200000000000006E-2</v>
      </c>
      <c r="Q42" s="57">
        <v>-0.21410000000000001</v>
      </c>
      <c r="R42" s="57">
        <v>-5.5199999999999999E-2</v>
      </c>
      <c r="S42" s="57">
        <v>-5.5199999999999999E-2</v>
      </c>
      <c r="T42">
        <v>94.44</v>
      </c>
      <c r="U42">
        <v>77.22</v>
      </c>
      <c r="V42">
        <v>94.17</v>
      </c>
      <c r="W42" s="20">
        <v>80.975399999999993</v>
      </c>
    </row>
    <row r="43" spans="7:23" x14ac:dyDescent="0.15">
      <c r="G43" s="11">
        <v>42</v>
      </c>
      <c r="H43" s="10" t="s">
        <v>1491</v>
      </c>
      <c r="I43" t="s">
        <v>1492</v>
      </c>
      <c r="J43" t="s">
        <v>1609</v>
      </c>
      <c r="K43" s="61">
        <v>-2.2000000000000001E-3</v>
      </c>
      <c r="L43" s="57">
        <v>6.9500000000000006E-2</v>
      </c>
      <c r="M43" s="57">
        <v>0.1075</v>
      </c>
      <c r="N43" s="61">
        <v>0.16120000000000001</v>
      </c>
      <c r="O43" s="57">
        <v>-1.7299999999999999E-2</v>
      </c>
      <c r="P43" s="57">
        <v>2.2100000000000002E-2</v>
      </c>
      <c r="Q43" s="57">
        <v>-0.2293</v>
      </c>
      <c r="R43" s="57">
        <v>-0.2293</v>
      </c>
      <c r="S43" s="57">
        <v>-0.2293</v>
      </c>
      <c r="T43">
        <v>94.31</v>
      </c>
      <c r="U43">
        <v>92.92</v>
      </c>
      <c r="V43">
        <v>78.19</v>
      </c>
      <c r="W43" s="20">
        <v>2182.1536000000001</v>
      </c>
    </row>
    <row r="44" spans="7:23" x14ac:dyDescent="0.15">
      <c r="G44" s="11">
        <v>43</v>
      </c>
      <c r="H44" s="10" t="s">
        <v>1931</v>
      </c>
      <c r="I44" t="s">
        <v>1985</v>
      </c>
      <c r="J44" t="s">
        <v>1946</v>
      </c>
      <c r="K44" s="61">
        <v>-1.6999999999999999E-3</v>
      </c>
      <c r="L44" s="57">
        <v>4.2599999999999999E-2</v>
      </c>
      <c r="M44" s="57">
        <v>7.5600000000000001E-2</v>
      </c>
      <c r="N44" s="61">
        <v>0.2014</v>
      </c>
      <c r="O44" s="57">
        <v>7.5800000000000006E-2</v>
      </c>
      <c r="P44" s="57">
        <v>-3.5499999999999997E-2</v>
      </c>
      <c r="Q44" s="57">
        <v>-3.5499999999999997E-2</v>
      </c>
      <c r="R44" s="57">
        <v>-3.5499999999999997E-2</v>
      </c>
      <c r="S44" s="57">
        <v>-3.5499999999999997E-2</v>
      </c>
      <c r="T44">
        <v>94.17</v>
      </c>
      <c r="U44">
        <v>98.33</v>
      </c>
      <c r="V44">
        <v>72.5</v>
      </c>
      <c r="W44" s="20">
        <v>14368.7534</v>
      </c>
    </row>
    <row r="45" spans="7:23" x14ac:dyDescent="0.15">
      <c r="G45" s="11">
        <v>44</v>
      </c>
      <c r="H45" s="10" t="s">
        <v>702</v>
      </c>
      <c r="I45" t="s">
        <v>1234</v>
      </c>
      <c r="J45" t="s">
        <v>1212</v>
      </c>
      <c r="K45" s="61">
        <v>-3.2000000000000002E-3</v>
      </c>
      <c r="L45" s="57">
        <v>2.5999999999999999E-2</v>
      </c>
      <c r="M45" s="57">
        <v>8.7300000000000003E-2</v>
      </c>
      <c r="N45" s="61">
        <v>9.9299999999999999E-2</v>
      </c>
      <c r="O45" s="57">
        <v>-4.5600000000000002E-2</v>
      </c>
      <c r="P45" s="57">
        <v>-3.6799999999999999E-2</v>
      </c>
      <c r="Q45" s="57">
        <v>-0.1832</v>
      </c>
      <c r="R45" s="57">
        <v>-0.2094</v>
      </c>
      <c r="S45" s="57">
        <v>-0.28649999999999998</v>
      </c>
      <c r="T45">
        <v>94.03</v>
      </c>
      <c r="U45">
        <v>85.14</v>
      </c>
      <c r="V45">
        <v>85.56</v>
      </c>
      <c r="W45" s="20">
        <v>85802.714079999991</v>
      </c>
    </row>
    <row r="46" spans="7:23" x14ac:dyDescent="0.15">
      <c r="G46" s="11">
        <v>45</v>
      </c>
      <c r="H46" s="10" t="s">
        <v>711</v>
      </c>
      <c r="I46" t="s">
        <v>771</v>
      </c>
      <c r="J46" t="s">
        <v>1212</v>
      </c>
      <c r="K46" s="61">
        <v>-3.3E-3</v>
      </c>
      <c r="L46" s="57">
        <v>3.8E-3</v>
      </c>
      <c r="M46" s="57">
        <v>6.6600000000000006E-2</v>
      </c>
      <c r="N46" s="61">
        <v>9.6000000000000002E-2</v>
      </c>
      <c r="O46" s="57">
        <v>-1.49E-2</v>
      </c>
      <c r="P46" s="57">
        <v>1.9800000000000002E-2</v>
      </c>
      <c r="Q46" s="57">
        <v>-0.13150000000000001</v>
      </c>
      <c r="R46" s="57">
        <v>-3.5099999999999999E-2</v>
      </c>
      <c r="S46" s="57">
        <v>6.7999999999999996E-3</v>
      </c>
      <c r="T46">
        <v>93.89</v>
      </c>
      <c r="U46">
        <v>83.75</v>
      </c>
      <c r="V46">
        <v>86.25</v>
      </c>
      <c r="W46" s="20">
        <v>238.04150000000001</v>
      </c>
    </row>
    <row r="47" spans="7:23" x14ac:dyDescent="0.15">
      <c r="G47" s="11">
        <v>46</v>
      </c>
      <c r="H47" s="10" t="s">
        <v>656</v>
      </c>
      <c r="I47" t="s">
        <v>946</v>
      </c>
      <c r="J47" t="s">
        <v>830</v>
      </c>
      <c r="K47" s="61">
        <v>-2.0999999999999999E-3</v>
      </c>
      <c r="L47" s="57">
        <v>6.1800000000000001E-2</v>
      </c>
      <c r="M47" s="57">
        <v>9.1700000000000004E-2</v>
      </c>
      <c r="N47" s="61">
        <v>0.14810000000000001</v>
      </c>
      <c r="O47" s="57">
        <v>-8.0000000000000002E-3</v>
      </c>
      <c r="P47" s="57">
        <v>1.9900000000000001E-2</v>
      </c>
      <c r="Q47" s="57">
        <v>-0.12230000000000001</v>
      </c>
      <c r="R47" s="57">
        <v>-0.1893</v>
      </c>
      <c r="S47" s="57">
        <v>-0.1893</v>
      </c>
      <c r="T47">
        <v>93.75</v>
      </c>
      <c r="U47">
        <v>91.67</v>
      </c>
      <c r="V47">
        <v>77.64</v>
      </c>
      <c r="W47" s="20">
        <v>892.1735480000001</v>
      </c>
    </row>
    <row r="48" spans="7:23" x14ac:dyDescent="0.15">
      <c r="G48" s="11">
        <v>47</v>
      </c>
      <c r="H48" s="10" t="s">
        <v>604</v>
      </c>
      <c r="I48" t="s">
        <v>1101</v>
      </c>
      <c r="J48" t="s">
        <v>830</v>
      </c>
      <c r="K48" s="61">
        <v>-2.5999999999999999E-3</v>
      </c>
      <c r="L48" s="57">
        <v>1.8499999999999999E-2</v>
      </c>
      <c r="M48" s="57">
        <v>8.8499999999999995E-2</v>
      </c>
      <c r="N48" s="61">
        <v>0.1074</v>
      </c>
      <c r="O48" s="57">
        <v>-5.2200000000000003E-2</v>
      </c>
      <c r="P48" s="57">
        <v>-4.1799999999999997E-2</v>
      </c>
      <c r="Q48" s="57">
        <v>-0.17199999999999999</v>
      </c>
      <c r="R48" s="57">
        <v>-0.2661</v>
      </c>
      <c r="S48" s="57">
        <v>-0.2661</v>
      </c>
      <c r="T48">
        <v>93.61</v>
      </c>
      <c r="U48">
        <v>86.67</v>
      </c>
      <c r="V48">
        <v>82.64</v>
      </c>
      <c r="W48" s="20">
        <v>19241.395400000001</v>
      </c>
    </row>
    <row r="49" spans="7:23" x14ac:dyDescent="0.15">
      <c r="G49" s="11">
        <v>48</v>
      </c>
      <c r="H49" s="10" t="s">
        <v>1324</v>
      </c>
      <c r="I49" t="s">
        <v>1325</v>
      </c>
      <c r="J49" t="s">
        <v>1609</v>
      </c>
      <c r="K49" s="61">
        <v>-2.2000000000000001E-3</v>
      </c>
      <c r="L49" s="57">
        <v>4.07E-2</v>
      </c>
      <c r="M49" s="57">
        <v>3.7699999999999997E-2</v>
      </c>
      <c r="N49" s="61">
        <v>0.1391</v>
      </c>
      <c r="O49" s="57">
        <v>8.1000000000000003E-2</v>
      </c>
      <c r="P49" s="57">
        <v>0.21479999999999999</v>
      </c>
      <c r="Q49" s="57">
        <v>-0.19020000000000001</v>
      </c>
      <c r="R49" s="57">
        <v>-0.19020000000000001</v>
      </c>
      <c r="S49" s="57">
        <v>-0.19020000000000001</v>
      </c>
      <c r="T49">
        <v>93.47</v>
      </c>
      <c r="U49">
        <v>90.14</v>
      </c>
      <c r="V49">
        <v>78.89</v>
      </c>
      <c r="W49" s="20">
        <v>481.03627</v>
      </c>
    </row>
    <row r="50" spans="7:23" x14ac:dyDescent="0.15">
      <c r="G50" s="11">
        <v>49</v>
      </c>
      <c r="H50" s="10" t="s">
        <v>1523</v>
      </c>
      <c r="I50" t="s">
        <v>1524</v>
      </c>
      <c r="J50" t="s">
        <v>1609</v>
      </c>
      <c r="K50" s="61">
        <v>-1.9E-3</v>
      </c>
      <c r="L50" s="57">
        <v>2.4400000000000002E-2</v>
      </c>
      <c r="M50" s="57">
        <v>7.3400000000000007E-2</v>
      </c>
      <c r="N50" s="61">
        <v>0.16139999999999999</v>
      </c>
      <c r="O50" s="57">
        <v>-9.2899999999999996E-2</v>
      </c>
      <c r="P50" s="57">
        <v>-2.0299999999999999E-2</v>
      </c>
      <c r="Q50" s="57">
        <v>-0.29970000000000002</v>
      </c>
      <c r="R50" s="57">
        <v>-0.29970000000000002</v>
      </c>
      <c r="S50" s="57">
        <v>-0.29970000000000002</v>
      </c>
      <c r="T50">
        <v>93.33</v>
      </c>
      <c r="U50">
        <v>93.06</v>
      </c>
      <c r="V50">
        <v>75.56</v>
      </c>
      <c r="W50" s="20">
        <v>1696.77187</v>
      </c>
    </row>
    <row r="51" spans="7:23" x14ac:dyDescent="0.15">
      <c r="G51" s="11">
        <v>50</v>
      </c>
      <c r="H51" s="10" t="s">
        <v>1301</v>
      </c>
      <c r="I51" t="s">
        <v>1302</v>
      </c>
      <c r="J51" t="s">
        <v>1609</v>
      </c>
      <c r="K51" s="61">
        <v>-2.3E-3</v>
      </c>
      <c r="L51" s="57">
        <v>4.4900000000000002E-2</v>
      </c>
      <c r="M51" s="57">
        <v>4.7300000000000002E-2</v>
      </c>
      <c r="N51" s="61">
        <v>0.1333</v>
      </c>
      <c r="O51" s="57">
        <v>-3.2300000000000002E-2</v>
      </c>
      <c r="P51" s="57">
        <v>4.58E-2</v>
      </c>
      <c r="Q51" s="57">
        <v>-0.30969999999999998</v>
      </c>
      <c r="R51" s="57">
        <v>-0.33850000000000002</v>
      </c>
      <c r="S51" s="57">
        <v>-0.33850000000000002</v>
      </c>
      <c r="T51">
        <v>93.19</v>
      </c>
      <c r="U51">
        <v>89.44</v>
      </c>
      <c r="V51">
        <v>79.17</v>
      </c>
      <c r="W51" s="20">
        <v>72.804199999999994</v>
      </c>
    </row>
    <row r="52" spans="7:23" x14ac:dyDescent="0.15">
      <c r="G52" s="11">
        <v>51</v>
      </c>
      <c r="H52" s="10" t="s">
        <v>258</v>
      </c>
      <c r="I52" t="s">
        <v>1163</v>
      </c>
      <c r="J52" t="s">
        <v>1161</v>
      </c>
      <c r="K52" s="61">
        <v>-4.7000000000000002E-3</v>
      </c>
      <c r="L52" s="57">
        <v>-1.6400000000000001E-2</v>
      </c>
      <c r="M52" s="57">
        <v>-5.1999999999999998E-3</v>
      </c>
      <c r="N52" s="61">
        <v>7.0499999999999993E-2</v>
      </c>
      <c r="O52" s="57">
        <v>0.1734</v>
      </c>
      <c r="P52" s="57">
        <v>0.1845</v>
      </c>
      <c r="Q52" s="57">
        <v>0.56130000000000002</v>
      </c>
      <c r="R52" s="57">
        <v>3.0539999999999998</v>
      </c>
      <c r="S52" s="57">
        <v>1.2599</v>
      </c>
      <c r="T52">
        <v>93.06</v>
      </c>
      <c r="U52">
        <v>76.67</v>
      </c>
      <c r="V52">
        <v>91.39</v>
      </c>
      <c r="W52" s="20">
        <v>3727.2400320000002</v>
      </c>
    </row>
    <row r="53" spans="7:23" x14ac:dyDescent="0.15">
      <c r="G53" s="11">
        <v>52</v>
      </c>
      <c r="H53" s="10" t="s">
        <v>391</v>
      </c>
      <c r="I53" t="s">
        <v>1167</v>
      </c>
      <c r="J53" t="s">
        <v>1166</v>
      </c>
      <c r="K53" s="61">
        <v>-6.1999999999999998E-3</v>
      </c>
      <c r="L53" s="57">
        <v>-1.7299999999999999E-2</v>
      </c>
      <c r="M53" s="57">
        <v>-2.53E-2</v>
      </c>
      <c r="N53" s="61">
        <v>6.4500000000000002E-2</v>
      </c>
      <c r="O53" s="57">
        <v>-0.11849999999999999</v>
      </c>
      <c r="P53" s="57">
        <v>3.7600000000000001E-2</v>
      </c>
      <c r="Q53" s="57">
        <v>-0.27710000000000001</v>
      </c>
      <c r="R53" s="57">
        <v>-0.1729</v>
      </c>
      <c r="S53" s="57">
        <v>-0.1729</v>
      </c>
      <c r="T53">
        <v>92.92</v>
      </c>
      <c r="U53">
        <v>72.92</v>
      </c>
      <c r="V53">
        <v>94.58</v>
      </c>
      <c r="W53" s="20">
        <v>34.859499999999997</v>
      </c>
    </row>
    <row r="54" spans="7:23" x14ac:dyDescent="0.15">
      <c r="G54" s="11">
        <v>53</v>
      </c>
      <c r="H54" s="10" t="s">
        <v>329</v>
      </c>
      <c r="I54" t="s">
        <v>1165</v>
      </c>
      <c r="J54" t="s">
        <v>1161</v>
      </c>
      <c r="K54" s="61">
        <v>-4.4000000000000003E-3</v>
      </c>
      <c r="L54" s="57">
        <v>-5.4999999999999997E-3</v>
      </c>
      <c r="M54" s="57">
        <v>-6.7000000000000002E-3</v>
      </c>
      <c r="N54" s="61">
        <v>6.9400000000000003E-2</v>
      </c>
      <c r="O54" s="57">
        <v>0.1789</v>
      </c>
      <c r="P54" s="57">
        <v>0.1663</v>
      </c>
      <c r="Q54" s="57">
        <v>0.38469999999999999</v>
      </c>
      <c r="R54" s="57">
        <v>1.4029</v>
      </c>
      <c r="S54" s="57">
        <v>0.6099</v>
      </c>
      <c r="T54">
        <v>92.78</v>
      </c>
      <c r="U54">
        <v>76.39</v>
      </c>
      <c r="V54">
        <v>90.42</v>
      </c>
      <c r="W54" s="20">
        <v>48.67483</v>
      </c>
    </row>
    <row r="55" spans="7:23" x14ac:dyDescent="0.15">
      <c r="G55" s="11">
        <v>54</v>
      </c>
      <c r="H55" s="10" t="s">
        <v>562</v>
      </c>
      <c r="I55" t="s">
        <v>963</v>
      </c>
      <c r="J55" t="s">
        <v>830</v>
      </c>
      <c r="K55" s="61">
        <v>-2.5999999999999999E-3</v>
      </c>
      <c r="L55" s="57">
        <v>4.3700000000000003E-2</v>
      </c>
      <c r="M55" s="57">
        <v>2.4899999999999999E-2</v>
      </c>
      <c r="N55" s="61">
        <v>9.8000000000000004E-2</v>
      </c>
      <c r="O55" s="57">
        <v>-5.7700000000000001E-2</v>
      </c>
      <c r="P55" s="57">
        <v>3.5999999999999997E-2</v>
      </c>
      <c r="Q55" s="57">
        <v>-0.27729999999999999</v>
      </c>
      <c r="R55" s="57">
        <v>-0.26590000000000003</v>
      </c>
      <c r="S55" s="57">
        <v>-8.7599999999999997E-2</v>
      </c>
      <c r="T55">
        <v>92.64</v>
      </c>
      <c r="U55">
        <v>84.31</v>
      </c>
      <c r="V55">
        <v>82.22</v>
      </c>
      <c r="W55" s="20">
        <v>1175.6503</v>
      </c>
    </row>
    <row r="56" spans="7:23" x14ac:dyDescent="0.15">
      <c r="G56" s="11">
        <v>55</v>
      </c>
      <c r="H56" s="10" t="s">
        <v>315</v>
      </c>
      <c r="I56" t="s">
        <v>1016</v>
      </c>
      <c r="J56" t="s">
        <v>830</v>
      </c>
      <c r="K56" s="61">
        <v>-2.8999999999999998E-3</v>
      </c>
      <c r="L56" s="57">
        <v>5.4800000000000001E-2</v>
      </c>
      <c r="M56" s="57">
        <v>3.2500000000000001E-2</v>
      </c>
      <c r="N56" s="61">
        <v>9.0999999999999998E-2</v>
      </c>
      <c r="O56" s="57">
        <v>-1.1999999999999999E-3</v>
      </c>
      <c r="P56" s="57">
        <v>1.78E-2</v>
      </c>
      <c r="Q56" s="57">
        <v>-0.24610000000000001</v>
      </c>
      <c r="R56" s="57">
        <v>-0.40529999999999999</v>
      </c>
      <c r="S56" s="57">
        <v>-0.40529999999999999</v>
      </c>
      <c r="T56">
        <v>92.5</v>
      </c>
      <c r="U56">
        <v>82.22</v>
      </c>
      <c r="V56">
        <v>84.17</v>
      </c>
      <c r="W56" s="20">
        <v>3260.54529</v>
      </c>
    </row>
    <row r="57" spans="7:23" x14ac:dyDescent="0.15">
      <c r="G57" s="11">
        <v>56</v>
      </c>
      <c r="H57" s="10" t="s">
        <v>678</v>
      </c>
      <c r="I57" t="s">
        <v>1232</v>
      </c>
      <c r="J57" t="s">
        <v>1212</v>
      </c>
      <c r="K57" s="61">
        <v>-1.1999999999999999E-3</v>
      </c>
      <c r="L57" s="57">
        <v>6.2E-2</v>
      </c>
      <c r="M57" s="57">
        <v>0.12690000000000001</v>
      </c>
      <c r="N57" s="61">
        <v>0.2082</v>
      </c>
      <c r="O57" s="57">
        <v>-6.5500000000000003E-2</v>
      </c>
      <c r="P57" s="57">
        <v>-1.0800000000000001E-2</v>
      </c>
      <c r="Q57" s="57">
        <v>-0.33389999999999997</v>
      </c>
      <c r="R57" s="57">
        <v>-0.4894</v>
      </c>
      <c r="S57" s="57">
        <v>-0.4894</v>
      </c>
      <c r="T57">
        <v>92.36</v>
      </c>
      <c r="U57">
        <v>99.31</v>
      </c>
      <c r="V57">
        <v>66.81</v>
      </c>
      <c r="W57" s="20">
        <v>20983.074100000002</v>
      </c>
    </row>
    <row r="58" spans="7:23" x14ac:dyDescent="0.15">
      <c r="G58" s="11">
        <v>57</v>
      </c>
      <c r="H58" s="10" t="s">
        <v>1489</v>
      </c>
      <c r="I58" t="s">
        <v>1490</v>
      </c>
      <c r="J58" t="s">
        <v>1609</v>
      </c>
      <c r="K58" s="61">
        <v>-3.8999999999999998E-3</v>
      </c>
      <c r="L58" s="57">
        <v>1.7100000000000001E-2</v>
      </c>
      <c r="M58" s="57">
        <v>0.1047</v>
      </c>
      <c r="N58" s="61">
        <v>7.6700000000000004E-2</v>
      </c>
      <c r="O58" s="57">
        <v>-2.64E-2</v>
      </c>
      <c r="P58" s="57">
        <v>-7.9899999999999999E-2</v>
      </c>
      <c r="Q58" s="57">
        <v>-5.5599999999999997E-2</v>
      </c>
      <c r="R58" s="57">
        <v>-5.5599999999999997E-2</v>
      </c>
      <c r="S58" s="57">
        <v>-5.5599999999999997E-2</v>
      </c>
      <c r="T58">
        <v>92.22</v>
      </c>
      <c r="U58">
        <v>78.06</v>
      </c>
      <c r="V58">
        <v>88.06</v>
      </c>
      <c r="W58" s="20">
        <v>4357.8473000000004</v>
      </c>
    </row>
    <row r="59" spans="7:23" x14ac:dyDescent="0.15">
      <c r="G59" s="11">
        <v>58</v>
      </c>
      <c r="H59" s="10" t="s">
        <v>734</v>
      </c>
      <c r="I59" t="s">
        <v>1162</v>
      </c>
      <c r="J59" t="s">
        <v>1161</v>
      </c>
      <c r="K59" s="61">
        <v>-5.4000000000000003E-3</v>
      </c>
      <c r="L59" s="57">
        <v>-8.3999999999999995E-3</v>
      </c>
      <c r="M59" s="57">
        <v>-1.06E-2</v>
      </c>
      <c r="N59" s="61">
        <v>6.1699999999999998E-2</v>
      </c>
      <c r="O59" s="57">
        <v>0.23250000000000001</v>
      </c>
      <c r="P59" s="57">
        <v>0.22470000000000001</v>
      </c>
      <c r="Q59" s="57">
        <v>0.74619999999999997</v>
      </c>
      <c r="R59" s="57">
        <v>3.4054000000000002</v>
      </c>
      <c r="S59" s="57">
        <v>1.7806</v>
      </c>
      <c r="T59">
        <v>92.08</v>
      </c>
      <c r="U59">
        <v>71.39</v>
      </c>
      <c r="V59">
        <v>93.19</v>
      </c>
      <c r="W59" s="20">
        <v>976.32297750000009</v>
      </c>
    </row>
    <row r="60" spans="7:23" x14ac:dyDescent="0.15">
      <c r="G60" s="11">
        <v>59</v>
      </c>
      <c r="H60" s="10" t="s">
        <v>426</v>
      </c>
      <c r="I60" t="s">
        <v>1034</v>
      </c>
      <c r="J60" t="s">
        <v>830</v>
      </c>
      <c r="K60" s="61">
        <v>-2.5999999999999999E-3</v>
      </c>
      <c r="L60" s="57">
        <v>4.5499999999999999E-2</v>
      </c>
      <c r="M60" s="57">
        <v>1.2999999999999999E-3</v>
      </c>
      <c r="N60" s="61">
        <v>9.01E-2</v>
      </c>
      <c r="O60" s="57">
        <v>-0.13980000000000001</v>
      </c>
      <c r="P60" s="57">
        <v>-5.0200000000000002E-2</v>
      </c>
      <c r="Q60" s="57">
        <v>-0.34489999999999998</v>
      </c>
      <c r="R60" s="57">
        <v>-1.5299999999999999E-2</v>
      </c>
      <c r="S60" s="57">
        <v>8.6800000000000002E-2</v>
      </c>
      <c r="T60">
        <v>91.94</v>
      </c>
      <c r="U60">
        <v>81.81</v>
      </c>
      <c r="V60">
        <v>82.08</v>
      </c>
      <c r="W60" s="20">
        <v>7252.1273096000004</v>
      </c>
    </row>
    <row r="61" spans="7:23" x14ac:dyDescent="0.15">
      <c r="G61" s="11">
        <v>60</v>
      </c>
      <c r="H61" s="10" t="s">
        <v>407</v>
      </c>
      <c r="I61" t="s">
        <v>849</v>
      </c>
      <c r="J61" t="s">
        <v>830</v>
      </c>
      <c r="K61" s="61">
        <v>-1.6000000000000001E-3</v>
      </c>
      <c r="L61" s="57">
        <v>3.9199999999999999E-2</v>
      </c>
      <c r="M61" s="57">
        <v>4.3900000000000002E-2</v>
      </c>
      <c r="N61" s="61">
        <v>0.15079999999999999</v>
      </c>
      <c r="O61" s="57">
        <v>6.7900000000000002E-2</v>
      </c>
      <c r="P61" s="57">
        <v>0.2094</v>
      </c>
      <c r="Q61" s="57">
        <v>-0.2034</v>
      </c>
      <c r="R61" s="57">
        <v>-0.17069999999999999</v>
      </c>
      <c r="S61" s="57">
        <v>-0.17069999999999999</v>
      </c>
      <c r="T61">
        <v>91.81</v>
      </c>
      <c r="U61">
        <v>92.08</v>
      </c>
      <c r="V61">
        <v>71.81</v>
      </c>
      <c r="W61" s="20">
        <v>261</v>
      </c>
    </row>
    <row r="62" spans="7:23" x14ac:dyDescent="0.15">
      <c r="G62" s="11">
        <v>61</v>
      </c>
      <c r="H62" t="s">
        <v>422</v>
      </c>
      <c r="I62" t="s">
        <v>886</v>
      </c>
      <c r="J62" t="s">
        <v>830</v>
      </c>
      <c r="K62" s="61">
        <v>-2.2000000000000001E-3</v>
      </c>
      <c r="L62" s="57">
        <v>3.9100000000000003E-2</v>
      </c>
      <c r="M62" s="57">
        <v>1.5100000000000001E-2</v>
      </c>
      <c r="N62" s="61">
        <v>9.3100000000000002E-2</v>
      </c>
      <c r="O62" s="57">
        <v>-3.2099999999999997E-2</v>
      </c>
      <c r="P62" s="57">
        <v>0.1699</v>
      </c>
      <c r="Q62" s="57">
        <v>-0.18779999999999999</v>
      </c>
      <c r="R62" s="57">
        <v>-0.14799999999999999</v>
      </c>
      <c r="S62" s="57">
        <v>8.9700000000000002E-2</v>
      </c>
      <c r="T62">
        <v>91.67</v>
      </c>
      <c r="U62">
        <v>83.06</v>
      </c>
      <c r="V62">
        <v>78.47</v>
      </c>
      <c r="W62" s="20">
        <v>142.23750000000001</v>
      </c>
    </row>
    <row r="63" spans="7:23" x14ac:dyDescent="0.15">
      <c r="G63" s="11">
        <v>62</v>
      </c>
      <c r="H63" s="10" t="s">
        <v>1953</v>
      </c>
      <c r="I63" t="s">
        <v>1954</v>
      </c>
      <c r="J63" t="s">
        <v>1946</v>
      </c>
      <c r="K63" s="61">
        <v>-8.9999999999999998E-4</v>
      </c>
      <c r="L63" s="57">
        <v>3.44E-2</v>
      </c>
      <c r="M63" s="57">
        <v>0.1071</v>
      </c>
      <c r="N63" s="61">
        <v>0.1971</v>
      </c>
      <c r="O63" s="57">
        <v>-5.1200000000000002E-2</v>
      </c>
      <c r="P63" s="57">
        <v>-0.1492</v>
      </c>
      <c r="Q63" s="57">
        <v>-0.1492</v>
      </c>
      <c r="R63" s="57">
        <v>-0.1492</v>
      </c>
      <c r="S63" s="57">
        <v>-0.1492</v>
      </c>
      <c r="T63">
        <v>91.53</v>
      </c>
      <c r="U63">
        <v>97.64</v>
      </c>
      <c r="V63">
        <v>63.06</v>
      </c>
      <c r="W63" s="20">
        <v>3064.3559383000002</v>
      </c>
    </row>
    <row r="64" spans="7:23" x14ac:dyDescent="0.15">
      <c r="G64" s="11">
        <v>63</v>
      </c>
      <c r="H64" s="10" t="s">
        <v>1519</v>
      </c>
      <c r="I64" t="s">
        <v>1520</v>
      </c>
      <c r="J64" t="s">
        <v>1609</v>
      </c>
      <c r="K64" s="61">
        <v>-1.1999999999999999E-3</v>
      </c>
      <c r="L64" s="57">
        <v>2.41E-2</v>
      </c>
      <c r="M64" s="57">
        <v>7.4200000000000002E-2</v>
      </c>
      <c r="N64" s="61">
        <v>0.16450000000000001</v>
      </c>
      <c r="O64" s="57">
        <v>-9.7100000000000006E-2</v>
      </c>
      <c r="P64" s="57">
        <v>-2.7799999999999998E-2</v>
      </c>
      <c r="Q64" s="57">
        <v>-0.25609999999999999</v>
      </c>
      <c r="R64" s="57">
        <v>-0.25609999999999999</v>
      </c>
      <c r="S64" s="57">
        <v>-0.25609999999999999</v>
      </c>
      <c r="T64">
        <v>91.39</v>
      </c>
      <c r="U64">
        <v>93.47</v>
      </c>
      <c r="V64">
        <v>67.08</v>
      </c>
      <c r="W64" s="20">
        <v>11886.258599999999</v>
      </c>
    </row>
    <row r="65" spans="7:23" x14ac:dyDescent="0.15">
      <c r="G65" s="11">
        <v>64</v>
      </c>
      <c r="H65" s="10" t="s">
        <v>1550</v>
      </c>
      <c r="I65" t="s">
        <v>1551</v>
      </c>
      <c r="J65" t="s">
        <v>1609</v>
      </c>
      <c r="K65" s="61">
        <v>-1.4E-3</v>
      </c>
      <c r="L65" s="57">
        <v>4.1200000000000001E-2</v>
      </c>
      <c r="M65" s="57">
        <v>4.02E-2</v>
      </c>
      <c r="N65" s="61">
        <v>0.1396</v>
      </c>
      <c r="O65" s="57">
        <v>0.10829999999999999</v>
      </c>
      <c r="P65" s="57">
        <v>0.2331</v>
      </c>
      <c r="Q65" s="57">
        <v>-0.1744</v>
      </c>
      <c r="R65" s="57">
        <v>-0.21390000000000001</v>
      </c>
      <c r="S65" s="57">
        <v>-0.21390000000000001</v>
      </c>
      <c r="T65">
        <v>91.25</v>
      </c>
      <c r="U65">
        <v>90.56</v>
      </c>
      <c r="V65">
        <v>68.89</v>
      </c>
      <c r="W65" s="20">
        <v>178.7039</v>
      </c>
    </row>
    <row r="66" spans="7:23" x14ac:dyDescent="0.15">
      <c r="G66" s="11">
        <v>65</v>
      </c>
      <c r="H66" s="10" t="s">
        <v>796</v>
      </c>
      <c r="I66" t="s">
        <v>797</v>
      </c>
      <c r="J66" t="s">
        <v>793</v>
      </c>
      <c r="K66" s="61">
        <v>-3.8100000000000002E-2</v>
      </c>
      <c r="L66" s="57">
        <v>3.1300000000000001E-2</v>
      </c>
      <c r="M66" s="57">
        <v>-9.1999999999999998E-3</v>
      </c>
      <c r="N66" s="61">
        <v>4.2500000000000003E-2</v>
      </c>
      <c r="O66" s="57">
        <v>-4.0399999999999998E-2</v>
      </c>
      <c r="P66" s="57">
        <v>7.0099999999999996E-2</v>
      </c>
      <c r="Q66" s="57">
        <v>-0.15579999999999999</v>
      </c>
      <c r="R66" s="57">
        <v>-0.15579999999999999</v>
      </c>
      <c r="S66" s="57">
        <v>-0.15579999999999999</v>
      </c>
      <c r="T66">
        <v>91.11</v>
      </c>
      <c r="U66">
        <v>60.42</v>
      </c>
      <c r="V66">
        <v>98.75</v>
      </c>
      <c r="W66" s="20">
        <v>174.14920000000001</v>
      </c>
    </row>
    <row r="67" spans="7:23" x14ac:dyDescent="0.15">
      <c r="G67" s="11">
        <v>66</v>
      </c>
      <c r="H67" s="10" t="s">
        <v>1287</v>
      </c>
      <c r="I67" t="s">
        <v>1288</v>
      </c>
      <c r="J67" t="s">
        <v>1609</v>
      </c>
      <c r="K67" s="61">
        <v>-2.8E-3</v>
      </c>
      <c r="L67" s="57">
        <v>3.3700000000000001E-2</v>
      </c>
      <c r="M67" s="57">
        <v>6.1000000000000004E-3</v>
      </c>
      <c r="N67" s="61">
        <v>6.6400000000000001E-2</v>
      </c>
      <c r="O67" s="57">
        <v>-0.1457</v>
      </c>
      <c r="P67" s="57">
        <v>-2.87E-2</v>
      </c>
      <c r="Q67" s="57">
        <v>-0.32440000000000002</v>
      </c>
      <c r="R67" s="57">
        <v>-0.25990000000000002</v>
      </c>
      <c r="S67" s="57">
        <v>-0.25990000000000002</v>
      </c>
      <c r="T67">
        <v>90.97</v>
      </c>
      <c r="U67">
        <v>75.56</v>
      </c>
      <c r="V67">
        <v>83.47</v>
      </c>
      <c r="W67" s="20">
        <v>2398.1272300000001</v>
      </c>
    </row>
    <row r="68" spans="7:23" x14ac:dyDescent="0.15">
      <c r="G68" s="11">
        <v>67</v>
      </c>
      <c r="H68" s="10" t="s">
        <v>486</v>
      </c>
      <c r="I68" t="s">
        <v>846</v>
      </c>
      <c r="J68" t="s">
        <v>830</v>
      </c>
      <c r="K68" s="61">
        <v>-2.3999999999999998E-3</v>
      </c>
      <c r="L68" s="57">
        <v>3.9300000000000002E-2</v>
      </c>
      <c r="M68" s="57">
        <v>6.0199999999999997E-2</v>
      </c>
      <c r="N68" s="61">
        <v>8.0500000000000002E-2</v>
      </c>
      <c r="O68" s="57">
        <v>-3.2199999999999999E-2</v>
      </c>
      <c r="P68" s="57">
        <v>-2.8999999999999998E-3</v>
      </c>
      <c r="Q68" s="57">
        <v>-0.22509999999999999</v>
      </c>
      <c r="R68" s="57">
        <v>-0.32350000000000001</v>
      </c>
      <c r="S68" s="57">
        <v>-0.32350000000000001</v>
      </c>
      <c r="T68">
        <v>90.83</v>
      </c>
      <c r="U68">
        <v>78.47</v>
      </c>
      <c r="V68">
        <v>80.56</v>
      </c>
      <c r="W68" s="20">
        <v>45.718624400000003</v>
      </c>
    </row>
    <row r="69" spans="7:23" x14ac:dyDescent="0.15">
      <c r="G69" s="11">
        <v>68</v>
      </c>
      <c r="H69" s="10" t="s">
        <v>1471</v>
      </c>
      <c r="I69" t="s">
        <v>1472</v>
      </c>
      <c r="J69" t="s">
        <v>1609</v>
      </c>
      <c r="K69" s="61">
        <v>-3.5000000000000001E-3</v>
      </c>
      <c r="L69" s="57">
        <v>5.4899999999999997E-2</v>
      </c>
      <c r="M69" s="57">
        <v>2.2499999999999999E-2</v>
      </c>
      <c r="N69" s="61">
        <v>6.08E-2</v>
      </c>
      <c r="O69" s="57">
        <v>2.75E-2</v>
      </c>
      <c r="P69" s="57">
        <v>5.9200000000000003E-2</v>
      </c>
      <c r="Q69" s="57">
        <v>-0.20699999999999999</v>
      </c>
      <c r="R69" s="57">
        <v>-0.3196</v>
      </c>
      <c r="S69" s="57">
        <v>-0.3196</v>
      </c>
      <c r="T69">
        <v>90.69</v>
      </c>
      <c r="U69">
        <v>70.69</v>
      </c>
      <c r="V69">
        <v>87.08</v>
      </c>
      <c r="W69" s="20">
        <v>220.09829999999999</v>
      </c>
    </row>
    <row r="70" spans="7:23" x14ac:dyDescent="0.15">
      <c r="G70" s="11">
        <v>69</v>
      </c>
      <c r="H70" s="10" t="s">
        <v>694</v>
      </c>
      <c r="I70" t="s">
        <v>1228</v>
      </c>
      <c r="J70" t="s">
        <v>1212</v>
      </c>
      <c r="K70" s="61">
        <v>-5.9999999999999995E-4</v>
      </c>
      <c r="L70" s="57">
        <v>5.8599999999999999E-2</v>
      </c>
      <c r="M70" s="57">
        <v>0.12620000000000001</v>
      </c>
      <c r="N70" s="61">
        <v>0.20979999999999999</v>
      </c>
      <c r="O70" s="57">
        <v>-6.08E-2</v>
      </c>
      <c r="P70" s="57">
        <v>-6.4000000000000003E-3</v>
      </c>
      <c r="Q70" s="57">
        <v>-0.33090000000000003</v>
      </c>
      <c r="R70" s="57">
        <v>-0.48670000000000002</v>
      </c>
      <c r="S70" s="57">
        <v>-0.48670000000000002</v>
      </c>
      <c r="T70">
        <v>90.56</v>
      </c>
      <c r="U70">
        <v>99.58</v>
      </c>
      <c r="V70">
        <v>58.19</v>
      </c>
      <c r="W70" s="20">
        <v>89430.605200000005</v>
      </c>
    </row>
    <row r="71" spans="7:23" x14ac:dyDescent="0.15">
      <c r="G71" s="11">
        <v>70</v>
      </c>
      <c r="H71" s="10" t="s">
        <v>1505</v>
      </c>
      <c r="I71" t="s">
        <v>1506</v>
      </c>
      <c r="J71" t="s">
        <v>1609</v>
      </c>
      <c r="K71" s="61">
        <v>-2E-3</v>
      </c>
      <c r="L71" s="57">
        <v>1.4E-2</v>
      </c>
      <c r="M71" s="57">
        <v>7.1300000000000002E-2</v>
      </c>
      <c r="N71" s="61">
        <v>8.6900000000000005E-2</v>
      </c>
      <c r="O71" s="57">
        <v>-4.9799999999999997E-2</v>
      </c>
      <c r="P71" s="57">
        <v>-4.9099999999999998E-2</v>
      </c>
      <c r="Q71" s="57">
        <v>-0.1283</v>
      </c>
      <c r="R71" s="57">
        <v>-0.1283</v>
      </c>
      <c r="S71" s="57">
        <v>-0.1283</v>
      </c>
      <c r="T71">
        <v>90.42</v>
      </c>
      <c r="U71">
        <v>80.69</v>
      </c>
      <c r="V71">
        <v>76.39</v>
      </c>
      <c r="W71" s="20">
        <v>513.22091999999998</v>
      </c>
    </row>
    <row r="72" spans="7:23" x14ac:dyDescent="0.15">
      <c r="G72" s="11">
        <v>71</v>
      </c>
      <c r="H72" s="10" t="s">
        <v>646</v>
      </c>
      <c r="I72" t="s">
        <v>1077</v>
      </c>
      <c r="J72" t="s">
        <v>830</v>
      </c>
      <c r="K72" s="61">
        <v>-4.5999999999999999E-3</v>
      </c>
      <c r="L72" s="57">
        <v>1.4200000000000001E-2</v>
      </c>
      <c r="M72" s="57">
        <v>7.3300000000000004E-2</v>
      </c>
      <c r="N72" s="61">
        <v>0.05</v>
      </c>
      <c r="O72" s="57">
        <v>5.3E-3</v>
      </c>
      <c r="P72" s="57">
        <v>-0.2041</v>
      </c>
      <c r="Q72" s="57">
        <v>-0.1845</v>
      </c>
      <c r="R72" s="57">
        <v>-0.2928</v>
      </c>
      <c r="S72" s="57">
        <v>-0.2928</v>
      </c>
      <c r="T72">
        <v>90.28</v>
      </c>
      <c r="U72">
        <v>65.83</v>
      </c>
      <c r="V72">
        <v>91.25</v>
      </c>
      <c r="W72" s="20">
        <v>7952.2109</v>
      </c>
    </row>
    <row r="73" spans="7:23" x14ac:dyDescent="0.15">
      <c r="G73" s="11">
        <v>72</v>
      </c>
      <c r="H73" s="10" t="s">
        <v>260</v>
      </c>
      <c r="I73" t="s">
        <v>805</v>
      </c>
      <c r="J73" t="s">
        <v>793</v>
      </c>
      <c r="K73" s="61">
        <v>-5.7999999999999996E-3</v>
      </c>
      <c r="L73" s="57">
        <v>9.1999999999999998E-3</v>
      </c>
      <c r="M73" s="57">
        <v>-3.2899999999999999E-2</v>
      </c>
      <c r="N73" s="61">
        <v>4.6300000000000001E-2</v>
      </c>
      <c r="O73" s="57">
        <v>-0.16639999999999999</v>
      </c>
      <c r="P73" s="57">
        <v>4.3999999999999997E-2</v>
      </c>
      <c r="Q73" s="57">
        <v>-0.19409999999999999</v>
      </c>
      <c r="R73" s="57">
        <v>8.3199999999999996E-2</v>
      </c>
      <c r="S73" s="57">
        <v>0.57220000000000004</v>
      </c>
      <c r="T73">
        <v>90.14</v>
      </c>
      <c r="U73">
        <v>63.06</v>
      </c>
      <c r="V73">
        <v>93.61</v>
      </c>
      <c r="W73" s="20">
        <v>22.5947</v>
      </c>
    </row>
    <row r="74" spans="7:23" x14ac:dyDescent="0.15">
      <c r="G74" s="11">
        <v>73</v>
      </c>
      <c r="H74" s="10" t="s">
        <v>552</v>
      </c>
      <c r="I74" t="s">
        <v>993</v>
      </c>
      <c r="J74" t="s">
        <v>830</v>
      </c>
      <c r="K74" s="61">
        <v>-2.3E-3</v>
      </c>
      <c r="L74" s="57">
        <v>4.6199999999999998E-2</v>
      </c>
      <c r="M74" s="57">
        <v>1.29E-2</v>
      </c>
      <c r="N74" s="61">
        <v>7.2300000000000003E-2</v>
      </c>
      <c r="O74" s="57">
        <v>-0.1164</v>
      </c>
      <c r="P74" s="57">
        <v>-3.27E-2</v>
      </c>
      <c r="Q74" s="57">
        <v>-0.31209999999999999</v>
      </c>
      <c r="R74" s="57">
        <v>-0.30740000000000001</v>
      </c>
      <c r="S74" s="57">
        <v>-0.30740000000000001</v>
      </c>
      <c r="T74">
        <v>90</v>
      </c>
      <c r="U74">
        <v>76.94</v>
      </c>
      <c r="V74">
        <v>79.72</v>
      </c>
      <c r="W74" s="20">
        <v>2273.7280999999998</v>
      </c>
    </row>
    <row r="75" spans="7:23" x14ac:dyDescent="0.15">
      <c r="G75" s="11">
        <v>74</v>
      </c>
      <c r="H75" s="10" t="s">
        <v>1957</v>
      </c>
      <c r="I75" t="s">
        <v>1958</v>
      </c>
      <c r="J75" t="s">
        <v>1946</v>
      </c>
      <c r="K75" s="61">
        <v>-7.1000000000000004E-3</v>
      </c>
      <c r="L75" s="57">
        <v>1.14E-2</v>
      </c>
      <c r="M75" s="57">
        <v>4.0800000000000003E-2</v>
      </c>
      <c r="N75" s="61">
        <v>4.48E-2</v>
      </c>
      <c r="O75" s="57">
        <v>-7.6799999999999993E-2</v>
      </c>
      <c r="P75" s="57">
        <v>-4.3499999999999997E-2</v>
      </c>
      <c r="Q75" s="57">
        <v>-3.9199999999999999E-2</v>
      </c>
      <c r="R75" s="57">
        <v>-3.9199999999999999E-2</v>
      </c>
      <c r="S75" s="57">
        <v>-3.9199999999999999E-2</v>
      </c>
      <c r="T75">
        <v>89.86</v>
      </c>
      <c r="U75">
        <v>61.25</v>
      </c>
      <c r="V75">
        <v>95.28</v>
      </c>
      <c r="W75" s="20">
        <v>16.149100000000001</v>
      </c>
    </row>
    <row r="76" spans="7:23" x14ac:dyDescent="0.15">
      <c r="G76" s="11">
        <v>75</v>
      </c>
      <c r="H76" s="10" t="s">
        <v>1477</v>
      </c>
      <c r="I76" t="s">
        <v>1478</v>
      </c>
      <c r="J76" t="s">
        <v>1609</v>
      </c>
      <c r="K76" s="61">
        <v>-3.0999999999999999E-3</v>
      </c>
      <c r="L76" s="57">
        <v>1.7600000000000001E-2</v>
      </c>
      <c r="M76" s="57">
        <v>7.6300000000000007E-2</v>
      </c>
      <c r="N76" s="61">
        <v>6.1699999999999998E-2</v>
      </c>
      <c r="O76" s="57">
        <v>3.8800000000000001E-2</v>
      </c>
      <c r="P76" s="57">
        <v>-0.22839999999999999</v>
      </c>
      <c r="Q76" s="57">
        <v>-0.2296</v>
      </c>
      <c r="R76" s="57">
        <v>-0.2296</v>
      </c>
      <c r="S76" s="57">
        <v>-0.2296</v>
      </c>
      <c r="T76">
        <v>89.72</v>
      </c>
      <c r="U76">
        <v>71.53</v>
      </c>
      <c r="V76">
        <v>84.86</v>
      </c>
      <c r="W76" s="20">
        <v>955.06236999999987</v>
      </c>
    </row>
    <row r="77" spans="7:23" x14ac:dyDescent="0.15">
      <c r="G77" s="11">
        <v>76</v>
      </c>
      <c r="H77" s="10" t="s">
        <v>643</v>
      </c>
      <c r="I77" t="s">
        <v>774</v>
      </c>
      <c r="J77" t="s">
        <v>1212</v>
      </c>
      <c r="K77" s="61">
        <v>-5.9999999999999995E-4</v>
      </c>
      <c r="L77" s="57">
        <v>5.79E-2</v>
      </c>
      <c r="M77" s="57">
        <v>0.12889999999999999</v>
      </c>
      <c r="N77" s="61">
        <v>0.1973</v>
      </c>
      <c r="O77" s="57">
        <v>-7.5700000000000003E-2</v>
      </c>
      <c r="P77" s="57">
        <v>-2.23E-2</v>
      </c>
      <c r="Q77" s="57">
        <v>-0.34329999999999999</v>
      </c>
      <c r="R77" s="57">
        <v>-0.49569999999999997</v>
      </c>
      <c r="S77" s="57">
        <v>-0.49569999999999997</v>
      </c>
      <c r="T77">
        <v>89.58</v>
      </c>
      <c r="U77">
        <v>97.78</v>
      </c>
      <c r="V77">
        <v>58.06</v>
      </c>
      <c r="W77" s="20">
        <v>265275.48810000002</v>
      </c>
    </row>
    <row r="78" spans="7:23" x14ac:dyDescent="0.15">
      <c r="G78" s="11">
        <v>77</v>
      </c>
      <c r="H78" s="10" t="s">
        <v>1517</v>
      </c>
      <c r="I78" t="s">
        <v>1518</v>
      </c>
      <c r="J78" t="s">
        <v>1609</v>
      </c>
      <c r="K78" s="61">
        <v>-5.0000000000000001E-4</v>
      </c>
      <c r="L78" s="57">
        <v>6.2899999999999998E-2</v>
      </c>
      <c r="M78" s="57">
        <v>0.12989999999999999</v>
      </c>
      <c r="N78" s="61">
        <v>0.24959999999999999</v>
      </c>
      <c r="O78" s="57">
        <v>-1.0699999999999999E-2</v>
      </c>
      <c r="P78" s="57">
        <v>3.6900000000000002E-2</v>
      </c>
      <c r="Q78" s="57">
        <v>-0.33139999999999997</v>
      </c>
      <c r="R78" s="57">
        <v>-0.36170000000000002</v>
      </c>
      <c r="S78" s="57">
        <v>-0.36170000000000002</v>
      </c>
      <c r="T78">
        <v>89.44</v>
      </c>
      <c r="U78">
        <v>100</v>
      </c>
      <c r="V78">
        <v>55.69</v>
      </c>
      <c r="W78" s="20">
        <v>62074.300389999997</v>
      </c>
    </row>
    <row r="79" spans="7:23" x14ac:dyDescent="0.15">
      <c r="G79" s="11">
        <v>78</v>
      </c>
      <c r="H79" s="10" t="s">
        <v>367</v>
      </c>
      <c r="I79" t="s">
        <v>939</v>
      </c>
      <c r="J79" t="s">
        <v>830</v>
      </c>
      <c r="K79" s="61">
        <v>-1.8E-3</v>
      </c>
      <c r="L79" s="57">
        <v>5.33E-2</v>
      </c>
      <c r="M79" s="57">
        <v>3.3599999999999998E-2</v>
      </c>
      <c r="N79" s="61">
        <v>8.8599999999999998E-2</v>
      </c>
      <c r="O79" s="57">
        <v>4.1399999999999999E-2</v>
      </c>
      <c r="P79" s="57">
        <v>8.2199999999999995E-2</v>
      </c>
      <c r="Q79" s="57">
        <v>-0.1754</v>
      </c>
      <c r="R79" s="57">
        <v>-0.28739999999999999</v>
      </c>
      <c r="S79" s="57">
        <v>7.5200000000000003E-2</v>
      </c>
      <c r="T79">
        <v>89.31</v>
      </c>
      <c r="U79">
        <v>81.11</v>
      </c>
      <c r="V79">
        <v>73.89</v>
      </c>
      <c r="W79" s="20">
        <v>2923.4582</v>
      </c>
    </row>
    <row r="80" spans="7:23" x14ac:dyDescent="0.15">
      <c r="G80" s="11">
        <v>79</v>
      </c>
      <c r="H80" s="10" t="s">
        <v>403</v>
      </c>
      <c r="I80" t="s">
        <v>822</v>
      </c>
      <c r="J80" t="s">
        <v>793</v>
      </c>
      <c r="K80" s="61">
        <v>-2.07E-2</v>
      </c>
      <c r="L80" s="57">
        <v>5.1999999999999998E-3</v>
      </c>
      <c r="M80" s="57">
        <v>1.2E-2</v>
      </c>
      <c r="N80" s="61">
        <v>3.9399999999999998E-2</v>
      </c>
      <c r="O80" s="57">
        <v>-6.0999999999999999E-2</v>
      </c>
      <c r="P80" s="57">
        <v>5.5999999999999999E-3</v>
      </c>
      <c r="Q80" s="57">
        <v>-0.20119999999999999</v>
      </c>
      <c r="R80" s="57">
        <v>-0.1137</v>
      </c>
      <c r="S80" s="57">
        <v>0.36909999999999998</v>
      </c>
      <c r="T80">
        <v>89.17</v>
      </c>
      <c r="U80">
        <v>56.94</v>
      </c>
      <c r="V80">
        <v>97.64</v>
      </c>
      <c r="W80" s="20">
        <v>316.07510000000002</v>
      </c>
    </row>
    <row r="81" spans="7:23" x14ac:dyDescent="0.15">
      <c r="G81" s="11">
        <v>80</v>
      </c>
      <c r="H81" s="10" t="s">
        <v>1535</v>
      </c>
      <c r="I81" t="s">
        <v>1536</v>
      </c>
      <c r="J81" t="s">
        <v>1609</v>
      </c>
      <c r="K81" s="61">
        <v>-5.0000000000000001E-4</v>
      </c>
      <c r="L81" s="57">
        <v>6.2199999999999998E-2</v>
      </c>
      <c r="M81" s="57">
        <v>0.12939999999999999</v>
      </c>
      <c r="N81" s="61">
        <v>0.2475</v>
      </c>
      <c r="O81" s="57">
        <v>-1.14E-2</v>
      </c>
      <c r="P81" s="57">
        <v>3.5999999999999997E-2</v>
      </c>
      <c r="Q81" s="57">
        <v>-0.21160000000000001</v>
      </c>
      <c r="R81" s="57">
        <v>-0.21160000000000001</v>
      </c>
      <c r="S81" s="57">
        <v>-0.21160000000000001</v>
      </c>
      <c r="T81">
        <v>89.03</v>
      </c>
      <c r="U81">
        <v>99.86</v>
      </c>
      <c r="V81">
        <v>54.44</v>
      </c>
      <c r="W81" s="20">
        <v>39630.245499999997</v>
      </c>
    </row>
    <row r="82" spans="7:23" x14ac:dyDescent="0.15">
      <c r="G82" s="11">
        <v>81</v>
      </c>
      <c r="H82" s="10" t="s">
        <v>272</v>
      </c>
      <c r="I82" t="s">
        <v>772</v>
      </c>
      <c r="J82" t="s">
        <v>830</v>
      </c>
      <c r="K82" s="61">
        <v>-2.8999999999999998E-3</v>
      </c>
      <c r="L82" s="57">
        <v>-5.3E-3</v>
      </c>
      <c r="M82" s="57">
        <v>5.8799999999999998E-2</v>
      </c>
      <c r="N82" s="61">
        <v>5.8999999999999997E-2</v>
      </c>
      <c r="O82" s="57">
        <v>8.8999999999999996E-2</v>
      </c>
      <c r="P82" s="57">
        <v>-3.2199999999999999E-2</v>
      </c>
      <c r="Q82" s="57">
        <v>6.8699999999999997E-2</v>
      </c>
      <c r="R82" s="57">
        <v>0.4345</v>
      </c>
      <c r="S82" s="57">
        <v>0.53349999999999997</v>
      </c>
      <c r="T82">
        <v>88.89</v>
      </c>
      <c r="U82">
        <v>70.28</v>
      </c>
      <c r="V82">
        <v>83.75</v>
      </c>
      <c r="W82" s="20">
        <v>4647.2277799999993</v>
      </c>
    </row>
    <row r="83" spans="7:23" x14ac:dyDescent="0.15">
      <c r="G83" s="11">
        <v>82</v>
      </c>
      <c r="H83" s="10" t="s">
        <v>281</v>
      </c>
      <c r="I83" t="s">
        <v>919</v>
      </c>
      <c r="J83" t="s">
        <v>830</v>
      </c>
      <c r="K83" s="61">
        <v>-1.6999999999999999E-3</v>
      </c>
      <c r="L83" s="57">
        <v>4.9799999999999997E-2</v>
      </c>
      <c r="M83" s="57">
        <v>2.93E-2</v>
      </c>
      <c r="N83" s="61">
        <v>8.8499999999999995E-2</v>
      </c>
      <c r="O83" s="57">
        <v>4.2000000000000003E-2</v>
      </c>
      <c r="P83" s="57">
        <v>0.1053</v>
      </c>
      <c r="Q83" s="57">
        <v>-0.1653</v>
      </c>
      <c r="R83" s="57">
        <v>-0.27279999999999999</v>
      </c>
      <c r="S83" s="57">
        <v>-0.27279999999999999</v>
      </c>
      <c r="T83">
        <v>88.75</v>
      </c>
      <c r="U83">
        <v>80.83</v>
      </c>
      <c r="V83">
        <v>73.19</v>
      </c>
      <c r="W83" s="20">
        <v>1654.1216999999999</v>
      </c>
    </row>
    <row r="84" spans="7:23" x14ac:dyDescent="0.15">
      <c r="G84" s="11">
        <v>83</v>
      </c>
      <c r="H84" s="10" t="s">
        <v>424</v>
      </c>
      <c r="I84" t="s">
        <v>868</v>
      </c>
      <c r="J84" t="s">
        <v>830</v>
      </c>
      <c r="K84" s="61">
        <v>-1.8E-3</v>
      </c>
      <c r="L84" s="57">
        <v>5.0299999999999997E-2</v>
      </c>
      <c r="M84" s="57">
        <v>2.7E-2</v>
      </c>
      <c r="N84" s="61">
        <v>8.3500000000000005E-2</v>
      </c>
      <c r="O84" s="57">
        <v>6.6000000000000003E-2</v>
      </c>
      <c r="P84" s="57">
        <v>0.10829999999999999</v>
      </c>
      <c r="Q84" s="57">
        <v>-0.1426</v>
      </c>
      <c r="R84" s="57">
        <v>-9.35E-2</v>
      </c>
      <c r="S84" s="57">
        <v>0.47710000000000002</v>
      </c>
      <c r="T84">
        <v>88.61</v>
      </c>
      <c r="U84">
        <v>79.44</v>
      </c>
      <c r="V84">
        <v>74.44</v>
      </c>
      <c r="W84" s="20">
        <v>422.48020000000002</v>
      </c>
    </row>
    <row r="85" spans="7:23" x14ac:dyDescent="0.15">
      <c r="G85" s="11">
        <v>84</v>
      </c>
      <c r="H85" s="10" t="s">
        <v>275</v>
      </c>
      <c r="I85" t="s">
        <v>811</v>
      </c>
      <c r="J85" t="s">
        <v>793</v>
      </c>
      <c r="K85" s="61">
        <v>-2.8500000000000001E-2</v>
      </c>
      <c r="L85" s="57">
        <v>1.01E-2</v>
      </c>
      <c r="M85" s="57">
        <v>-5.2699999999999997E-2</v>
      </c>
      <c r="N85" s="61">
        <v>3.7400000000000003E-2</v>
      </c>
      <c r="O85" s="57">
        <v>-0.1079</v>
      </c>
      <c r="P85" s="57">
        <v>0.21790000000000001</v>
      </c>
      <c r="Q85" s="57">
        <v>-0.24129999999999999</v>
      </c>
      <c r="R85" s="57">
        <v>-8.1799999999999998E-2</v>
      </c>
      <c r="S85" s="57">
        <v>-8.1799999999999998E-2</v>
      </c>
      <c r="T85">
        <v>88.47</v>
      </c>
      <c r="U85">
        <v>55.69</v>
      </c>
      <c r="V85">
        <v>98.06</v>
      </c>
      <c r="W85" s="20">
        <v>414.05169999999998</v>
      </c>
    </row>
    <row r="86" spans="7:23" x14ac:dyDescent="0.15">
      <c r="G86" s="11">
        <v>85</v>
      </c>
      <c r="H86" s="10" t="s">
        <v>701</v>
      </c>
      <c r="I86" t="s">
        <v>1195</v>
      </c>
      <c r="J86" t="s">
        <v>1175</v>
      </c>
      <c r="K86" s="61">
        <v>-2.8999999999999998E-3</v>
      </c>
      <c r="L86" s="57">
        <v>2.3800000000000002E-2</v>
      </c>
      <c r="M86" s="57">
        <v>6.13E-2</v>
      </c>
      <c r="N86" s="61">
        <v>5.6500000000000002E-2</v>
      </c>
      <c r="O86" s="57">
        <v>5.2600000000000001E-2</v>
      </c>
      <c r="P86" s="57">
        <v>8.0100000000000005E-2</v>
      </c>
      <c r="Q86" s="57">
        <v>-0.12189999999999999</v>
      </c>
      <c r="R86" s="57">
        <v>-0.2944</v>
      </c>
      <c r="S86" s="57">
        <v>-0.22819999999999999</v>
      </c>
      <c r="T86">
        <v>88.33</v>
      </c>
      <c r="U86">
        <v>69.31</v>
      </c>
      <c r="V86">
        <v>83.89</v>
      </c>
      <c r="W86" s="20">
        <v>147.78444299999998</v>
      </c>
    </row>
    <row r="87" spans="7:23" x14ac:dyDescent="0.15">
      <c r="G87" s="11">
        <v>86</v>
      </c>
      <c r="H87" s="10" t="s">
        <v>302</v>
      </c>
      <c r="I87" t="s">
        <v>961</v>
      </c>
      <c r="J87" t="s">
        <v>830</v>
      </c>
      <c r="K87" s="61">
        <v>-1.6999999999999999E-3</v>
      </c>
      <c r="L87" s="57">
        <v>0.05</v>
      </c>
      <c r="M87" s="57">
        <v>2.8400000000000002E-2</v>
      </c>
      <c r="N87" s="61">
        <v>8.6499999999999994E-2</v>
      </c>
      <c r="O87" s="57">
        <v>3.78E-2</v>
      </c>
      <c r="P87" s="57">
        <v>9.5200000000000007E-2</v>
      </c>
      <c r="Q87" s="57">
        <v>-0.18340000000000001</v>
      </c>
      <c r="R87" s="57">
        <v>-0.22770000000000001</v>
      </c>
      <c r="S87" s="57">
        <v>-0.22770000000000001</v>
      </c>
      <c r="T87">
        <v>88.19</v>
      </c>
      <c r="U87">
        <v>80.56</v>
      </c>
      <c r="V87">
        <v>72.36</v>
      </c>
      <c r="W87" s="20">
        <v>1232.4446699999999</v>
      </c>
    </row>
    <row r="88" spans="7:23" x14ac:dyDescent="0.15">
      <c r="G88" s="11">
        <v>87</v>
      </c>
      <c r="H88" s="10" t="s">
        <v>297</v>
      </c>
      <c r="I88" t="s">
        <v>1089</v>
      </c>
      <c r="J88" t="s">
        <v>830</v>
      </c>
      <c r="K88" s="61">
        <v>-1.6999999999999999E-3</v>
      </c>
      <c r="L88" s="57">
        <v>4.9099999999999998E-2</v>
      </c>
      <c r="M88" s="57">
        <v>2.7900000000000001E-2</v>
      </c>
      <c r="N88" s="61">
        <v>8.5199999999999998E-2</v>
      </c>
      <c r="O88" s="57">
        <v>3.56E-2</v>
      </c>
      <c r="P88" s="57">
        <v>8.8599999999999998E-2</v>
      </c>
      <c r="Q88" s="57">
        <v>-0.18870000000000001</v>
      </c>
      <c r="R88" s="57">
        <v>-0.27229999999999999</v>
      </c>
      <c r="S88" s="57">
        <v>3.5999999999999999E-3</v>
      </c>
      <c r="T88">
        <v>88.06</v>
      </c>
      <c r="U88">
        <v>80</v>
      </c>
      <c r="V88">
        <v>72.64</v>
      </c>
      <c r="W88" s="20">
        <v>34272.194168599999</v>
      </c>
    </row>
    <row r="89" spans="7:23" x14ac:dyDescent="0.15">
      <c r="G89" s="11">
        <v>88</v>
      </c>
      <c r="H89" s="10" t="s">
        <v>1203</v>
      </c>
      <c r="I89" t="s">
        <v>1204</v>
      </c>
      <c r="J89" t="s">
        <v>830</v>
      </c>
      <c r="K89" s="61">
        <v>-3.2000000000000002E-3</v>
      </c>
      <c r="L89" s="57">
        <v>1.18E-2</v>
      </c>
      <c r="M89" s="57">
        <v>3.7900000000000003E-2</v>
      </c>
      <c r="N89" s="61">
        <v>5.04E-2</v>
      </c>
      <c r="O89" s="57">
        <v>-6.5799999999999997E-2</v>
      </c>
      <c r="P89" s="57">
        <v>-2.58E-2</v>
      </c>
      <c r="Q89" s="57">
        <v>-0.18690000000000001</v>
      </c>
      <c r="R89" s="57">
        <v>-0.28770000000000001</v>
      </c>
      <c r="S89" s="57">
        <v>-0.28770000000000001</v>
      </c>
      <c r="T89">
        <v>87.92</v>
      </c>
      <c r="U89">
        <v>66.67</v>
      </c>
      <c r="V89">
        <v>85.69</v>
      </c>
      <c r="W89" s="20">
        <v>599.01760000000002</v>
      </c>
    </row>
    <row r="90" spans="7:23" x14ac:dyDescent="0.15">
      <c r="G90" s="11">
        <v>89</v>
      </c>
      <c r="H90" s="10" t="s">
        <v>1326</v>
      </c>
      <c r="I90" t="s">
        <v>1327</v>
      </c>
      <c r="J90" t="s">
        <v>1609</v>
      </c>
      <c r="K90" s="61">
        <v>-3.0000000000000001E-3</v>
      </c>
      <c r="L90" s="57">
        <v>2.1999999999999999E-2</v>
      </c>
      <c r="M90" s="57">
        <v>1.5900000000000001E-2</v>
      </c>
      <c r="N90" s="61">
        <v>5.2600000000000001E-2</v>
      </c>
      <c r="O90" s="57">
        <v>-8.09E-2</v>
      </c>
      <c r="P90" s="57">
        <v>8.3699999999999997E-2</v>
      </c>
      <c r="Q90" s="57">
        <v>-0.1555</v>
      </c>
      <c r="R90" s="57">
        <v>-0.1555</v>
      </c>
      <c r="S90" s="57">
        <v>-0.1555</v>
      </c>
      <c r="T90">
        <v>87.78</v>
      </c>
      <c r="U90">
        <v>67.5</v>
      </c>
      <c r="V90">
        <v>84.58</v>
      </c>
      <c r="W90" s="20">
        <v>455.68802999999997</v>
      </c>
    </row>
    <row r="91" spans="7:23" x14ac:dyDescent="0.15">
      <c r="G91" s="11">
        <v>90</v>
      </c>
      <c r="H91" s="10" t="s">
        <v>601</v>
      </c>
      <c r="I91" t="s">
        <v>1064</v>
      </c>
      <c r="J91" t="s">
        <v>830</v>
      </c>
      <c r="K91" s="61">
        <v>-2.5000000000000001E-3</v>
      </c>
      <c r="L91" s="57">
        <v>1.2999999999999999E-3</v>
      </c>
      <c r="M91" s="57">
        <v>-2.53E-2</v>
      </c>
      <c r="N91" s="61">
        <v>5.79E-2</v>
      </c>
      <c r="O91" s="57">
        <v>-0.1739</v>
      </c>
      <c r="P91" s="57">
        <v>2.9899999999999999E-2</v>
      </c>
      <c r="Q91" s="57">
        <v>-0.25080000000000002</v>
      </c>
      <c r="R91" s="57">
        <v>-0.15590000000000001</v>
      </c>
      <c r="S91" s="57">
        <v>-0.15590000000000001</v>
      </c>
      <c r="T91">
        <v>87.64</v>
      </c>
      <c r="U91">
        <v>69.86</v>
      </c>
      <c r="V91">
        <v>81.94</v>
      </c>
      <c r="W91" s="20">
        <v>7369.567</v>
      </c>
    </row>
    <row r="92" spans="7:23" x14ac:dyDescent="0.15">
      <c r="G92" s="11">
        <v>91</v>
      </c>
      <c r="H92" t="s">
        <v>1967</v>
      </c>
      <c r="I92" t="s">
        <v>1968</v>
      </c>
      <c r="J92" t="s">
        <v>1946</v>
      </c>
      <c r="K92" s="61">
        <v>-1.6999999999999999E-3</v>
      </c>
      <c r="L92" s="57">
        <v>4.7199999999999999E-2</v>
      </c>
      <c r="M92" s="57">
        <v>2.6599999999999999E-2</v>
      </c>
      <c r="N92" s="61">
        <v>8.1000000000000003E-2</v>
      </c>
      <c r="O92" s="57">
        <v>3.5000000000000003E-2</v>
      </c>
      <c r="P92" s="57">
        <v>7.6799999999999993E-2</v>
      </c>
      <c r="Q92" s="57">
        <v>7.6799999999999993E-2</v>
      </c>
      <c r="R92" s="57">
        <v>7.6799999999999993E-2</v>
      </c>
      <c r="S92" s="57">
        <v>7.6799999999999993E-2</v>
      </c>
      <c r="T92">
        <v>87.5</v>
      </c>
      <c r="U92">
        <v>78.75</v>
      </c>
      <c r="V92">
        <v>72.92</v>
      </c>
      <c r="W92" s="20">
        <v>621.4941</v>
      </c>
    </row>
    <row r="93" spans="7:23" x14ac:dyDescent="0.15">
      <c r="G93" s="11">
        <v>92</v>
      </c>
      <c r="H93" s="10" t="s">
        <v>1457</v>
      </c>
      <c r="I93" t="s">
        <v>1458</v>
      </c>
      <c r="J93" t="s">
        <v>1609</v>
      </c>
      <c r="K93" s="61">
        <v>-1.2999999999999999E-3</v>
      </c>
      <c r="L93" s="57">
        <v>3.2500000000000001E-2</v>
      </c>
      <c r="M93" s="57">
        <v>4.87E-2</v>
      </c>
      <c r="N93" s="61">
        <v>9.3399999999999997E-2</v>
      </c>
      <c r="O93" s="57">
        <v>-4.7E-2</v>
      </c>
      <c r="P93" s="57">
        <v>2.6200000000000001E-2</v>
      </c>
      <c r="Q93" s="57">
        <v>-0.28079999999999999</v>
      </c>
      <c r="R93" s="57">
        <v>-0.30009999999999998</v>
      </c>
      <c r="S93" s="57">
        <v>-0.30009999999999998</v>
      </c>
      <c r="T93">
        <v>87.36</v>
      </c>
      <c r="U93">
        <v>83.19</v>
      </c>
      <c r="V93">
        <v>68.19</v>
      </c>
      <c r="W93" s="20">
        <v>717.6798</v>
      </c>
    </row>
    <row r="94" spans="7:23" x14ac:dyDescent="0.15">
      <c r="G94" s="11">
        <v>93</v>
      </c>
      <c r="H94" s="10" t="s">
        <v>363</v>
      </c>
      <c r="I94" t="s">
        <v>241</v>
      </c>
      <c r="J94" t="s">
        <v>1166</v>
      </c>
      <c r="K94" s="61">
        <v>-2.7000000000000001E-3</v>
      </c>
      <c r="L94" s="57">
        <v>2.0400000000000001E-2</v>
      </c>
      <c r="M94" s="57">
        <v>2.5700000000000001E-2</v>
      </c>
      <c r="N94" s="61">
        <v>5.4399999999999997E-2</v>
      </c>
      <c r="O94" s="57">
        <v>-8.3599999999999994E-2</v>
      </c>
      <c r="P94" s="57">
        <v>-1.14E-2</v>
      </c>
      <c r="Q94" s="57">
        <v>-0.2175</v>
      </c>
      <c r="R94" s="57">
        <v>-0.1341</v>
      </c>
      <c r="S94" s="57">
        <v>0.48709999999999998</v>
      </c>
      <c r="T94">
        <v>87.22</v>
      </c>
      <c r="U94">
        <v>68.33</v>
      </c>
      <c r="V94">
        <v>82.78</v>
      </c>
      <c r="W94" s="20">
        <v>520.90570579999996</v>
      </c>
    </row>
    <row r="95" spans="7:23" x14ac:dyDescent="0.15">
      <c r="G95" s="11">
        <v>94</v>
      </c>
      <c r="H95" s="10" t="s">
        <v>581</v>
      </c>
      <c r="I95" t="s">
        <v>867</v>
      </c>
      <c r="J95" t="s">
        <v>830</v>
      </c>
      <c r="K95" s="61">
        <v>-2.2000000000000001E-3</v>
      </c>
      <c r="L95" s="57">
        <v>4.9399999999999999E-2</v>
      </c>
      <c r="M95" s="57">
        <v>3.0800000000000001E-2</v>
      </c>
      <c r="N95" s="61">
        <v>6.4199999999999993E-2</v>
      </c>
      <c r="O95" s="57">
        <v>-1.7299999999999999E-2</v>
      </c>
      <c r="P95" s="57">
        <v>1.9599999999999999E-2</v>
      </c>
      <c r="Q95" s="57">
        <v>-0.20330000000000001</v>
      </c>
      <c r="R95" s="57">
        <v>-0.2427</v>
      </c>
      <c r="S95" s="57">
        <v>0.12720000000000001</v>
      </c>
      <c r="T95">
        <v>87.08</v>
      </c>
      <c r="U95">
        <v>72.64</v>
      </c>
      <c r="V95">
        <v>77.92</v>
      </c>
      <c r="W95" s="20">
        <v>323.80459999999999</v>
      </c>
    </row>
    <row r="96" spans="7:23" x14ac:dyDescent="0.15">
      <c r="G96" s="11">
        <v>95</v>
      </c>
      <c r="H96" s="10" t="s">
        <v>492</v>
      </c>
      <c r="I96" t="s">
        <v>865</v>
      </c>
      <c r="J96" t="s">
        <v>830</v>
      </c>
      <c r="K96" s="61">
        <v>-5.8999999999999999E-3</v>
      </c>
      <c r="L96" s="57">
        <v>8.3000000000000001E-3</v>
      </c>
      <c r="M96" s="57">
        <v>2.93E-2</v>
      </c>
      <c r="N96" s="61">
        <v>3.9199999999999999E-2</v>
      </c>
      <c r="O96" s="57">
        <v>-7.8899999999999998E-2</v>
      </c>
      <c r="P96" s="57">
        <v>-3.2500000000000001E-2</v>
      </c>
      <c r="Q96" s="57">
        <v>-0.2034</v>
      </c>
      <c r="R96" s="57">
        <v>-0.32200000000000001</v>
      </c>
      <c r="S96" s="57">
        <v>-0.32200000000000001</v>
      </c>
      <c r="T96">
        <v>86.94</v>
      </c>
      <c r="U96">
        <v>56.53</v>
      </c>
      <c r="V96">
        <v>93.89</v>
      </c>
      <c r="W96" s="20">
        <v>136.18090000000001</v>
      </c>
    </row>
    <row r="97" spans="7:23" x14ac:dyDescent="0.15">
      <c r="G97" s="11">
        <v>96</v>
      </c>
      <c r="H97" s="10" t="s">
        <v>290</v>
      </c>
      <c r="I97" t="s">
        <v>816</v>
      </c>
      <c r="J97" t="s">
        <v>793</v>
      </c>
      <c r="K97" s="61">
        <v>-3.8999999999999998E-3</v>
      </c>
      <c r="L97" s="57">
        <v>2.4799999999999999E-2</v>
      </c>
      <c r="M97" s="57">
        <v>-8.3000000000000001E-3</v>
      </c>
      <c r="N97" s="61">
        <v>4.4999999999999998E-2</v>
      </c>
      <c r="O97" s="57">
        <v>-2.3199999999999998E-2</v>
      </c>
      <c r="P97" s="57">
        <v>0.216</v>
      </c>
      <c r="Q97" s="57">
        <v>-9.7500000000000003E-2</v>
      </c>
      <c r="R97" s="57">
        <v>0.23849999999999999</v>
      </c>
      <c r="S97" s="57">
        <v>1.3290999999999999</v>
      </c>
      <c r="T97">
        <v>86.81</v>
      </c>
      <c r="U97">
        <v>61.67</v>
      </c>
      <c r="V97">
        <v>88.19</v>
      </c>
      <c r="W97" s="20">
        <v>548.17780000000005</v>
      </c>
    </row>
    <row r="98" spans="7:23" x14ac:dyDescent="0.15">
      <c r="G98" s="11">
        <v>97</v>
      </c>
      <c r="H98" s="10" t="s">
        <v>705</v>
      </c>
      <c r="I98" t="s">
        <v>874</v>
      </c>
      <c r="J98" t="s">
        <v>830</v>
      </c>
      <c r="K98" s="61">
        <v>-1.6000000000000001E-3</v>
      </c>
      <c r="L98" s="57">
        <v>3.1099999999999999E-2</v>
      </c>
      <c r="M98" s="57">
        <v>4.2900000000000001E-2</v>
      </c>
      <c r="N98" s="61">
        <v>8.0699999999999994E-2</v>
      </c>
      <c r="O98" s="57">
        <v>-8.5000000000000006E-3</v>
      </c>
      <c r="P98" s="57">
        <v>3.2399999999999998E-2</v>
      </c>
      <c r="Q98" s="57">
        <v>-0.19719999999999999</v>
      </c>
      <c r="R98" s="57">
        <v>-0.26379999999999998</v>
      </c>
      <c r="S98" s="57">
        <v>-0.26379999999999998</v>
      </c>
      <c r="T98">
        <v>86.67</v>
      </c>
      <c r="U98">
        <v>78.61</v>
      </c>
      <c r="V98">
        <v>71.11</v>
      </c>
      <c r="W98" s="20">
        <v>209.47540000000001</v>
      </c>
    </row>
    <row r="99" spans="7:23" x14ac:dyDescent="0.15">
      <c r="G99" s="11">
        <v>98</v>
      </c>
      <c r="H99" s="10" t="s">
        <v>353</v>
      </c>
      <c r="I99" t="s">
        <v>1057</v>
      </c>
      <c r="J99" t="s">
        <v>830</v>
      </c>
      <c r="K99" s="61">
        <v>-2.2000000000000001E-3</v>
      </c>
      <c r="L99" s="57">
        <v>5.5800000000000002E-2</v>
      </c>
      <c r="M99" s="57">
        <v>2.3599999999999999E-2</v>
      </c>
      <c r="N99" s="61">
        <v>6.2600000000000003E-2</v>
      </c>
      <c r="O99" s="57">
        <v>3.0499999999999999E-2</v>
      </c>
      <c r="P99" s="57">
        <v>6.83E-2</v>
      </c>
      <c r="Q99" s="57">
        <v>-0.20039999999999999</v>
      </c>
      <c r="R99" s="57">
        <v>-0.35859999999999997</v>
      </c>
      <c r="S99" s="57">
        <v>-0.35859999999999997</v>
      </c>
      <c r="T99">
        <v>86.53</v>
      </c>
      <c r="U99">
        <v>71.81</v>
      </c>
      <c r="V99">
        <v>77.78</v>
      </c>
      <c r="W99" s="20">
        <v>9629.6516835000002</v>
      </c>
    </row>
    <row r="100" spans="7:23" x14ac:dyDescent="0.15">
      <c r="G100" s="11">
        <v>99</v>
      </c>
      <c r="H100" s="10" t="s">
        <v>721</v>
      </c>
      <c r="I100" t="s">
        <v>1124</v>
      </c>
      <c r="J100" t="s">
        <v>830</v>
      </c>
      <c r="K100" s="61">
        <v>-1E-3</v>
      </c>
      <c r="L100" s="57">
        <v>2.1399999999999999E-2</v>
      </c>
      <c r="M100" s="57">
        <v>0.1026</v>
      </c>
      <c r="N100" s="61">
        <v>9.8299999999999998E-2</v>
      </c>
      <c r="O100" s="57">
        <v>-4.5699999999999998E-2</v>
      </c>
      <c r="P100" s="57">
        <v>3.8999999999999998E-3</v>
      </c>
      <c r="Q100" s="57">
        <v>-0.1711</v>
      </c>
      <c r="R100" s="57">
        <v>-0.13850000000000001</v>
      </c>
      <c r="S100" s="57">
        <v>2.07E-2</v>
      </c>
      <c r="T100">
        <v>86.39</v>
      </c>
      <c r="U100">
        <v>84.72</v>
      </c>
      <c r="V100">
        <v>64.58</v>
      </c>
      <c r="W100" s="20">
        <v>44361.280700000003</v>
      </c>
    </row>
    <row r="101" spans="7:23" x14ac:dyDescent="0.15">
      <c r="G101" s="11">
        <v>100</v>
      </c>
      <c r="H101" s="10" t="s">
        <v>1258</v>
      </c>
      <c r="I101" t="s">
        <v>1259</v>
      </c>
      <c r="J101" t="s">
        <v>1609</v>
      </c>
      <c r="K101" s="61">
        <v>-1.9E-3</v>
      </c>
      <c r="L101" s="57">
        <v>8.3999999999999995E-3</v>
      </c>
      <c r="M101" s="57">
        <v>-3.7600000000000001E-2</v>
      </c>
      <c r="N101" s="61">
        <v>6.4899999999999999E-2</v>
      </c>
      <c r="O101" s="57">
        <v>-0.1022</v>
      </c>
      <c r="P101" s="57">
        <v>1.8700000000000001E-2</v>
      </c>
      <c r="Q101" s="57">
        <v>-0.27139999999999997</v>
      </c>
      <c r="R101" s="57">
        <v>-0.24660000000000001</v>
      </c>
      <c r="S101" s="57">
        <v>-0.24660000000000001</v>
      </c>
      <c r="T101">
        <v>86.25</v>
      </c>
      <c r="U101">
        <v>73.33</v>
      </c>
      <c r="V101">
        <v>75.83</v>
      </c>
      <c r="W101" s="20">
        <v>1622.8228999999999</v>
      </c>
    </row>
    <row r="102" spans="7:23" x14ac:dyDescent="0.15">
      <c r="G102" s="11">
        <v>101</v>
      </c>
      <c r="H102" s="10" t="s">
        <v>1961</v>
      </c>
      <c r="I102" t="s">
        <v>1962</v>
      </c>
      <c r="J102" t="s">
        <v>1946</v>
      </c>
      <c r="K102" s="61">
        <v>-2.3999999999999998E-3</v>
      </c>
      <c r="L102" s="57">
        <v>2.3599999999999999E-2</v>
      </c>
      <c r="M102" s="57">
        <v>4.19E-2</v>
      </c>
      <c r="N102" s="61">
        <v>5.4600000000000003E-2</v>
      </c>
      <c r="O102" s="57">
        <v>7.4999999999999997E-3</v>
      </c>
      <c r="P102" s="57">
        <v>-1.46E-2</v>
      </c>
      <c r="Q102" s="57">
        <v>-1.46E-2</v>
      </c>
      <c r="R102" s="57">
        <v>-1.46E-2</v>
      </c>
      <c r="S102" s="57">
        <v>-1.46E-2</v>
      </c>
      <c r="T102">
        <v>86.11</v>
      </c>
      <c r="U102">
        <v>68.61</v>
      </c>
      <c r="V102">
        <v>80.42</v>
      </c>
      <c r="W102" s="20">
        <v>870.30776960000003</v>
      </c>
    </row>
    <row r="103" spans="7:23" x14ac:dyDescent="0.15">
      <c r="G103" s="11">
        <v>102</v>
      </c>
      <c r="H103" s="10" t="s">
        <v>792</v>
      </c>
      <c r="I103" t="s">
        <v>791</v>
      </c>
      <c r="J103" t="s">
        <v>1609</v>
      </c>
      <c r="K103" s="61">
        <v>-2.8999999999999998E-3</v>
      </c>
      <c r="L103" s="57">
        <v>-2.0000000000000001E-4</v>
      </c>
      <c r="M103" s="57">
        <v>3.8399999999999997E-2</v>
      </c>
      <c r="N103" s="61">
        <v>4.7600000000000003E-2</v>
      </c>
      <c r="O103" s="57">
        <v>4.9399999999999999E-2</v>
      </c>
      <c r="P103" s="57">
        <v>1.5800000000000002E-2</v>
      </c>
      <c r="Q103" s="57">
        <v>1.52E-2</v>
      </c>
      <c r="R103" s="57">
        <v>1.52E-2</v>
      </c>
      <c r="S103" s="57">
        <v>1.52E-2</v>
      </c>
      <c r="T103">
        <v>85.97</v>
      </c>
      <c r="U103">
        <v>64.03</v>
      </c>
      <c r="V103">
        <v>84.44</v>
      </c>
      <c r="W103" s="20">
        <v>294.04517999999996</v>
      </c>
    </row>
    <row r="104" spans="7:23" x14ac:dyDescent="0.15">
      <c r="G104" s="11">
        <v>103</v>
      </c>
      <c r="H104" s="10" t="s">
        <v>667</v>
      </c>
      <c r="I104" t="s">
        <v>885</v>
      </c>
      <c r="J104" t="s">
        <v>830</v>
      </c>
      <c r="K104" s="61">
        <v>-2.2000000000000001E-3</v>
      </c>
      <c r="L104" s="57">
        <v>1.4E-3</v>
      </c>
      <c r="M104" s="57">
        <v>-2.53E-2</v>
      </c>
      <c r="N104" s="61">
        <v>5.7700000000000001E-2</v>
      </c>
      <c r="O104" s="57">
        <v>-0.17449999999999999</v>
      </c>
      <c r="P104" s="57">
        <v>2.6599999999999999E-2</v>
      </c>
      <c r="Q104" s="57">
        <v>-0.24640000000000001</v>
      </c>
      <c r="R104" s="57">
        <v>-6.2899999999999998E-2</v>
      </c>
      <c r="S104" s="57">
        <v>-6.2899999999999998E-2</v>
      </c>
      <c r="T104">
        <v>85.83</v>
      </c>
      <c r="U104">
        <v>69.72</v>
      </c>
      <c r="V104">
        <v>78.75</v>
      </c>
      <c r="W104" s="20">
        <v>2848.3665899999996</v>
      </c>
    </row>
    <row r="105" spans="7:23" x14ac:dyDescent="0.15">
      <c r="G105" s="11">
        <v>104</v>
      </c>
      <c r="H105" s="10" t="s">
        <v>682</v>
      </c>
      <c r="I105" t="s">
        <v>1031</v>
      </c>
      <c r="J105" t="s">
        <v>830</v>
      </c>
      <c r="K105" s="61">
        <v>-6.9999999999999999E-4</v>
      </c>
      <c r="L105" s="57">
        <v>4.6899999999999997E-2</v>
      </c>
      <c r="M105" s="57">
        <v>3.6499999999999998E-2</v>
      </c>
      <c r="N105" s="61">
        <v>0.1106</v>
      </c>
      <c r="O105" s="57">
        <v>6.3600000000000004E-2</v>
      </c>
      <c r="P105" s="57">
        <v>0.1938</v>
      </c>
      <c r="Q105" s="57">
        <v>-0.21229999999999999</v>
      </c>
      <c r="R105" s="57">
        <v>-0.22259999999999999</v>
      </c>
      <c r="S105" s="57">
        <v>3.5400000000000001E-2</v>
      </c>
      <c r="T105">
        <v>85.69</v>
      </c>
      <c r="U105">
        <v>87.22</v>
      </c>
      <c r="V105">
        <v>60.42</v>
      </c>
      <c r="W105" s="20">
        <v>19163.853800000001</v>
      </c>
    </row>
    <row r="106" spans="7:23" x14ac:dyDescent="0.15">
      <c r="G106" s="11">
        <v>105</v>
      </c>
      <c r="H106" t="s">
        <v>402</v>
      </c>
      <c r="I106" t="s">
        <v>238</v>
      </c>
      <c r="J106" t="s">
        <v>1166</v>
      </c>
      <c r="K106" s="61">
        <v>-4.3E-3</v>
      </c>
      <c r="L106" s="57">
        <v>1.6899999999999998E-2</v>
      </c>
      <c r="M106" s="57">
        <v>2.2700000000000001E-2</v>
      </c>
      <c r="N106" s="61">
        <v>3.9800000000000002E-2</v>
      </c>
      <c r="O106" s="57">
        <v>-7.1099999999999997E-2</v>
      </c>
      <c r="P106" s="57">
        <v>2.1100000000000001E-2</v>
      </c>
      <c r="Q106" s="57">
        <v>-0.14879999999999999</v>
      </c>
      <c r="R106" s="57">
        <v>-9.0800000000000006E-2</v>
      </c>
      <c r="S106" s="57">
        <v>0.36620000000000003</v>
      </c>
      <c r="T106">
        <v>85.56</v>
      </c>
      <c r="U106">
        <v>57.36</v>
      </c>
      <c r="V106">
        <v>89.86</v>
      </c>
      <c r="W106" s="20">
        <v>281.86418650000002</v>
      </c>
    </row>
    <row r="107" spans="7:23" x14ac:dyDescent="0.15">
      <c r="G107" s="11">
        <v>106</v>
      </c>
      <c r="H107" s="10" t="s">
        <v>554</v>
      </c>
      <c r="I107" t="s">
        <v>895</v>
      </c>
      <c r="J107" t="s">
        <v>830</v>
      </c>
      <c r="K107" s="61">
        <v>-1.9E-3</v>
      </c>
      <c r="L107" s="57">
        <v>3.2199999999999999E-2</v>
      </c>
      <c r="M107" s="57">
        <v>3.2399999999999998E-2</v>
      </c>
      <c r="N107" s="61">
        <v>6.2700000000000006E-2</v>
      </c>
      <c r="O107" s="57">
        <v>1.44E-2</v>
      </c>
      <c r="P107" s="57">
        <v>3.73E-2</v>
      </c>
      <c r="Q107" s="57">
        <v>-0.1673</v>
      </c>
      <c r="R107" s="57">
        <v>-0.15939999999999999</v>
      </c>
      <c r="S107" s="57">
        <v>-0.15939999999999999</v>
      </c>
      <c r="T107">
        <v>85.42</v>
      </c>
      <c r="U107">
        <v>71.94</v>
      </c>
      <c r="V107">
        <v>74.86</v>
      </c>
      <c r="W107" s="20">
        <v>336.0813</v>
      </c>
    </row>
    <row r="108" spans="7:23" x14ac:dyDescent="0.15">
      <c r="G108" s="11">
        <v>107</v>
      </c>
      <c r="H108" s="10" t="s">
        <v>616</v>
      </c>
      <c r="I108" t="s">
        <v>1179</v>
      </c>
      <c r="J108" t="s">
        <v>1175</v>
      </c>
      <c r="K108" s="61">
        <v>-4.7000000000000002E-3</v>
      </c>
      <c r="L108" s="57">
        <v>7.7999999999999996E-3</v>
      </c>
      <c r="M108" s="57">
        <v>8.6999999999999994E-3</v>
      </c>
      <c r="N108" s="61">
        <v>3.61E-2</v>
      </c>
      <c r="O108" s="57">
        <v>-3.6799999999999999E-2</v>
      </c>
      <c r="P108" s="57">
        <v>7.0099999999999996E-2</v>
      </c>
      <c r="Q108" s="57">
        <v>-9.5000000000000001E-2</v>
      </c>
      <c r="R108" s="57">
        <v>3.1199999999999999E-2</v>
      </c>
      <c r="S108" s="57">
        <v>0.30399999999999999</v>
      </c>
      <c r="T108">
        <v>85.28</v>
      </c>
      <c r="U108">
        <v>54.86</v>
      </c>
      <c r="V108">
        <v>91.67</v>
      </c>
      <c r="W108" s="20">
        <v>73.086916599999995</v>
      </c>
    </row>
    <row r="109" spans="7:23" x14ac:dyDescent="0.15">
      <c r="G109" s="11">
        <v>108</v>
      </c>
      <c r="H109" s="10" t="s">
        <v>644</v>
      </c>
      <c r="I109" t="s">
        <v>1178</v>
      </c>
      <c r="J109" t="s">
        <v>1175</v>
      </c>
      <c r="K109" s="61">
        <v>-4.0000000000000001E-3</v>
      </c>
      <c r="L109" s="57">
        <v>1.21E-2</v>
      </c>
      <c r="M109" s="57">
        <v>4.6899999999999997E-2</v>
      </c>
      <c r="N109" s="61">
        <v>3.9899999999999998E-2</v>
      </c>
      <c r="O109" s="57">
        <v>-7.3300000000000004E-2</v>
      </c>
      <c r="P109" s="57">
        <v>-5.4399999999999997E-2</v>
      </c>
      <c r="Q109" s="57">
        <v>-0.1699</v>
      </c>
      <c r="R109" s="57">
        <v>-0.1449</v>
      </c>
      <c r="S109" s="57">
        <v>-5.16E-2</v>
      </c>
      <c r="T109">
        <v>85.14</v>
      </c>
      <c r="U109">
        <v>57.78</v>
      </c>
      <c r="V109">
        <v>88.47</v>
      </c>
      <c r="W109" s="20">
        <v>108.40940000000001</v>
      </c>
    </row>
    <row r="110" spans="7:23" x14ac:dyDescent="0.15">
      <c r="G110" s="11">
        <v>109</v>
      </c>
      <c r="H110" s="10" t="s">
        <v>366</v>
      </c>
      <c r="I110" t="s">
        <v>1026</v>
      </c>
      <c r="J110" t="s">
        <v>830</v>
      </c>
      <c r="K110" s="61">
        <v>-1.9E-3</v>
      </c>
      <c r="L110" s="57">
        <v>5.5100000000000003E-2</v>
      </c>
      <c r="M110" s="57">
        <v>3.32E-2</v>
      </c>
      <c r="N110" s="61">
        <v>6.0299999999999999E-2</v>
      </c>
      <c r="O110" s="57">
        <v>5.2600000000000001E-2</v>
      </c>
      <c r="P110" s="57">
        <v>9.0899999999999995E-2</v>
      </c>
      <c r="Q110" s="57">
        <v>-0.1673</v>
      </c>
      <c r="R110" s="57">
        <v>-0.2636</v>
      </c>
      <c r="S110" s="57">
        <v>0.11849999999999999</v>
      </c>
      <c r="T110">
        <v>85</v>
      </c>
      <c r="U110">
        <v>70.56</v>
      </c>
      <c r="V110">
        <v>75.42</v>
      </c>
      <c r="W110" s="20">
        <v>8856.4270632000007</v>
      </c>
    </row>
    <row r="111" spans="7:23" x14ac:dyDescent="0.15">
      <c r="G111" s="11">
        <v>110</v>
      </c>
      <c r="H111" s="10" t="s">
        <v>516</v>
      </c>
      <c r="I111" t="s">
        <v>1133</v>
      </c>
      <c r="J111" t="s">
        <v>830</v>
      </c>
      <c r="K111" s="61">
        <v>-1.5E-3</v>
      </c>
      <c r="L111" s="57">
        <v>8.3999999999999995E-3</v>
      </c>
      <c r="M111" s="57">
        <v>-3.7900000000000003E-2</v>
      </c>
      <c r="N111" s="61">
        <v>6.59E-2</v>
      </c>
      <c r="O111" s="57">
        <v>-0.1018</v>
      </c>
      <c r="P111" s="57">
        <v>2.7E-2</v>
      </c>
      <c r="Q111" s="57">
        <v>-0.26960000000000001</v>
      </c>
      <c r="R111" s="57">
        <v>-0.25159999999999999</v>
      </c>
      <c r="S111" s="57">
        <v>-0.25159999999999999</v>
      </c>
      <c r="T111">
        <v>84.86</v>
      </c>
      <c r="U111">
        <v>74.58</v>
      </c>
      <c r="V111">
        <v>70.83</v>
      </c>
      <c r="W111" s="20">
        <v>174822.4215</v>
      </c>
    </row>
    <row r="112" spans="7:23" x14ac:dyDescent="0.15">
      <c r="G112" s="11">
        <v>111</v>
      </c>
      <c r="H112" s="10" t="s">
        <v>418</v>
      </c>
      <c r="I112" t="s">
        <v>1002</v>
      </c>
      <c r="J112" t="s">
        <v>830</v>
      </c>
      <c r="K112" s="61">
        <v>-2.0999999999999999E-3</v>
      </c>
      <c r="L112" s="57">
        <v>3.2300000000000002E-2</v>
      </c>
      <c r="M112" s="57">
        <v>5.7999999999999996E-3</v>
      </c>
      <c r="N112" s="61">
        <v>5.4300000000000001E-2</v>
      </c>
      <c r="O112" s="57">
        <v>-4.58E-2</v>
      </c>
      <c r="P112" s="57">
        <v>6.2600000000000003E-2</v>
      </c>
      <c r="Q112" s="57">
        <v>-0.2442</v>
      </c>
      <c r="R112" s="57">
        <v>-0.17180000000000001</v>
      </c>
      <c r="S112" s="57">
        <v>0.2107</v>
      </c>
      <c r="T112">
        <v>84.72</v>
      </c>
      <c r="U112">
        <v>68.19</v>
      </c>
      <c r="V112">
        <v>77.08</v>
      </c>
      <c r="W112" s="20">
        <v>2922.89</v>
      </c>
    </row>
    <row r="113" spans="7:23" x14ac:dyDescent="0.15">
      <c r="G113" s="11">
        <v>112</v>
      </c>
      <c r="H113" s="10" t="s">
        <v>330</v>
      </c>
      <c r="I113" t="s">
        <v>1085</v>
      </c>
      <c r="J113" t="s">
        <v>830</v>
      </c>
      <c r="K113" s="61">
        <v>-5.1000000000000004E-3</v>
      </c>
      <c r="L113" s="57">
        <v>-1.1000000000000001E-3</v>
      </c>
      <c r="M113" s="57">
        <v>-3.3099999999999997E-2</v>
      </c>
      <c r="N113" s="61">
        <v>3.2300000000000002E-2</v>
      </c>
      <c r="O113" s="57">
        <v>-8.7999999999999995E-2</v>
      </c>
      <c r="P113" s="57">
        <v>6.7500000000000004E-2</v>
      </c>
      <c r="Q113" s="57">
        <v>-0.28360000000000002</v>
      </c>
      <c r="R113" s="57">
        <v>-0.35680000000000001</v>
      </c>
      <c r="S113" s="57">
        <v>-0.35680000000000001</v>
      </c>
      <c r="T113">
        <v>84.58</v>
      </c>
      <c r="U113">
        <v>52.78</v>
      </c>
      <c r="V113">
        <v>92.36</v>
      </c>
      <c r="W113" s="20">
        <v>11216.275100000001</v>
      </c>
    </row>
    <row r="114" spans="7:23" x14ac:dyDescent="0.15">
      <c r="G114" s="11">
        <v>113</v>
      </c>
      <c r="H114" s="10" t="s">
        <v>537</v>
      </c>
      <c r="I114" t="s">
        <v>924</v>
      </c>
      <c r="J114" t="s">
        <v>830</v>
      </c>
      <c r="K114" s="61">
        <v>-1.8E-3</v>
      </c>
      <c r="L114" s="57">
        <v>1.6000000000000001E-3</v>
      </c>
      <c r="M114" s="57">
        <v>-2.3599999999999999E-2</v>
      </c>
      <c r="N114" s="61">
        <v>5.9200000000000003E-2</v>
      </c>
      <c r="O114" s="57">
        <v>-0.1661</v>
      </c>
      <c r="P114" s="57">
        <v>4.36E-2</v>
      </c>
      <c r="Q114" s="57">
        <v>-0.22439999999999999</v>
      </c>
      <c r="R114" s="57">
        <v>-0.1024</v>
      </c>
      <c r="S114" s="57">
        <v>-0.1024</v>
      </c>
      <c r="T114">
        <v>84.44</v>
      </c>
      <c r="U114">
        <v>70.42</v>
      </c>
      <c r="V114">
        <v>73.75</v>
      </c>
      <c r="W114" s="20">
        <v>1384.2282</v>
      </c>
    </row>
    <row r="115" spans="7:23" x14ac:dyDescent="0.15">
      <c r="G115" s="11">
        <v>114</v>
      </c>
      <c r="H115" s="10" t="s">
        <v>704</v>
      </c>
      <c r="I115" t="s">
        <v>907</v>
      </c>
      <c r="J115" t="s">
        <v>830</v>
      </c>
      <c r="K115" s="61">
        <v>-2.3E-3</v>
      </c>
      <c r="L115" s="57">
        <v>1.55E-2</v>
      </c>
      <c r="M115" s="57">
        <v>3.8600000000000002E-2</v>
      </c>
      <c r="N115" s="61">
        <v>4.87E-2</v>
      </c>
      <c r="O115" s="57">
        <v>-5.5599999999999997E-2</v>
      </c>
      <c r="P115" s="57">
        <v>2.0400000000000001E-2</v>
      </c>
      <c r="Q115" s="57">
        <v>-0.19939999999999999</v>
      </c>
      <c r="R115" s="57">
        <v>-0.14000000000000001</v>
      </c>
      <c r="S115" s="57">
        <v>-0.14000000000000001</v>
      </c>
      <c r="T115">
        <v>84.31</v>
      </c>
      <c r="U115">
        <v>64.44</v>
      </c>
      <c r="V115">
        <v>79.44</v>
      </c>
      <c r="W115" s="20">
        <v>727.6241</v>
      </c>
    </row>
    <row r="116" spans="7:23" x14ac:dyDescent="0.15">
      <c r="G116" s="11">
        <v>115</v>
      </c>
      <c r="H116" s="10" t="s">
        <v>276</v>
      </c>
      <c r="I116" t="s">
        <v>1186</v>
      </c>
      <c r="J116" t="s">
        <v>1175</v>
      </c>
      <c r="K116" s="61">
        <v>-5.3E-3</v>
      </c>
      <c r="L116" s="57">
        <v>1.8499999999999999E-2</v>
      </c>
      <c r="M116" s="57">
        <v>1.11E-2</v>
      </c>
      <c r="N116" s="61">
        <v>2.93E-2</v>
      </c>
      <c r="O116" s="57">
        <v>-1.2999999999999999E-3</v>
      </c>
      <c r="P116" s="57">
        <v>6.6E-3</v>
      </c>
      <c r="Q116" s="57">
        <v>-0.1016</v>
      </c>
      <c r="R116" s="57">
        <v>-0.16259999999999999</v>
      </c>
      <c r="S116" s="57">
        <v>0.3301</v>
      </c>
      <c r="T116">
        <v>84.17</v>
      </c>
      <c r="U116">
        <v>50.42</v>
      </c>
      <c r="V116">
        <v>92.92</v>
      </c>
      <c r="W116" s="20">
        <v>720.85872619999998</v>
      </c>
    </row>
    <row r="117" spans="7:23" x14ac:dyDescent="0.15">
      <c r="G117" s="11">
        <v>116</v>
      </c>
      <c r="H117" s="10" t="s">
        <v>685</v>
      </c>
      <c r="I117" t="s">
        <v>1062</v>
      </c>
      <c r="J117" t="s">
        <v>830</v>
      </c>
      <c r="K117" s="61">
        <v>0</v>
      </c>
      <c r="L117" s="57">
        <v>8.5599999999999996E-2</v>
      </c>
      <c r="M117" s="57">
        <v>0.12470000000000001</v>
      </c>
      <c r="N117" s="61">
        <v>0.17349999999999999</v>
      </c>
      <c r="O117" s="57">
        <v>-5.0000000000000001E-4</v>
      </c>
      <c r="P117" s="57">
        <v>5.3199999999999997E-2</v>
      </c>
      <c r="Q117" s="57">
        <v>-0.20680000000000001</v>
      </c>
      <c r="R117" s="57">
        <v>-0.191</v>
      </c>
      <c r="S117" s="57">
        <v>-0.191</v>
      </c>
      <c r="T117">
        <v>84.03</v>
      </c>
      <c r="U117">
        <v>95.14</v>
      </c>
      <c r="V117">
        <v>48.06</v>
      </c>
      <c r="W117" s="20">
        <v>7180.8973999999998</v>
      </c>
    </row>
    <row r="118" spans="7:23" x14ac:dyDescent="0.15">
      <c r="G118" s="11">
        <v>117</v>
      </c>
      <c r="H118" s="10" t="s">
        <v>373</v>
      </c>
      <c r="I118" t="s">
        <v>909</v>
      </c>
      <c r="J118" t="s">
        <v>830</v>
      </c>
      <c r="K118" s="61">
        <v>-1.6000000000000001E-3</v>
      </c>
      <c r="L118" s="57">
        <v>5.9799999999999999E-2</v>
      </c>
      <c r="M118" s="57">
        <v>3.8100000000000002E-2</v>
      </c>
      <c r="N118" s="61">
        <v>6.13E-2</v>
      </c>
      <c r="O118" s="57">
        <v>6.3299999999999995E-2</v>
      </c>
      <c r="P118" s="57">
        <v>0.12520000000000001</v>
      </c>
      <c r="Q118" s="57">
        <v>-0.13550000000000001</v>
      </c>
      <c r="R118" s="57">
        <v>-0.26300000000000001</v>
      </c>
      <c r="S118" s="57">
        <v>6.3E-3</v>
      </c>
      <c r="T118">
        <v>83.89</v>
      </c>
      <c r="U118">
        <v>70.97</v>
      </c>
      <c r="V118">
        <v>71.53</v>
      </c>
      <c r="W118" s="20">
        <v>706.76340000000005</v>
      </c>
    </row>
    <row r="119" spans="7:23" x14ac:dyDescent="0.15">
      <c r="G119" s="11">
        <v>118</v>
      </c>
      <c r="H119" s="10" t="s">
        <v>712</v>
      </c>
      <c r="I119" t="s">
        <v>1035</v>
      </c>
      <c r="J119" t="s">
        <v>830</v>
      </c>
      <c r="K119" s="61">
        <v>-1.9E-3</v>
      </c>
      <c r="L119" s="57">
        <v>1.5900000000000001E-2</v>
      </c>
      <c r="M119" s="57">
        <v>3.9699999999999999E-2</v>
      </c>
      <c r="N119" s="61">
        <v>5.0799999999999998E-2</v>
      </c>
      <c r="O119" s="57">
        <v>-5.4100000000000002E-2</v>
      </c>
      <c r="P119" s="57">
        <v>2.2100000000000002E-2</v>
      </c>
      <c r="Q119" s="57">
        <v>-0.20050000000000001</v>
      </c>
      <c r="R119" s="57">
        <v>-0.15740000000000001</v>
      </c>
      <c r="S119" s="57">
        <v>-0.15740000000000001</v>
      </c>
      <c r="T119">
        <v>83.75</v>
      </c>
      <c r="U119">
        <v>66.81</v>
      </c>
      <c r="V119">
        <v>75.28</v>
      </c>
      <c r="W119" s="20">
        <v>2493.07809</v>
      </c>
    </row>
    <row r="120" spans="7:23" x14ac:dyDescent="0.15">
      <c r="G120" s="11">
        <v>119</v>
      </c>
      <c r="H120" t="s">
        <v>288</v>
      </c>
      <c r="I120" t="s">
        <v>1057</v>
      </c>
      <c r="J120" t="s">
        <v>1175</v>
      </c>
      <c r="K120" s="61">
        <v>-1.6999999999999999E-3</v>
      </c>
      <c r="L120" s="57">
        <v>5.3199999999999997E-2</v>
      </c>
      <c r="M120" s="57">
        <v>2.1999999999999999E-2</v>
      </c>
      <c r="N120" s="61">
        <v>5.8900000000000001E-2</v>
      </c>
      <c r="O120" s="57">
        <v>2.58E-2</v>
      </c>
      <c r="P120" s="57">
        <v>5.2600000000000001E-2</v>
      </c>
      <c r="Q120" s="57">
        <v>-0.20960000000000001</v>
      </c>
      <c r="R120" s="57">
        <v>-0.31540000000000001</v>
      </c>
      <c r="S120" s="57">
        <v>0.2717</v>
      </c>
      <c r="T120">
        <v>83.61</v>
      </c>
      <c r="U120">
        <v>70.14</v>
      </c>
      <c r="V120">
        <v>71.94</v>
      </c>
      <c r="W120" s="20">
        <v>132.38740000000001</v>
      </c>
    </row>
    <row r="121" spans="7:23" x14ac:dyDescent="0.15">
      <c r="G121" s="11">
        <v>120</v>
      </c>
      <c r="H121" s="10" t="s">
        <v>487</v>
      </c>
      <c r="I121" t="s">
        <v>1017</v>
      </c>
      <c r="J121" t="s">
        <v>830</v>
      </c>
      <c r="K121" s="61">
        <v>-1.2999999999999999E-3</v>
      </c>
      <c r="L121" s="57">
        <v>8.8999999999999999E-3</v>
      </c>
      <c r="M121" s="57">
        <v>-3.7100000000000001E-2</v>
      </c>
      <c r="N121" s="61">
        <v>6.5600000000000006E-2</v>
      </c>
      <c r="O121" s="57">
        <v>-9.8199999999999996E-2</v>
      </c>
      <c r="P121" s="57">
        <v>2.8000000000000001E-2</v>
      </c>
      <c r="Q121" s="57">
        <v>-0.2727</v>
      </c>
      <c r="R121" s="57">
        <v>-0.33210000000000001</v>
      </c>
      <c r="S121" s="57">
        <v>-0.33210000000000001</v>
      </c>
      <c r="T121">
        <v>83.47</v>
      </c>
      <c r="U121">
        <v>73.89</v>
      </c>
      <c r="V121">
        <v>68.06</v>
      </c>
      <c r="W121" s="20">
        <v>4542.5987999999998</v>
      </c>
    </row>
    <row r="122" spans="7:23" x14ac:dyDescent="0.15">
      <c r="G122" s="11">
        <v>121</v>
      </c>
      <c r="H122" s="10" t="s">
        <v>507</v>
      </c>
      <c r="I122" t="s">
        <v>862</v>
      </c>
      <c r="J122" t="s">
        <v>830</v>
      </c>
      <c r="K122" s="61">
        <v>-8.0000000000000004E-4</v>
      </c>
      <c r="L122" s="57">
        <v>4.8899999999999999E-2</v>
      </c>
      <c r="M122" s="57">
        <v>2.76E-2</v>
      </c>
      <c r="N122" s="61">
        <v>8.3900000000000002E-2</v>
      </c>
      <c r="O122" s="57">
        <v>3.49E-2</v>
      </c>
      <c r="P122" s="57">
        <v>8.4000000000000005E-2</v>
      </c>
      <c r="Q122" s="57">
        <v>-0.1885</v>
      </c>
      <c r="R122" s="57">
        <v>-0.21940000000000001</v>
      </c>
      <c r="S122" s="57">
        <v>-0.21940000000000001</v>
      </c>
      <c r="T122">
        <v>83.33</v>
      </c>
      <c r="U122">
        <v>79.72</v>
      </c>
      <c r="V122">
        <v>62.22</v>
      </c>
      <c r="W122" s="20">
        <v>212.40853999999999</v>
      </c>
    </row>
    <row r="123" spans="7:23" x14ac:dyDescent="0.15">
      <c r="G123" s="11">
        <v>122</v>
      </c>
      <c r="H123" s="10" t="s">
        <v>574</v>
      </c>
      <c r="I123" t="s">
        <v>968</v>
      </c>
      <c r="J123" t="s">
        <v>830</v>
      </c>
      <c r="K123" s="61">
        <v>-1.1000000000000001E-3</v>
      </c>
      <c r="L123" s="57">
        <v>4.65E-2</v>
      </c>
      <c r="M123" s="57">
        <v>1.47E-2</v>
      </c>
      <c r="N123" s="61">
        <v>6.8400000000000002E-2</v>
      </c>
      <c r="O123" s="57">
        <v>-4.9200000000000001E-2</v>
      </c>
      <c r="P123" s="57">
        <v>2.9600000000000001E-2</v>
      </c>
      <c r="Q123" s="57">
        <v>-0.28989999999999999</v>
      </c>
      <c r="R123" s="57">
        <v>-0.37030000000000002</v>
      </c>
      <c r="S123" s="57">
        <v>-0.37030000000000002</v>
      </c>
      <c r="T123">
        <v>83.19</v>
      </c>
      <c r="U123">
        <v>75.97</v>
      </c>
      <c r="V123">
        <v>65.83</v>
      </c>
      <c r="W123" s="20">
        <v>2667.2251000000001</v>
      </c>
    </row>
    <row r="124" spans="7:23" x14ac:dyDescent="0.15">
      <c r="G124" s="11">
        <v>123</v>
      </c>
      <c r="H124" s="10" t="s">
        <v>528</v>
      </c>
      <c r="I124" t="s">
        <v>1171</v>
      </c>
      <c r="J124" t="s">
        <v>1166</v>
      </c>
      <c r="K124" s="61">
        <v>-4.4999999999999997E-3</v>
      </c>
      <c r="L124" s="57">
        <v>7.3000000000000001E-3</v>
      </c>
      <c r="M124" s="57">
        <v>2.23E-2</v>
      </c>
      <c r="N124" s="61">
        <v>3.09E-2</v>
      </c>
      <c r="O124" s="57">
        <v>-3.3799999999999997E-2</v>
      </c>
      <c r="P124" s="57">
        <v>-1.12E-2</v>
      </c>
      <c r="Q124" s="57">
        <v>-8.6599999999999996E-2</v>
      </c>
      <c r="R124" s="57">
        <v>0.2077</v>
      </c>
      <c r="S124" s="57">
        <v>1.1930000000000001</v>
      </c>
      <c r="T124">
        <v>83.06</v>
      </c>
      <c r="U124">
        <v>50.97</v>
      </c>
      <c r="V124">
        <v>90.69</v>
      </c>
      <c r="W124" s="20">
        <v>65.340900000000005</v>
      </c>
    </row>
    <row r="125" spans="7:23" x14ac:dyDescent="0.15">
      <c r="G125" s="11">
        <v>124</v>
      </c>
      <c r="H125" s="10" t="s">
        <v>526</v>
      </c>
      <c r="I125" t="s">
        <v>1074</v>
      </c>
      <c r="J125" t="s">
        <v>830</v>
      </c>
      <c r="K125" s="61">
        <v>0</v>
      </c>
      <c r="L125" s="57">
        <v>2.5100000000000001E-2</v>
      </c>
      <c r="M125" s="57">
        <v>7.6899999999999996E-2</v>
      </c>
      <c r="N125" s="61">
        <v>0.17100000000000001</v>
      </c>
      <c r="O125" s="57">
        <v>-0.1016</v>
      </c>
      <c r="P125" s="57">
        <v>-1.95E-2</v>
      </c>
      <c r="Q125" s="57">
        <v>-0.37030000000000002</v>
      </c>
      <c r="R125" s="57">
        <v>-0.51800000000000002</v>
      </c>
      <c r="S125" s="57">
        <v>-0.51800000000000002</v>
      </c>
      <c r="T125">
        <v>82.92</v>
      </c>
      <c r="U125">
        <v>94.58</v>
      </c>
      <c r="V125">
        <v>46.25</v>
      </c>
      <c r="W125" s="20">
        <v>45222.481800000001</v>
      </c>
    </row>
    <row r="126" spans="7:23" x14ac:dyDescent="0.15">
      <c r="G126" s="11">
        <v>125</v>
      </c>
      <c r="H126" s="10" t="s">
        <v>1996</v>
      </c>
      <c r="I126" t="s">
        <v>1997</v>
      </c>
      <c r="J126" t="s">
        <v>1946</v>
      </c>
      <c r="K126" s="61">
        <v>-1.5E-3</v>
      </c>
      <c r="L126" s="57">
        <v>2.0299999999999999E-2</v>
      </c>
      <c r="M126" s="57">
        <v>2.3E-3</v>
      </c>
      <c r="N126" s="61">
        <v>6.0900000000000003E-2</v>
      </c>
      <c r="O126" s="57">
        <v>-5.3400000000000003E-2</v>
      </c>
      <c r="P126" s="57">
        <v>0.12529999999999999</v>
      </c>
      <c r="Q126" s="57">
        <v>-0.1552</v>
      </c>
      <c r="R126" s="57">
        <v>-5.2400000000000002E-2</v>
      </c>
      <c r="S126" s="57">
        <v>0.17069999999999999</v>
      </c>
      <c r="T126">
        <v>82.78</v>
      </c>
      <c r="U126">
        <v>70.83</v>
      </c>
      <c r="V126">
        <v>70</v>
      </c>
      <c r="W126" s="20">
        <v>15.135149999999999</v>
      </c>
    </row>
    <row r="127" spans="7:23" x14ac:dyDescent="0.15">
      <c r="G127" s="11">
        <v>126</v>
      </c>
      <c r="H127" s="10" t="s">
        <v>491</v>
      </c>
      <c r="I127" t="s">
        <v>834</v>
      </c>
      <c r="J127" t="s">
        <v>830</v>
      </c>
      <c r="K127" s="61">
        <v>-2.5000000000000001E-3</v>
      </c>
      <c r="L127" s="57">
        <v>1.3100000000000001E-2</v>
      </c>
      <c r="M127" s="57">
        <v>0.02</v>
      </c>
      <c r="N127" s="61">
        <v>4.1799999999999997E-2</v>
      </c>
      <c r="O127" s="57">
        <v>-2.12E-2</v>
      </c>
      <c r="P127" s="57">
        <v>3.7499999999999999E-2</v>
      </c>
      <c r="Q127" s="57">
        <v>-4.9599999999999998E-2</v>
      </c>
      <c r="R127" s="57">
        <v>6.5799999999999997E-2</v>
      </c>
      <c r="S127" s="57">
        <v>0.2782</v>
      </c>
      <c r="T127">
        <v>82.64</v>
      </c>
      <c r="U127">
        <v>59.58</v>
      </c>
      <c r="V127">
        <v>81.25</v>
      </c>
      <c r="W127" s="20">
        <v>296.16039999999998</v>
      </c>
    </row>
    <row r="128" spans="7:23" x14ac:dyDescent="0.15">
      <c r="G128" s="11">
        <v>127</v>
      </c>
      <c r="H128" s="10" t="s">
        <v>1403</v>
      </c>
      <c r="I128" t="s">
        <v>1404</v>
      </c>
      <c r="J128" t="s">
        <v>1609</v>
      </c>
      <c r="K128" s="61">
        <v>-1.24E-2</v>
      </c>
      <c r="L128" s="57">
        <v>3.8E-3</v>
      </c>
      <c r="M128" s="57">
        <v>-5.0000000000000001E-4</v>
      </c>
      <c r="N128" s="61">
        <v>2.1499999999999998E-2</v>
      </c>
      <c r="O128" s="57">
        <v>-3.32E-2</v>
      </c>
      <c r="P128" s="57">
        <v>7.6600000000000001E-2</v>
      </c>
      <c r="Q128" s="57">
        <v>-6.7599999999999993E-2</v>
      </c>
      <c r="R128" s="57">
        <v>0.105</v>
      </c>
      <c r="S128" s="57">
        <v>0.38100000000000001</v>
      </c>
      <c r="T128">
        <v>82.5</v>
      </c>
      <c r="U128">
        <v>43.75</v>
      </c>
      <c r="V128">
        <v>97.08</v>
      </c>
      <c r="W128" s="20">
        <v>3.7157</v>
      </c>
    </row>
    <row r="129" spans="7:23" x14ac:dyDescent="0.15">
      <c r="G129" s="11">
        <v>128</v>
      </c>
      <c r="H129" s="10" t="s">
        <v>550</v>
      </c>
      <c r="I129" t="s">
        <v>1081</v>
      </c>
      <c r="J129" t="s">
        <v>830</v>
      </c>
      <c r="K129" s="61">
        <v>-1.1000000000000001E-3</v>
      </c>
      <c r="L129" s="57">
        <v>8.8000000000000005E-3</v>
      </c>
      <c r="M129" s="57">
        <v>-3.7699999999999997E-2</v>
      </c>
      <c r="N129" s="61">
        <v>6.6100000000000006E-2</v>
      </c>
      <c r="O129" s="57">
        <v>-0.1009</v>
      </c>
      <c r="P129" s="57">
        <v>2.5399999999999999E-2</v>
      </c>
      <c r="Q129" s="57">
        <v>-0.27379999999999999</v>
      </c>
      <c r="R129" s="57">
        <v>-0.252</v>
      </c>
      <c r="S129" s="57">
        <v>-0.252</v>
      </c>
      <c r="T129">
        <v>82.36</v>
      </c>
      <c r="U129">
        <v>74.86</v>
      </c>
      <c r="V129">
        <v>65.69</v>
      </c>
      <c r="W129" s="20">
        <v>12828.187400000001</v>
      </c>
    </row>
    <row r="130" spans="7:23" x14ac:dyDescent="0.15">
      <c r="G130" s="11">
        <v>129</v>
      </c>
      <c r="H130" s="10" t="s">
        <v>1430</v>
      </c>
      <c r="I130" t="s">
        <v>1431</v>
      </c>
      <c r="J130" t="s">
        <v>1609</v>
      </c>
      <c r="K130" s="61">
        <v>-8.9999999999999998E-4</v>
      </c>
      <c r="L130" s="57">
        <v>2.18E-2</v>
      </c>
      <c r="M130" s="57">
        <v>5.6899999999999999E-2</v>
      </c>
      <c r="N130" s="61">
        <v>7.3200000000000001E-2</v>
      </c>
      <c r="O130" s="57">
        <v>-6.59E-2</v>
      </c>
      <c r="P130" s="57">
        <v>-1.4500000000000001E-2</v>
      </c>
      <c r="Q130" s="57">
        <v>-0.22739999999999999</v>
      </c>
      <c r="R130" s="57">
        <v>-0.21709999999999999</v>
      </c>
      <c r="S130" s="57">
        <v>4.0899999999999999E-2</v>
      </c>
      <c r="T130">
        <v>82.22</v>
      </c>
      <c r="U130">
        <v>77.5</v>
      </c>
      <c r="V130">
        <v>62.92</v>
      </c>
      <c r="W130" s="20">
        <v>429.99240999999995</v>
      </c>
    </row>
    <row r="131" spans="7:23" x14ac:dyDescent="0.15">
      <c r="G131" s="11">
        <v>130</v>
      </c>
      <c r="H131" s="10" t="s">
        <v>1332</v>
      </c>
      <c r="I131" t="s">
        <v>1333</v>
      </c>
      <c r="J131" t="s">
        <v>1609</v>
      </c>
      <c r="K131" s="61">
        <v>-1.2999999999999999E-3</v>
      </c>
      <c r="L131" s="57">
        <v>1.4500000000000001E-2</v>
      </c>
      <c r="M131" s="57">
        <v>6.9900000000000004E-2</v>
      </c>
      <c r="N131" s="61">
        <v>6.4199999999999993E-2</v>
      </c>
      <c r="O131" s="57">
        <v>-0.1004</v>
      </c>
      <c r="P131" s="57">
        <v>-0.11799999999999999</v>
      </c>
      <c r="Q131" s="57">
        <v>-0.12670000000000001</v>
      </c>
      <c r="R131" s="57">
        <v>-0.1409</v>
      </c>
      <c r="S131" s="57">
        <v>-0.1409</v>
      </c>
      <c r="T131">
        <v>82.08</v>
      </c>
      <c r="U131">
        <v>72.78</v>
      </c>
      <c r="V131">
        <v>67.5</v>
      </c>
      <c r="W131" s="20">
        <v>2688.3357000000001</v>
      </c>
    </row>
    <row r="132" spans="7:23" x14ac:dyDescent="0.15">
      <c r="G132" s="11">
        <v>131</v>
      </c>
      <c r="H132" s="10" t="s">
        <v>1515</v>
      </c>
      <c r="I132" t="s">
        <v>1516</v>
      </c>
      <c r="J132" t="s">
        <v>1609</v>
      </c>
      <c r="K132" s="61">
        <v>1E-4</v>
      </c>
      <c r="L132" s="57">
        <v>2.5600000000000001E-2</v>
      </c>
      <c r="M132" s="57">
        <v>9.3299999999999994E-2</v>
      </c>
      <c r="N132" s="61">
        <v>0.1759</v>
      </c>
      <c r="O132" s="57">
        <v>-4.8800000000000003E-2</v>
      </c>
      <c r="P132" s="57">
        <v>-9.1000000000000004E-3</v>
      </c>
      <c r="Q132" s="57">
        <v>-0.25109999999999999</v>
      </c>
      <c r="R132" s="57">
        <v>-0.25109999999999999</v>
      </c>
      <c r="S132" s="57">
        <v>-0.25109999999999999</v>
      </c>
      <c r="T132">
        <v>81.94</v>
      </c>
      <c r="U132">
        <v>95.56</v>
      </c>
      <c r="V132">
        <v>44.72</v>
      </c>
      <c r="W132" s="20">
        <v>8694.9004999999997</v>
      </c>
    </row>
    <row r="133" spans="7:23" x14ac:dyDescent="0.15">
      <c r="G133" s="11">
        <v>132</v>
      </c>
      <c r="H133" s="10" t="s">
        <v>384</v>
      </c>
      <c r="I133" t="s">
        <v>22</v>
      </c>
      <c r="J133" t="s">
        <v>1609</v>
      </c>
      <c r="K133" s="61">
        <v>-2E-3</v>
      </c>
      <c r="L133" s="57">
        <v>-4.0000000000000002E-4</v>
      </c>
      <c r="M133" s="57">
        <v>3.8300000000000001E-2</v>
      </c>
      <c r="N133" s="61">
        <v>4.7300000000000002E-2</v>
      </c>
      <c r="O133" s="57">
        <v>4.8500000000000001E-2</v>
      </c>
      <c r="P133" s="57">
        <v>1.44E-2</v>
      </c>
      <c r="Q133" s="57">
        <v>6.9500000000000006E-2</v>
      </c>
      <c r="R133" s="57">
        <v>-3.0999999999999999E-3</v>
      </c>
      <c r="S133" s="57">
        <v>-2.7799999999999998E-2</v>
      </c>
      <c r="T133">
        <v>81.81</v>
      </c>
      <c r="U133">
        <v>63.47</v>
      </c>
      <c r="V133">
        <v>76.67</v>
      </c>
      <c r="W133" s="20">
        <v>214.41069999999999</v>
      </c>
    </row>
    <row r="134" spans="7:23" x14ac:dyDescent="0.15">
      <c r="G134" s="11">
        <v>133</v>
      </c>
      <c r="H134" s="10" t="s">
        <v>457</v>
      </c>
      <c r="I134" t="s">
        <v>1119</v>
      </c>
      <c r="J134" t="s">
        <v>830</v>
      </c>
      <c r="K134" s="61">
        <v>-3.5000000000000001E-3</v>
      </c>
      <c r="L134" s="57">
        <v>-1.1000000000000001E-3</v>
      </c>
      <c r="M134" s="57">
        <v>-3.3500000000000002E-2</v>
      </c>
      <c r="N134" s="61">
        <v>3.2000000000000001E-2</v>
      </c>
      <c r="O134" s="57">
        <v>-8.9599999999999999E-2</v>
      </c>
      <c r="P134" s="57">
        <v>6.5600000000000006E-2</v>
      </c>
      <c r="Q134" s="57">
        <v>-0.28370000000000001</v>
      </c>
      <c r="R134" s="57">
        <v>-0.36780000000000002</v>
      </c>
      <c r="S134" s="57">
        <v>-0.36780000000000002</v>
      </c>
      <c r="T134">
        <v>81.67</v>
      </c>
      <c r="U134">
        <v>52.5</v>
      </c>
      <c r="V134">
        <v>87.22</v>
      </c>
      <c r="W134" s="20">
        <v>15048.2963862</v>
      </c>
    </row>
    <row r="135" spans="7:23" x14ac:dyDescent="0.15">
      <c r="G135" s="11">
        <v>134</v>
      </c>
      <c r="H135" s="10" t="s">
        <v>1281</v>
      </c>
      <c r="I135" t="s">
        <v>1282</v>
      </c>
      <c r="J135" t="s">
        <v>1609</v>
      </c>
      <c r="K135" s="61">
        <v>-6.9999999999999999E-4</v>
      </c>
      <c r="L135" s="57">
        <v>5.4800000000000001E-2</v>
      </c>
      <c r="M135" s="57">
        <v>4.2099999999999999E-2</v>
      </c>
      <c r="N135" s="61">
        <v>8.2699999999999996E-2</v>
      </c>
      <c r="O135" s="57">
        <v>-5.3900000000000003E-2</v>
      </c>
      <c r="P135" s="57">
        <v>-5.4000000000000003E-3</v>
      </c>
      <c r="Q135" s="57">
        <v>-0.28249999999999997</v>
      </c>
      <c r="R135" s="57">
        <v>-0.28249999999999997</v>
      </c>
      <c r="S135" s="57">
        <v>-0.28249999999999997</v>
      </c>
      <c r="T135">
        <v>81.53</v>
      </c>
      <c r="U135">
        <v>79.31</v>
      </c>
      <c r="V135">
        <v>60.28</v>
      </c>
      <c r="W135" s="20">
        <v>94.021875399999999</v>
      </c>
    </row>
    <row r="136" spans="7:23" x14ac:dyDescent="0.15">
      <c r="G136" s="11">
        <v>135</v>
      </c>
      <c r="H136" s="10" t="s">
        <v>263</v>
      </c>
      <c r="I136" t="s">
        <v>823</v>
      </c>
      <c r="J136" t="s">
        <v>793</v>
      </c>
      <c r="K136" s="61">
        <v>-3.0499999999999999E-2</v>
      </c>
      <c r="L136" s="57">
        <v>2.2000000000000001E-3</v>
      </c>
      <c r="M136" s="57">
        <v>-5.4699999999999999E-2</v>
      </c>
      <c r="N136" s="61">
        <v>1.7000000000000001E-2</v>
      </c>
      <c r="O136" s="57">
        <v>-0.1389</v>
      </c>
      <c r="P136" s="57">
        <v>7.0599999999999996E-2</v>
      </c>
      <c r="Q136" s="57">
        <v>-0.23880000000000001</v>
      </c>
      <c r="R136" s="57">
        <v>-5.7299999999999997E-2</v>
      </c>
      <c r="S136" s="57">
        <v>-5.7299999999999997E-2</v>
      </c>
      <c r="T136">
        <v>81.39</v>
      </c>
      <c r="U136">
        <v>40.42</v>
      </c>
      <c r="V136">
        <v>98.19</v>
      </c>
      <c r="W136" s="20">
        <v>206.79230000000001</v>
      </c>
    </row>
    <row r="137" spans="7:23" x14ac:dyDescent="0.15">
      <c r="G137" s="11">
        <v>136</v>
      </c>
      <c r="H137" s="10" t="s">
        <v>555</v>
      </c>
      <c r="I137" t="s">
        <v>852</v>
      </c>
      <c r="J137" t="s">
        <v>830</v>
      </c>
      <c r="K137" s="61">
        <v>0</v>
      </c>
      <c r="L137" s="57">
        <v>3.8300000000000001E-2</v>
      </c>
      <c r="M137" s="57">
        <v>4.2799999999999998E-2</v>
      </c>
      <c r="N137" s="61">
        <v>0.14729999999999999</v>
      </c>
      <c r="O137" s="57">
        <v>6.6000000000000003E-2</v>
      </c>
      <c r="P137" s="57">
        <v>0.19670000000000001</v>
      </c>
      <c r="Q137" s="57">
        <v>-0.21060000000000001</v>
      </c>
      <c r="R137" s="57">
        <v>-0.16600000000000001</v>
      </c>
      <c r="S137" s="57">
        <v>-0.16600000000000001</v>
      </c>
      <c r="T137">
        <v>81.25</v>
      </c>
      <c r="U137">
        <v>91.39</v>
      </c>
      <c r="V137">
        <v>47.08</v>
      </c>
      <c r="W137" s="20">
        <v>137.1541</v>
      </c>
    </row>
    <row r="138" spans="7:23" x14ac:dyDescent="0.15">
      <c r="G138" s="11">
        <v>137</v>
      </c>
      <c r="H138" s="10" t="s">
        <v>450</v>
      </c>
      <c r="I138" t="s">
        <v>1116</v>
      </c>
      <c r="J138" t="s">
        <v>830</v>
      </c>
      <c r="K138" s="61">
        <v>-5.0000000000000001E-4</v>
      </c>
      <c r="L138" s="57">
        <v>4.58E-2</v>
      </c>
      <c r="M138" s="57">
        <v>1.4E-3</v>
      </c>
      <c r="N138" s="61">
        <v>9.0800000000000006E-2</v>
      </c>
      <c r="O138" s="57">
        <v>-0.1411</v>
      </c>
      <c r="P138" s="57">
        <v>-4.7300000000000002E-2</v>
      </c>
      <c r="Q138" s="57">
        <v>-0.34429999999999999</v>
      </c>
      <c r="R138" s="57">
        <v>-1.6E-2</v>
      </c>
      <c r="S138" s="57">
        <v>9.35E-2</v>
      </c>
      <c r="T138">
        <v>81.11</v>
      </c>
      <c r="U138">
        <v>82.08</v>
      </c>
      <c r="V138">
        <v>56.11</v>
      </c>
      <c r="W138" s="20">
        <v>54229.952181700006</v>
      </c>
    </row>
    <row r="139" spans="7:23" x14ac:dyDescent="0.15">
      <c r="G139" s="11">
        <v>138</v>
      </c>
      <c r="H139" s="10" t="s">
        <v>1322</v>
      </c>
      <c r="I139" t="s">
        <v>1323</v>
      </c>
      <c r="J139" t="s">
        <v>1609</v>
      </c>
      <c r="K139" s="61">
        <v>-8.9999999999999998E-4</v>
      </c>
      <c r="L139" s="57">
        <v>3.8100000000000002E-2</v>
      </c>
      <c r="M139" s="57">
        <v>1.2200000000000001E-2</v>
      </c>
      <c r="N139" s="61">
        <v>6.7100000000000007E-2</v>
      </c>
      <c r="O139" s="57">
        <v>-0.1206</v>
      </c>
      <c r="P139" s="57">
        <v>-7.0000000000000001E-3</v>
      </c>
      <c r="Q139" s="57">
        <v>-0.3004</v>
      </c>
      <c r="R139" s="57">
        <v>-0.3004</v>
      </c>
      <c r="S139" s="57">
        <v>-0.3004</v>
      </c>
      <c r="T139">
        <v>80.97</v>
      </c>
      <c r="U139">
        <v>75.69</v>
      </c>
      <c r="V139">
        <v>62.36</v>
      </c>
      <c r="W139" s="20">
        <v>717.26125999999999</v>
      </c>
    </row>
    <row r="140" spans="7:23" x14ac:dyDescent="0.15">
      <c r="G140" s="11">
        <v>139</v>
      </c>
      <c r="H140" s="10" t="s">
        <v>368</v>
      </c>
      <c r="I140" t="s">
        <v>1046</v>
      </c>
      <c r="J140" t="s">
        <v>830</v>
      </c>
      <c r="K140" s="61">
        <v>-3.3E-3</v>
      </c>
      <c r="L140" s="57">
        <v>-1.1000000000000001E-3</v>
      </c>
      <c r="M140" s="57">
        <v>-3.2800000000000003E-2</v>
      </c>
      <c r="N140" s="61">
        <v>3.2000000000000001E-2</v>
      </c>
      <c r="O140" s="57">
        <v>-8.9200000000000002E-2</v>
      </c>
      <c r="P140" s="57">
        <v>6.4600000000000005E-2</v>
      </c>
      <c r="Q140" s="57">
        <v>-0.2787</v>
      </c>
      <c r="R140" s="57">
        <v>-0.3609</v>
      </c>
      <c r="S140" s="57">
        <v>-0.3609</v>
      </c>
      <c r="T140">
        <v>80.83</v>
      </c>
      <c r="U140">
        <v>51.81</v>
      </c>
      <c r="V140">
        <v>86.11</v>
      </c>
      <c r="W140" s="20">
        <v>3746.6547</v>
      </c>
    </row>
    <row r="141" spans="7:23" x14ac:dyDescent="0.15">
      <c r="G141" s="11">
        <v>140</v>
      </c>
      <c r="H141" s="10" t="s">
        <v>301</v>
      </c>
      <c r="I141" t="s">
        <v>841</v>
      </c>
      <c r="J141" t="s">
        <v>830</v>
      </c>
      <c r="K141" s="61">
        <v>-1E-3</v>
      </c>
      <c r="L141" s="57">
        <v>5.6000000000000001E-2</v>
      </c>
      <c r="M141" s="57">
        <v>2.41E-2</v>
      </c>
      <c r="N141" s="61">
        <v>6.3399999999999998E-2</v>
      </c>
      <c r="O141" s="57">
        <v>3.1199999999999999E-2</v>
      </c>
      <c r="P141" s="57">
        <v>7.2099999999999997E-2</v>
      </c>
      <c r="Q141" s="57">
        <v>-0.19389999999999999</v>
      </c>
      <c r="R141" s="57">
        <v>-0.31929999999999997</v>
      </c>
      <c r="S141" s="57">
        <v>-0.31929999999999997</v>
      </c>
      <c r="T141">
        <v>80.69</v>
      </c>
      <c r="U141">
        <v>72.36</v>
      </c>
      <c r="V141">
        <v>65.42</v>
      </c>
      <c r="W141" s="20">
        <v>430.26087999999999</v>
      </c>
    </row>
    <row r="142" spans="7:23" x14ac:dyDescent="0.15">
      <c r="G142" s="11">
        <v>141</v>
      </c>
      <c r="H142" s="10" t="s">
        <v>1487</v>
      </c>
      <c r="I142" t="s">
        <v>1488</v>
      </c>
      <c r="J142" t="s">
        <v>1609</v>
      </c>
      <c r="K142" s="61">
        <v>-8.0000000000000004E-4</v>
      </c>
      <c r="L142" s="57">
        <v>2.6499999999999999E-2</v>
      </c>
      <c r="M142" s="57">
        <v>6.0900000000000003E-2</v>
      </c>
      <c r="N142" s="61">
        <v>7.0000000000000007E-2</v>
      </c>
      <c r="O142" s="57">
        <v>-8.1500000000000003E-2</v>
      </c>
      <c r="P142" s="57">
        <v>-5.0200000000000002E-2</v>
      </c>
      <c r="Q142" s="57">
        <v>-0.24940000000000001</v>
      </c>
      <c r="R142" s="57">
        <v>-0.24940000000000001</v>
      </c>
      <c r="S142" s="57">
        <v>-0.24940000000000001</v>
      </c>
      <c r="T142">
        <v>80.56</v>
      </c>
      <c r="U142">
        <v>76.53</v>
      </c>
      <c r="V142">
        <v>60.97</v>
      </c>
      <c r="W142" s="20">
        <v>918.42759999999998</v>
      </c>
    </row>
    <row r="143" spans="7:23" x14ac:dyDescent="0.15">
      <c r="G143" s="11">
        <v>142</v>
      </c>
      <c r="H143" s="10" t="s">
        <v>568</v>
      </c>
      <c r="I143" t="s">
        <v>964</v>
      </c>
      <c r="J143" t="s">
        <v>830</v>
      </c>
      <c r="K143" s="61">
        <v>-2.8999999999999998E-3</v>
      </c>
      <c r="L143" s="57">
        <v>3.1099999999999999E-2</v>
      </c>
      <c r="M143" s="57">
        <v>5.7999999999999996E-3</v>
      </c>
      <c r="N143" s="61">
        <v>3.39E-2</v>
      </c>
      <c r="O143" s="57">
        <v>-6.83E-2</v>
      </c>
      <c r="P143" s="57">
        <v>5.3600000000000002E-2</v>
      </c>
      <c r="Q143" s="57">
        <v>-0.1885</v>
      </c>
      <c r="R143" s="57">
        <v>-2.47E-2</v>
      </c>
      <c r="S143" s="57">
        <v>0.52390000000000003</v>
      </c>
      <c r="T143">
        <v>80.42</v>
      </c>
      <c r="U143">
        <v>53.47</v>
      </c>
      <c r="V143">
        <v>84.03</v>
      </c>
      <c r="W143" s="20">
        <v>1571.2692999999999</v>
      </c>
    </row>
    <row r="144" spans="7:23" x14ac:dyDescent="0.15">
      <c r="G144" s="11">
        <v>143</v>
      </c>
      <c r="H144" s="10" t="s">
        <v>2020</v>
      </c>
      <c r="I144" t="s">
        <v>2021</v>
      </c>
      <c r="J144" t="s">
        <v>1946</v>
      </c>
      <c r="K144" s="61">
        <v>-3.0999999999999999E-3</v>
      </c>
      <c r="L144" s="57">
        <v>-1.2999999999999999E-3</v>
      </c>
      <c r="M144" s="57">
        <v>-3.3599999999999998E-2</v>
      </c>
      <c r="N144" s="61">
        <v>3.2000000000000001E-2</v>
      </c>
      <c r="O144" s="57">
        <v>-9.0700000000000003E-2</v>
      </c>
      <c r="P144" s="57">
        <v>-2.4E-2</v>
      </c>
      <c r="Q144" s="57">
        <v>-2.4E-2</v>
      </c>
      <c r="R144" s="57">
        <v>-2.4E-2</v>
      </c>
      <c r="S144" s="57">
        <v>-2.4E-2</v>
      </c>
      <c r="T144">
        <v>80.28</v>
      </c>
      <c r="U144">
        <v>52.22</v>
      </c>
      <c r="V144">
        <v>85</v>
      </c>
      <c r="W144" s="20">
        <v>1057.51359</v>
      </c>
    </row>
    <row r="145" spans="7:23" x14ac:dyDescent="0.15">
      <c r="G145" s="11">
        <v>144</v>
      </c>
      <c r="H145" s="10" t="s">
        <v>627</v>
      </c>
      <c r="I145" t="s">
        <v>1184</v>
      </c>
      <c r="J145" t="s">
        <v>1175</v>
      </c>
      <c r="K145" s="61">
        <v>-5.0000000000000001E-3</v>
      </c>
      <c r="L145" s="57">
        <v>7.1999999999999998E-3</v>
      </c>
      <c r="M145" s="57">
        <v>1.78E-2</v>
      </c>
      <c r="N145" s="61">
        <v>2.24E-2</v>
      </c>
      <c r="O145" s="57">
        <v>-2.7E-2</v>
      </c>
      <c r="P145" s="57">
        <v>9.9000000000000008E-3</v>
      </c>
      <c r="Q145" s="57">
        <v>-0.105</v>
      </c>
      <c r="R145" s="57">
        <v>-0.13139999999999999</v>
      </c>
      <c r="S145" s="57">
        <v>-1.12E-2</v>
      </c>
      <c r="T145">
        <v>80.14</v>
      </c>
      <c r="U145">
        <v>44.72</v>
      </c>
      <c r="V145">
        <v>92.22</v>
      </c>
      <c r="W145" s="20">
        <v>85.372739800000005</v>
      </c>
    </row>
    <row r="146" spans="7:23" x14ac:dyDescent="0.15">
      <c r="G146" s="11">
        <v>145</v>
      </c>
      <c r="H146" s="10" t="s">
        <v>458</v>
      </c>
      <c r="I146" t="s">
        <v>894</v>
      </c>
      <c r="J146" t="s">
        <v>830</v>
      </c>
      <c r="K146" s="61">
        <v>-1.2999999999999999E-3</v>
      </c>
      <c r="L146" s="57">
        <v>2.4500000000000001E-2</v>
      </c>
      <c r="M146" s="57">
        <v>-1.0500000000000001E-2</v>
      </c>
      <c r="N146" s="61">
        <v>5.5399999999999998E-2</v>
      </c>
      <c r="O146" s="57">
        <v>-0.10100000000000001</v>
      </c>
      <c r="P146" s="57">
        <v>6.8000000000000005E-2</v>
      </c>
      <c r="Q146" s="57">
        <v>-0.23519999999999999</v>
      </c>
      <c r="R146" s="57">
        <v>-3.6700000000000003E-2</v>
      </c>
      <c r="S146" s="57">
        <v>-3.6700000000000003E-2</v>
      </c>
      <c r="T146">
        <v>80</v>
      </c>
      <c r="U146">
        <v>68.89</v>
      </c>
      <c r="V146">
        <v>67.78</v>
      </c>
      <c r="W146" s="20">
        <v>653.73149999999998</v>
      </c>
    </row>
    <row r="147" spans="7:23" x14ac:dyDescent="0.15">
      <c r="G147" s="11">
        <v>146</v>
      </c>
      <c r="H147" s="10" t="s">
        <v>317</v>
      </c>
      <c r="I147" t="s">
        <v>794</v>
      </c>
      <c r="J147" t="s">
        <v>793</v>
      </c>
      <c r="K147" s="61">
        <v>-2.5499999999999998E-2</v>
      </c>
      <c r="L147" s="57">
        <v>5.7999999999999996E-3</v>
      </c>
      <c r="M147" s="57">
        <v>-8.9999999999999998E-4</v>
      </c>
      <c r="N147" s="61">
        <v>1.5900000000000001E-2</v>
      </c>
      <c r="O147" s="57">
        <v>-9.4500000000000001E-2</v>
      </c>
      <c r="P147" s="57">
        <v>3.39E-2</v>
      </c>
      <c r="Q147" s="57">
        <v>-0.2137</v>
      </c>
      <c r="R147" s="57">
        <v>3.5099999999999999E-2</v>
      </c>
      <c r="S147" s="57">
        <v>4.2599999999999999E-2</v>
      </c>
      <c r="T147">
        <v>79.86</v>
      </c>
      <c r="U147">
        <v>38.33</v>
      </c>
      <c r="V147">
        <v>97.78</v>
      </c>
      <c r="W147" s="20">
        <v>16.180199999999999</v>
      </c>
    </row>
    <row r="148" spans="7:23" x14ac:dyDescent="0.15">
      <c r="G148" s="11">
        <v>147</v>
      </c>
      <c r="H148" s="10" t="s">
        <v>1562</v>
      </c>
      <c r="I148" t="s">
        <v>1563</v>
      </c>
      <c r="J148" t="s">
        <v>1609</v>
      </c>
      <c r="K148" s="61">
        <v>-6.1000000000000004E-3</v>
      </c>
      <c r="L148" s="57">
        <v>-5.9299999999999999E-2</v>
      </c>
      <c r="M148" s="57">
        <v>-7.0699999999999999E-2</v>
      </c>
      <c r="N148" s="61">
        <v>1.8499999999999999E-2</v>
      </c>
      <c r="O148" s="57">
        <v>-0.1603</v>
      </c>
      <c r="P148" s="57">
        <v>-5.16E-2</v>
      </c>
      <c r="Q148" s="57">
        <v>-0.17960000000000001</v>
      </c>
      <c r="R148" s="57">
        <v>-0.26050000000000001</v>
      </c>
      <c r="S148" s="57">
        <v>-0.26050000000000001</v>
      </c>
      <c r="T148">
        <v>79.72</v>
      </c>
      <c r="U148">
        <v>41.53</v>
      </c>
      <c r="V148">
        <v>94.31</v>
      </c>
      <c r="W148" s="20">
        <v>8938.1640000000007</v>
      </c>
    </row>
    <row r="149" spans="7:23" x14ac:dyDescent="0.15">
      <c r="G149" s="11">
        <v>148</v>
      </c>
      <c r="H149" s="10" t="s">
        <v>257</v>
      </c>
      <c r="I149" t="s">
        <v>24</v>
      </c>
      <c r="J149" t="s">
        <v>1161</v>
      </c>
      <c r="K149" s="61">
        <v>-8.9999999999999998E-4</v>
      </c>
      <c r="L149" s="57">
        <v>-1.29E-2</v>
      </c>
      <c r="M149" s="57">
        <v>-1.12E-2</v>
      </c>
      <c r="N149" s="61">
        <v>6.1800000000000001E-2</v>
      </c>
      <c r="O149" s="57">
        <v>0.17069999999999999</v>
      </c>
      <c r="P149" s="57">
        <v>0.1206</v>
      </c>
      <c r="Q149" s="57">
        <v>0.55679999999999996</v>
      </c>
      <c r="R149" s="57">
        <v>1.9691000000000001</v>
      </c>
      <c r="S149" s="57">
        <v>0.52180000000000004</v>
      </c>
      <c r="T149">
        <v>79.58</v>
      </c>
      <c r="U149">
        <v>71.67</v>
      </c>
      <c r="V149">
        <v>62.78</v>
      </c>
      <c r="W149" s="20">
        <v>73.252409999999998</v>
      </c>
    </row>
    <row r="150" spans="7:23" x14ac:dyDescent="0.15">
      <c r="G150" s="11">
        <v>149</v>
      </c>
      <c r="H150" s="10" t="s">
        <v>417</v>
      </c>
      <c r="I150" t="s">
        <v>910</v>
      </c>
      <c r="J150" t="s">
        <v>830</v>
      </c>
      <c r="K150" s="61">
        <v>-1.9E-3</v>
      </c>
      <c r="L150" s="57">
        <v>8.5000000000000006E-3</v>
      </c>
      <c r="M150" s="57">
        <v>9.7000000000000003E-3</v>
      </c>
      <c r="N150" s="61">
        <v>0.04</v>
      </c>
      <c r="O150" s="57">
        <v>-4.1099999999999998E-2</v>
      </c>
      <c r="P150" s="57">
        <v>7.9699999999999993E-2</v>
      </c>
      <c r="Q150" s="57">
        <v>-0.105</v>
      </c>
      <c r="R150" s="57">
        <v>4.48E-2</v>
      </c>
      <c r="S150" s="57">
        <v>-6.1999999999999998E-3</v>
      </c>
      <c r="T150">
        <v>79.44</v>
      </c>
      <c r="U150">
        <v>57.92</v>
      </c>
      <c r="V150">
        <v>76.25</v>
      </c>
      <c r="W150" s="20">
        <v>670.23951999999997</v>
      </c>
    </row>
    <row r="151" spans="7:23" x14ac:dyDescent="0.15">
      <c r="G151" s="11">
        <v>150</v>
      </c>
      <c r="H151" t="s">
        <v>449</v>
      </c>
      <c r="I151" t="s">
        <v>832</v>
      </c>
      <c r="J151" t="s">
        <v>830</v>
      </c>
      <c r="K151" s="61">
        <v>-3.5999999999999999E-3</v>
      </c>
      <c r="L151" s="57">
        <v>1.26E-2</v>
      </c>
      <c r="M151" s="57">
        <v>1.2800000000000001E-2</v>
      </c>
      <c r="N151" s="61">
        <v>2.3900000000000001E-2</v>
      </c>
      <c r="O151" s="57">
        <v>-8.6900000000000005E-2</v>
      </c>
      <c r="P151" s="57">
        <v>-1.2E-2</v>
      </c>
      <c r="Q151" s="57">
        <v>-0.1802</v>
      </c>
      <c r="R151" s="57">
        <v>-4.0099999999999997E-2</v>
      </c>
      <c r="S151" s="57">
        <v>0.16170000000000001</v>
      </c>
      <c r="T151">
        <v>79.31</v>
      </c>
      <c r="U151">
        <v>46.11</v>
      </c>
      <c r="V151">
        <v>87.5</v>
      </c>
      <c r="W151" s="20">
        <v>0</v>
      </c>
    </row>
    <row r="152" spans="7:23" x14ac:dyDescent="0.15">
      <c r="G152" s="11">
        <v>151</v>
      </c>
      <c r="H152" s="10" t="s">
        <v>1992</v>
      </c>
      <c r="I152" t="s">
        <v>1993</v>
      </c>
      <c r="J152" t="s">
        <v>1946</v>
      </c>
      <c r="K152" s="61">
        <v>-2.2000000000000001E-3</v>
      </c>
      <c r="L152" s="57">
        <v>2.3E-3</v>
      </c>
      <c r="M152" s="57">
        <v>-7.4999999999999997E-3</v>
      </c>
      <c r="N152" s="61">
        <v>3.6400000000000002E-2</v>
      </c>
      <c r="O152" s="57">
        <v>-9.1600000000000001E-2</v>
      </c>
      <c r="P152" s="57">
        <v>-4.9000000000000002E-2</v>
      </c>
      <c r="Q152" s="57">
        <v>-4.9000000000000002E-2</v>
      </c>
      <c r="R152" s="57">
        <v>-4.9000000000000002E-2</v>
      </c>
      <c r="S152" s="57">
        <v>-4.9000000000000002E-2</v>
      </c>
      <c r="T152">
        <v>79.17</v>
      </c>
      <c r="U152">
        <v>55.28</v>
      </c>
      <c r="V152">
        <v>78.33</v>
      </c>
      <c r="W152" s="20">
        <v>30698.3508</v>
      </c>
    </row>
    <row r="153" spans="7:23" x14ac:dyDescent="0.15">
      <c r="G153" s="11">
        <v>152</v>
      </c>
      <c r="H153" s="10" t="s">
        <v>541</v>
      </c>
      <c r="I153" t="s">
        <v>954</v>
      </c>
      <c r="J153" t="s">
        <v>830</v>
      </c>
      <c r="K153" s="61">
        <v>-1.8E-3</v>
      </c>
      <c r="L153" s="57">
        <v>8.8999999999999999E-3</v>
      </c>
      <c r="M153" s="57">
        <v>1.0500000000000001E-2</v>
      </c>
      <c r="N153" s="61">
        <v>4.1300000000000003E-2</v>
      </c>
      <c r="O153" s="57">
        <v>-3.8300000000000001E-2</v>
      </c>
      <c r="P153" s="57">
        <v>8.4400000000000003E-2</v>
      </c>
      <c r="Q153" s="57">
        <v>-9.0399999999999994E-2</v>
      </c>
      <c r="R153" s="57">
        <v>0.12529999999999999</v>
      </c>
      <c r="S153" s="57">
        <v>0.46660000000000001</v>
      </c>
      <c r="T153">
        <v>79.03</v>
      </c>
      <c r="U153">
        <v>59.17</v>
      </c>
      <c r="V153">
        <v>74.17</v>
      </c>
      <c r="W153" s="20">
        <v>719.74385999999993</v>
      </c>
    </row>
    <row r="154" spans="7:23" x14ac:dyDescent="0.15">
      <c r="G154" s="11">
        <v>153</v>
      </c>
      <c r="H154" s="10" t="s">
        <v>409</v>
      </c>
      <c r="I154" t="s">
        <v>802</v>
      </c>
      <c r="J154" t="s">
        <v>793</v>
      </c>
      <c r="K154" s="61">
        <v>-3.5499999999999997E-2</v>
      </c>
      <c r="L154" s="57">
        <v>1.17E-2</v>
      </c>
      <c r="M154" s="57">
        <v>5.4300000000000001E-2</v>
      </c>
      <c r="N154" s="61">
        <v>1.1299999999999999E-2</v>
      </c>
      <c r="O154" s="57">
        <v>-2.5399999999999999E-2</v>
      </c>
      <c r="P154" s="57">
        <v>-3.61E-2</v>
      </c>
      <c r="Q154" s="57">
        <v>-5.3699999999999998E-2</v>
      </c>
      <c r="R154" s="57">
        <v>2.6100000000000002E-2</v>
      </c>
      <c r="S154" s="57">
        <v>0.26600000000000001</v>
      </c>
      <c r="T154">
        <v>78.89</v>
      </c>
      <c r="U154">
        <v>34.03</v>
      </c>
      <c r="V154">
        <v>98.61</v>
      </c>
      <c r="W154" s="20">
        <v>66.752980000000008</v>
      </c>
    </row>
    <row r="155" spans="7:23" x14ac:dyDescent="0.15">
      <c r="G155" s="11">
        <v>154</v>
      </c>
      <c r="H155" s="10" t="s">
        <v>557</v>
      </c>
      <c r="I155" t="s">
        <v>1185</v>
      </c>
      <c r="J155" t="s">
        <v>1175</v>
      </c>
      <c r="K155" s="61">
        <v>-3.0999999999999999E-3</v>
      </c>
      <c r="L155" s="57">
        <v>4.5999999999999999E-3</v>
      </c>
      <c r="M155" s="57">
        <v>2.7000000000000001E-3</v>
      </c>
      <c r="N155" s="61">
        <v>2.4899999999999999E-2</v>
      </c>
      <c r="O155" s="57">
        <v>-5.2400000000000002E-2</v>
      </c>
      <c r="P155" s="57">
        <v>3.4500000000000003E-2</v>
      </c>
      <c r="Q155" s="57">
        <v>-8.2100000000000006E-2</v>
      </c>
      <c r="R155" s="57">
        <v>5.8599999999999999E-2</v>
      </c>
      <c r="S155" s="57">
        <v>0.33229999999999998</v>
      </c>
      <c r="T155">
        <v>78.75</v>
      </c>
      <c r="U155">
        <v>47.36</v>
      </c>
      <c r="V155">
        <v>85.28</v>
      </c>
      <c r="W155" s="20">
        <v>45.282429999999998</v>
      </c>
    </row>
    <row r="156" spans="7:23" x14ac:dyDescent="0.15">
      <c r="G156" s="11">
        <v>155</v>
      </c>
      <c r="H156" t="s">
        <v>1358</v>
      </c>
      <c r="I156" t="s">
        <v>1359</v>
      </c>
      <c r="J156" t="s">
        <v>1609</v>
      </c>
      <c r="K156" s="61">
        <v>-4.0000000000000002E-4</v>
      </c>
      <c r="L156" s="57">
        <v>3.7699999999999997E-2</v>
      </c>
      <c r="M156" s="57">
        <v>2.5999999999999999E-3</v>
      </c>
      <c r="N156" s="61">
        <v>8.1600000000000006E-2</v>
      </c>
      <c r="O156" s="57">
        <v>-9.8199999999999996E-2</v>
      </c>
      <c r="P156" s="57">
        <v>-2.2599999999999999E-2</v>
      </c>
      <c r="Q156" s="57">
        <v>-4.4600000000000001E-2</v>
      </c>
      <c r="R156" s="57">
        <v>-4.4600000000000001E-2</v>
      </c>
      <c r="S156" s="57">
        <v>-4.4600000000000001E-2</v>
      </c>
      <c r="T156">
        <v>78.61</v>
      </c>
      <c r="U156">
        <v>79.03</v>
      </c>
      <c r="V156">
        <v>53.19</v>
      </c>
      <c r="W156" s="20">
        <v>901.41099999999994</v>
      </c>
    </row>
    <row r="157" spans="7:23" x14ac:dyDescent="0.15">
      <c r="G157" s="11">
        <v>156</v>
      </c>
      <c r="H157" s="10" t="s">
        <v>1218</v>
      </c>
      <c r="I157" t="s">
        <v>1219</v>
      </c>
      <c r="J157" t="s">
        <v>1212</v>
      </c>
      <c r="K157" s="61">
        <v>-4.5999999999999999E-3</v>
      </c>
      <c r="L157" s="57">
        <v>-1.2E-2</v>
      </c>
      <c r="M157" s="57">
        <v>3.4200000000000001E-2</v>
      </c>
      <c r="N157" s="61">
        <v>1.7399999999999999E-2</v>
      </c>
      <c r="O157" s="57">
        <v>-3.6499999999999998E-2</v>
      </c>
      <c r="P157" s="57">
        <v>-8.2900000000000001E-2</v>
      </c>
      <c r="Q157" s="57">
        <v>-2.3E-2</v>
      </c>
      <c r="R157" s="57">
        <v>5.62E-2</v>
      </c>
      <c r="S157" s="57">
        <v>-0.1116</v>
      </c>
      <c r="T157">
        <v>78.47</v>
      </c>
      <c r="U157">
        <v>40.83</v>
      </c>
      <c r="V157">
        <v>91.11</v>
      </c>
      <c r="W157" s="20">
        <v>34.6402</v>
      </c>
    </row>
    <row r="158" spans="7:23" x14ac:dyDescent="0.15">
      <c r="G158" s="11">
        <v>157</v>
      </c>
      <c r="H158" t="s">
        <v>1428</v>
      </c>
      <c r="I158" t="s">
        <v>1429</v>
      </c>
      <c r="J158" t="s">
        <v>1609</v>
      </c>
      <c r="K158" s="61">
        <v>-1.4E-3</v>
      </c>
      <c r="L158" s="57">
        <v>-2.9999999999999997E-4</v>
      </c>
      <c r="M158" s="57">
        <v>3.7499999999999999E-2</v>
      </c>
      <c r="N158" s="61">
        <v>4.6399999999999997E-2</v>
      </c>
      <c r="O158" s="57">
        <v>4.8300000000000003E-2</v>
      </c>
      <c r="P158" s="57">
        <v>1.35E-2</v>
      </c>
      <c r="Q158" s="57">
        <v>1.8100000000000002E-2</v>
      </c>
      <c r="R158" s="57">
        <v>1.8100000000000002E-2</v>
      </c>
      <c r="S158" s="57">
        <v>1.8100000000000002E-2</v>
      </c>
      <c r="T158">
        <v>78.33</v>
      </c>
      <c r="U158">
        <v>63.19</v>
      </c>
      <c r="V158">
        <v>68.75</v>
      </c>
      <c r="W158" s="20">
        <v>844.10901130000002</v>
      </c>
    </row>
    <row r="159" spans="7:23" x14ac:dyDescent="0.15">
      <c r="G159" s="11">
        <v>158</v>
      </c>
      <c r="H159" s="10" t="s">
        <v>1493</v>
      </c>
      <c r="I159" t="s">
        <v>1494</v>
      </c>
      <c r="J159" t="s">
        <v>1609</v>
      </c>
      <c r="K159" s="61">
        <v>-1.2999999999999999E-3</v>
      </c>
      <c r="L159" s="57">
        <v>9.9000000000000008E-3</v>
      </c>
      <c r="M159" s="57">
        <v>4.1000000000000002E-2</v>
      </c>
      <c r="N159" s="61">
        <v>4.5900000000000003E-2</v>
      </c>
      <c r="O159" s="57">
        <v>-7.5700000000000003E-2</v>
      </c>
      <c r="P159" s="57">
        <v>-5.3E-3</v>
      </c>
      <c r="Q159" s="57">
        <v>-0.218</v>
      </c>
      <c r="R159" s="57">
        <v>-0.218</v>
      </c>
      <c r="S159" s="57">
        <v>-0.218</v>
      </c>
      <c r="T159">
        <v>78.19</v>
      </c>
      <c r="U159">
        <v>62.64</v>
      </c>
      <c r="V159">
        <v>68.61</v>
      </c>
      <c r="W159" s="20">
        <v>230.1703</v>
      </c>
    </row>
    <row r="160" spans="7:23" x14ac:dyDescent="0.15">
      <c r="G160" s="11">
        <v>159</v>
      </c>
      <c r="H160" s="10" t="s">
        <v>1271</v>
      </c>
      <c r="I160" t="s">
        <v>1272</v>
      </c>
      <c r="J160" t="s">
        <v>1609</v>
      </c>
      <c r="K160" s="61">
        <v>-5.9999999999999995E-4</v>
      </c>
      <c r="L160" s="57">
        <v>8.6E-3</v>
      </c>
      <c r="M160" s="57">
        <v>-3.78E-2</v>
      </c>
      <c r="N160" s="61">
        <v>6.59E-2</v>
      </c>
      <c r="O160" s="57">
        <v>-0.1004</v>
      </c>
      <c r="P160" s="57">
        <v>2.7400000000000001E-2</v>
      </c>
      <c r="Q160" s="57">
        <v>-0.27360000000000001</v>
      </c>
      <c r="R160" s="57">
        <v>-0.27360000000000001</v>
      </c>
      <c r="S160" s="57">
        <v>-0.27360000000000001</v>
      </c>
      <c r="T160">
        <v>78.06</v>
      </c>
      <c r="U160">
        <v>74.17</v>
      </c>
      <c r="V160">
        <v>56.94</v>
      </c>
      <c r="W160" s="20">
        <v>595.37189999999998</v>
      </c>
    </row>
    <row r="161" spans="7:23" x14ac:dyDescent="0.15">
      <c r="G161" s="11">
        <v>160</v>
      </c>
      <c r="H161" s="10" t="s">
        <v>304</v>
      </c>
      <c r="I161" t="s">
        <v>1072</v>
      </c>
      <c r="J161" t="s">
        <v>830</v>
      </c>
      <c r="K161" s="61">
        <v>-2.2000000000000001E-3</v>
      </c>
      <c r="L161" s="57">
        <v>-1.4E-3</v>
      </c>
      <c r="M161" s="57">
        <v>-3.3300000000000003E-2</v>
      </c>
      <c r="N161" s="61">
        <v>3.2399999999999998E-2</v>
      </c>
      <c r="O161" s="57">
        <v>-8.9300000000000004E-2</v>
      </c>
      <c r="P161" s="57">
        <v>6.9900000000000004E-2</v>
      </c>
      <c r="Q161" s="57">
        <v>-0.27810000000000001</v>
      </c>
      <c r="R161" s="57">
        <v>-0.35270000000000001</v>
      </c>
      <c r="S161" s="57">
        <v>-0.35270000000000001</v>
      </c>
      <c r="T161">
        <v>77.92</v>
      </c>
      <c r="U161">
        <v>52.92</v>
      </c>
      <c r="V161">
        <v>78.06</v>
      </c>
      <c r="W161" s="20">
        <v>7854.0977000000003</v>
      </c>
    </row>
    <row r="162" spans="7:23" x14ac:dyDescent="0.15">
      <c r="G162" s="11">
        <v>161</v>
      </c>
      <c r="H162" s="10" t="s">
        <v>566</v>
      </c>
      <c r="I162" t="s">
        <v>1056</v>
      </c>
      <c r="J162" t="s">
        <v>830</v>
      </c>
      <c r="K162" s="61">
        <v>-2.0000000000000001E-4</v>
      </c>
      <c r="L162" s="57">
        <v>3.8399999999999997E-2</v>
      </c>
      <c r="M162" s="57">
        <v>1.37E-2</v>
      </c>
      <c r="N162" s="61">
        <v>8.5000000000000006E-2</v>
      </c>
      <c r="O162" s="57">
        <v>-7.8799999999999995E-2</v>
      </c>
      <c r="P162" s="57">
        <v>7.5399999999999995E-2</v>
      </c>
      <c r="Q162" s="57">
        <v>-0.24890000000000001</v>
      </c>
      <c r="R162" s="57">
        <v>-0.23019999999999999</v>
      </c>
      <c r="S162" s="57">
        <v>5.4600000000000003E-2</v>
      </c>
      <c r="T162">
        <v>77.78</v>
      </c>
      <c r="U162">
        <v>79.86</v>
      </c>
      <c r="V162">
        <v>51.11</v>
      </c>
      <c r="W162" s="20">
        <v>7945.5853400000005</v>
      </c>
    </row>
    <row r="163" spans="7:23" x14ac:dyDescent="0.15">
      <c r="G163" s="11">
        <v>162</v>
      </c>
      <c r="H163" s="10" t="s">
        <v>1578</v>
      </c>
      <c r="I163" t="s">
        <v>1579</v>
      </c>
      <c r="J163" t="s">
        <v>1609</v>
      </c>
      <c r="K163" s="61">
        <v>-5.9999999999999995E-4</v>
      </c>
      <c r="L163" s="57">
        <v>3.2800000000000003E-2</v>
      </c>
      <c r="M163" s="57">
        <v>5.4999999999999997E-3</v>
      </c>
      <c r="N163" s="61">
        <v>6.59E-2</v>
      </c>
      <c r="O163" s="57">
        <v>-0.1449</v>
      </c>
      <c r="P163" s="57">
        <v>-2.2800000000000001E-2</v>
      </c>
      <c r="Q163" s="57">
        <v>-0.31059999999999999</v>
      </c>
      <c r="R163" s="57">
        <v>-0.31059999999999999</v>
      </c>
      <c r="S163" s="57">
        <v>-0.31059999999999999</v>
      </c>
      <c r="T163">
        <v>77.64</v>
      </c>
      <c r="U163">
        <v>74.31</v>
      </c>
      <c r="V163">
        <v>56.53</v>
      </c>
      <c r="W163" s="20">
        <v>662.06880000000001</v>
      </c>
    </row>
    <row r="164" spans="7:23" x14ac:dyDescent="0.15">
      <c r="G164" s="11">
        <v>163</v>
      </c>
      <c r="H164" s="10" t="s">
        <v>341</v>
      </c>
      <c r="I164" t="s">
        <v>839</v>
      </c>
      <c r="J164" t="s">
        <v>830</v>
      </c>
      <c r="K164" s="61">
        <v>-1.2999999999999999E-3</v>
      </c>
      <c r="L164" s="57">
        <v>1.3100000000000001E-2</v>
      </c>
      <c r="M164" s="57">
        <v>1.67E-2</v>
      </c>
      <c r="N164" s="61">
        <v>4.5400000000000003E-2</v>
      </c>
      <c r="O164" s="57">
        <v>-2.4799999999999999E-2</v>
      </c>
      <c r="P164" s="57">
        <v>7.5700000000000003E-2</v>
      </c>
      <c r="Q164" s="57">
        <v>-6.54E-2</v>
      </c>
      <c r="R164" s="57">
        <v>8.8999999999999996E-2</v>
      </c>
      <c r="S164" s="57">
        <v>0.45789999999999997</v>
      </c>
      <c r="T164">
        <v>77.5</v>
      </c>
      <c r="U164">
        <v>62.36</v>
      </c>
      <c r="V164">
        <v>68.47</v>
      </c>
      <c r="W164" s="20">
        <v>209.00569999999999</v>
      </c>
    </row>
    <row r="165" spans="7:23" x14ac:dyDescent="0.15">
      <c r="G165" s="11">
        <v>164</v>
      </c>
      <c r="H165" t="s">
        <v>523</v>
      </c>
      <c r="I165" t="s">
        <v>942</v>
      </c>
      <c r="J165" t="s">
        <v>830</v>
      </c>
      <c r="K165" s="61">
        <v>-1.1999999999999999E-3</v>
      </c>
      <c r="L165" s="57">
        <v>2.9100000000000001E-2</v>
      </c>
      <c r="M165" s="57">
        <v>3.2399999999999998E-2</v>
      </c>
      <c r="N165" s="61">
        <v>4.7600000000000003E-2</v>
      </c>
      <c r="O165" s="57">
        <v>-2.5700000000000001E-2</v>
      </c>
      <c r="P165" s="57">
        <v>5.0900000000000001E-2</v>
      </c>
      <c r="Q165" s="57">
        <v>-2.1700000000000001E-2</v>
      </c>
      <c r="R165" s="57">
        <v>7.3200000000000001E-2</v>
      </c>
      <c r="S165" s="57">
        <v>0.47149999999999997</v>
      </c>
      <c r="T165">
        <v>77.36</v>
      </c>
      <c r="U165">
        <v>63.89</v>
      </c>
      <c r="V165">
        <v>66.67</v>
      </c>
      <c r="W165" s="20">
        <v>466.8152</v>
      </c>
    </row>
    <row r="166" spans="7:23" x14ac:dyDescent="0.15">
      <c r="G166" s="11">
        <v>165</v>
      </c>
      <c r="H166" s="10" t="s">
        <v>333</v>
      </c>
      <c r="I166" t="s">
        <v>996</v>
      </c>
      <c r="J166" t="s">
        <v>830</v>
      </c>
      <c r="K166" s="61">
        <v>-2.0999999999999999E-3</v>
      </c>
      <c r="L166" s="57">
        <v>-1.2999999999999999E-3</v>
      </c>
      <c r="M166" s="57">
        <v>-3.2500000000000001E-2</v>
      </c>
      <c r="N166" s="61">
        <v>3.2099999999999997E-2</v>
      </c>
      <c r="O166" s="57">
        <v>-8.8999999999999996E-2</v>
      </c>
      <c r="P166" s="57">
        <v>6.08E-2</v>
      </c>
      <c r="Q166" s="57">
        <v>-0.28349999999999997</v>
      </c>
      <c r="R166" s="57">
        <v>-0.36670000000000003</v>
      </c>
      <c r="S166" s="57">
        <v>-0.36670000000000003</v>
      </c>
      <c r="T166">
        <v>77.22</v>
      </c>
      <c r="U166">
        <v>52.64</v>
      </c>
      <c r="V166">
        <v>77.5</v>
      </c>
      <c r="W166" s="20">
        <v>1433.9380179</v>
      </c>
    </row>
    <row r="167" spans="7:23" x14ac:dyDescent="0.15">
      <c r="G167" s="11">
        <v>166</v>
      </c>
      <c r="H167" s="10" t="s">
        <v>1215</v>
      </c>
      <c r="I167" t="s">
        <v>1216</v>
      </c>
      <c r="J167" t="s">
        <v>1212</v>
      </c>
      <c r="K167" s="61">
        <v>-2.9999999999999997E-4</v>
      </c>
      <c r="L167" s="57">
        <v>1.7100000000000001E-2</v>
      </c>
      <c r="M167" s="57">
        <v>7.1199999999999999E-2</v>
      </c>
      <c r="N167" s="61">
        <v>7.8299999999999995E-2</v>
      </c>
      <c r="O167" s="57">
        <v>-2.8899999999999999E-2</v>
      </c>
      <c r="P167" s="57">
        <v>-2.5700000000000001E-2</v>
      </c>
      <c r="Q167" s="57">
        <v>-0.1583</v>
      </c>
      <c r="R167" s="57">
        <v>-0.2286</v>
      </c>
      <c r="S167" s="57">
        <v>-0.27350000000000002</v>
      </c>
      <c r="T167">
        <v>77.08</v>
      </c>
      <c r="U167">
        <v>78.33</v>
      </c>
      <c r="V167">
        <v>51.81</v>
      </c>
      <c r="W167" s="20">
        <v>762.32565999999997</v>
      </c>
    </row>
    <row r="168" spans="7:23" x14ac:dyDescent="0.15">
      <c r="G168" s="11">
        <v>167</v>
      </c>
      <c r="H168" s="10" t="s">
        <v>1379</v>
      </c>
      <c r="I168" t="s">
        <v>1380</v>
      </c>
      <c r="J168" t="s">
        <v>1609</v>
      </c>
      <c r="K168" s="61">
        <v>-2.3E-3</v>
      </c>
      <c r="L168" s="57">
        <v>6.4999999999999997E-3</v>
      </c>
      <c r="M168" s="57">
        <v>2.4400000000000002E-2</v>
      </c>
      <c r="N168" s="61">
        <v>2.9600000000000001E-2</v>
      </c>
      <c r="O168" s="57">
        <v>-8.4000000000000005E-2</v>
      </c>
      <c r="P168" s="57">
        <v>-3.9300000000000002E-2</v>
      </c>
      <c r="Q168" s="57">
        <v>-0.19239999999999999</v>
      </c>
      <c r="R168" s="57">
        <v>-0.18010000000000001</v>
      </c>
      <c r="S168" s="57">
        <v>-0.18010000000000001</v>
      </c>
      <c r="T168">
        <v>76.94</v>
      </c>
      <c r="U168">
        <v>50.56</v>
      </c>
      <c r="V168">
        <v>79.31</v>
      </c>
      <c r="W168" s="20">
        <v>99.729399999999998</v>
      </c>
    </row>
    <row r="169" spans="7:23" x14ac:dyDescent="0.15">
      <c r="G169" s="11">
        <v>168</v>
      </c>
      <c r="H169" t="s">
        <v>1479</v>
      </c>
      <c r="I169" t="s">
        <v>1480</v>
      </c>
      <c r="J169" t="s">
        <v>1609</v>
      </c>
      <c r="K169" s="61">
        <v>-2.8E-3</v>
      </c>
      <c r="L169" s="57">
        <v>2.23E-2</v>
      </c>
      <c r="M169" s="57">
        <v>2.4299999999999999E-2</v>
      </c>
      <c r="N169" s="61">
        <v>2.41E-2</v>
      </c>
      <c r="O169" s="57">
        <v>-6.4000000000000003E-3</v>
      </c>
      <c r="P169" s="57">
        <v>4.6699999999999998E-2</v>
      </c>
      <c r="Q169" s="57">
        <v>-0.1145</v>
      </c>
      <c r="R169" s="57">
        <v>-0.1145</v>
      </c>
      <c r="S169" s="57">
        <v>-0.1145</v>
      </c>
      <c r="T169">
        <v>76.81</v>
      </c>
      <c r="U169">
        <v>46.53</v>
      </c>
      <c r="V169">
        <v>83.06</v>
      </c>
      <c r="W169" s="20">
        <v>61.627836600000002</v>
      </c>
    </row>
    <row r="170" spans="7:23" x14ac:dyDescent="0.15">
      <c r="G170" s="11">
        <v>169</v>
      </c>
      <c r="H170" s="10" t="s">
        <v>264</v>
      </c>
      <c r="I170" t="s">
        <v>821</v>
      </c>
      <c r="J170" t="s">
        <v>793</v>
      </c>
      <c r="K170" s="61">
        <v>-4.5999999999999999E-2</v>
      </c>
      <c r="L170" s="57">
        <v>-1.66E-2</v>
      </c>
      <c r="M170" s="57">
        <v>-4.5199999999999997E-2</v>
      </c>
      <c r="N170" s="61">
        <v>5.7999999999999996E-3</v>
      </c>
      <c r="O170" s="57">
        <v>-0.14630000000000001</v>
      </c>
      <c r="P170" s="57">
        <v>8.8099999999999998E-2</v>
      </c>
      <c r="Q170" s="57">
        <v>-0.2097</v>
      </c>
      <c r="R170" s="57">
        <v>4.1999999999999997E-3</v>
      </c>
      <c r="S170" s="57">
        <v>4.1999999999999997E-3</v>
      </c>
      <c r="T170">
        <v>76.67</v>
      </c>
      <c r="U170">
        <v>29.31</v>
      </c>
      <c r="V170">
        <v>99.72</v>
      </c>
      <c r="W170" s="20">
        <v>17.270250000000001</v>
      </c>
    </row>
    <row r="171" spans="7:23" x14ac:dyDescent="0.15">
      <c r="G171" s="11">
        <v>170</v>
      </c>
      <c r="H171" s="10" t="s">
        <v>439</v>
      </c>
      <c r="I171" t="s">
        <v>1067</v>
      </c>
      <c r="J171" t="s">
        <v>830</v>
      </c>
      <c r="K171" s="61">
        <v>-2.0000000000000001E-4</v>
      </c>
      <c r="L171" s="57">
        <v>6.6000000000000003E-2</v>
      </c>
      <c r="M171" s="57">
        <v>2.47E-2</v>
      </c>
      <c r="N171" s="61">
        <v>8.1000000000000003E-2</v>
      </c>
      <c r="O171" s="57">
        <v>9.64E-2</v>
      </c>
      <c r="P171" s="57">
        <v>0.1133</v>
      </c>
      <c r="Q171" s="57">
        <v>-0.15989999999999999</v>
      </c>
      <c r="R171" s="57">
        <v>-0.35699999999999998</v>
      </c>
      <c r="S171" s="57">
        <v>0.122</v>
      </c>
      <c r="T171">
        <v>76.53</v>
      </c>
      <c r="U171">
        <v>78.89</v>
      </c>
      <c r="V171">
        <v>50.14</v>
      </c>
      <c r="W171" s="20">
        <v>28889.711200000002</v>
      </c>
    </row>
    <row r="172" spans="7:23" x14ac:dyDescent="0.15">
      <c r="G172" s="11">
        <v>171</v>
      </c>
      <c r="H172" t="s">
        <v>1237</v>
      </c>
      <c r="I172" t="s">
        <v>1238</v>
      </c>
      <c r="J172" t="s">
        <v>793</v>
      </c>
      <c r="K172" s="61">
        <v>-3.1399999999999997E-2</v>
      </c>
      <c r="L172" s="57">
        <v>1.2999999999999999E-3</v>
      </c>
      <c r="M172" s="57">
        <v>4.7000000000000002E-3</v>
      </c>
      <c r="N172" s="61">
        <v>6.4999999999999997E-3</v>
      </c>
      <c r="O172" s="57">
        <v>-5.8999999999999999E-3</v>
      </c>
      <c r="P172" s="57">
        <v>1.1999999999999999E-3</v>
      </c>
      <c r="Q172" s="57">
        <v>-1.5100000000000001E-2</v>
      </c>
      <c r="R172" s="57">
        <v>3.6900000000000002E-2</v>
      </c>
      <c r="S172" s="57">
        <v>0.1484</v>
      </c>
      <c r="T172">
        <v>76.39</v>
      </c>
      <c r="U172">
        <v>29.86</v>
      </c>
      <c r="V172">
        <v>98.33</v>
      </c>
      <c r="W172" s="20">
        <v>17.64724</v>
      </c>
    </row>
    <row r="173" spans="7:23" x14ac:dyDescent="0.15">
      <c r="G173" s="11">
        <v>172</v>
      </c>
      <c r="H173" s="10" t="s">
        <v>478</v>
      </c>
      <c r="I173" t="s">
        <v>927</v>
      </c>
      <c r="J173" t="s">
        <v>830</v>
      </c>
      <c r="K173" s="61">
        <v>-1.6000000000000001E-3</v>
      </c>
      <c r="L173" s="57">
        <v>1.9699999999999999E-2</v>
      </c>
      <c r="M173" s="57">
        <v>-1.5E-3</v>
      </c>
      <c r="N173" s="61">
        <v>3.9199999999999999E-2</v>
      </c>
      <c r="O173" s="57">
        <v>-6.8900000000000003E-2</v>
      </c>
      <c r="P173" s="57">
        <v>4.3099999999999999E-2</v>
      </c>
      <c r="Q173" s="57">
        <v>-0.2462</v>
      </c>
      <c r="R173" s="57">
        <v>-4.6899999999999997E-2</v>
      </c>
      <c r="S173" s="57">
        <v>0.40920000000000001</v>
      </c>
      <c r="T173">
        <v>76.25</v>
      </c>
      <c r="U173">
        <v>56.67</v>
      </c>
      <c r="V173">
        <v>71.39</v>
      </c>
      <c r="W173" s="20">
        <v>347.93043</v>
      </c>
    </row>
    <row r="174" spans="7:23" x14ac:dyDescent="0.15">
      <c r="G174" s="11">
        <v>173</v>
      </c>
      <c r="H174" s="10" t="s">
        <v>1297</v>
      </c>
      <c r="I174" t="s">
        <v>1298</v>
      </c>
      <c r="J174" t="s">
        <v>1609</v>
      </c>
      <c r="K174" s="61">
        <v>-6.9999999999999999E-4</v>
      </c>
      <c r="L174" s="57">
        <v>-4.5999999999999999E-2</v>
      </c>
      <c r="M174" s="57">
        <v>-1.0699999999999999E-2</v>
      </c>
      <c r="N174" s="61">
        <v>5.67E-2</v>
      </c>
      <c r="O174" s="57">
        <v>-0.10979999999999999</v>
      </c>
      <c r="P174" s="57">
        <v>-3.0200000000000001E-2</v>
      </c>
      <c r="Q174" s="57">
        <v>-0.17630000000000001</v>
      </c>
      <c r="R174" s="57">
        <v>7.8799999999999995E-2</v>
      </c>
      <c r="S174" s="57">
        <v>7.8799999999999995E-2</v>
      </c>
      <c r="T174">
        <v>76.11</v>
      </c>
      <c r="U174">
        <v>69.44</v>
      </c>
      <c r="V174">
        <v>58.61</v>
      </c>
      <c r="W174" s="20">
        <v>907.51539000000002</v>
      </c>
    </row>
    <row r="175" spans="7:23" x14ac:dyDescent="0.15">
      <c r="G175" s="11">
        <v>174</v>
      </c>
      <c r="H175" s="10" t="s">
        <v>324</v>
      </c>
      <c r="I175" t="s">
        <v>21</v>
      </c>
      <c r="J175" t="s">
        <v>1609</v>
      </c>
      <c r="K175" s="61">
        <v>-1E-3</v>
      </c>
      <c r="L175" s="57">
        <v>-5.9999999999999995E-4</v>
      </c>
      <c r="M175" s="57">
        <v>3.8399999999999997E-2</v>
      </c>
      <c r="N175" s="61">
        <v>4.7199999999999999E-2</v>
      </c>
      <c r="O175" s="57">
        <v>4.7199999999999999E-2</v>
      </c>
      <c r="P175" s="57">
        <v>1.06E-2</v>
      </c>
      <c r="Q175" s="57">
        <v>5.8700000000000002E-2</v>
      </c>
      <c r="R175" s="57">
        <v>4.3499999999999997E-2</v>
      </c>
      <c r="S175" s="57">
        <v>4.3499999999999997E-2</v>
      </c>
      <c r="T175">
        <v>75.97</v>
      </c>
      <c r="U175">
        <v>63.33</v>
      </c>
      <c r="V175">
        <v>64.44</v>
      </c>
      <c r="W175" s="20">
        <v>241.65964</v>
      </c>
    </row>
    <row r="176" spans="7:23" x14ac:dyDescent="0.15">
      <c r="G176" s="11">
        <v>175</v>
      </c>
      <c r="H176" s="10" t="s">
        <v>325</v>
      </c>
      <c r="I176" t="s">
        <v>815</v>
      </c>
      <c r="J176" t="s">
        <v>793</v>
      </c>
      <c r="K176" s="61">
        <v>-4.5499999999999999E-2</v>
      </c>
      <c r="L176" s="57">
        <v>1.38E-2</v>
      </c>
      <c r="M176" s="57">
        <v>-3.5499999999999997E-2</v>
      </c>
      <c r="N176" s="61">
        <v>4.7000000000000002E-3</v>
      </c>
      <c r="O176" s="57">
        <v>-4.0899999999999999E-2</v>
      </c>
      <c r="P176" s="57">
        <v>0.1847</v>
      </c>
      <c r="Q176" s="57">
        <v>-0.17130000000000001</v>
      </c>
      <c r="R176" s="57">
        <v>3.6499999999999998E-2</v>
      </c>
      <c r="S176" s="57">
        <v>3.6499999999999998E-2</v>
      </c>
      <c r="T176">
        <v>75.83</v>
      </c>
      <c r="U176">
        <v>28.33</v>
      </c>
      <c r="V176">
        <v>99.44</v>
      </c>
      <c r="W176" s="20">
        <v>52.700200000000002</v>
      </c>
    </row>
    <row r="177" spans="7:23" x14ac:dyDescent="0.15">
      <c r="G177" s="11">
        <v>176</v>
      </c>
      <c r="H177" t="s">
        <v>695</v>
      </c>
      <c r="I177" t="s">
        <v>994</v>
      </c>
      <c r="J177" t="s">
        <v>830</v>
      </c>
      <c r="K177" s="61">
        <v>5.9999999999999995E-4</v>
      </c>
      <c r="L177" s="57">
        <v>6.2199999999999998E-2</v>
      </c>
      <c r="M177" s="57">
        <v>0.105</v>
      </c>
      <c r="N177" s="61">
        <v>0.14779999999999999</v>
      </c>
      <c r="O177" s="57">
        <v>1.6999999999999999E-3</v>
      </c>
      <c r="P177" s="57">
        <v>1.78E-2</v>
      </c>
      <c r="Q177" s="57">
        <v>-0.16350000000000001</v>
      </c>
      <c r="R177" s="57">
        <v>-0.28870000000000001</v>
      </c>
      <c r="S177" s="57">
        <v>-0.17150000000000001</v>
      </c>
      <c r="T177">
        <v>75.69</v>
      </c>
      <c r="U177">
        <v>91.53</v>
      </c>
      <c r="V177">
        <v>35.56</v>
      </c>
      <c r="W177" s="20">
        <v>1880.2146335999998</v>
      </c>
    </row>
    <row r="178" spans="7:23" x14ac:dyDescent="0.15">
      <c r="G178" s="11">
        <v>177</v>
      </c>
      <c r="H178" s="10" t="s">
        <v>766</v>
      </c>
      <c r="I178" t="s">
        <v>765</v>
      </c>
      <c r="J178" t="s">
        <v>1609</v>
      </c>
      <c r="K178" s="61">
        <v>-8.9999999999999998E-4</v>
      </c>
      <c r="L178" s="57">
        <v>-2.9999999999999997E-4</v>
      </c>
      <c r="M178" s="57">
        <v>3.8899999999999997E-2</v>
      </c>
      <c r="N178" s="61">
        <v>4.8000000000000001E-2</v>
      </c>
      <c r="O178" s="57">
        <v>5.0200000000000002E-2</v>
      </c>
      <c r="P178" s="57">
        <v>1.6500000000000001E-2</v>
      </c>
      <c r="Q178" s="57">
        <v>1.46E-2</v>
      </c>
      <c r="R178" s="57">
        <v>1.46E-2</v>
      </c>
      <c r="S178" s="57">
        <v>1.46E-2</v>
      </c>
      <c r="T178">
        <v>75.56</v>
      </c>
      <c r="U178">
        <v>64.31</v>
      </c>
      <c r="V178">
        <v>62.5</v>
      </c>
      <c r="W178" s="20">
        <v>290.0964505</v>
      </c>
    </row>
    <row r="179" spans="7:23" x14ac:dyDescent="0.15">
      <c r="G179" s="11">
        <v>178</v>
      </c>
      <c r="H179" s="10" t="s">
        <v>610</v>
      </c>
      <c r="I179" t="s">
        <v>870</v>
      </c>
      <c r="J179" t="s">
        <v>830</v>
      </c>
      <c r="K179" s="61">
        <v>-2.0999999999999999E-3</v>
      </c>
      <c r="L179" s="57">
        <v>1.1900000000000001E-2</v>
      </c>
      <c r="M179" s="57">
        <v>5.3999999999999999E-2</v>
      </c>
      <c r="N179" s="61">
        <v>2.86E-2</v>
      </c>
      <c r="O179" s="57">
        <v>-2.93E-2</v>
      </c>
      <c r="P179" s="57">
        <v>-2.8000000000000001E-2</v>
      </c>
      <c r="Q179" s="57">
        <v>-0.13619999999999999</v>
      </c>
      <c r="R179" s="57">
        <v>-0.20100000000000001</v>
      </c>
      <c r="S179" s="57">
        <v>-0.1535</v>
      </c>
      <c r="T179">
        <v>75.42</v>
      </c>
      <c r="U179">
        <v>49.58</v>
      </c>
      <c r="V179">
        <v>77.22</v>
      </c>
      <c r="W179" s="20">
        <v>127.22448</v>
      </c>
    </row>
    <row r="180" spans="7:23" x14ac:dyDescent="0.15">
      <c r="G180" s="11">
        <v>179</v>
      </c>
      <c r="H180" t="s">
        <v>600</v>
      </c>
      <c r="I180" t="s">
        <v>1004</v>
      </c>
      <c r="J180" t="s">
        <v>830</v>
      </c>
      <c r="K180" s="61">
        <v>8.0000000000000004E-4</v>
      </c>
      <c r="L180" s="57">
        <v>2.5899999999999999E-2</v>
      </c>
      <c r="M180" s="57">
        <v>7.6799999999999993E-2</v>
      </c>
      <c r="N180" s="61">
        <v>0.1694</v>
      </c>
      <c r="O180" s="57">
        <v>-9.2999999999999999E-2</v>
      </c>
      <c r="P180" s="57">
        <v>-1.5900000000000001E-2</v>
      </c>
      <c r="Q180" s="57">
        <v>-0.36780000000000002</v>
      </c>
      <c r="R180" s="57">
        <v>-0.51739999999999997</v>
      </c>
      <c r="S180" s="57">
        <v>-0.51739999999999997</v>
      </c>
      <c r="T180">
        <v>75.28</v>
      </c>
      <c r="U180">
        <v>94.17</v>
      </c>
      <c r="V180">
        <v>32.5</v>
      </c>
      <c r="W180" s="20">
        <v>3988.0239000000001</v>
      </c>
    </row>
    <row r="181" spans="7:23" x14ac:dyDescent="0.15">
      <c r="G181" s="11">
        <v>180</v>
      </c>
      <c r="H181" s="10" t="s">
        <v>476</v>
      </c>
      <c r="I181" t="s">
        <v>928</v>
      </c>
      <c r="J181" t="s">
        <v>830</v>
      </c>
      <c r="K181" s="61">
        <v>5.9999999999999995E-4</v>
      </c>
      <c r="L181" s="57">
        <v>4.1099999999999998E-2</v>
      </c>
      <c r="M181" s="57">
        <v>3.8199999999999998E-2</v>
      </c>
      <c r="N181" s="61">
        <v>0.14069999999999999</v>
      </c>
      <c r="O181" s="57">
        <v>8.3900000000000002E-2</v>
      </c>
      <c r="P181" s="57">
        <v>0.22420000000000001</v>
      </c>
      <c r="Q181" s="57">
        <v>-0.1817</v>
      </c>
      <c r="R181" s="57">
        <v>-0.14449999999999999</v>
      </c>
      <c r="S181" s="57">
        <v>-0.14449999999999999</v>
      </c>
      <c r="T181">
        <v>75.14</v>
      </c>
      <c r="U181">
        <v>90.97</v>
      </c>
      <c r="V181">
        <v>35.69</v>
      </c>
      <c r="W181" s="20">
        <v>1071.6855399999999</v>
      </c>
    </row>
    <row r="182" spans="7:23" x14ac:dyDescent="0.15">
      <c r="G182" s="11">
        <v>181</v>
      </c>
      <c r="H182" s="10" t="s">
        <v>338</v>
      </c>
      <c r="I182" t="s">
        <v>958</v>
      </c>
      <c r="J182" t="s">
        <v>830</v>
      </c>
      <c r="K182" s="61">
        <v>-1.9E-3</v>
      </c>
      <c r="L182" s="57">
        <v>3.61E-2</v>
      </c>
      <c r="M182" s="57">
        <v>1.8700000000000001E-2</v>
      </c>
      <c r="N182" s="61">
        <v>2.92E-2</v>
      </c>
      <c r="O182" s="57">
        <v>2.0400000000000001E-2</v>
      </c>
      <c r="P182" s="57">
        <v>6.3200000000000006E-2</v>
      </c>
      <c r="Q182" s="57">
        <v>-0.2361</v>
      </c>
      <c r="R182" s="57">
        <v>-0.41089999999999999</v>
      </c>
      <c r="S182" s="57">
        <v>-0.41089999999999999</v>
      </c>
      <c r="T182">
        <v>75</v>
      </c>
      <c r="U182">
        <v>50.28</v>
      </c>
      <c r="V182">
        <v>76.11</v>
      </c>
      <c r="W182" s="20">
        <v>1101.429259</v>
      </c>
    </row>
    <row r="183" spans="7:23" x14ac:dyDescent="0.15">
      <c r="G183" s="11">
        <v>182</v>
      </c>
      <c r="H183" s="10" t="s">
        <v>1401</v>
      </c>
      <c r="I183" t="s">
        <v>1402</v>
      </c>
      <c r="J183" t="s">
        <v>1609</v>
      </c>
      <c r="K183" s="61">
        <v>-1.6999999999999999E-3</v>
      </c>
      <c r="L183" s="57">
        <v>3.1199999999999999E-2</v>
      </c>
      <c r="M183" s="57">
        <v>5.1000000000000004E-3</v>
      </c>
      <c r="N183" s="61">
        <v>3.3599999999999998E-2</v>
      </c>
      <c r="O183" s="57">
        <v>-7.3899999999999993E-2</v>
      </c>
      <c r="P183" s="57">
        <v>4.1399999999999999E-2</v>
      </c>
      <c r="Q183" s="57">
        <v>-0.2077</v>
      </c>
      <c r="R183" s="57">
        <v>-0.1666</v>
      </c>
      <c r="S183" s="57">
        <v>-0.1666</v>
      </c>
      <c r="T183">
        <v>74.86</v>
      </c>
      <c r="U183">
        <v>53.33</v>
      </c>
      <c r="V183">
        <v>73.06</v>
      </c>
      <c r="W183" s="20">
        <v>202.63033999999999</v>
      </c>
    </row>
    <row r="184" spans="7:23" x14ac:dyDescent="0.15">
      <c r="G184" s="11">
        <v>183</v>
      </c>
      <c r="H184" s="10" t="s">
        <v>1582</v>
      </c>
      <c r="I184" t="s">
        <v>1583</v>
      </c>
      <c r="J184" t="s">
        <v>1609</v>
      </c>
      <c r="K184" s="61">
        <v>-2.0000000000000001E-4</v>
      </c>
      <c r="L184" s="57">
        <v>3.2500000000000001E-2</v>
      </c>
      <c r="M184" s="57">
        <v>5.3E-3</v>
      </c>
      <c r="N184" s="61">
        <v>6.6400000000000001E-2</v>
      </c>
      <c r="O184" s="57">
        <v>-0.14360000000000001</v>
      </c>
      <c r="P184" s="57">
        <v>-2.0400000000000001E-2</v>
      </c>
      <c r="Q184" s="57">
        <v>-0.33689999999999998</v>
      </c>
      <c r="R184" s="57">
        <v>-0.33689999999999998</v>
      </c>
      <c r="S184" s="57">
        <v>-0.33689999999999998</v>
      </c>
      <c r="T184">
        <v>74.72</v>
      </c>
      <c r="U184">
        <v>75.42</v>
      </c>
      <c r="V184">
        <v>50.42</v>
      </c>
      <c r="W184" s="20">
        <v>1173.0482</v>
      </c>
    </row>
    <row r="185" spans="7:23" x14ac:dyDescent="0.15">
      <c r="G185" s="11">
        <v>184</v>
      </c>
      <c r="H185" s="10" t="s">
        <v>357</v>
      </c>
      <c r="I185" t="s">
        <v>1168</v>
      </c>
      <c r="J185" t="s">
        <v>1166</v>
      </c>
      <c r="K185" s="61">
        <v>-1.6000000000000001E-3</v>
      </c>
      <c r="L185" s="57">
        <v>1.6299999999999999E-2</v>
      </c>
      <c r="M185" s="57">
        <v>2.7699999999999999E-2</v>
      </c>
      <c r="N185" s="61">
        <v>3.56E-2</v>
      </c>
      <c r="O185" s="57">
        <v>-8.3000000000000004E-2</v>
      </c>
      <c r="P185" s="57">
        <v>-8.43E-2</v>
      </c>
      <c r="Q185" s="57">
        <v>-0.3004</v>
      </c>
      <c r="R185" s="57">
        <v>-0.47870000000000001</v>
      </c>
      <c r="S185" s="57">
        <v>-0.47870000000000001</v>
      </c>
      <c r="T185">
        <v>74.58</v>
      </c>
      <c r="U185">
        <v>54.58</v>
      </c>
      <c r="V185">
        <v>71.25</v>
      </c>
      <c r="W185" s="20">
        <v>19.4727</v>
      </c>
    </row>
    <row r="186" spans="7:23" x14ac:dyDescent="0.15">
      <c r="G186" s="11">
        <v>185</v>
      </c>
      <c r="H186" s="10" t="s">
        <v>455</v>
      </c>
      <c r="I186" t="s">
        <v>1094</v>
      </c>
      <c r="J186" t="s">
        <v>830</v>
      </c>
      <c r="K186" s="61">
        <v>-2.5000000000000001E-3</v>
      </c>
      <c r="L186" s="57">
        <v>-2.1399999999999999E-2</v>
      </c>
      <c r="M186" s="57">
        <v>4.5999999999999999E-3</v>
      </c>
      <c r="N186" s="61">
        <v>2.3199999999999998E-2</v>
      </c>
      <c r="O186" s="57">
        <v>-7.7899999999999997E-2</v>
      </c>
      <c r="P186" s="57">
        <v>-5.5800000000000002E-2</v>
      </c>
      <c r="Q186" s="57">
        <v>-0.1085</v>
      </c>
      <c r="R186" s="57">
        <v>0.2009</v>
      </c>
      <c r="S186" s="57">
        <v>0.41039999999999999</v>
      </c>
      <c r="T186">
        <v>74.44</v>
      </c>
      <c r="U186">
        <v>45.14</v>
      </c>
      <c r="V186">
        <v>80.69</v>
      </c>
      <c r="W186" s="20">
        <v>4483.9678000000004</v>
      </c>
    </row>
    <row r="187" spans="7:23" x14ac:dyDescent="0.15">
      <c r="G187" s="11">
        <v>186</v>
      </c>
      <c r="H187" s="10" t="s">
        <v>419</v>
      </c>
      <c r="I187" t="s">
        <v>232</v>
      </c>
      <c r="J187" t="s">
        <v>1166</v>
      </c>
      <c r="K187" s="61">
        <v>-6.4000000000000003E-3</v>
      </c>
      <c r="L187" s="57">
        <v>8.6E-3</v>
      </c>
      <c r="M187" s="57">
        <v>1.0500000000000001E-2</v>
      </c>
      <c r="N187" s="61">
        <v>7.6E-3</v>
      </c>
      <c r="O187" s="57">
        <v>-2.1600000000000001E-2</v>
      </c>
      <c r="P187" s="57">
        <v>5.7000000000000002E-3</v>
      </c>
      <c r="Q187" s="57">
        <v>-8.77E-2</v>
      </c>
      <c r="R187" s="57">
        <v>-7.3099999999999998E-2</v>
      </c>
      <c r="S187" s="57">
        <v>0.17530000000000001</v>
      </c>
      <c r="T187">
        <v>74.31</v>
      </c>
      <c r="U187">
        <v>30.97</v>
      </c>
      <c r="V187">
        <v>94.86</v>
      </c>
      <c r="W187" s="20">
        <v>693.53077940000003</v>
      </c>
    </row>
    <row r="188" spans="7:23" x14ac:dyDescent="0.15">
      <c r="G188" s="11">
        <v>187</v>
      </c>
      <c r="H188" s="10" t="s">
        <v>1552</v>
      </c>
      <c r="I188" t="s">
        <v>1553</v>
      </c>
      <c r="J188" t="s">
        <v>1609</v>
      </c>
      <c r="K188" s="61">
        <v>-3.3E-3</v>
      </c>
      <c r="L188" s="57">
        <v>5.4000000000000003E-3</v>
      </c>
      <c r="M188" s="57">
        <v>1.29E-2</v>
      </c>
      <c r="N188" s="61">
        <v>1.61E-2</v>
      </c>
      <c r="O188" s="57">
        <v>-8.5000000000000006E-2</v>
      </c>
      <c r="P188" s="57">
        <v>-3.2199999999999999E-2</v>
      </c>
      <c r="Q188" s="57">
        <v>-0.19950000000000001</v>
      </c>
      <c r="R188" s="57">
        <v>-0.23849999999999999</v>
      </c>
      <c r="S188" s="57">
        <v>-0.23849999999999999</v>
      </c>
      <c r="T188">
        <v>74.17</v>
      </c>
      <c r="U188">
        <v>39.17</v>
      </c>
      <c r="V188">
        <v>86.53</v>
      </c>
      <c r="W188" s="20">
        <v>563.4547</v>
      </c>
    </row>
    <row r="189" spans="7:23" x14ac:dyDescent="0.15">
      <c r="G189" s="11">
        <v>188</v>
      </c>
      <c r="H189" s="10" t="s">
        <v>337</v>
      </c>
      <c r="I189" t="s">
        <v>23</v>
      </c>
      <c r="J189" t="s">
        <v>1140</v>
      </c>
      <c r="K189" s="61">
        <v>-8.0000000000000004E-4</v>
      </c>
      <c r="L189" s="57">
        <v>-2.9999999999999997E-4</v>
      </c>
      <c r="M189" s="57">
        <v>3.8699999999999998E-2</v>
      </c>
      <c r="N189" s="61">
        <v>4.7899999999999998E-2</v>
      </c>
      <c r="O189" s="57">
        <v>4.9599999999999998E-2</v>
      </c>
      <c r="P189" s="57">
        <v>1.5699999999999999E-2</v>
      </c>
      <c r="Q189" s="57">
        <v>7.2300000000000003E-2</v>
      </c>
      <c r="R189" s="57">
        <v>1.1999999999999999E-3</v>
      </c>
      <c r="S189" s="57">
        <v>-3.5099999999999999E-2</v>
      </c>
      <c r="T189">
        <v>74.03</v>
      </c>
      <c r="U189">
        <v>64.17</v>
      </c>
      <c r="V189">
        <v>61.39</v>
      </c>
      <c r="W189" s="20">
        <v>574.02440000000001</v>
      </c>
    </row>
    <row r="190" spans="7:23" x14ac:dyDescent="0.15">
      <c r="G190" s="11">
        <v>189</v>
      </c>
      <c r="H190" s="10" t="s">
        <v>434</v>
      </c>
      <c r="I190" t="s">
        <v>864</v>
      </c>
      <c r="J190" t="s">
        <v>830</v>
      </c>
      <c r="K190" s="61">
        <v>-4.0000000000000002E-4</v>
      </c>
      <c r="L190" s="57">
        <v>5.6099999999999997E-2</v>
      </c>
      <c r="M190" s="57">
        <v>2.3599999999999999E-2</v>
      </c>
      <c r="N190" s="61">
        <v>6.2799999999999995E-2</v>
      </c>
      <c r="O190" s="57">
        <v>3.0099999999999998E-2</v>
      </c>
      <c r="P190" s="57">
        <v>6.7699999999999996E-2</v>
      </c>
      <c r="Q190" s="57">
        <v>-0.20119999999999999</v>
      </c>
      <c r="R190" s="57">
        <v>-0.16569999999999999</v>
      </c>
      <c r="S190" s="57">
        <v>-0.16569999999999999</v>
      </c>
      <c r="T190">
        <v>73.89</v>
      </c>
      <c r="U190">
        <v>72.08</v>
      </c>
      <c r="V190">
        <v>53.47</v>
      </c>
      <c r="W190" s="20">
        <v>467.37560000000002</v>
      </c>
    </row>
    <row r="191" spans="7:23" x14ac:dyDescent="0.15">
      <c r="G191" s="11">
        <v>190</v>
      </c>
      <c r="H191" s="10" t="s">
        <v>1459</v>
      </c>
      <c r="I191" t="s">
        <v>1460</v>
      </c>
      <c r="J191" t="s">
        <v>1609</v>
      </c>
      <c r="K191" s="61">
        <v>0</v>
      </c>
      <c r="L191" s="57">
        <v>2.1999999999999999E-2</v>
      </c>
      <c r="M191" s="57">
        <v>5.7099999999999998E-2</v>
      </c>
      <c r="N191" s="61">
        <v>7.3999999999999996E-2</v>
      </c>
      <c r="O191" s="57">
        <v>-6.54E-2</v>
      </c>
      <c r="P191" s="57">
        <v>-1.7000000000000001E-2</v>
      </c>
      <c r="Q191" s="57">
        <v>-0.22539999999999999</v>
      </c>
      <c r="R191" s="57">
        <v>-0.25609999999999999</v>
      </c>
      <c r="S191" s="57">
        <v>-5.1999999999999998E-2</v>
      </c>
      <c r="T191">
        <v>73.75</v>
      </c>
      <c r="U191">
        <v>77.78</v>
      </c>
      <c r="V191">
        <v>47.5</v>
      </c>
      <c r="W191" s="20">
        <v>442.88522999999998</v>
      </c>
    </row>
    <row r="192" spans="7:23" x14ac:dyDescent="0.15">
      <c r="G192" s="11">
        <v>191</v>
      </c>
      <c r="H192" s="10" t="s">
        <v>503</v>
      </c>
      <c r="I192" t="s">
        <v>1118</v>
      </c>
      <c r="J192" t="s">
        <v>830</v>
      </c>
      <c r="K192" s="61">
        <v>-1E-4</v>
      </c>
      <c r="L192" s="57">
        <v>8.6999999999999994E-3</v>
      </c>
      <c r="M192" s="57">
        <v>-3.78E-2</v>
      </c>
      <c r="N192" s="61">
        <v>6.6199999999999995E-2</v>
      </c>
      <c r="O192" s="57">
        <v>-0.1026</v>
      </c>
      <c r="P192" s="57">
        <v>2.4799999999999999E-2</v>
      </c>
      <c r="Q192" s="57">
        <v>-0.27179999999999999</v>
      </c>
      <c r="R192" s="57">
        <v>-0.25590000000000002</v>
      </c>
      <c r="S192" s="57">
        <v>-0.25590000000000002</v>
      </c>
      <c r="T192">
        <v>73.61</v>
      </c>
      <c r="U192">
        <v>75.14</v>
      </c>
      <c r="V192">
        <v>49.44</v>
      </c>
      <c r="W192" s="20">
        <v>40013.601199999997</v>
      </c>
    </row>
    <row r="193" spans="7:23" x14ac:dyDescent="0.15">
      <c r="G193" s="11">
        <v>192</v>
      </c>
      <c r="H193" s="10" t="s">
        <v>1374</v>
      </c>
      <c r="I193" t="s">
        <v>1375</v>
      </c>
      <c r="J193" t="s">
        <v>1609</v>
      </c>
      <c r="K193" s="61">
        <v>-2.2000000000000001E-3</v>
      </c>
      <c r="L193" s="57">
        <v>4.1999999999999997E-3</v>
      </c>
      <c r="M193" s="57">
        <v>-1.9599999999999999E-2</v>
      </c>
      <c r="N193" s="61">
        <v>2.3699999999999999E-2</v>
      </c>
      <c r="O193" s="57">
        <v>-0.1444</v>
      </c>
      <c r="P193" s="57">
        <v>7.7899999999999997E-2</v>
      </c>
      <c r="Q193" s="57">
        <v>-0.24779999999999999</v>
      </c>
      <c r="R193" s="57">
        <v>-0.23630000000000001</v>
      </c>
      <c r="S193" s="57">
        <v>-0.23630000000000001</v>
      </c>
      <c r="T193">
        <v>73.47</v>
      </c>
      <c r="U193">
        <v>45.83</v>
      </c>
      <c r="V193">
        <v>78.61</v>
      </c>
      <c r="W193" s="20">
        <v>866.94786999999997</v>
      </c>
    </row>
    <row r="194" spans="7:23" x14ac:dyDescent="0.15">
      <c r="G194" s="11">
        <v>193</v>
      </c>
      <c r="H194" s="10" t="s">
        <v>347</v>
      </c>
      <c r="I194" t="s">
        <v>1113</v>
      </c>
      <c r="J194" t="s">
        <v>830</v>
      </c>
      <c r="K194" s="61">
        <v>-1.6999999999999999E-3</v>
      </c>
      <c r="L194" s="57">
        <v>-1.2999999999999999E-3</v>
      </c>
      <c r="M194" s="57">
        <v>-3.3399999999999999E-2</v>
      </c>
      <c r="N194" s="61">
        <v>3.2000000000000001E-2</v>
      </c>
      <c r="O194" s="57">
        <v>-0.09</v>
      </c>
      <c r="P194" s="57">
        <v>6.6199999999999995E-2</v>
      </c>
      <c r="Q194" s="57">
        <v>-0.28599999999999998</v>
      </c>
      <c r="R194" s="57">
        <v>-0.3609</v>
      </c>
      <c r="S194" s="57">
        <v>-0.3609</v>
      </c>
      <c r="T194">
        <v>73.33</v>
      </c>
      <c r="U194">
        <v>51.94</v>
      </c>
      <c r="V194">
        <v>72.22</v>
      </c>
      <c r="W194" s="20">
        <v>8180.7477393000008</v>
      </c>
    </row>
    <row r="195" spans="7:23" x14ac:dyDescent="0.15">
      <c r="G195" s="11">
        <v>194</v>
      </c>
      <c r="H195" s="10" t="s">
        <v>1310</v>
      </c>
      <c r="I195" t="s">
        <v>1311</v>
      </c>
      <c r="J195" t="s">
        <v>1609</v>
      </c>
      <c r="K195" s="61">
        <v>-2.9999999999999997E-4</v>
      </c>
      <c r="L195" s="57">
        <v>3.1800000000000002E-2</v>
      </c>
      <c r="M195" s="57">
        <v>4.4000000000000003E-3</v>
      </c>
      <c r="N195" s="61">
        <v>6.3299999999999995E-2</v>
      </c>
      <c r="O195" s="57">
        <v>-0.1447</v>
      </c>
      <c r="P195" s="57">
        <v>-2.5399999999999999E-2</v>
      </c>
      <c r="Q195" s="57">
        <v>-0.24379999999999999</v>
      </c>
      <c r="R195" s="57">
        <v>-0.24379999999999999</v>
      </c>
      <c r="S195" s="57">
        <v>-0.24379999999999999</v>
      </c>
      <c r="T195">
        <v>73.19</v>
      </c>
      <c r="U195">
        <v>72.22</v>
      </c>
      <c r="V195">
        <v>51.94</v>
      </c>
      <c r="W195" s="20">
        <v>128.61964</v>
      </c>
    </row>
    <row r="196" spans="7:23" x14ac:dyDescent="0.15">
      <c r="G196" s="11">
        <v>195</v>
      </c>
      <c r="H196" s="10" t="s">
        <v>1316</v>
      </c>
      <c r="I196" t="s">
        <v>1317</v>
      </c>
      <c r="J196" t="s">
        <v>1609</v>
      </c>
      <c r="K196" s="61">
        <v>2.9999999999999997E-4</v>
      </c>
      <c r="L196" s="57">
        <v>4.87E-2</v>
      </c>
      <c r="M196" s="57">
        <v>0</v>
      </c>
      <c r="N196" s="61">
        <v>9.0999999999999998E-2</v>
      </c>
      <c r="O196" s="57">
        <v>-0.13469999999999999</v>
      </c>
      <c r="P196" s="57">
        <v>-3.04E-2</v>
      </c>
      <c r="Q196" s="57">
        <v>-0.32650000000000001</v>
      </c>
      <c r="R196" s="57">
        <v>-0.36220000000000002</v>
      </c>
      <c r="S196" s="57">
        <v>-0.36220000000000002</v>
      </c>
      <c r="T196">
        <v>73.06</v>
      </c>
      <c r="U196">
        <v>82.36</v>
      </c>
      <c r="V196">
        <v>41.67</v>
      </c>
      <c r="W196" s="20">
        <v>1222.7728999999999</v>
      </c>
    </row>
    <row r="197" spans="7:23" x14ac:dyDescent="0.15">
      <c r="G197" s="11">
        <v>196</v>
      </c>
      <c r="H197" s="10" t="s">
        <v>1576</v>
      </c>
      <c r="I197" t="s">
        <v>1577</v>
      </c>
      <c r="J197" t="s">
        <v>1609</v>
      </c>
      <c r="K197" s="61">
        <v>-2.5999999999999999E-3</v>
      </c>
      <c r="L197" s="57">
        <v>4.0000000000000002E-4</v>
      </c>
      <c r="M197" s="57">
        <v>-1.1000000000000001E-3</v>
      </c>
      <c r="N197" s="61">
        <v>1.8100000000000002E-2</v>
      </c>
      <c r="O197" s="57">
        <v>-5.0200000000000002E-2</v>
      </c>
      <c r="P197" s="57">
        <v>5.1200000000000002E-2</v>
      </c>
      <c r="Q197" s="57">
        <v>-9.8699999999999996E-2</v>
      </c>
      <c r="R197" s="57">
        <v>-9.8699999999999996E-2</v>
      </c>
      <c r="S197" s="57">
        <v>-9.8699999999999996E-2</v>
      </c>
      <c r="T197">
        <v>72.92</v>
      </c>
      <c r="U197">
        <v>41.11</v>
      </c>
      <c r="V197">
        <v>82.5</v>
      </c>
      <c r="W197" s="20">
        <v>14174.175800000001</v>
      </c>
    </row>
    <row r="198" spans="7:23" x14ac:dyDescent="0.15">
      <c r="G198" s="11">
        <v>197</v>
      </c>
      <c r="H198" t="s">
        <v>706</v>
      </c>
      <c r="I198" t="s">
        <v>1226</v>
      </c>
      <c r="J198" t="s">
        <v>1212</v>
      </c>
      <c r="K198" s="61">
        <v>5.0000000000000001E-4</v>
      </c>
      <c r="L198" s="57">
        <v>3.2300000000000002E-2</v>
      </c>
      <c r="M198" s="57">
        <v>9.6500000000000002E-2</v>
      </c>
      <c r="N198" s="61">
        <v>0.1085</v>
      </c>
      <c r="O198" s="57">
        <v>-4.1099999999999998E-2</v>
      </c>
      <c r="P198" s="57">
        <v>-3.5000000000000003E-2</v>
      </c>
      <c r="Q198" s="57">
        <v>-0.2223</v>
      </c>
      <c r="R198" s="57">
        <v>-0.4093</v>
      </c>
      <c r="S198" s="57">
        <v>-0.4093</v>
      </c>
      <c r="T198">
        <v>72.78</v>
      </c>
      <c r="U198">
        <v>86.81</v>
      </c>
      <c r="V198">
        <v>36.67</v>
      </c>
      <c r="W198" s="20">
        <v>2497.6602024999997</v>
      </c>
    </row>
    <row r="199" spans="7:23" x14ac:dyDescent="0.15">
      <c r="G199" s="11">
        <v>198</v>
      </c>
      <c r="H199" t="s">
        <v>389</v>
      </c>
      <c r="I199" t="s">
        <v>922</v>
      </c>
      <c r="J199" t="s">
        <v>830</v>
      </c>
      <c r="K199" s="61">
        <v>-1.2999999999999999E-3</v>
      </c>
      <c r="L199" s="57">
        <v>2.5999999999999999E-3</v>
      </c>
      <c r="M199" s="57">
        <v>-6.6E-3</v>
      </c>
      <c r="N199" s="61">
        <v>3.6299999999999999E-2</v>
      </c>
      <c r="O199" s="57">
        <v>-9.11E-2</v>
      </c>
      <c r="P199" s="57">
        <v>7.6100000000000001E-2</v>
      </c>
      <c r="Q199" s="57">
        <v>-0.1067</v>
      </c>
      <c r="R199" s="57">
        <v>6.2399999999999997E-2</v>
      </c>
      <c r="S199" s="57">
        <v>6.2399999999999997E-2</v>
      </c>
      <c r="T199">
        <v>72.64</v>
      </c>
      <c r="U199">
        <v>55</v>
      </c>
      <c r="V199">
        <v>68.33</v>
      </c>
      <c r="W199" s="20">
        <v>4762.4928</v>
      </c>
    </row>
    <row r="200" spans="7:23" x14ac:dyDescent="0.15">
      <c r="G200" s="11">
        <v>199</v>
      </c>
      <c r="H200" t="s">
        <v>1590</v>
      </c>
      <c r="I200" t="s">
        <v>1591</v>
      </c>
      <c r="J200" t="s">
        <v>1609</v>
      </c>
      <c r="K200" s="61">
        <v>2.9999999999999997E-4</v>
      </c>
      <c r="L200" s="57">
        <v>3.4700000000000002E-2</v>
      </c>
      <c r="M200" s="57">
        <v>1.72E-2</v>
      </c>
      <c r="N200" s="61">
        <v>8.6400000000000005E-2</v>
      </c>
      <c r="O200" s="57">
        <v>-6.0499999999999998E-2</v>
      </c>
      <c r="P200" s="57">
        <v>1.7399999999999999E-2</v>
      </c>
      <c r="Q200" s="57">
        <v>-0.30320000000000003</v>
      </c>
      <c r="R200" s="57">
        <v>-0.30320000000000003</v>
      </c>
      <c r="S200" s="57">
        <v>-0.30320000000000003</v>
      </c>
      <c r="T200">
        <v>72.5</v>
      </c>
      <c r="U200">
        <v>80.42</v>
      </c>
      <c r="V200">
        <v>42.78</v>
      </c>
      <c r="W200" s="20">
        <v>2980.7773999999999</v>
      </c>
    </row>
    <row r="201" spans="7:23" x14ac:dyDescent="0.15">
      <c r="G201" s="11">
        <v>200</v>
      </c>
      <c r="H201" s="10" t="s">
        <v>1447</v>
      </c>
      <c r="I201" t="s">
        <v>1448</v>
      </c>
      <c r="J201" t="s">
        <v>1609</v>
      </c>
      <c r="K201" s="61">
        <v>-5.0000000000000001E-4</v>
      </c>
      <c r="L201" s="57">
        <v>5.4100000000000002E-2</v>
      </c>
      <c r="M201" s="57">
        <v>2.86E-2</v>
      </c>
      <c r="N201" s="61">
        <v>5.28E-2</v>
      </c>
      <c r="O201" s="57">
        <v>4.2799999999999998E-2</v>
      </c>
      <c r="P201" s="57">
        <v>9.0499999999999997E-2</v>
      </c>
      <c r="Q201" s="57">
        <v>-0.20860000000000001</v>
      </c>
      <c r="R201" s="57">
        <v>-0.20860000000000001</v>
      </c>
      <c r="S201" s="57">
        <v>-0.20860000000000001</v>
      </c>
      <c r="T201">
        <v>72.36</v>
      </c>
      <c r="U201">
        <v>67.64</v>
      </c>
      <c r="V201">
        <v>55.42</v>
      </c>
      <c r="W201" s="20">
        <v>1095.0969313999999</v>
      </c>
    </row>
    <row r="202" spans="7:23" x14ac:dyDescent="0.15">
      <c r="G202" s="11">
        <v>201</v>
      </c>
      <c r="H202" t="s">
        <v>638</v>
      </c>
      <c r="I202" t="s">
        <v>1097</v>
      </c>
      <c r="J202" t="s">
        <v>830</v>
      </c>
      <c r="K202" s="61">
        <v>-6.9999999999999999E-4</v>
      </c>
      <c r="L202" s="57">
        <v>1.23E-2</v>
      </c>
      <c r="M202" s="57">
        <v>3.2099999999999997E-2</v>
      </c>
      <c r="N202" s="61">
        <v>4.7600000000000003E-2</v>
      </c>
      <c r="O202" s="57">
        <v>-0.1016</v>
      </c>
      <c r="P202" s="57">
        <v>2.24E-2</v>
      </c>
      <c r="Q202" s="57">
        <v>-0.1615</v>
      </c>
      <c r="R202" s="57">
        <v>-0.22289999999999999</v>
      </c>
      <c r="S202" s="57">
        <v>1.47E-2</v>
      </c>
      <c r="T202">
        <v>72.22</v>
      </c>
      <c r="U202">
        <v>63.75</v>
      </c>
      <c r="V202">
        <v>59.03</v>
      </c>
      <c r="W202" s="20">
        <v>7554.597240000001</v>
      </c>
    </row>
    <row r="203" spans="7:23" x14ac:dyDescent="0.15">
      <c r="G203" s="11">
        <v>202</v>
      </c>
      <c r="H203" s="10" t="s">
        <v>314</v>
      </c>
      <c r="I203" t="s">
        <v>1047</v>
      </c>
      <c r="J203" t="s">
        <v>830</v>
      </c>
      <c r="K203" s="61">
        <v>2.9999999999999997E-4</v>
      </c>
      <c r="L203" s="57">
        <v>4.9399999999999999E-2</v>
      </c>
      <c r="M203" s="57">
        <v>2.7699999999999999E-2</v>
      </c>
      <c r="N203" s="61">
        <v>8.6099999999999996E-2</v>
      </c>
      <c r="O203" s="57">
        <v>3.6400000000000002E-2</v>
      </c>
      <c r="P203" s="57">
        <v>9.06E-2</v>
      </c>
      <c r="Q203" s="57">
        <v>-0.1893</v>
      </c>
      <c r="R203" s="57">
        <v>-0.25719999999999998</v>
      </c>
      <c r="S203" s="57">
        <v>-0.25719999999999998</v>
      </c>
      <c r="T203">
        <v>72.08</v>
      </c>
      <c r="U203">
        <v>80.28</v>
      </c>
      <c r="V203">
        <v>42.36</v>
      </c>
      <c r="W203" s="20">
        <v>10609.551799999999</v>
      </c>
    </row>
    <row r="204" spans="7:23" x14ac:dyDescent="0.15">
      <c r="G204" s="11">
        <v>203</v>
      </c>
      <c r="H204" s="10" t="s">
        <v>1199</v>
      </c>
      <c r="I204" t="s">
        <v>1200</v>
      </c>
      <c r="J204" t="s">
        <v>830</v>
      </c>
      <c r="K204" s="61">
        <v>0</v>
      </c>
      <c r="L204" s="57">
        <v>3.27E-2</v>
      </c>
      <c r="M204" s="57">
        <v>5.1000000000000004E-3</v>
      </c>
      <c r="N204" s="61">
        <v>6.59E-2</v>
      </c>
      <c r="O204" s="57">
        <v>-0.1464</v>
      </c>
      <c r="P204" s="57">
        <v>-2.3199999999999998E-2</v>
      </c>
      <c r="Q204" s="57">
        <v>-0.34699999999999998</v>
      </c>
      <c r="R204" s="57">
        <v>-0.34699999999999998</v>
      </c>
      <c r="S204" s="57">
        <v>-0.34699999999999998</v>
      </c>
      <c r="T204">
        <v>71.94</v>
      </c>
      <c r="U204">
        <v>74.44</v>
      </c>
      <c r="V204">
        <v>48.19</v>
      </c>
      <c r="W204" s="20">
        <v>510.85609030000001</v>
      </c>
    </row>
    <row r="205" spans="7:23" x14ac:dyDescent="0.15">
      <c r="G205" s="11">
        <v>204</v>
      </c>
      <c r="H205" s="10" t="s">
        <v>1495</v>
      </c>
      <c r="I205" t="s">
        <v>1496</v>
      </c>
      <c r="J205" t="s">
        <v>1609</v>
      </c>
      <c r="K205" s="61">
        <v>4.0000000000000002E-4</v>
      </c>
      <c r="L205" s="57">
        <v>3.4000000000000002E-2</v>
      </c>
      <c r="M205" s="57">
        <v>4.9200000000000001E-2</v>
      </c>
      <c r="N205" s="61">
        <v>9.4399999999999998E-2</v>
      </c>
      <c r="O205" s="57">
        <v>-4.2099999999999999E-2</v>
      </c>
      <c r="P205" s="57">
        <v>2.1700000000000001E-2</v>
      </c>
      <c r="Q205" s="57">
        <v>-0.23630000000000001</v>
      </c>
      <c r="R205" s="57">
        <v>-0.23630000000000001</v>
      </c>
      <c r="S205" s="57">
        <v>-0.23630000000000001</v>
      </c>
      <c r="T205">
        <v>71.81</v>
      </c>
      <c r="U205">
        <v>83.33</v>
      </c>
      <c r="V205">
        <v>38.61</v>
      </c>
      <c r="W205" s="20">
        <v>501.2604</v>
      </c>
    </row>
    <row r="206" spans="7:23" x14ac:dyDescent="0.15">
      <c r="G206" s="11">
        <v>205</v>
      </c>
      <c r="H206" s="10" t="s">
        <v>798</v>
      </c>
      <c r="I206" t="s">
        <v>799</v>
      </c>
      <c r="J206" t="s">
        <v>793</v>
      </c>
      <c r="K206" s="61">
        <v>-4.5499999999999999E-2</v>
      </c>
      <c r="L206" s="57">
        <v>-2.0999999999999999E-3</v>
      </c>
      <c r="M206" s="57">
        <v>-1.4E-3</v>
      </c>
      <c r="N206" s="61">
        <v>6.9999999999999999E-4</v>
      </c>
      <c r="O206" s="57">
        <v>-6.3E-3</v>
      </c>
      <c r="P206" s="57">
        <v>5.0000000000000001E-3</v>
      </c>
      <c r="Q206" s="57">
        <v>9.2999999999999992E-3</v>
      </c>
      <c r="R206" s="57">
        <v>0.22520000000000001</v>
      </c>
      <c r="S206" s="57">
        <v>0.40899999999999997</v>
      </c>
      <c r="T206">
        <v>71.67</v>
      </c>
      <c r="U206">
        <v>22.5</v>
      </c>
      <c r="V206">
        <v>99.31</v>
      </c>
      <c r="W206" s="20">
        <v>52.427140000000001</v>
      </c>
    </row>
    <row r="207" spans="7:23" x14ac:dyDescent="0.15">
      <c r="G207" s="11">
        <v>206</v>
      </c>
      <c r="H207" s="10" t="s">
        <v>525</v>
      </c>
      <c r="I207" t="s">
        <v>1223</v>
      </c>
      <c r="J207" t="s">
        <v>1212</v>
      </c>
      <c r="K207" s="61">
        <v>6.9999999999999999E-4</v>
      </c>
      <c r="L207" s="57">
        <v>2.4299999999999999E-2</v>
      </c>
      <c r="M207" s="57">
        <v>9.3700000000000006E-2</v>
      </c>
      <c r="N207" s="61">
        <v>0.11169999999999999</v>
      </c>
      <c r="O207" s="57">
        <v>-3.8100000000000002E-2</v>
      </c>
      <c r="P207" s="57">
        <v>-3.3099999999999997E-2</v>
      </c>
      <c r="Q207" s="57">
        <v>-0.16719999999999999</v>
      </c>
      <c r="R207" s="57">
        <v>-0.2336</v>
      </c>
      <c r="S207" s="57">
        <v>-0.23350000000000001</v>
      </c>
      <c r="T207">
        <v>71.53</v>
      </c>
      <c r="U207">
        <v>87.5</v>
      </c>
      <c r="V207">
        <v>34.31</v>
      </c>
      <c r="W207" s="20">
        <v>373.1925</v>
      </c>
    </row>
    <row r="208" spans="7:23" x14ac:dyDescent="0.15">
      <c r="G208" s="11">
        <v>207</v>
      </c>
      <c r="H208" s="10" t="s">
        <v>484</v>
      </c>
      <c r="I208" t="s">
        <v>1181</v>
      </c>
      <c r="J208" t="s">
        <v>1175</v>
      </c>
      <c r="K208" s="61">
        <v>-4.1999999999999997E-3</v>
      </c>
      <c r="L208" s="57">
        <v>2.3E-3</v>
      </c>
      <c r="M208" s="57">
        <v>-9.2999999999999992E-3</v>
      </c>
      <c r="N208" s="61">
        <v>9.7000000000000003E-3</v>
      </c>
      <c r="O208" s="57">
        <v>-4.9700000000000001E-2</v>
      </c>
      <c r="P208" s="57">
        <v>3.8600000000000002E-2</v>
      </c>
      <c r="Q208" s="57">
        <v>-0.12</v>
      </c>
      <c r="R208" s="57">
        <v>0.20219999999999999</v>
      </c>
      <c r="S208" s="57">
        <v>0.72660000000000002</v>
      </c>
      <c r="T208">
        <v>71.39</v>
      </c>
      <c r="U208">
        <v>32.78</v>
      </c>
      <c r="V208">
        <v>88.89</v>
      </c>
      <c r="W208" s="20">
        <v>39.651499999999999</v>
      </c>
    </row>
    <row r="209" spans="7:23" x14ac:dyDescent="0.15">
      <c r="G209" s="11">
        <v>208</v>
      </c>
      <c r="H209" s="10" t="s">
        <v>709</v>
      </c>
      <c r="I209" t="s">
        <v>933</v>
      </c>
      <c r="J209" t="s">
        <v>830</v>
      </c>
      <c r="K209" s="61">
        <v>-2.9999999999999997E-4</v>
      </c>
      <c r="L209" s="57">
        <v>2.07E-2</v>
      </c>
      <c r="M209" s="57">
        <v>5.0799999999999998E-2</v>
      </c>
      <c r="N209" s="61">
        <v>5.5100000000000003E-2</v>
      </c>
      <c r="O209" s="57">
        <v>-2.4500000000000001E-2</v>
      </c>
      <c r="P209" s="57">
        <v>3.6700000000000003E-2</v>
      </c>
      <c r="Q209" s="57">
        <v>-0.1714</v>
      </c>
      <c r="R209" s="57">
        <v>-0.23169999999999999</v>
      </c>
      <c r="S209" s="57">
        <v>-2.07E-2</v>
      </c>
      <c r="T209">
        <v>71.25</v>
      </c>
      <c r="U209">
        <v>68.75</v>
      </c>
      <c r="V209">
        <v>52.08</v>
      </c>
      <c r="W209" s="20">
        <v>906.98050000000001</v>
      </c>
    </row>
    <row r="210" spans="7:23" x14ac:dyDescent="0.15">
      <c r="G210" s="11">
        <v>209</v>
      </c>
      <c r="H210" s="10" t="s">
        <v>1481</v>
      </c>
      <c r="I210" t="s">
        <v>1482</v>
      </c>
      <c r="J210" t="s">
        <v>1609</v>
      </c>
      <c r="K210" s="61">
        <v>1E-3</v>
      </c>
      <c r="L210" s="57">
        <v>6.7400000000000002E-2</v>
      </c>
      <c r="M210" s="57">
        <v>0.10440000000000001</v>
      </c>
      <c r="N210" s="61">
        <v>0.15679999999999999</v>
      </c>
      <c r="O210" s="57">
        <v>-1.5800000000000002E-2</v>
      </c>
      <c r="P210" s="57">
        <v>2.3199999999999998E-2</v>
      </c>
      <c r="Q210" s="57">
        <v>-0.26369999999999999</v>
      </c>
      <c r="R210" s="57">
        <v>-0.26369999999999999</v>
      </c>
      <c r="S210" s="57">
        <v>-0.26369999999999999</v>
      </c>
      <c r="T210">
        <v>71.11</v>
      </c>
      <c r="U210">
        <v>92.5</v>
      </c>
      <c r="V210">
        <v>27.92</v>
      </c>
      <c r="W210" s="20">
        <v>77.290970000000002</v>
      </c>
    </row>
    <row r="211" spans="7:23" x14ac:dyDescent="0.15">
      <c r="G211" s="11">
        <v>210</v>
      </c>
      <c r="H211" s="10" t="s">
        <v>332</v>
      </c>
      <c r="I211" t="s">
        <v>1142</v>
      </c>
      <c r="J211" t="s">
        <v>1140</v>
      </c>
      <c r="K211" s="61">
        <v>-5.9999999999999995E-4</v>
      </c>
      <c r="L211" s="57">
        <v>-2.9999999999999997E-4</v>
      </c>
      <c r="M211" s="57">
        <v>3.85E-2</v>
      </c>
      <c r="N211" s="61">
        <v>4.7500000000000001E-2</v>
      </c>
      <c r="O211" s="57">
        <v>4.9000000000000002E-2</v>
      </c>
      <c r="P211" s="57">
        <v>1.49E-2</v>
      </c>
      <c r="Q211" s="57">
        <v>6.9800000000000001E-2</v>
      </c>
      <c r="R211" s="57">
        <v>-3.2000000000000002E-3</v>
      </c>
      <c r="S211" s="57">
        <v>-9.5999999999999992E-3</v>
      </c>
      <c r="T211">
        <v>70.97</v>
      </c>
      <c r="U211">
        <v>63.61</v>
      </c>
      <c r="V211">
        <v>56.81</v>
      </c>
      <c r="W211" s="20">
        <v>885.47659999999996</v>
      </c>
    </row>
    <row r="212" spans="7:23" x14ac:dyDescent="0.15">
      <c r="G212" s="11">
        <v>211</v>
      </c>
      <c r="H212" s="10" t="s">
        <v>1503</v>
      </c>
      <c r="I212" t="s">
        <v>1504</v>
      </c>
      <c r="J212" t="s">
        <v>1609</v>
      </c>
      <c r="K212" s="61">
        <v>2.9999999999999997E-4</v>
      </c>
      <c r="L212" s="57">
        <v>4.2500000000000003E-2</v>
      </c>
      <c r="M212" s="57">
        <v>4.4400000000000002E-2</v>
      </c>
      <c r="N212" s="61">
        <v>8.3799999999999999E-2</v>
      </c>
      <c r="O212" s="57">
        <v>1.04E-2</v>
      </c>
      <c r="P212" s="57">
        <v>8.6300000000000002E-2</v>
      </c>
      <c r="Q212" s="57">
        <v>6.0699999999999997E-2</v>
      </c>
      <c r="R212" s="57">
        <v>6.0699999999999997E-2</v>
      </c>
      <c r="S212" s="57">
        <v>6.0699999999999997E-2</v>
      </c>
      <c r="T212">
        <v>70.83</v>
      </c>
      <c r="U212">
        <v>79.58</v>
      </c>
      <c r="V212">
        <v>40.83</v>
      </c>
      <c r="W212" s="20">
        <v>378.45530000000002</v>
      </c>
    </row>
    <row r="213" spans="7:23" x14ac:dyDescent="0.15">
      <c r="G213" s="11">
        <v>212</v>
      </c>
      <c r="H213" s="10" t="s">
        <v>469</v>
      </c>
      <c r="I213" t="s">
        <v>1059</v>
      </c>
      <c r="J213" t="s">
        <v>830</v>
      </c>
      <c r="K213" s="61">
        <v>-1.5E-3</v>
      </c>
      <c r="L213" s="57">
        <v>3.7100000000000001E-2</v>
      </c>
      <c r="M213" s="57">
        <v>1.9E-2</v>
      </c>
      <c r="N213" s="61">
        <v>2.8400000000000002E-2</v>
      </c>
      <c r="O213" s="57">
        <v>5.7000000000000002E-3</v>
      </c>
      <c r="P213" s="57">
        <v>3.3399999999999999E-2</v>
      </c>
      <c r="Q213" s="57">
        <v>-0.24640000000000001</v>
      </c>
      <c r="R213" s="57">
        <v>-0.35099999999999998</v>
      </c>
      <c r="S213" s="57">
        <v>-0.35099999999999998</v>
      </c>
      <c r="T213">
        <v>70.69</v>
      </c>
      <c r="U213">
        <v>49.31</v>
      </c>
      <c r="V213">
        <v>70.97</v>
      </c>
      <c r="W213" s="20">
        <v>9421.45154</v>
      </c>
    </row>
    <row r="214" spans="7:23" x14ac:dyDescent="0.15">
      <c r="G214" s="11">
        <v>213</v>
      </c>
      <c r="H214" s="10" t="s">
        <v>1283</v>
      </c>
      <c r="I214" t="s">
        <v>1284</v>
      </c>
      <c r="J214" t="s">
        <v>1609</v>
      </c>
      <c r="K214" s="61">
        <v>8.0000000000000004E-4</v>
      </c>
      <c r="L214" s="57">
        <v>3.2399999999999998E-2</v>
      </c>
      <c r="M214" s="57">
        <v>3.95E-2</v>
      </c>
      <c r="N214" s="61">
        <v>0.123</v>
      </c>
      <c r="O214" s="57">
        <v>5.4199999999999998E-2</v>
      </c>
      <c r="P214" s="57">
        <v>0.1835</v>
      </c>
      <c r="Q214" s="57">
        <v>-7.8200000000000006E-2</v>
      </c>
      <c r="R214" s="57">
        <v>-9.7799999999999998E-2</v>
      </c>
      <c r="S214" s="57">
        <v>-9.7799999999999998E-2</v>
      </c>
      <c r="T214">
        <v>70.56</v>
      </c>
      <c r="U214">
        <v>88.61</v>
      </c>
      <c r="V214">
        <v>31.53</v>
      </c>
      <c r="W214" s="20">
        <v>854.0394</v>
      </c>
    </row>
    <row r="215" spans="7:23" x14ac:dyDescent="0.15">
      <c r="G215" s="11">
        <v>214</v>
      </c>
      <c r="H215" s="10" t="s">
        <v>293</v>
      </c>
      <c r="I215" t="s">
        <v>829</v>
      </c>
      <c r="J215" t="s">
        <v>828</v>
      </c>
      <c r="K215" s="61">
        <v>-8.0000000000000002E-3</v>
      </c>
      <c r="L215" s="57">
        <v>0</v>
      </c>
      <c r="M215" s="57">
        <v>1.1000000000000001E-3</v>
      </c>
      <c r="N215" s="61">
        <v>1.6999999999999999E-3</v>
      </c>
      <c r="O215" s="57">
        <v>6.3E-3</v>
      </c>
      <c r="P215" s="57">
        <v>1.6299999999999999E-2</v>
      </c>
      <c r="Q215" s="57">
        <v>3.6799999999999999E-2</v>
      </c>
      <c r="R215" s="57">
        <v>5.8099999999999999E-2</v>
      </c>
      <c r="S215" s="57">
        <v>0.12479999999999999</v>
      </c>
      <c r="T215">
        <v>70.42</v>
      </c>
      <c r="U215">
        <v>23.89</v>
      </c>
      <c r="V215">
        <v>96.25</v>
      </c>
      <c r="W215" s="20">
        <v>0</v>
      </c>
    </row>
    <row r="216" spans="7:23" x14ac:dyDescent="0.15">
      <c r="G216" s="11">
        <v>215</v>
      </c>
      <c r="H216" s="10" t="s">
        <v>664</v>
      </c>
      <c r="I216" t="s">
        <v>1112</v>
      </c>
      <c r="J216" t="s">
        <v>830</v>
      </c>
      <c r="K216" s="61">
        <v>-2.9999999999999997E-4</v>
      </c>
      <c r="L216" s="57">
        <v>2.1299999999999999E-2</v>
      </c>
      <c r="M216" s="57">
        <v>5.6500000000000002E-2</v>
      </c>
      <c r="N216" s="61">
        <v>5.3499999999999999E-2</v>
      </c>
      <c r="O216" s="57">
        <v>-2.2200000000000001E-2</v>
      </c>
      <c r="P216" s="57">
        <v>2.1999999999999999E-2</v>
      </c>
      <c r="Q216" s="57">
        <v>-0.18060000000000001</v>
      </c>
      <c r="R216" s="57">
        <v>-0.3029</v>
      </c>
      <c r="S216" s="57">
        <v>-0.2198</v>
      </c>
      <c r="T216">
        <v>70.28</v>
      </c>
      <c r="U216">
        <v>67.92</v>
      </c>
      <c r="V216">
        <v>52.22</v>
      </c>
      <c r="W216" s="20">
        <v>15065.890799999999</v>
      </c>
    </row>
    <row r="217" spans="7:23" x14ac:dyDescent="0.15">
      <c r="G217" s="11">
        <v>216</v>
      </c>
      <c r="H217" s="10" t="s">
        <v>394</v>
      </c>
      <c r="I217" t="s">
        <v>858</v>
      </c>
      <c r="J217" t="s">
        <v>830</v>
      </c>
      <c r="K217" s="61">
        <v>-2.8E-3</v>
      </c>
      <c r="L217" s="57">
        <v>2.5999999999999999E-3</v>
      </c>
      <c r="M217" s="57">
        <v>5.8999999999999999E-3</v>
      </c>
      <c r="N217" s="61">
        <v>1.52E-2</v>
      </c>
      <c r="O217" s="57">
        <v>-6.8099999999999994E-2</v>
      </c>
      <c r="P217" s="57">
        <v>-1.6500000000000001E-2</v>
      </c>
      <c r="Q217" s="57">
        <v>-0.10390000000000001</v>
      </c>
      <c r="R217" s="57">
        <v>6.4399999999999999E-2</v>
      </c>
      <c r="S217" s="57">
        <v>0.12709999999999999</v>
      </c>
      <c r="T217">
        <v>70.14</v>
      </c>
      <c r="U217">
        <v>36.81</v>
      </c>
      <c r="V217">
        <v>82.92</v>
      </c>
      <c r="W217" s="20">
        <v>196.893</v>
      </c>
    </row>
    <row r="218" spans="7:23" x14ac:dyDescent="0.15">
      <c r="G218" s="11">
        <v>217</v>
      </c>
      <c r="H218" s="10" t="s">
        <v>1988</v>
      </c>
      <c r="I218" t="s">
        <v>1989</v>
      </c>
      <c r="J218" t="s">
        <v>1946</v>
      </c>
      <c r="K218" s="61">
        <v>-1.5E-3</v>
      </c>
      <c r="L218" s="57">
        <v>3.2000000000000002E-3</v>
      </c>
      <c r="M218" s="57">
        <v>-3.2000000000000002E-3</v>
      </c>
      <c r="N218" s="61">
        <v>2.8299999999999999E-2</v>
      </c>
      <c r="O218" s="57">
        <v>-0.05</v>
      </c>
      <c r="P218" s="57">
        <v>-2.2499999999999999E-2</v>
      </c>
      <c r="Q218" s="57">
        <v>-2.2499999999999999E-2</v>
      </c>
      <c r="R218" s="57">
        <v>-2.2499999999999999E-2</v>
      </c>
      <c r="S218" s="57">
        <v>-2.2499999999999999E-2</v>
      </c>
      <c r="T218">
        <v>70</v>
      </c>
      <c r="U218">
        <v>49.03</v>
      </c>
      <c r="V218">
        <v>70.69</v>
      </c>
      <c r="W218" s="20">
        <v>64.797939400000004</v>
      </c>
    </row>
    <row r="219" spans="7:23" x14ac:dyDescent="0.15">
      <c r="G219" s="11">
        <v>218</v>
      </c>
      <c r="H219" s="10" t="s">
        <v>663</v>
      </c>
      <c r="I219" t="s">
        <v>944</v>
      </c>
      <c r="J219" t="s">
        <v>830</v>
      </c>
      <c r="K219" s="61">
        <v>2.9999999999999997E-4</v>
      </c>
      <c r="L219" s="57">
        <v>4.0099999999999997E-2</v>
      </c>
      <c r="M219" s="57">
        <v>1.83E-2</v>
      </c>
      <c r="N219" s="61">
        <v>7.8E-2</v>
      </c>
      <c r="O219" s="57">
        <v>-6.9800000000000001E-2</v>
      </c>
      <c r="P219" s="57">
        <v>5.1999999999999998E-2</v>
      </c>
      <c r="Q219" s="57">
        <v>-0.24299999999999999</v>
      </c>
      <c r="R219" s="57">
        <v>-0.20730000000000001</v>
      </c>
      <c r="S219" s="57">
        <v>9.0700000000000003E-2</v>
      </c>
      <c r="T219">
        <v>69.86</v>
      </c>
      <c r="U219">
        <v>78.19</v>
      </c>
      <c r="V219">
        <v>41.25</v>
      </c>
      <c r="W219" s="20">
        <v>484.77620000000002</v>
      </c>
    </row>
    <row r="220" spans="7:23" x14ac:dyDescent="0.15">
      <c r="G220" s="11">
        <v>219</v>
      </c>
      <c r="H220" s="10" t="s">
        <v>440</v>
      </c>
      <c r="I220" t="s">
        <v>1059</v>
      </c>
      <c r="J220" t="s">
        <v>830</v>
      </c>
      <c r="K220" s="61">
        <v>-1.5E-3</v>
      </c>
      <c r="L220" s="57">
        <v>3.5700000000000003E-2</v>
      </c>
      <c r="M220" s="57">
        <v>1.7899999999999999E-2</v>
      </c>
      <c r="N220" s="61">
        <v>2.7699999999999999E-2</v>
      </c>
      <c r="O220" s="57">
        <v>1.46E-2</v>
      </c>
      <c r="P220" s="57">
        <v>4.8500000000000001E-2</v>
      </c>
      <c r="Q220" s="57">
        <v>-0.24859999999999999</v>
      </c>
      <c r="R220" s="57">
        <v>-0.31609999999999999</v>
      </c>
      <c r="S220" s="57">
        <v>0.26240000000000002</v>
      </c>
      <c r="T220">
        <v>69.72</v>
      </c>
      <c r="U220">
        <v>48.75</v>
      </c>
      <c r="V220">
        <v>70.56</v>
      </c>
      <c r="W220" s="20">
        <v>87688.960600000006</v>
      </c>
    </row>
    <row r="221" spans="7:23" x14ac:dyDescent="0.15">
      <c r="G221" s="11">
        <v>220</v>
      </c>
      <c r="H221" t="s">
        <v>532</v>
      </c>
      <c r="I221" t="s">
        <v>236</v>
      </c>
      <c r="J221" t="s">
        <v>830</v>
      </c>
      <c r="K221" s="61">
        <v>-8.0000000000000004E-4</v>
      </c>
      <c r="L221" s="57">
        <v>8.5000000000000006E-3</v>
      </c>
      <c r="M221" s="57">
        <v>9.5999999999999992E-3</v>
      </c>
      <c r="N221" s="61">
        <v>4.0099999999999997E-2</v>
      </c>
      <c r="O221" s="57">
        <v>-4.1200000000000001E-2</v>
      </c>
      <c r="P221" s="57">
        <v>7.8899999999999998E-2</v>
      </c>
      <c r="Q221" s="57">
        <v>-0.10730000000000001</v>
      </c>
      <c r="R221" s="57">
        <v>3.8999999999999998E-3</v>
      </c>
      <c r="S221" s="57">
        <v>1.32E-2</v>
      </c>
      <c r="T221">
        <v>69.58</v>
      </c>
      <c r="U221">
        <v>58.19</v>
      </c>
      <c r="V221">
        <v>61.11</v>
      </c>
      <c r="W221" s="20">
        <v>706.5412</v>
      </c>
    </row>
    <row r="222" spans="7:23" x14ac:dyDescent="0.15">
      <c r="G222" s="11">
        <v>221</v>
      </c>
      <c r="H222" s="10" t="s">
        <v>1963</v>
      </c>
      <c r="I222" t="s">
        <v>1964</v>
      </c>
      <c r="J222" t="s">
        <v>1946</v>
      </c>
      <c r="K222" s="61">
        <v>-1E-4</v>
      </c>
      <c r="L222" s="57">
        <v>1.8200000000000001E-2</v>
      </c>
      <c r="M222" s="57">
        <v>3.2899999999999999E-2</v>
      </c>
      <c r="N222" s="61">
        <v>5.8400000000000001E-2</v>
      </c>
      <c r="O222" s="57">
        <v>-1.3899999999999999E-2</v>
      </c>
      <c r="P222" s="57">
        <v>-1.9E-3</v>
      </c>
      <c r="Q222" s="57">
        <v>-1.9E-3</v>
      </c>
      <c r="R222" s="57">
        <v>-1.9E-3</v>
      </c>
      <c r="S222" s="57">
        <v>-1.9E-3</v>
      </c>
      <c r="T222">
        <v>69.44</v>
      </c>
      <c r="U222">
        <v>70</v>
      </c>
      <c r="V222">
        <v>49.17</v>
      </c>
      <c r="W222" s="20">
        <v>183.02510000000001</v>
      </c>
    </row>
    <row r="223" spans="7:23" x14ac:dyDescent="0.15">
      <c r="G223" s="11">
        <v>222</v>
      </c>
      <c r="H223" t="s">
        <v>630</v>
      </c>
      <c r="I223" t="s">
        <v>953</v>
      </c>
      <c r="J223" t="s">
        <v>830</v>
      </c>
      <c r="K223" s="61">
        <v>1E-4</v>
      </c>
      <c r="L223" s="57">
        <v>3.6900000000000002E-2</v>
      </c>
      <c r="M223" s="57">
        <v>1.24E-2</v>
      </c>
      <c r="N223" s="61">
        <v>6.6000000000000003E-2</v>
      </c>
      <c r="O223" s="57">
        <v>-0.1176</v>
      </c>
      <c r="P223" s="57">
        <v>-6.0000000000000001E-3</v>
      </c>
      <c r="Q223" s="57">
        <v>-0.2646</v>
      </c>
      <c r="R223" s="57">
        <v>-0.12609999999999999</v>
      </c>
      <c r="S223" s="57">
        <v>-0.12609999999999999</v>
      </c>
      <c r="T223">
        <v>69.31</v>
      </c>
      <c r="U223">
        <v>74.72</v>
      </c>
      <c r="V223">
        <v>44.44</v>
      </c>
      <c r="W223" s="20">
        <v>345.30329999999998</v>
      </c>
    </row>
    <row r="224" spans="7:23" x14ac:dyDescent="0.15">
      <c r="G224" s="11">
        <v>223</v>
      </c>
      <c r="H224" s="10" t="s">
        <v>670</v>
      </c>
      <c r="I224" t="s">
        <v>949</v>
      </c>
      <c r="J224" t="s">
        <v>830</v>
      </c>
      <c r="K224" s="61">
        <v>1.2999999999999999E-3</v>
      </c>
      <c r="L224" s="57">
        <v>4.5100000000000001E-2</v>
      </c>
      <c r="M224" s="57">
        <v>5.8400000000000001E-2</v>
      </c>
      <c r="N224" s="61">
        <v>0.1754</v>
      </c>
      <c r="O224" s="57">
        <v>8.2900000000000001E-2</v>
      </c>
      <c r="P224" s="57">
        <v>0.17299999999999999</v>
      </c>
      <c r="Q224" s="57">
        <v>-0.214</v>
      </c>
      <c r="R224" s="57">
        <v>-0.214</v>
      </c>
      <c r="S224" s="57">
        <v>-0.214</v>
      </c>
      <c r="T224">
        <v>69.17</v>
      </c>
      <c r="U224">
        <v>95.42</v>
      </c>
      <c r="V224">
        <v>23.47</v>
      </c>
      <c r="W224" s="20">
        <v>649.9</v>
      </c>
    </row>
    <row r="225" spans="7:23" x14ac:dyDescent="0.15">
      <c r="G225" s="11">
        <v>224</v>
      </c>
      <c r="H225" t="s">
        <v>456</v>
      </c>
      <c r="I225" t="s">
        <v>857</v>
      </c>
      <c r="J225" t="s">
        <v>830</v>
      </c>
      <c r="K225" s="61">
        <v>-8.9999999999999998E-4</v>
      </c>
      <c r="L225" s="57">
        <v>7.9000000000000008E-3</v>
      </c>
      <c r="M225" s="57">
        <v>1.1299999999999999E-2</v>
      </c>
      <c r="N225" s="61">
        <v>3.6299999999999999E-2</v>
      </c>
      <c r="O225" s="57">
        <v>-8.7599999999999997E-2</v>
      </c>
      <c r="P225" s="57">
        <v>-1.6199999999999999E-2</v>
      </c>
      <c r="Q225" s="57">
        <v>-0.23719999999999999</v>
      </c>
      <c r="R225" s="57">
        <v>-0.17879999999999999</v>
      </c>
      <c r="S225" s="57">
        <v>1.47E-2</v>
      </c>
      <c r="T225">
        <v>69.03</v>
      </c>
      <c r="U225">
        <v>55.14</v>
      </c>
      <c r="V225">
        <v>63.61</v>
      </c>
      <c r="W225" s="20">
        <v>456.42759999999998</v>
      </c>
    </row>
    <row r="226" spans="7:23" x14ac:dyDescent="0.15">
      <c r="G226" s="11">
        <v>225</v>
      </c>
      <c r="H226" s="10" t="s">
        <v>1242</v>
      </c>
      <c r="I226" t="s">
        <v>1243</v>
      </c>
      <c r="J226" t="s">
        <v>1609</v>
      </c>
      <c r="K226" s="61">
        <v>6.9999999999999999E-4</v>
      </c>
      <c r="L226" s="57">
        <v>3.85E-2</v>
      </c>
      <c r="M226" s="57">
        <v>-1.6000000000000001E-3</v>
      </c>
      <c r="N226" s="61">
        <v>9.6799999999999997E-2</v>
      </c>
      <c r="O226" s="57">
        <v>-5.3100000000000001E-2</v>
      </c>
      <c r="P226" s="57">
        <v>2.8199999999999999E-2</v>
      </c>
      <c r="Q226" s="57">
        <v>3.0300000000000001E-2</v>
      </c>
      <c r="R226" s="57">
        <v>3.0300000000000001E-2</v>
      </c>
      <c r="S226" s="57">
        <v>3.0300000000000001E-2</v>
      </c>
      <c r="T226">
        <v>68.89</v>
      </c>
      <c r="U226">
        <v>84.03</v>
      </c>
      <c r="V226">
        <v>34.72</v>
      </c>
      <c r="W226" s="20">
        <v>5343.6243000000004</v>
      </c>
    </row>
    <row r="227" spans="7:23" x14ac:dyDescent="0.15">
      <c r="G227" s="11">
        <v>226</v>
      </c>
      <c r="H227" s="10" t="s">
        <v>1525</v>
      </c>
      <c r="I227" t="s">
        <v>1526</v>
      </c>
      <c r="J227" t="s">
        <v>1609</v>
      </c>
      <c r="K227" s="61">
        <v>1E-3</v>
      </c>
      <c r="L227" s="57">
        <v>2.12E-2</v>
      </c>
      <c r="M227" s="57">
        <v>7.6799999999999993E-2</v>
      </c>
      <c r="N227" s="61">
        <v>0.13800000000000001</v>
      </c>
      <c r="O227" s="57">
        <v>-0.09</v>
      </c>
      <c r="P227" s="57">
        <v>8.5699999999999998E-2</v>
      </c>
      <c r="Q227" s="57">
        <v>0.1069</v>
      </c>
      <c r="R227" s="57">
        <v>0.1069</v>
      </c>
      <c r="S227" s="57">
        <v>0.1069</v>
      </c>
      <c r="T227">
        <v>68.75</v>
      </c>
      <c r="U227">
        <v>90</v>
      </c>
      <c r="V227">
        <v>28.61</v>
      </c>
      <c r="W227" s="20">
        <v>3492.9173999999998</v>
      </c>
    </row>
    <row r="228" spans="7:23" x14ac:dyDescent="0.15">
      <c r="G228" s="11">
        <v>227</v>
      </c>
      <c r="H228" s="10" t="s">
        <v>376</v>
      </c>
      <c r="I228" t="s">
        <v>1060</v>
      </c>
      <c r="J228" t="s">
        <v>830</v>
      </c>
      <c r="K228" s="61">
        <v>-1.9E-3</v>
      </c>
      <c r="L228" s="57">
        <v>-2.9600000000000001E-2</v>
      </c>
      <c r="M228" s="57">
        <v>-1.5299999999999999E-2</v>
      </c>
      <c r="N228" s="61">
        <v>1.8800000000000001E-2</v>
      </c>
      <c r="O228" s="57">
        <v>0.13059999999999999</v>
      </c>
      <c r="P228" s="57">
        <v>0.10630000000000001</v>
      </c>
      <c r="Q228" s="57">
        <v>0.59250000000000003</v>
      </c>
      <c r="R228" s="57">
        <v>0.59789999999999999</v>
      </c>
      <c r="S228" s="57">
        <v>0.79039999999999999</v>
      </c>
      <c r="T228">
        <v>68.61</v>
      </c>
      <c r="U228">
        <v>41.94</v>
      </c>
      <c r="V228">
        <v>75.97</v>
      </c>
      <c r="W228" s="20">
        <v>3001.3332700000001</v>
      </c>
    </row>
    <row r="229" spans="7:23" x14ac:dyDescent="0.15">
      <c r="G229" s="11">
        <v>228</v>
      </c>
      <c r="H229" s="10" t="s">
        <v>465</v>
      </c>
      <c r="I229" t="s">
        <v>972</v>
      </c>
      <c r="J229" t="s">
        <v>830</v>
      </c>
      <c r="K229" s="61">
        <v>-6.9999999999999999E-4</v>
      </c>
      <c r="L229" s="57">
        <v>8.8000000000000005E-3</v>
      </c>
      <c r="M229" s="57">
        <v>1.03E-2</v>
      </c>
      <c r="N229" s="61">
        <v>4.1500000000000002E-2</v>
      </c>
      <c r="O229" s="57">
        <v>-3.6499999999999998E-2</v>
      </c>
      <c r="P229" s="57">
        <v>8.77E-2</v>
      </c>
      <c r="Q229" s="57">
        <v>-8.72E-2</v>
      </c>
      <c r="R229" s="57">
        <v>9.9299999999999999E-2</v>
      </c>
      <c r="S229" s="57">
        <v>0.49020000000000002</v>
      </c>
      <c r="T229">
        <v>68.47</v>
      </c>
      <c r="U229">
        <v>59.31</v>
      </c>
      <c r="V229">
        <v>58.47</v>
      </c>
      <c r="W229" s="20">
        <v>1203.5624</v>
      </c>
    </row>
    <row r="230" spans="7:23" x14ac:dyDescent="0.15">
      <c r="G230" s="11">
        <v>229</v>
      </c>
      <c r="H230" s="10" t="s">
        <v>483</v>
      </c>
      <c r="I230" t="s">
        <v>1012</v>
      </c>
      <c r="J230" t="s">
        <v>830</v>
      </c>
      <c r="K230" s="61">
        <v>1.1000000000000001E-3</v>
      </c>
      <c r="L230" s="57">
        <v>4.0899999999999999E-2</v>
      </c>
      <c r="M230" s="57">
        <v>3.7999999999999999E-2</v>
      </c>
      <c r="N230" s="61">
        <v>0.1399</v>
      </c>
      <c r="O230" s="57">
        <v>8.2299999999999998E-2</v>
      </c>
      <c r="P230" s="57">
        <v>0.21909999999999999</v>
      </c>
      <c r="Q230" s="57">
        <v>-0.18590000000000001</v>
      </c>
      <c r="R230" s="57">
        <v>-0.16089999999999999</v>
      </c>
      <c r="S230" s="57">
        <v>-0.16089999999999999</v>
      </c>
      <c r="T230">
        <v>68.33</v>
      </c>
      <c r="U230">
        <v>90.83</v>
      </c>
      <c r="V230">
        <v>26.53</v>
      </c>
      <c r="W230" s="20">
        <v>3675.4063000000001</v>
      </c>
    </row>
    <row r="231" spans="7:23" x14ac:dyDescent="0.15">
      <c r="G231" s="11">
        <v>230</v>
      </c>
      <c r="H231" s="10" t="s">
        <v>1533</v>
      </c>
      <c r="I231" t="s">
        <v>1534</v>
      </c>
      <c r="J231" t="s">
        <v>1609</v>
      </c>
      <c r="K231" s="61">
        <v>1.1000000000000001E-3</v>
      </c>
      <c r="L231" s="57">
        <v>2.1700000000000001E-2</v>
      </c>
      <c r="M231" s="57">
        <v>7.7499999999999999E-2</v>
      </c>
      <c r="N231" s="61">
        <v>0.13930000000000001</v>
      </c>
      <c r="O231" s="57">
        <v>-8.7400000000000005E-2</v>
      </c>
      <c r="P231" s="57">
        <v>-3.7600000000000001E-2</v>
      </c>
      <c r="Q231" s="57">
        <v>-0.06</v>
      </c>
      <c r="R231" s="57">
        <v>-0.06</v>
      </c>
      <c r="S231" s="57">
        <v>-0.06</v>
      </c>
      <c r="T231">
        <v>68.19</v>
      </c>
      <c r="U231">
        <v>90.42</v>
      </c>
      <c r="V231">
        <v>26.67</v>
      </c>
      <c r="W231" s="20">
        <v>2212.4886000000001</v>
      </c>
    </row>
    <row r="232" spans="7:23" x14ac:dyDescent="0.15">
      <c r="G232" s="11">
        <v>231</v>
      </c>
      <c r="H232" s="10" t="s">
        <v>1463</v>
      </c>
      <c r="I232" t="s">
        <v>1464</v>
      </c>
      <c r="J232" t="s">
        <v>1609</v>
      </c>
      <c r="K232" s="61">
        <v>5.9999999999999995E-4</v>
      </c>
      <c r="L232" s="57">
        <v>5.5199999999999999E-2</v>
      </c>
      <c r="M232" s="57">
        <v>3.3000000000000002E-2</v>
      </c>
      <c r="N232" s="61">
        <v>8.9800000000000005E-2</v>
      </c>
      <c r="O232" s="57">
        <v>-2.3999999999999998E-3</v>
      </c>
      <c r="P232" s="57">
        <v>2.4899999999999999E-2</v>
      </c>
      <c r="Q232" s="57">
        <v>-0.23599999999999999</v>
      </c>
      <c r="R232" s="57">
        <v>-0.37140000000000001</v>
      </c>
      <c r="S232" s="57">
        <v>-0.37140000000000001</v>
      </c>
      <c r="T232">
        <v>68.06</v>
      </c>
      <c r="U232">
        <v>81.67</v>
      </c>
      <c r="V232">
        <v>35.42</v>
      </c>
      <c r="W232" s="20">
        <v>7373.2902000000004</v>
      </c>
    </row>
    <row r="233" spans="7:23" x14ac:dyDescent="0.15">
      <c r="G233" s="11">
        <v>232</v>
      </c>
      <c r="H233" s="10" t="s">
        <v>565</v>
      </c>
      <c r="I233" t="s">
        <v>880</v>
      </c>
      <c r="J233" t="s">
        <v>830</v>
      </c>
      <c r="K233" s="61">
        <v>-8.0000000000000004E-4</v>
      </c>
      <c r="L233" s="57">
        <v>7.9000000000000008E-3</v>
      </c>
      <c r="M233" s="57">
        <v>8.9999999999999993E-3</v>
      </c>
      <c r="N233" s="61">
        <v>3.6600000000000001E-2</v>
      </c>
      <c r="O233" s="57">
        <v>-3.5900000000000001E-2</v>
      </c>
      <c r="P233" s="57">
        <v>7.2499999999999995E-2</v>
      </c>
      <c r="Q233" s="57">
        <v>-9.5000000000000001E-2</v>
      </c>
      <c r="R233" s="57">
        <v>5.8799999999999998E-2</v>
      </c>
      <c r="S233" s="57">
        <v>0.38900000000000001</v>
      </c>
      <c r="T233">
        <v>67.92</v>
      </c>
      <c r="U233">
        <v>55.42</v>
      </c>
      <c r="V233">
        <v>61.67</v>
      </c>
      <c r="W233" s="20">
        <v>369.10640000000001</v>
      </c>
    </row>
    <row r="234" spans="7:23" x14ac:dyDescent="0.15">
      <c r="G234" s="11">
        <v>233</v>
      </c>
      <c r="H234" s="10" t="s">
        <v>1306</v>
      </c>
      <c r="I234" t="s">
        <v>1307</v>
      </c>
      <c r="J234" t="s">
        <v>1609</v>
      </c>
      <c r="K234" s="61">
        <v>-4.0000000000000002E-4</v>
      </c>
      <c r="L234" s="57">
        <v>1.11E-2</v>
      </c>
      <c r="M234" s="57">
        <v>3.4099999999999998E-2</v>
      </c>
      <c r="N234" s="61">
        <v>4.6100000000000002E-2</v>
      </c>
      <c r="O234" s="57">
        <v>-5.8200000000000002E-2</v>
      </c>
      <c r="P234" s="57">
        <v>1.7000000000000001E-2</v>
      </c>
      <c r="Q234" s="57">
        <v>-0.2147</v>
      </c>
      <c r="R234" s="57">
        <v>-0.2147</v>
      </c>
      <c r="S234" s="57">
        <v>-0.2147</v>
      </c>
      <c r="T234">
        <v>67.78</v>
      </c>
      <c r="U234">
        <v>62.92</v>
      </c>
      <c r="V234">
        <v>53.89</v>
      </c>
      <c r="W234" s="20">
        <v>2736.4176000000002</v>
      </c>
    </row>
    <row r="235" spans="7:23" x14ac:dyDescent="0.15">
      <c r="G235" s="11">
        <v>234</v>
      </c>
      <c r="H235" s="10" t="s">
        <v>1372</v>
      </c>
      <c r="I235" t="s">
        <v>1373</v>
      </c>
      <c r="J235" t="s">
        <v>1609</v>
      </c>
      <c r="K235" s="61">
        <v>-1.4E-3</v>
      </c>
      <c r="L235" s="57">
        <v>1.52E-2</v>
      </c>
      <c r="M235" s="57">
        <v>2.8400000000000002E-2</v>
      </c>
      <c r="N235" s="61">
        <v>2.47E-2</v>
      </c>
      <c r="O235" s="57">
        <v>-8.4900000000000003E-2</v>
      </c>
      <c r="P235" s="57">
        <v>-2.1499999999999998E-2</v>
      </c>
      <c r="Q235" s="57">
        <v>-0.2036</v>
      </c>
      <c r="R235" s="57">
        <v>-0.14480000000000001</v>
      </c>
      <c r="S235" s="57">
        <v>-0.14480000000000001</v>
      </c>
      <c r="T235">
        <v>67.64</v>
      </c>
      <c r="U235">
        <v>47.22</v>
      </c>
      <c r="V235">
        <v>69.03</v>
      </c>
      <c r="W235" s="20">
        <v>3418.2392799999998</v>
      </c>
    </row>
    <row r="236" spans="7:23" x14ac:dyDescent="0.15">
      <c r="G236" s="11">
        <v>235</v>
      </c>
      <c r="H236" s="10" t="s">
        <v>708</v>
      </c>
      <c r="I236" t="s">
        <v>1098</v>
      </c>
      <c r="J236" t="s">
        <v>830</v>
      </c>
      <c r="K236" s="61">
        <v>-1E-4</v>
      </c>
      <c r="L236" s="57">
        <v>1.5900000000000001E-2</v>
      </c>
      <c r="M236" s="57">
        <v>3.9600000000000003E-2</v>
      </c>
      <c r="N236" s="61">
        <v>5.0299999999999997E-2</v>
      </c>
      <c r="O236" s="57">
        <v>-5.6000000000000001E-2</v>
      </c>
      <c r="P236" s="57">
        <v>2.3699999999999999E-2</v>
      </c>
      <c r="Q236" s="57">
        <v>-0.2021</v>
      </c>
      <c r="R236" s="57">
        <v>-0.19589999999999999</v>
      </c>
      <c r="S236" s="57">
        <v>-0.19589999999999999</v>
      </c>
      <c r="T236">
        <v>67.5</v>
      </c>
      <c r="U236">
        <v>66.39</v>
      </c>
      <c r="V236">
        <v>49.31</v>
      </c>
      <c r="W236" s="20">
        <v>6199.1315399999994</v>
      </c>
    </row>
    <row r="237" spans="7:23" x14ac:dyDescent="0.15">
      <c r="G237" s="11">
        <v>236</v>
      </c>
      <c r="H237" t="s">
        <v>411</v>
      </c>
      <c r="I237" t="s">
        <v>1111</v>
      </c>
      <c r="J237" t="s">
        <v>830</v>
      </c>
      <c r="K237" s="61">
        <v>-8.0000000000000004E-4</v>
      </c>
      <c r="L237" s="57">
        <v>2.2000000000000001E-3</v>
      </c>
      <c r="M237" s="57">
        <v>-7.6E-3</v>
      </c>
      <c r="N237" s="61">
        <v>3.5000000000000003E-2</v>
      </c>
      <c r="O237" s="57">
        <v>-9.4700000000000006E-2</v>
      </c>
      <c r="P237" s="57">
        <v>7.9699999999999993E-2</v>
      </c>
      <c r="Q237" s="57">
        <v>-0.11070000000000001</v>
      </c>
      <c r="R237" s="57">
        <v>4.3900000000000002E-2</v>
      </c>
      <c r="S237" s="57">
        <v>0.45960000000000001</v>
      </c>
      <c r="T237">
        <v>67.36</v>
      </c>
      <c r="U237">
        <v>53.61</v>
      </c>
      <c r="V237">
        <v>62.08</v>
      </c>
      <c r="W237" s="20">
        <v>208897.00320000001</v>
      </c>
    </row>
    <row r="238" spans="7:23" x14ac:dyDescent="0.15">
      <c r="G238" s="11">
        <v>237</v>
      </c>
      <c r="H238" s="10" t="s">
        <v>658</v>
      </c>
      <c r="I238" t="s">
        <v>931</v>
      </c>
      <c r="J238" t="s">
        <v>830</v>
      </c>
      <c r="K238" s="61">
        <v>-2.0000000000000001E-4</v>
      </c>
      <c r="L238" s="57">
        <v>1.5900000000000001E-2</v>
      </c>
      <c r="M238" s="57">
        <v>3.9399999999999998E-2</v>
      </c>
      <c r="N238" s="61">
        <v>4.9700000000000001E-2</v>
      </c>
      <c r="O238" s="57">
        <v>-5.5399999999999998E-2</v>
      </c>
      <c r="P238" s="57">
        <v>2.2200000000000001E-2</v>
      </c>
      <c r="Q238" s="57">
        <v>-0.2026</v>
      </c>
      <c r="R238" s="57">
        <v>-0.23580000000000001</v>
      </c>
      <c r="S238" s="57">
        <v>-1.6999999999999999E-3</v>
      </c>
      <c r="T238">
        <v>67.22</v>
      </c>
      <c r="U238">
        <v>65.56</v>
      </c>
      <c r="V238">
        <v>50</v>
      </c>
      <c r="W238" s="20">
        <v>929.54679999999996</v>
      </c>
    </row>
    <row r="239" spans="7:23" x14ac:dyDescent="0.15">
      <c r="G239" s="11">
        <v>238</v>
      </c>
      <c r="H239" s="10" t="s">
        <v>637</v>
      </c>
      <c r="I239" t="s">
        <v>971</v>
      </c>
      <c r="J239" t="s">
        <v>830</v>
      </c>
      <c r="K239" s="61">
        <v>1E-3</v>
      </c>
      <c r="L239" s="57">
        <v>2.5700000000000001E-2</v>
      </c>
      <c r="M239" s="57">
        <v>2.1700000000000001E-2</v>
      </c>
      <c r="N239" s="61">
        <v>0.1109</v>
      </c>
      <c r="O239" s="57">
        <v>8.8200000000000001E-2</v>
      </c>
      <c r="P239" s="57">
        <v>0.22770000000000001</v>
      </c>
      <c r="Q239" s="57">
        <v>-0.1709</v>
      </c>
      <c r="R239" s="57">
        <v>-0.1648</v>
      </c>
      <c r="S239" s="57">
        <v>-0.1648</v>
      </c>
      <c r="T239">
        <v>67.08</v>
      </c>
      <c r="U239">
        <v>87.36</v>
      </c>
      <c r="V239">
        <v>28.19</v>
      </c>
      <c r="W239" s="20">
        <v>11334.383099999999</v>
      </c>
    </row>
    <row r="240" spans="7:23" x14ac:dyDescent="0.15">
      <c r="G240" s="11">
        <v>239</v>
      </c>
      <c r="H240" t="s">
        <v>385</v>
      </c>
      <c r="I240" t="s">
        <v>1198</v>
      </c>
      <c r="J240" t="s">
        <v>1175</v>
      </c>
      <c r="K240" s="61">
        <v>-4.3E-3</v>
      </c>
      <c r="L240" s="57">
        <v>4.8999999999999998E-3</v>
      </c>
      <c r="M240" s="57">
        <v>9.9000000000000008E-3</v>
      </c>
      <c r="N240" s="61">
        <v>2.8E-3</v>
      </c>
      <c r="O240" s="57">
        <v>-4.0800000000000003E-2</v>
      </c>
      <c r="P240" s="57">
        <v>-9.4000000000000004E-3</v>
      </c>
      <c r="Q240" s="57">
        <v>-7.3400000000000007E-2</v>
      </c>
      <c r="R240" s="57">
        <v>-1.1999999999999999E-3</v>
      </c>
      <c r="S240" s="57">
        <v>0.30659999999999998</v>
      </c>
      <c r="T240">
        <v>66.94</v>
      </c>
      <c r="U240">
        <v>25.42</v>
      </c>
      <c r="V240">
        <v>90</v>
      </c>
      <c r="W240" s="20">
        <v>2755.0896438</v>
      </c>
    </row>
    <row r="241" spans="7:23" x14ac:dyDescent="0.15">
      <c r="G241" s="11">
        <v>240</v>
      </c>
      <c r="H241" t="s">
        <v>571</v>
      </c>
      <c r="I241" t="s">
        <v>1543</v>
      </c>
      <c r="J241" t="s">
        <v>1609</v>
      </c>
      <c r="K241" s="61">
        <v>1.9E-3</v>
      </c>
      <c r="L241" s="57">
        <v>5.74E-2</v>
      </c>
      <c r="M241" s="57">
        <v>0.11550000000000001</v>
      </c>
      <c r="N241" s="61">
        <v>0.1925</v>
      </c>
      <c r="O241" s="57">
        <v>-5.4899999999999997E-2</v>
      </c>
      <c r="P241" s="57">
        <v>-1.6000000000000001E-3</v>
      </c>
      <c r="Q241" s="57">
        <v>-0.25359999999999999</v>
      </c>
      <c r="R241" s="57">
        <v>-0.25359999999999999</v>
      </c>
      <c r="S241" s="57">
        <v>-0.25359999999999999</v>
      </c>
      <c r="T241">
        <v>66.81</v>
      </c>
      <c r="U241">
        <v>97.36</v>
      </c>
      <c r="V241">
        <v>17.920000000000002</v>
      </c>
      <c r="W241" s="20">
        <v>10318.5579</v>
      </c>
    </row>
    <row r="242" spans="7:23" x14ac:dyDescent="0.15">
      <c r="G242" s="11">
        <v>241</v>
      </c>
      <c r="H242" s="10" t="s">
        <v>265</v>
      </c>
      <c r="I242" t="s">
        <v>825</v>
      </c>
      <c r="J242" t="s">
        <v>793</v>
      </c>
      <c r="K242" s="61">
        <v>-5.1999999999999998E-3</v>
      </c>
      <c r="L242" s="57">
        <v>-1.67E-2</v>
      </c>
      <c r="M242" s="57">
        <v>-5.4800000000000001E-2</v>
      </c>
      <c r="N242" s="61">
        <v>6.9999999999999999E-4</v>
      </c>
      <c r="O242" s="57">
        <v>-0.12230000000000001</v>
      </c>
      <c r="P242" s="57">
        <v>0.17150000000000001</v>
      </c>
      <c r="Q242" s="57">
        <v>-0.1293</v>
      </c>
      <c r="R242" s="57">
        <v>0.20230000000000001</v>
      </c>
      <c r="S242" s="57">
        <v>1.2821</v>
      </c>
      <c r="T242">
        <v>66.67</v>
      </c>
      <c r="U242">
        <v>22.64</v>
      </c>
      <c r="V242">
        <v>92.64</v>
      </c>
      <c r="W242" s="20">
        <v>311.72519999999997</v>
      </c>
    </row>
    <row r="243" spans="7:23" x14ac:dyDescent="0.15">
      <c r="G243" s="11">
        <v>242</v>
      </c>
      <c r="H243" s="10" t="s">
        <v>718</v>
      </c>
      <c r="I243" t="s">
        <v>1131</v>
      </c>
      <c r="J243" t="s">
        <v>1212</v>
      </c>
      <c r="K243" s="61">
        <v>8.9999999999999998E-4</v>
      </c>
      <c r="L243" s="57">
        <v>3.1E-2</v>
      </c>
      <c r="M243" s="57">
        <v>9.0399999999999994E-2</v>
      </c>
      <c r="N243" s="61">
        <v>0.1022</v>
      </c>
      <c r="O243" s="57">
        <v>-3.5900000000000001E-2</v>
      </c>
      <c r="P243" s="57">
        <v>-2.69E-2</v>
      </c>
      <c r="Q243" s="57">
        <v>-0.2029</v>
      </c>
      <c r="R243" s="57">
        <v>-0.31859999999999999</v>
      </c>
      <c r="S243" s="57">
        <v>-0.36649999999999999</v>
      </c>
      <c r="T243">
        <v>66.53</v>
      </c>
      <c r="U243">
        <v>85.69</v>
      </c>
      <c r="V243">
        <v>29.58</v>
      </c>
      <c r="W243" s="20">
        <v>62410.487000000001</v>
      </c>
    </row>
    <row r="244" spans="7:23" x14ac:dyDescent="0.15">
      <c r="G244" s="11">
        <v>243</v>
      </c>
      <c r="H244" s="10" t="s">
        <v>546</v>
      </c>
      <c r="I244" t="s">
        <v>951</v>
      </c>
      <c r="J244" t="s">
        <v>830</v>
      </c>
      <c r="K244" s="61">
        <v>-1.9E-3</v>
      </c>
      <c r="L244" s="57">
        <v>1.8E-3</v>
      </c>
      <c r="M244" s="57">
        <v>6.3E-3</v>
      </c>
      <c r="N244" s="61">
        <v>1.6299999999999999E-2</v>
      </c>
      <c r="O244" s="57">
        <v>-7.9600000000000004E-2</v>
      </c>
      <c r="P244" s="57">
        <v>1.6999999999999999E-3</v>
      </c>
      <c r="Q244" s="57">
        <v>-0.1711</v>
      </c>
      <c r="R244" s="57">
        <v>-4.2799999999999998E-2</v>
      </c>
      <c r="S244" s="57">
        <v>0.34899999999999998</v>
      </c>
      <c r="T244">
        <v>66.39</v>
      </c>
      <c r="U244">
        <v>39.58</v>
      </c>
      <c r="V244">
        <v>75.69</v>
      </c>
      <c r="W244" s="20">
        <v>1951.3266000000001</v>
      </c>
    </row>
    <row r="245" spans="7:23" x14ac:dyDescent="0.15">
      <c r="G245" s="11">
        <v>244</v>
      </c>
      <c r="H245" t="s">
        <v>692</v>
      </c>
      <c r="I245" t="s">
        <v>969</v>
      </c>
      <c r="J245" t="s">
        <v>830</v>
      </c>
      <c r="K245" s="61">
        <v>1.1000000000000001E-3</v>
      </c>
      <c r="L245" s="57">
        <v>3.32E-2</v>
      </c>
      <c r="M245" s="57">
        <v>4.0300000000000002E-2</v>
      </c>
      <c r="N245" s="61">
        <v>0.12540000000000001</v>
      </c>
      <c r="O245" s="57">
        <v>5.8599999999999999E-2</v>
      </c>
      <c r="P245" s="57">
        <v>0.19439999999999999</v>
      </c>
      <c r="Q245" s="57">
        <v>-6.2399999999999997E-2</v>
      </c>
      <c r="R245" s="57">
        <v>3.2899999999999999E-2</v>
      </c>
      <c r="S245" s="57">
        <v>3.2899999999999999E-2</v>
      </c>
      <c r="T245">
        <v>66.25</v>
      </c>
      <c r="U245">
        <v>89.03</v>
      </c>
      <c r="V245">
        <v>26.11</v>
      </c>
      <c r="W245" s="20">
        <v>1855.5612249999999</v>
      </c>
    </row>
    <row r="246" spans="7:23" x14ac:dyDescent="0.15">
      <c r="G246" s="11">
        <v>245</v>
      </c>
      <c r="H246" s="10" t="s">
        <v>346</v>
      </c>
      <c r="I246" t="s">
        <v>1187</v>
      </c>
      <c r="J246" t="s">
        <v>1175</v>
      </c>
      <c r="K246" s="61">
        <v>-4.3E-3</v>
      </c>
      <c r="L246" s="57">
        <v>8.9999999999999998E-4</v>
      </c>
      <c r="M246" s="57">
        <v>2.5999999999999999E-3</v>
      </c>
      <c r="N246" s="61">
        <v>2.5999999999999999E-3</v>
      </c>
      <c r="O246" s="57">
        <v>-1.21E-2</v>
      </c>
      <c r="P246" s="57">
        <v>-4.0000000000000002E-4</v>
      </c>
      <c r="Q246" s="57">
        <v>-1.6400000000000001E-2</v>
      </c>
      <c r="R246" s="57">
        <v>5.5100000000000003E-2</v>
      </c>
      <c r="S246" s="57">
        <v>0.36940000000000001</v>
      </c>
      <c r="T246">
        <v>66.11</v>
      </c>
      <c r="U246">
        <v>25.28</v>
      </c>
      <c r="V246">
        <v>89.72</v>
      </c>
      <c r="W246" s="20">
        <v>235.27427749999998</v>
      </c>
    </row>
    <row r="247" spans="7:23" x14ac:dyDescent="0.15">
      <c r="G247" s="11">
        <v>246</v>
      </c>
      <c r="H247" s="10" t="s">
        <v>289</v>
      </c>
      <c r="I247" t="s">
        <v>19</v>
      </c>
      <c r="J247" t="s">
        <v>828</v>
      </c>
      <c r="K247" s="61">
        <v>-2.7799999999999998E-2</v>
      </c>
      <c r="L247" s="57">
        <v>-2.8E-3</v>
      </c>
      <c r="M247" s="57">
        <v>-3.8999999999999998E-3</v>
      </c>
      <c r="N247" s="61">
        <v>-3.7000000000000002E-3</v>
      </c>
      <c r="O247" s="57">
        <v>-2.5999999999999999E-3</v>
      </c>
      <c r="P247" s="57">
        <v>3.3999999999999998E-3</v>
      </c>
      <c r="Q247" s="57">
        <v>1.6400000000000001E-2</v>
      </c>
      <c r="R247" s="57">
        <v>4.4200000000000003E-2</v>
      </c>
      <c r="S247" s="57">
        <v>7.9899999999999999E-2</v>
      </c>
      <c r="T247">
        <v>65.97</v>
      </c>
      <c r="U247">
        <v>17.079999999999998</v>
      </c>
      <c r="V247">
        <v>97.92</v>
      </c>
      <c r="W247" s="20">
        <v>64.651308299999997</v>
      </c>
    </row>
    <row r="248" spans="7:23" x14ac:dyDescent="0.15">
      <c r="G248" s="11">
        <v>247</v>
      </c>
      <c r="H248" s="10" t="s">
        <v>634</v>
      </c>
      <c r="I248" t="s">
        <v>1042</v>
      </c>
      <c r="J248" t="s">
        <v>830</v>
      </c>
      <c r="K248" s="61">
        <v>6.9999999999999999E-4</v>
      </c>
      <c r="L248" s="57">
        <v>5.0200000000000002E-2</v>
      </c>
      <c r="M248" s="57">
        <v>2.3599999999999999E-2</v>
      </c>
      <c r="N248" s="61">
        <v>8.9700000000000002E-2</v>
      </c>
      <c r="O248" s="57">
        <v>-0.13880000000000001</v>
      </c>
      <c r="P248" s="57">
        <v>-1.3100000000000001E-2</v>
      </c>
      <c r="Q248" s="57">
        <v>-0.2868</v>
      </c>
      <c r="R248" s="57">
        <v>-0.3145</v>
      </c>
      <c r="S248" s="57">
        <v>-0.13370000000000001</v>
      </c>
      <c r="T248">
        <v>65.83</v>
      </c>
      <c r="U248">
        <v>81.39</v>
      </c>
      <c r="V248">
        <v>33.61</v>
      </c>
      <c r="W248" s="20">
        <v>7370.2155000000002</v>
      </c>
    </row>
    <row r="249" spans="7:23" x14ac:dyDescent="0.15">
      <c r="G249" s="11">
        <v>248</v>
      </c>
      <c r="H249" s="10" t="s">
        <v>1246</v>
      </c>
      <c r="I249" t="s">
        <v>1247</v>
      </c>
      <c r="J249" t="s">
        <v>1609</v>
      </c>
      <c r="K249" s="61">
        <v>2.9999999999999997E-4</v>
      </c>
      <c r="L249" s="57">
        <v>8.8000000000000005E-3</v>
      </c>
      <c r="M249" s="57">
        <v>-3.6900000000000002E-2</v>
      </c>
      <c r="N249" s="61">
        <v>6.4699999999999994E-2</v>
      </c>
      <c r="O249" s="57">
        <v>-0.1021</v>
      </c>
      <c r="P249" s="57">
        <v>2.0500000000000001E-2</v>
      </c>
      <c r="Q249" s="57">
        <v>-0.2828</v>
      </c>
      <c r="R249" s="57">
        <v>-0.3372</v>
      </c>
      <c r="S249" s="57">
        <v>-0.3372</v>
      </c>
      <c r="T249">
        <v>65.69</v>
      </c>
      <c r="U249">
        <v>73.06</v>
      </c>
      <c r="V249">
        <v>41.81</v>
      </c>
      <c r="W249" s="20">
        <v>1971.7574999999999</v>
      </c>
    </row>
    <row r="250" spans="7:23" x14ac:dyDescent="0.15">
      <c r="G250" s="11">
        <v>249</v>
      </c>
      <c r="H250" t="s">
        <v>1279</v>
      </c>
      <c r="I250" t="s">
        <v>1280</v>
      </c>
      <c r="J250" t="s">
        <v>1609</v>
      </c>
      <c r="K250" s="61">
        <v>2.0000000000000001E-4</v>
      </c>
      <c r="L250" s="57">
        <v>1.43E-2</v>
      </c>
      <c r="M250" s="57">
        <v>6.7100000000000007E-2</v>
      </c>
      <c r="N250" s="61">
        <v>6.1400000000000003E-2</v>
      </c>
      <c r="O250" s="57">
        <v>-9.9900000000000003E-2</v>
      </c>
      <c r="P250" s="57">
        <v>-0.1206</v>
      </c>
      <c r="Q250" s="57">
        <v>-0.14419999999999999</v>
      </c>
      <c r="R250" s="57">
        <v>-0.14419999999999999</v>
      </c>
      <c r="S250" s="57">
        <v>-0.14419999999999999</v>
      </c>
      <c r="T250">
        <v>65.56</v>
      </c>
      <c r="U250">
        <v>71.11</v>
      </c>
      <c r="V250">
        <v>43.75</v>
      </c>
      <c r="W250" s="20">
        <v>638.95649000000003</v>
      </c>
    </row>
    <row r="251" spans="7:23" x14ac:dyDescent="0.15">
      <c r="G251" s="11">
        <v>250</v>
      </c>
      <c r="H251" t="s">
        <v>326</v>
      </c>
      <c r="I251" t="s">
        <v>1023</v>
      </c>
      <c r="J251" t="s">
        <v>830</v>
      </c>
      <c r="K251" s="61">
        <v>-8.9999999999999998E-4</v>
      </c>
      <c r="L251" s="57">
        <v>-1.6000000000000001E-3</v>
      </c>
      <c r="M251" s="57">
        <v>-3.3300000000000003E-2</v>
      </c>
      <c r="N251" s="61">
        <v>3.1199999999999999E-2</v>
      </c>
      <c r="O251" s="57">
        <v>-8.6699999999999999E-2</v>
      </c>
      <c r="P251" s="57">
        <v>6.6500000000000004E-2</v>
      </c>
      <c r="Q251" s="57">
        <v>-0.27260000000000001</v>
      </c>
      <c r="R251" s="57">
        <v>-0.33239999999999997</v>
      </c>
      <c r="S251" s="57">
        <v>-0.33239999999999997</v>
      </c>
      <c r="T251">
        <v>65.42</v>
      </c>
      <c r="U251">
        <v>51.25</v>
      </c>
      <c r="V251">
        <v>63.19</v>
      </c>
      <c r="W251" s="20">
        <v>3885.5057000000002</v>
      </c>
    </row>
    <row r="252" spans="7:23" x14ac:dyDescent="0.15">
      <c r="G252" s="11">
        <v>251</v>
      </c>
      <c r="H252" s="10" t="s">
        <v>665</v>
      </c>
      <c r="I252" t="s">
        <v>1196</v>
      </c>
      <c r="J252" t="s">
        <v>1175</v>
      </c>
      <c r="K252" s="61">
        <v>-4.5999999999999999E-3</v>
      </c>
      <c r="L252" s="57">
        <v>-9.9000000000000008E-3</v>
      </c>
      <c r="M252" s="57">
        <v>1.2800000000000001E-2</v>
      </c>
      <c r="N252" s="61">
        <v>1.5E-3</v>
      </c>
      <c r="O252" s="57">
        <v>-4.3400000000000001E-2</v>
      </c>
      <c r="P252" s="57">
        <v>-8.3900000000000002E-2</v>
      </c>
      <c r="Q252" s="57">
        <v>-4.4299999999999999E-2</v>
      </c>
      <c r="R252" s="57">
        <v>2.4299999999999999E-2</v>
      </c>
      <c r="S252" s="57">
        <v>-1.4500000000000001E-2</v>
      </c>
      <c r="T252">
        <v>65.28</v>
      </c>
      <c r="U252">
        <v>23.61</v>
      </c>
      <c r="V252">
        <v>90.83</v>
      </c>
      <c r="W252" s="20">
        <v>177.79349999999999</v>
      </c>
    </row>
    <row r="253" spans="7:23" x14ac:dyDescent="0.15">
      <c r="G253" s="11">
        <v>252</v>
      </c>
      <c r="H253" s="10" t="s">
        <v>294</v>
      </c>
      <c r="I253" t="s">
        <v>1291</v>
      </c>
      <c r="J253" t="s">
        <v>1609</v>
      </c>
      <c r="K253" s="61">
        <v>-9.2999999999999992E-3</v>
      </c>
      <c r="L253" s="57">
        <v>-3.5999999999999999E-3</v>
      </c>
      <c r="M253" s="57">
        <v>-4.3E-3</v>
      </c>
      <c r="N253" s="61">
        <v>-3.0000000000000001E-3</v>
      </c>
      <c r="O253" s="57">
        <v>-1.4E-3</v>
      </c>
      <c r="P253" s="57">
        <v>1.47E-2</v>
      </c>
      <c r="Q253" s="57">
        <v>4.6199999999999998E-2</v>
      </c>
      <c r="R253" s="57">
        <v>9.6299999999999997E-2</v>
      </c>
      <c r="S253" s="57">
        <v>0.13109999999999999</v>
      </c>
      <c r="T253">
        <v>65.14</v>
      </c>
      <c r="U253">
        <v>17.64</v>
      </c>
      <c r="V253">
        <v>96.67</v>
      </c>
      <c r="W253" s="20">
        <v>20320.374500000002</v>
      </c>
    </row>
    <row r="254" spans="7:23" x14ac:dyDescent="0.15">
      <c r="G254" s="11">
        <v>253</v>
      </c>
      <c r="H254" s="10" t="s">
        <v>524</v>
      </c>
      <c r="I254" t="s">
        <v>882</v>
      </c>
      <c r="J254" t="s">
        <v>830</v>
      </c>
      <c r="K254" s="61">
        <v>2.9999999999999997E-4</v>
      </c>
      <c r="L254" s="57">
        <v>3.6299999999999999E-2</v>
      </c>
      <c r="M254" s="57">
        <v>2.23E-2</v>
      </c>
      <c r="N254" s="61">
        <v>6.5299999999999997E-2</v>
      </c>
      <c r="O254" s="57">
        <v>-9.0899999999999995E-2</v>
      </c>
      <c r="P254" s="57">
        <v>1.44E-2</v>
      </c>
      <c r="Q254" s="57">
        <v>-0.2601</v>
      </c>
      <c r="R254" s="57">
        <v>-0.29720000000000002</v>
      </c>
      <c r="S254" s="57">
        <v>-0.29720000000000002</v>
      </c>
      <c r="T254">
        <v>65</v>
      </c>
      <c r="U254">
        <v>73.61</v>
      </c>
      <c r="V254">
        <v>40.69</v>
      </c>
      <c r="W254" s="20">
        <v>997.97140000000002</v>
      </c>
    </row>
    <row r="255" spans="7:23" x14ac:dyDescent="0.15">
      <c r="G255" s="11">
        <v>254</v>
      </c>
      <c r="H255" s="10" t="s">
        <v>681</v>
      </c>
      <c r="I255" t="s">
        <v>1052</v>
      </c>
      <c r="J255" t="s">
        <v>830</v>
      </c>
      <c r="K255" s="61">
        <v>-2.8999999999999998E-3</v>
      </c>
      <c r="L255" s="57">
        <v>-4.3E-3</v>
      </c>
      <c r="M255" s="57">
        <v>0.10979999999999999</v>
      </c>
      <c r="N255" s="61">
        <v>7.3000000000000001E-3</v>
      </c>
      <c r="O255" s="57">
        <v>-1.52E-2</v>
      </c>
      <c r="P255" s="57">
        <v>-4.6399999999999997E-2</v>
      </c>
      <c r="Q255" s="57">
        <v>-7.4300000000000005E-2</v>
      </c>
      <c r="R255" s="57">
        <v>-7.4300000000000005E-2</v>
      </c>
      <c r="S255" s="57">
        <v>-7.4300000000000005E-2</v>
      </c>
      <c r="T255">
        <v>64.86</v>
      </c>
      <c r="U255">
        <v>30.69</v>
      </c>
      <c r="V255">
        <v>83.61</v>
      </c>
      <c r="W255" s="20">
        <v>2854.7837651</v>
      </c>
    </row>
    <row r="256" spans="7:23" x14ac:dyDescent="0.15">
      <c r="G256" s="11">
        <v>255</v>
      </c>
      <c r="H256" s="10" t="s">
        <v>1384</v>
      </c>
      <c r="I256" t="s">
        <v>1385</v>
      </c>
      <c r="J256" t="s">
        <v>1609</v>
      </c>
      <c r="K256" s="61">
        <v>-5.9999999999999995E-4</v>
      </c>
      <c r="L256" s="57">
        <v>1.37E-2</v>
      </c>
      <c r="M256" s="57">
        <v>-1.0200000000000001E-2</v>
      </c>
      <c r="N256" s="61">
        <v>3.9100000000000003E-2</v>
      </c>
      <c r="O256" s="57">
        <v>-5.21E-2</v>
      </c>
      <c r="P256" s="57">
        <v>0.107</v>
      </c>
      <c r="Q256" s="57">
        <v>-0.24340000000000001</v>
      </c>
      <c r="R256" s="57">
        <v>-0.20549999999999999</v>
      </c>
      <c r="S256" s="57">
        <v>-0.20549999999999999</v>
      </c>
      <c r="T256">
        <v>64.72</v>
      </c>
      <c r="U256">
        <v>56.39</v>
      </c>
      <c r="V256">
        <v>57.64</v>
      </c>
      <c r="W256" s="20">
        <v>952.36463000000003</v>
      </c>
    </row>
    <row r="257" spans="7:23" x14ac:dyDescent="0.15">
      <c r="G257" s="11">
        <v>256</v>
      </c>
      <c r="H257" s="10" t="s">
        <v>1592</v>
      </c>
      <c r="I257" t="s">
        <v>1593</v>
      </c>
      <c r="J257" t="s">
        <v>1609</v>
      </c>
      <c r="K257" s="61">
        <v>2.9999999999999997E-4</v>
      </c>
      <c r="L257" s="57">
        <v>3.2199999999999999E-2</v>
      </c>
      <c r="M257" s="57">
        <v>4.5999999999999999E-3</v>
      </c>
      <c r="N257" s="61">
        <v>6.5600000000000006E-2</v>
      </c>
      <c r="O257" s="57">
        <v>-0.14779999999999999</v>
      </c>
      <c r="P257" s="57">
        <v>-2.4899999999999999E-2</v>
      </c>
      <c r="Q257" s="57">
        <v>-0.27850000000000003</v>
      </c>
      <c r="R257" s="57">
        <v>-0.27850000000000003</v>
      </c>
      <c r="S257" s="57">
        <v>-0.27850000000000003</v>
      </c>
      <c r="T257">
        <v>64.58</v>
      </c>
      <c r="U257">
        <v>74.03</v>
      </c>
      <c r="V257">
        <v>40</v>
      </c>
      <c r="W257" s="20">
        <v>1103.2422999999999</v>
      </c>
    </row>
    <row r="258" spans="7:23" x14ac:dyDescent="0.15">
      <c r="G258" s="11">
        <v>257</v>
      </c>
      <c r="H258" s="10" t="s">
        <v>520</v>
      </c>
      <c r="I258" t="s">
        <v>1125</v>
      </c>
      <c r="J258" t="s">
        <v>830</v>
      </c>
      <c r="K258" s="61">
        <v>-2.0999999999999999E-3</v>
      </c>
      <c r="L258" s="57">
        <v>7.4999999999999997E-3</v>
      </c>
      <c r="M258" s="57">
        <v>1.5800000000000002E-2</v>
      </c>
      <c r="N258" s="61">
        <v>1.54E-2</v>
      </c>
      <c r="O258" s="57">
        <v>-6.1699999999999998E-2</v>
      </c>
      <c r="P258" s="57">
        <v>-4.0000000000000002E-4</v>
      </c>
      <c r="Q258" s="57">
        <v>-0.10829999999999999</v>
      </c>
      <c r="R258" s="57">
        <v>6.1400000000000003E-2</v>
      </c>
      <c r="S258" s="57">
        <v>0.99490000000000001</v>
      </c>
      <c r="T258">
        <v>64.44</v>
      </c>
      <c r="U258">
        <v>37.08</v>
      </c>
      <c r="V258">
        <v>76.94</v>
      </c>
      <c r="W258" s="20">
        <v>43402.486400000002</v>
      </c>
    </row>
    <row r="259" spans="7:23" x14ac:dyDescent="0.15">
      <c r="G259" s="11">
        <v>258</v>
      </c>
      <c r="H259" t="s">
        <v>299</v>
      </c>
      <c r="I259" t="s">
        <v>1425</v>
      </c>
      <c r="J259" t="s">
        <v>1609</v>
      </c>
      <c r="K259" s="61">
        <v>-4.0000000000000002E-4</v>
      </c>
      <c r="L259" s="57">
        <v>-1.6000000000000001E-3</v>
      </c>
      <c r="M259" s="57">
        <v>3.49E-2</v>
      </c>
      <c r="N259" s="61">
        <v>4.4400000000000002E-2</v>
      </c>
      <c r="O259" s="57">
        <v>4.7399999999999998E-2</v>
      </c>
      <c r="P259" s="57">
        <v>1.37E-2</v>
      </c>
      <c r="Q259" s="57">
        <v>7.1199999999999999E-2</v>
      </c>
      <c r="R259" s="57">
        <v>-6.9999999999999999E-4</v>
      </c>
      <c r="S259" s="57">
        <v>2.3E-2</v>
      </c>
      <c r="T259">
        <v>64.31</v>
      </c>
      <c r="U259">
        <v>60.97</v>
      </c>
      <c r="V259">
        <v>52.78</v>
      </c>
      <c r="W259" s="20">
        <v>16.340629999999997</v>
      </c>
    </row>
    <row r="260" spans="7:23" x14ac:dyDescent="0.15">
      <c r="G260" s="11">
        <v>259</v>
      </c>
      <c r="H260" s="10" t="s">
        <v>321</v>
      </c>
      <c r="I260" t="s">
        <v>827</v>
      </c>
      <c r="J260" t="s">
        <v>793</v>
      </c>
      <c r="K260" s="61">
        <v>-9.9000000000000008E-3</v>
      </c>
      <c r="L260" s="57">
        <v>3.8E-3</v>
      </c>
      <c r="M260" s="57">
        <v>-1.3100000000000001E-2</v>
      </c>
      <c r="N260" s="61">
        <v>-4.1000000000000003E-3</v>
      </c>
      <c r="O260" s="57">
        <v>-5.7700000000000001E-2</v>
      </c>
      <c r="P260" s="57">
        <v>4.82E-2</v>
      </c>
      <c r="Q260" s="57">
        <v>-8.77E-2</v>
      </c>
      <c r="R260" s="57">
        <v>0.13350000000000001</v>
      </c>
      <c r="S260" s="57">
        <v>0.6341</v>
      </c>
      <c r="T260">
        <v>64.17</v>
      </c>
      <c r="U260">
        <v>16.53</v>
      </c>
      <c r="V260">
        <v>96.94</v>
      </c>
      <c r="W260" s="20">
        <v>20.305099999999999</v>
      </c>
    </row>
    <row r="261" spans="7:23" x14ac:dyDescent="0.15">
      <c r="G261" s="11">
        <v>260</v>
      </c>
      <c r="H261" s="10" t="s">
        <v>548</v>
      </c>
      <c r="I261" t="s">
        <v>1188</v>
      </c>
      <c r="J261" t="s">
        <v>1175</v>
      </c>
      <c r="K261" s="61">
        <v>-3.0999999999999999E-3</v>
      </c>
      <c r="L261" s="57">
        <v>8.9999999999999998E-4</v>
      </c>
      <c r="M261" s="57">
        <v>2.5999999999999999E-3</v>
      </c>
      <c r="N261" s="61">
        <v>4.4999999999999997E-3</v>
      </c>
      <c r="O261" s="57">
        <v>-2.8199999999999999E-2</v>
      </c>
      <c r="P261" s="57">
        <v>-8.9999999999999993E-3</v>
      </c>
      <c r="Q261" s="57">
        <v>-6.9599999999999995E-2</v>
      </c>
      <c r="R261" s="57">
        <v>-5.8000000000000003E-2</v>
      </c>
      <c r="S261" s="57">
        <v>1.95E-2</v>
      </c>
      <c r="T261">
        <v>64.03</v>
      </c>
      <c r="U261">
        <v>28.06</v>
      </c>
      <c r="V261">
        <v>85.14</v>
      </c>
      <c r="W261" s="20">
        <v>152.93565000000001</v>
      </c>
    </row>
    <row r="262" spans="7:23" x14ac:dyDescent="0.15">
      <c r="G262" s="11">
        <v>261</v>
      </c>
      <c r="H262" t="s">
        <v>359</v>
      </c>
      <c r="I262" t="s">
        <v>1189</v>
      </c>
      <c r="J262" t="s">
        <v>1175</v>
      </c>
      <c r="K262" s="61">
        <v>-5.4000000000000003E-3</v>
      </c>
      <c r="L262" s="57">
        <v>2.7000000000000001E-3</v>
      </c>
      <c r="M262" s="57">
        <v>2.6200000000000001E-2</v>
      </c>
      <c r="N262" s="61">
        <v>-1.5E-3</v>
      </c>
      <c r="O262" s="57">
        <v>-2.69E-2</v>
      </c>
      <c r="P262" s="57">
        <v>-6.6E-3</v>
      </c>
      <c r="Q262" s="57">
        <v>4.0300000000000002E-2</v>
      </c>
      <c r="R262" s="57">
        <v>0.17860000000000001</v>
      </c>
      <c r="S262" s="57">
        <v>0.37730000000000002</v>
      </c>
      <c r="T262">
        <v>63.89</v>
      </c>
      <c r="U262">
        <v>20.14</v>
      </c>
      <c r="V262">
        <v>93.06</v>
      </c>
      <c r="W262" s="20">
        <v>13.649699999999999</v>
      </c>
    </row>
    <row r="263" spans="7:23" x14ac:dyDescent="0.15">
      <c r="G263" s="11">
        <v>262</v>
      </c>
      <c r="H263" s="10" t="s">
        <v>308</v>
      </c>
      <c r="I263" t="s">
        <v>1084</v>
      </c>
      <c r="J263" t="s">
        <v>830</v>
      </c>
      <c r="K263" s="61">
        <v>-8.0000000000000004E-4</v>
      </c>
      <c r="L263" s="57">
        <v>-1.1999999999999999E-3</v>
      </c>
      <c r="M263" s="57">
        <v>-3.32E-2</v>
      </c>
      <c r="N263" s="61">
        <v>3.1899999999999998E-2</v>
      </c>
      <c r="O263" s="57">
        <v>-8.9099999999999999E-2</v>
      </c>
      <c r="P263" s="57">
        <v>6.7199999999999996E-2</v>
      </c>
      <c r="Q263" s="57">
        <v>-0.28589999999999999</v>
      </c>
      <c r="R263" s="57">
        <v>-0.35349999999999998</v>
      </c>
      <c r="S263" s="57">
        <v>-0.35349999999999998</v>
      </c>
      <c r="T263">
        <v>63.75</v>
      </c>
      <c r="U263">
        <v>51.67</v>
      </c>
      <c r="V263">
        <v>61.25</v>
      </c>
      <c r="W263" s="20">
        <v>12394.9571</v>
      </c>
    </row>
    <row r="264" spans="7:23" x14ac:dyDescent="0.15">
      <c r="G264" s="11">
        <v>263</v>
      </c>
      <c r="H264" t="s">
        <v>283</v>
      </c>
      <c r="I264" t="s">
        <v>1303</v>
      </c>
      <c r="J264" t="s">
        <v>1609</v>
      </c>
      <c r="K264" s="61">
        <v>-7.7000000000000002E-3</v>
      </c>
      <c r="L264" s="57">
        <v>-4.3E-3</v>
      </c>
      <c r="M264" s="57">
        <v>-4.7999999999999996E-3</v>
      </c>
      <c r="N264" s="61">
        <v>-3.8999999999999998E-3</v>
      </c>
      <c r="O264" s="57">
        <v>-1.1000000000000001E-3</v>
      </c>
      <c r="P264" s="57">
        <v>1.1900000000000001E-2</v>
      </c>
      <c r="Q264" s="57">
        <v>3.7499999999999999E-2</v>
      </c>
      <c r="R264" s="57">
        <v>8.5800000000000001E-2</v>
      </c>
      <c r="S264" s="57">
        <v>0.1265</v>
      </c>
      <c r="T264">
        <v>63.61</v>
      </c>
      <c r="U264">
        <v>16.809999999999999</v>
      </c>
      <c r="V264">
        <v>95.83</v>
      </c>
      <c r="W264" s="20">
        <v>2937.4827600000003</v>
      </c>
    </row>
    <row r="265" spans="7:23" x14ac:dyDescent="0.15">
      <c r="G265" s="11">
        <v>264</v>
      </c>
      <c r="H265" s="10" t="s">
        <v>269</v>
      </c>
      <c r="I265" t="s">
        <v>807</v>
      </c>
      <c r="J265" t="s">
        <v>793</v>
      </c>
      <c r="K265" s="61">
        <v>-6.1999999999999998E-3</v>
      </c>
      <c r="L265" s="57">
        <v>-1.1000000000000001E-3</v>
      </c>
      <c r="M265" s="57">
        <v>-2.3199999999999998E-2</v>
      </c>
      <c r="N265" s="61">
        <v>-2.5999999999999999E-3</v>
      </c>
      <c r="O265" s="57">
        <v>-6.2300000000000001E-2</v>
      </c>
      <c r="P265" s="57">
        <v>-1.77E-2</v>
      </c>
      <c r="Q265" s="57">
        <v>-0.1565</v>
      </c>
      <c r="R265" s="57">
        <v>-9.3899999999999997E-2</v>
      </c>
      <c r="S265" s="57">
        <v>9.2999999999999992E-3</v>
      </c>
      <c r="T265">
        <v>63.47</v>
      </c>
      <c r="U265">
        <v>18.190000000000001</v>
      </c>
      <c r="V265">
        <v>94.44</v>
      </c>
      <c r="W265" s="20">
        <v>8.0901999999999994</v>
      </c>
    </row>
    <row r="266" spans="7:23" x14ac:dyDescent="0.15">
      <c r="G266" s="11">
        <v>265</v>
      </c>
      <c r="H266" s="10" t="s">
        <v>1397</v>
      </c>
      <c r="I266" t="s">
        <v>1398</v>
      </c>
      <c r="J266" t="s">
        <v>1609</v>
      </c>
      <c r="K266" s="61">
        <v>-2.8E-3</v>
      </c>
      <c r="L266" s="57">
        <v>-2.0899999999999998E-2</v>
      </c>
      <c r="M266" s="57">
        <v>-1.0999999999999999E-2</v>
      </c>
      <c r="N266" s="61">
        <v>5.8999999999999999E-3</v>
      </c>
      <c r="O266" s="57">
        <v>-0.14149999999999999</v>
      </c>
      <c r="P266" s="57">
        <v>-6.9099999999999995E-2</v>
      </c>
      <c r="Q266" s="57">
        <v>-0.25490000000000002</v>
      </c>
      <c r="R266" s="57">
        <v>-0.25490000000000002</v>
      </c>
      <c r="S266" s="57">
        <v>-0.25490000000000002</v>
      </c>
      <c r="T266">
        <v>63.33</v>
      </c>
      <c r="U266">
        <v>29.44</v>
      </c>
      <c r="V266">
        <v>83.19</v>
      </c>
      <c r="W266" s="20">
        <v>367.59469999999999</v>
      </c>
    </row>
    <row r="267" spans="7:23" x14ac:dyDescent="0.15">
      <c r="G267" s="11">
        <v>266</v>
      </c>
      <c r="H267" t="s">
        <v>1975</v>
      </c>
      <c r="I267" t="s">
        <v>1976</v>
      </c>
      <c r="J267" t="s">
        <v>1946</v>
      </c>
      <c r="K267" s="61">
        <v>2.2000000000000001E-3</v>
      </c>
      <c r="L267" s="57">
        <v>9.2600000000000002E-2</v>
      </c>
      <c r="M267" s="57">
        <v>0.1084</v>
      </c>
      <c r="N267" s="61">
        <v>0.17849999999999999</v>
      </c>
      <c r="O267" s="57">
        <v>0.21829999999999999</v>
      </c>
      <c r="P267" s="57">
        <v>0.1704</v>
      </c>
      <c r="Q267" s="57">
        <v>0.1704</v>
      </c>
      <c r="R267" s="57">
        <v>0.1704</v>
      </c>
      <c r="S267" s="57">
        <v>0.1704</v>
      </c>
      <c r="T267">
        <v>63.19</v>
      </c>
      <c r="U267">
        <v>95.97</v>
      </c>
      <c r="V267">
        <v>16.11</v>
      </c>
      <c r="W267" s="20">
        <v>2641.0904999999998</v>
      </c>
    </row>
    <row r="268" spans="7:23" x14ac:dyDescent="0.15">
      <c r="G268" s="11">
        <v>267</v>
      </c>
      <c r="H268" t="s">
        <v>696</v>
      </c>
      <c r="I268" t="s">
        <v>1224</v>
      </c>
      <c r="J268" t="s">
        <v>1212</v>
      </c>
      <c r="K268" s="61">
        <v>1.1000000000000001E-3</v>
      </c>
      <c r="L268" s="57">
        <v>-1.37E-2</v>
      </c>
      <c r="M268" s="57">
        <v>5.7200000000000001E-2</v>
      </c>
      <c r="N268" s="61">
        <v>0.1021</v>
      </c>
      <c r="O268" s="57">
        <v>-2.07E-2</v>
      </c>
      <c r="P268" s="57">
        <v>1.2699999999999999E-2</v>
      </c>
      <c r="Q268" s="57">
        <v>-0.1321</v>
      </c>
      <c r="R268" s="57">
        <v>-4.7899999999999998E-2</v>
      </c>
      <c r="S268" s="57">
        <v>-3.5900000000000001E-2</v>
      </c>
      <c r="T268">
        <v>63.06</v>
      </c>
      <c r="U268">
        <v>85.56</v>
      </c>
      <c r="V268">
        <v>26.39</v>
      </c>
      <c r="W268" s="20">
        <v>257.68099999999998</v>
      </c>
    </row>
    <row r="269" spans="7:23" x14ac:dyDescent="0.15">
      <c r="G269" s="11">
        <v>268</v>
      </c>
      <c r="H269" s="10" t="s">
        <v>1537</v>
      </c>
      <c r="I269" t="s">
        <v>1538</v>
      </c>
      <c r="J269" t="s">
        <v>1609</v>
      </c>
      <c r="K269" s="61">
        <v>2.3999999999999998E-3</v>
      </c>
      <c r="L269" s="57">
        <v>6.1699999999999998E-2</v>
      </c>
      <c r="M269" s="57">
        <v>9.3299999999999994E-2</v>
      </c>
      <c r="N269" s="61">
        <v>0.1976</v>
      </c>
      <c r="O269" s="57">
        <v>8.0100000000000005E-2</v>
      </c>
      <c r="P269" s="57">
        <v>0.26700000000000002</v>
      </c>
      <c r="Q269" s="57">
        <v>-1.44E-2</v>
      </c>
      <c r="R269" s="57">
        <v>-1.44E-2</v>
      </c>
      <c r="S269" s="57">
        <v>-1.44E-2</v>
      </c>
      <c r="T269">
        <v>62.92</v>
      </c>
      <c r="U269">
        <v>97.92</v>
      </c>
      <c r="V269">
        <v>13.89</v>
      </c>
      <c r="W269" s="20">
        <v>12260.320900000001</v>
      </c>
    </row>
    <row r="270" spans="7:23" x14ac:dyDescent="0.15">
      <c r="G270" s="11">
        <v>269</v>
      </c>
      <c r="H270" s="10" t="s">
        <v>649</v>
      </c>
      <c r="I270" t="s">
        <v>998</v>
      </c>
      <c r="J270" t="s">
        <v>830</v>
      </c>
      <c r="K270" s="61">
        <v>-5.9999999999999995E-4</v>
      </c>
      <c r="L270" s="57">
        <v>1.37E-2</v>
      </c>
      <c r="M270" s="57">
        <v>3.8899999999999997E-2</v>
      </c>
      <c r="N270" s="61">
        <v>3.5700000000000003E-2</v>
      </c>
      <c r="O270" s="57">
        <v>-2.8899999999999999E-2</v>
      </c>
      <c r="P270" s="57">
        <v>2.5999999999999999E-3</v>
      </c>
      <c r="Q270" s="57">
        <v>1.55E-2</v>
      </c>
      <c r="R270" s="57">
        <v>0.18429999999999999</v>
      </c>
      <c r="S270" s="57">
        <v>0.54039999999999999</v>
      </c>
      <c r="T270">
        <v>62.78</v>
      </c>
      <c r="U270">
        <v>54.72</v>
      </c>
      <c r="V270">
        <v>57.08</v>
      </c>
      <c r="W270" s="20">
        <v>1673.097</v>
      </c>
    </row>
    <row r="271" spans="7:23" x14ac:dyDescent="0.15">
      <c r="G271" s="11">
        <v>270</v>
      </c>
      <c r="H271" s="10" t="s">
        <v>699</v>
      </c>
      <c r="I271" t="s">
        <v>1014</v>
      </c>
      <c r="J271" t="s">
        <v>830</v>
      </c>
      <c r="K271" s="61">
        <v>1.5E-3</v>
      </c>
      <c r="L271" s="57">
        <v>2.0799999999999999E-2</v>
      </c>
      <c r="M271" s="57">
        <v>7.4899999999999994E-2</v>
      </c>
      <c r="N271" s="61">
        <v>0.13420000000000001</v>
      </c>
      <c r="O271" s="57">
        <v>-8.2900000000000001E-2</v>
      </c>
      <c r="P271" s="57">
        <v>-3.7600000000000001E-2</v>
      </c>
      <c r="Q271" s="57">
        <v>-0.30309999999999998</v>
      </c>
      <c r="R271" s="57">
        <v>-0.39589999999999997</v>
      </c>
      <c r="S271" s="57">
        <v>-0.39589999999999997</v>
      </c>
      <c r="T271">
        <v>62.64</v>
      </c>
      <c r="U271">
        <v>89.86</v>
      </c>
      <c r="V271">
        <v>21.53</v>
      </c>
      <c r="W271" s="20">
        <v>3189.87619</v>
      </c>
    </row>
    <row r="272" spans="7:23" x14ac:dyDescent="0.15">
      <c r="G272" s="11">
        <v>271</v>
      </c>
      <c r="H272" t="s">
        <v>399</v>
      </c>
      <c r="I272" t="s">
        <v>819</v>
      </c>
      <c r="J272" t="s">
        <v>793</v>
      </c>
      <c r="K272" s="61">
        <v>-4.0000000000000001E-3</v>
      </c>
      <c r="L272" s="57">
        <v>-2.4E-2</v>
      </c>
      <c r="M272" s="57">
        <v>-6.5199999999999994E-2</v>
      </c>
      <c r="N272" s="61">
        <v>1.1000000000000001E-3</v>
      </c>
      <c r="O272" s="57">
        <v>-0.13059999999999999</v>
      </c>
      <c r="P272" s="57">
        <v>-8.4900000000000003E-2</v>
      </c>
      <c r="Q272" s="57">
        <v>-0.36799999999999999</v>
      </c>
      <c r="R272" s="57">
        <v>-0.214</v>
      </c>
      <c r="S272" s="57">
        <v>0.46189999999999998</v>
      </c>
      <c r="T272">
        <v>62.5</v>
      </c>
      <c r="U272">
        <v>23.06</v>
      </c>
      <c r="V272">
        <v>88.33</v>
      </c>
      <c r="W272" s="20">
        <v>70.350899999999996</v>
      </c>
    </row>
    <row r="273" spans="7:23" x14ac:dyDescent="0.15">
      <c r="G273" s="11">
        <v>272</v>
      </c>
      <c r="H273" s="10" t="s">
        <v>287</v>
      </c>
      <c r="I273" t="s">
        <v>810</v>
      </c>
      <c r="J273" t="s">
        <v>793</v>
      </c>
      <c r="K273" s="61">
        <v>-3.8399999999999997E-2</v>
      </c>
      <c r="L273" s="57">
        <v>-1.4200000000000001E-2</v>
      </c>
      <c r="M273" s="57">
        <v>-4.2999999999999997E-2</v>
      </c>
      <c r="N273" s="61">
        <v>-1.23E-2</v>
      </c>
      <c r="O273" s="57">
        <v>-0.14169999999999999</v>
      </c>
      <c r="P273" s="57">
        <v>-3.6499999999999998E-2</v>
      </c>
      <c r="Q273" s="57">
        <v>-0.24279999999999999</v>
      </c>
      <c r="R273" s="57">
        <v>4.0000000000000002E-4</v>
      </c>
      <c r="S273" s="57">
        <v>4.0000000000000002E-4</v>
      </c>
      <c r="T273">
        <v>62.36</v>
      </c>
      <c r="U273">
        <v>12.5</v>
      </c>
      <c r="V273">
        <v>98.89</v>
      </c>
      <c r="W273" s="20">
        <v>2.5975299999999999</v>
      </c>
    </row>
    <row r="274" spans="7:23" x14ac:dyDescent="0.15">
      <c r="G274" s="11">
        <v>273</v>
      </c>
      <c r="H274" s="10" t="s">
        <v>1417</v>
      </c>
      <c r="I274" t="s">
        <v>1418</v>
      </c>
      <c r="J274" t="s">
        <v>1609</v>
      </c>
      <c r="K274" s="61">
        <v>-1E-3</v>
      </c>
      <c r="L274" s="57">
        <v>1.18E-2</v>
      </c>
      <c r="M274" s="57">
        <v>2.3800000000000002E-2</v>
      </c>
      <c r="N274" s="61">
        <v>2.47E-2</v>
      </c>
      <c r="O274" s="57">
        <v>-8.5300000000000001E-2</v>
      </c>
      <c r="P274" s="57">
        <v>-6.6E-3</v>
      </c>
      <c r="Q274" s="57">
        <v>-0.23519999999999999</v>
      </c>
      <c r="R274" s="57">
        <v>-0.23519999999999999</v>
      </c>
      <c r="S274" s="57">
        <v>-0.23519999999999999</v>
      </c>
      <c r="T274">
        <v>62.22</v>
      </c>
      <c r="U274">
        <v>47.08</v>
      </c>
      <c r="V274">
        <v>63.89</v>
      </c>
      <c r="W274" s="20">
        <v>61.382319999999993</v>
      </c>
    </row>
    <row r="275" spans="7:23" x14ac:dyDescent="0.15">
      <c r="G275" s="11">
        <v>274</v>
      </c>
      <c r="H275" t="s">
        <v>625</v>
      </c>
      <c r="I275" t="s">
        <v>1109</v>
      </c>
      <c r="J275" t="s">
        <v>830</v>
      </c>
      <c r="K275" s="61">
        <v>-2.0000000000000001E-4</v>
      </c>
      <c r="L275" s="57">
        <v>-4.4900000000000002E-2</v>
      </c>
      <c r="M275" s="57">
        <v>-5.4600000000000003E-2</v>
      </c>
      <c r="N275" s="61">
        <v>4.2299999999999997E-2</v>
      </c>
      <c r="O275" s="57">
        <v>4.4200000000000003E-2</v>
      </c>
      <c r="P275" s="57">
        <v>0.1158</v>
      </c>
      <c r="Q275" s="57">
        <v>1.8E-3</v>
      </c>
      <c r="R275" s="57">
        <v>-9.7999999999999997E-3</v>
      </c>
      <c r="S275" s="57">
        <v>-9.7999999999999997E-3</v>
      </c>
      <c r="T275">
        <v>62.08</v>
      </c>
      <c r="U275">
        <v>60</v>
      </c>
      <c r="V275">
        <v>50.83</v>
      </c>
      <c r="W275" s="20">
        <v>26196.713400000001</v>
      </c>
    </row>
    <row r="276" spans="7:23" x14ac:dyDescent="0.15">
      <c r="G276" s="11">
        <v>275</v>
      </c>
      <c r="H276" s="10" t="s">
        <v>494</v>
      </c>
      <c r="I276" t="s">
        <v>1051</v>
      </c>
      <c r="J276" t="s">
        <v>830</v>
      </c>
      <c r="K276" s="61">
        <v>1.1000000000000001E-3</v>
      </c>
      <c r="L276" s="57">
        <v>4.3900000000000002E-2</v>
      </c>
      <c r="M276" s="57">
        <v>2.5000000000000001E-2</v>
      </c>
      <c r="N276" s="61">
        <v>9.8199999999999996E-2</v>
      </c>
      <c r="O276" s="57">
        <v>-5.6099999999999997E-2</v>
      </c>
      <c r="P276" s="57">
        <v>3.6799999999999999E-2</v>
      </c>
      <c r="Q276" s="57">
        <v>-0.2762</v>
      </c>
      <c r="R276" s="57">
        <v>-0.27250000000000002</v>
      </c>
      <c r="S276" s="57">
        <v>-0.2868</v>
      </c>
      <c r="T276">
        <v>61.94</v>
      </c>
      <c r="U276">
        <v>84.58</v>
      </c>
      <c r="V276">
        <v>26.25</v>
      </c>
      <c r="W276" s="20">
        <v>4376.7261662999999</v>
      </c>
    </row>
    <row r="277" spans="7:23" x14ac:dyDescent="0.15">
      <c r="G277" s="11">
        <v>276</v>
      </c>
      <c r="H277" s="10" t="s">
        <v>1546</v>
      </c>
      <c r="I277" t="s">
        <v>1547</v>
      </c>
      <c r="J277" t="s">
        <v>1609</v>
      </c>
      <c r="K277" s="61">
        <v>-7.1000000000000004E-3</v>
      </c>
      <c r="L277" s="57">
        <v>-5.9999999999999995E-4</v>
      </c>
      <c r="M277" s="57">
        <v>2.4500000000000001E-2</v>
      </c>
      <c r="N277" s="61">
        <v>-6.3E-3</v>
      </c>
      <c r="O277" s="57">
        <v>1.7299999999999999E-2</v>
      </c>
      <c r="P277" s="57">
        <v>-1.14E-2</v>
      </c>
      <c r="Q277" s="57">
        <v>3.1300000000000001E-2</v>
      </c>
      <c r="R277" s="57">
        <v>3.1300000000000001E-2</v>
      </c>
      <c r="S277" s="57">
        <v>3.1300000000000001E-2</v>
      </c>
      <c r="T277">
        <v>61.81</v>
      </c>
      <c r="U277">
        <v>15</v>
      </c>
      <c r="V277">
        <v>95.42</v>
      </c>
      <c r="W277" s="20">
        <v>4.2015500000000001</v>
      </c>
    </row>
    <row r="278" spans="7:23" x14ac:dyDescent="0.15">
      <c r="G278" s="11">
        <v>277</v>
      </c>
      <c r="H278" t="s">
        <v>688</v>
      </c>
      <c r="I278" t="s">
        <v>1225</v>
      </c>
      <c r="J278" t="s">
        <v>1212</v>
      </c>
      <c r="K278" s="61">
        <v>2.8E-3</v>
      </c>
      <c r="L278" s="57">
        <v>6.9400000000000003E-2</v>
      </c>
      <c r="M278" s="57">
        <v>9.8000000000000004E-2</v>
      </c>
      <c r="N278" s="61">
        <v>0.2019</v>
      </c>
      <c r="O278" s="57">
        <v>8.0399999999999999E-2</v>
      </c>
      <c r="P278" s="57">
        <v>0.25109999999999999</v>
      </c>
      <c r="Q278" s="57">
        <v>-0.2482</v>
      </c>
      <c r="R278" s="57">
        <v>-0.31890000000000002</v>
      </c>
      <c r="S278" s="57">
        <v>-0.31890000000000002</v>
      </c>
      <c r="T278">
        <v>61.67</v>
      </c>
      <c r="U278">
        <v>98.61</v>
      </c>
      <c r="V278">
        <v>11.81</v>
      </c>
      <c r="W278" s="20">
        <v>36060.350932300003</v>
      </c>
    </row>
    <row r="279" spans="7:23" x14ac:dyDescent="0.15">
      <c r="G279" s="11">
        <v>278</v>
      </c>
      <c r="H279" t="s">
        <v>266</v>
      </c>
      <c r="I279" t="s">
        <v>817</v>
      </c>
      <c r="J279" t="s">
        <v>793</v>
      </c>
      <c r="K279" s="61">
        <v>-9.7999999999999997E-3</v>
      </c>
      <c r="L279" s="57">
        <v>-2E-3</v>
      </c>
      <c r="M279" s="57">
        <v>-5.1799999999999999E-2</v>
      </c>
      <c r="N279" s="61">
        <v>-8.6E-3</v>
      </c>
      <c r="O279" s="57">
        <v>-0.109</v>
      </c>
      <c r="P279" s="57">
        <v>9.9000000000000005E-2</v>
      </c>
      <c r="Q279" s="57">
        <v>-0.1179</v>
      </c>
      <c r="R279" s="57">
        <v>0.17560000000000001</v>
      </c>
      <c r="S279" s="57">
        <v>0.17560000000000001</v>
      </c>
      <c r="T279">
        <v>61.53</v>
      </c>
      <c r="U279">
        <v>13.47</v>
      </c>
      <c r="V279">
        <v>96.81</v>
      </c>
      <c r="W279" s="20">
        <v>68.883899999999997</v>
      </c>
    </row>
    <row r="280" spans="7:23" x14ac:dyDescent="0.15">
      <c r="G280" s="11">
        <v>279</v>
      </c>
      <c r="H280" s="10" t="s">
        <v>463</v>
      </c>
      <c r="I280" t="s">
        <v>869</v>
      </c>
      <c r="J280" t="s">
        <v>830</v>
      </c>
      <c r="K280" s="61">
        <v>1.8E-3</v>
      </c>
      <c r="L280" s="57">
        <v>4.1300000000000003E-2</v>
      </c>
      <c r="M280" s="57">
        <v>3.8199999999999998E-2</v>
      </c>
      <c r="N280" s="61">
        <v>0.14080000000000001</v>
      </c>
      <c r="O280" s="57">
        <v>8.2900000000000001E-2</v>
      </c>
      <c r="P280" s="57">
        <v>0.22020000000000001</v>
      </c>
      <c r="Q280" s="57">
        <v>-0.18240000000000001</v>
      </c>
      <c r="R280" s="57">
        <v>-0.17050000000000001</v>
      </c>
      <c r="S280" s="57">
        <v>-0.17050000000000001</v>
      </c>
      <c r="T280">
        <v>61.39</v>
      </c>
      <c r="U280">
        <v>91.11</v>
      </c>
      <c r="V280">
        <v>19.170000000000002</v>
      </c>
      <c r="W280" s="20">
        <v>655.13869999999997</v>
      </c>
    </row>
    <row r="281" spans="7:23" x14ac:dyDescent="0.15">
      <c r="G281" s="11">
        <v>280</v>
      </c>
      <c r="H281" s="10" t="s">
        <v>404</v>
      </c>
      <c r="I281" t="s">
        <v>1026</v>
      </c>
      <c r="J281" t="s">
        <v>830</v>
      </c>
      <c r="K281" s="61">
        <v>-5.9999999999999995E-4</v>
      </c>
      <c r="L281" s="57">
        <v>4.3200000000000002E-2</v>
      </c>
      <c r="M281" s="57">
        <v>1.9900000000000001E-2</v>
      </c>
      <c r="N281" s="61">
        <v>3.2000000000000001E-2</v>
      </c>
      <c r="O281" s="57">
        <v>5.4000000000000003E-3</v>
      </c>
      <c r="P281" s="57">
        <v>5.2900000000000003E-2</v>
      </c>
      <c r="Q281" s="57">
        <v>-0.2281</v>
      </c>
      <c r="R281" s="57">
        <v>-0.31340000000000001</v>
      </c>
      <c r="S281" s="57">
        <v>7.1599999999999997E-2</v>
      </c>
      <c r="T281">
        <v>61.25</v>
      </c>
      <c r="U281">
        <v>52.36</v>
      </c>
      <c r="V281">
        <v>57.78</v>
      </c>
      <c r="W281" s="20">
        <v>87332.846900000004</v>
      </c>
    </row>
    <row r="282" spans="7:23" x14ac:dyDescent="0.15">
      <c r="G282" s="11">
        <v>281</v>
      </c>
      <c r="H282" s="10" t="s">
        <v>497</v>
      </c>
      <c r="I282" t="s">
        <v>1027</v>
      </c>
      <c r="J282" t="s">
        <v>830</v>
      </c>
      <c r="K282" s="61">
        <v>-2.0000000000000001E-4</v>
      </c>
      <c r="L282" s="57">
        <v>8.8999999999999999E-3</v>
      </c>
      <c r="M282" s="57">
        <v>1.01E-2</v>
      </c>
      <c r="N282" s="61">
        <v>4.1000000000000002E-2</v>
      </c>
      <c r="O282" s="57">
        <v>-3.8800000000000001E-2</v>
      </c>
      <c r="P282" s="57">
        <v>8.14E-2</v>
      </c>
      <c r="Q282" s="57">
        <v>-9.6199999999999994E-2</v>
      </c>
      <c r="R282" s="57">
        <v>9.4E-2</v>
      </c>
      <c r="S282" s="57">
        <v>0.38690000000000002</v>
      </c>
      <c r="T282">
        <v>61.11</v>
      </c>
      <c r="U282">
        <v>58.89</v>
      </c>
      <c r="V282">
        <v>51.25</v>
      </c>
      <c r="W282" s="20">
        <v>1464.35905</v>
      </c>
    </row>
    <row r="283" spans="7:23" x14ac:dyDescent="0.15">
      <c r="G283" s="11">
        <v>282</v>
      </c>
      <c r="H283" t="s">
        <v>710</v>
      </c>
      <c r="I283" t="s">
        <v>1231</v>
      </c>
      <c r="J283" t="s">
        <v>1212</v>
      </c>
      <c r="K283" s="61">
        <v>1.2999999999999999E-3</v>
      </c>
      <c r="L283" s="57">
        <v>2.0400000000000001E-2</v>
      </c>
      <c r="M283" s="57">
        <v>8.8099999999999998E-2</v>
      </c>
      <c r="N283" s="61">
        <v>0.1062</v>
      </c>
      <c r="O283" s="57">
        <v>-3.49E-2</v>
      </c>
      <c r="P283" s="57">
        <v>-2.8000000000000001E-2</v>
      </c>
      <c r="Q283" s="57">
        <v>-0.16389999999999999</v>
      </c>
      <c r="R283" s="57">
        <v>-0.1668</v>
      </c>
      <c r="S283" s="57">
        <v>-0.24479999999999999</v>
      </c>
      <c r="T283">
        <v>60.97</v>
      </c>
      <c r="U283">
        <v>86.25</v>
      </c>
      <c r="V283">
        <v>23.61</v>
      </c>
      <c r="W283" s="20">
        <v>10199.659</v>
      </c>
    </row>
    <row r="284" spans="7:23" x14ac:dyDescent="0.15">
      <c r="G284" s="11">
        <v>283</v>
      </c>
      <c r="H284" s="10" t="s">
        <v>1994</v>
      </c>
      <c r="I284" t="s">
        <v>1995</v>
      </c>
      <c r="J284" t="s">
        <v>1946</v>
      </c>
      <c r="K284" s="61">
        <v>-5.0000000000000001E-4</v>
      </c>
      <c r="L284" s="57">
        <v>2.2000000000000001E-3</v>
      </c>
      <c r="M284" s="57">
        <v>-7.1999999999999998E-3</v>
      </c>
      <c r="N284" s="61">
        <v>3.5499999999999997E-2</v>
      </c>
      <c r="O284" s="57">
        <v>-9.4399999999999998E-2</v>
      </c>
      <c r="P284" s="57">
        <v>-0.06</v>
      </c>
      <c r="Q284" s="57">
        <v>-0.06</v>
      </c>
      <c r="R284" s="57">
        <v>-0.06</v>
      </c>
      <c r="S284" s="57">
        <v>-0.06</v>
      </c>
      <c r="T284">
        <v>60.83</v>
      </c>
      <c r="U284">
        <v>54.03</v>
      </c>
      <c r="V284">
        <v>55.83</v>
      </c>
      <c r="W284" s="20">
        <v>132523.0926</v>
      </c>
    </row>
    <row r="285" spans="7:23" x14ac:dyDescent="0.15">
      <c r="G285" s="11">
        <v>284</v>
      </c>
      <c r="H285" s="10" t="s">
        <v>432</v>
      </c>
      <c r="I285" t="s">
        <v>1392</v>
      </c>
      <c r="J285" t="s">
        <v>1609</v>
      </c>
      <c r="K285" s="61">
        <v>-1.84E-2</v>
      </c>
      <c r="L285" s="57">
        <v>-4.8999999999999998E-3</v>
      </c>
      <c r="M285" s="57">
        <v>-7.4999999999999997E-3</v>
      </c>
      <c r="N285" s="61">
        <v>-1.32E-2</v>
      </c>
      <c r="O285" s="57">
        <v>-1.21E-2</v>
      </c>
      <c r="P285" s="57">
        <v>-1.09E-2</v>
      </c>
      <c r="Q285" s="57">
        <v>2.0000000000000001E-4</v>
      </c>
      <c r="R285" s="57">
        <v>3.9600000000000003E-2</v>
      </c>
      <c r="S285" s="57">
        <v>6.9800000000000001E-2</v>
      </c>
      <c r="T285">
        <v>60.69</v>
      </c>
      <c r="U285">
        <v>12.36</v>
      </c>
      <c r="V285">
        <v>97.5</v>
      </c>
      <c r="W285" s="20">
        <v>15695.3809</v>
      </c>
    </row>
    <row r="286" spans="7:23" x14ac:dyDescent="0.15">
      <c r="G286" s="11">
        <v>285</v>
      </c>
      <c r="H286" s="10" t="s">
        <v>285</v>
      </c>
      <c r="I286" t="s">
        <v>1270</v>
      </c>
      <c r="J286" t="s">
        <v>1609</v>
      </c>
      <c r="K286" s="61">
        <v>-4.1999999999999997E-3</v>
      </c>
      <c r="L286" s="57">
        <v>-2E-3</v>
      </c>
      <c r="M286" s="57">
        <v>-2.5000000000000001E-3</v>
      </c>
      <c r="N286" s="61">
        <v>-1.1999999999999999E-3</v>
      </c>
      <c r="O286" s="57">
        <v>1.6999999999999999E-3</v>
      </c>
      <c r="P286" s="57">
        <v>9.5999999999999992E-3</v>
      </c>
      <c r="Q286" s="57">
        <v>2.86E-2</v>
      </c>
      <c r="R286" s="57">
        <v>6.4600000000000005E-2</v>
      </c>
      <c r="S286" s="57">
        <v>6.4399999999999999E-2</v>
      </c>
      <c r="T286">
        <v>60.56</v>
      </c>
      <c r="U286">
        <v>20.420000000000002</v>
      </c>
      <c r="V286">
        <v>89.31</v>
      </c>
      <c r="W286" s="20">
        <v>8005.2088599999997</v>
      </c>
    </row>
    <row r="287" spans="7:23" x14ac:dyDescent="0.15">
      <c r="G287" s="11">
        <v>286</v>
      </c>
      <c r="H287" t="s">
        <v>1393</v>
      </c>
      <c r="I287" t="s">
        <v>1394</v>
      </c>
      <c r="J287" t="s">
        <v>1609</v>
      </c>
      <c r="K287" s="61">
        <v>-1.4E-3</v>
      </c>
      <c r="L287" s="57">
        <v>2.8999999999999998E-3</v>
      </c>
      <c r="M287" s="57">
        <v>3.8E-3</v>
      </c>
      <c r="N287" s="61">
        <v>1.6799999999999999E-2</v>
      </c>
      <c r="O287" s="57">
        <v>-8.1699999999999995E-2</v>
      </c>
      <c r="P287" s="57">
        <v>-4.0000000000000001E-3</v>
      </c>
      <c r="Q287" s="57">
        <v>-0.1744</v>
      </c>
      <c r="R287" s="57">
        <v>-5.7999999999999996E-3</v>
      </c>
      <c r="S287" s="57">
        <v>0.32490000000000002</v>
      </c>
      <c r="T287">
        <v>60.42</v>
      </c>
      <c r="U287">
        <v>40.28</v>
      </c>
      <c r="V287">
        <v>69.44</v>
      </c>
      <c r="W287" s="20">
        <v>1522.2013999999999</v>
      </c>
    </row>
    <row r="288" spans="7:23" x14ac:dyDescent="0.15">
      <c r="G288" s="11">
        <v>287</v>
      </c>
      <c r="H288" t="s">
        <v>259</v>
      </c>
      <c r="I288" t="s">
        <v>824</v>
      </c>
      <c r="J288" t="s">
        <v>793</v>
      </c>
      <c r="K288" s="61">
        <v>-1.4200000000000001E-2</v>
      </c>
      <c r="L288" s="57">
        <v>1.4E-3</v>
      </c>
      <c r="M288" s="57">
        <v>-6.5699999999999995E-2</v>
      </c>
      <c r="N288" s="61">
        <v>-1.32E-2</v>
      </c>
      <c r="O288" s="57">
        <v>-0.1047</v>
      </c>
      <c r="P288" s="57">
        <v>0.17810000000000001</v>
      </c>
      <c r="Q288" s="57">
        <v>-0.1265</v>
      </c>
      <c r="R288" s="57">
        <v>0.1085</v>
      </c>
      <c r="S288" s="57">
        <v>0.1085</v>
      </c>
      <c r="T288">
        <v>60.28</v>
      </c>
      <c r="U288">
        <v>12.22</v>
      </c>
      <c r="V288">
        <v>97.36</v>
      </c>
      <c r="W288" s="20">
        <v>261.08980000000003</v>
      </c>
    </row>
    <row r="289" spans="7:23" x14ac:dyDescent="0.15">
      <c r="G289" s="11">
        <v>288</v>
      </c>
      <c r="H289" s="10" t="s">
        <v>558</v>
      </c>
      <c r="I289" t="s">
        <v>1040</v>
      </c>
      <c r="J289" t="s">
        <v>830</v>
      </c>
      <c r="K289" s="61">
        <v>-1.8E-3</v>
      </c>
      <c r="L289" s="57">
        <v>1.55E-2</v>
      </c>
      <c r="M289" s="57">
        <v>2.81E-2</v>
      </c>
      <c r="N289" s="61">
        <v>1.44E-2</v>
      </c>
      <c r="O289" s="57">
        <v>-0.1003</v>
      </c>
      <c r="P289" s="57">
        <v>-2.4400000000000002E-2</v>
      </c>
      <c r="Q289" s="57">
        <v>-0.19819999999999999</v>
      </c>
      <c r="R289" s="57">
        <v>-0.29370000000000002</v>
      </c>
      <c r="S289" s="57">
        <v>-0.29370000000000002</v>
      </c>
      <c r="T289">
        <v>60.14</v>
      </c>
      <c r="U289">
        <v>36.11</v>
      </c>
      <c r="V289">
        <v>73.47</v>
      </c>
      <c r="W289" s="20">
        <v>3050.0272</v>
      </c>
    </row>
    <row r="290" spans="7:23" x14ac:dyDescent="0.15">
      <c r="G290" s="11">
        <v>289</v>
      </c>
      <c r="H290" s="10" t="s">
        <v>1998</v>
      </c>
      <c r="I290" t="s">
        <v>1999</v>
      </c>
      <c r="J290" t="s">
        <v>1946</v>
      </c>
      <c r="K290" s="61">
        <v>-5.0000000000000001E-4</v>
      </c>
      <c r="L290" s="57">
        <v>2.0999999999999999E-3</v>
      </c>
      <c r="M290" s="57">
        <v>-7.7000000000000002E-3</v>
      </c>
      <c r="N290" s="61">
        <v>3.5400000000000001E-2</v>
      </c>
      <c r="O290" s="57">
        <v>-9.4600000000000004E-2</v>
      </c>
      <c r="P290" s="57">
        <v>-5.7700000000000001E-2</v>
      </c>
      <c r="Q290" s="57">
        <v>-5.7700000000000001E-2</v>
      </c>
      <c r="R290" s="57">
        <v>-5.7700000000000001E-2</v>
      </c>
      <c r="S290" s="57">
        <v>-5.7700000000000001E-2</v>
      </c>
      <c r="T290">
        <v>60</v>
      </c>
      <c r="U290">
        <v>53.89</v>
      </c>
      <c r="V290">
        <v>55.56</v>
      </c>
      <c r="W290" s="20">
        <v>185469.51410649999</v>
      </c>
    </row>
    <row r="291" spans="7:23" x14ac:dyDescent="0.15">
      <c r="G291" s="11">
        <v>290</v>
      </c>
      <c r="H291" s="10" t="s">
        <v>322</v>
      </c>
      <c r="I291" t="s">
        <v>818</v>
      </c>
      <c r="J291" t="s">
        <v>793</v>
      </c>
      <c r="K291" s="61">
        <v>-3.8E-3</v>
      </c>
      <c r="L291" s="57">
        <v>-2.98E-2</v>
      </c>
      <c r="M291" s="57">
        <v>-3.7100000000000001E-2</v>
      </c>
      <c r="N291" s="61">
        <v>-6.9999999999999999E-4</v>
      </c>
      <c r="O291" s="57">
        <v>-0.1066</v>
      </c>
      <c r="P291" s="57">
        <v>-8.4400000000000003E-2</v>
      </c>
      <c r="Q291" s="57">
        <v>-0.2823</v>
      </c>
      <c r="R291" s="57">
        <v>-0.20669999999999999</v>
      </c>
      <c r="S291" s="57">
        <v>0.39419999999999999</v>
      </c>
      <c r="T291">
        <v>59.86</v>
      </c>
      <c r="U291">
        <v>21.25</v>
      </c>
      <c r="V291">
        <v>87.78</v>
      </c>
      <c r="W291" s="20">
        <v>8.7352000000000007</v>
      </c>
    </row>
    <row r="292" spans="7:23" x14ac:dyDescent="0.15">
      <c r="G292" s="11">
        <v>291</v>
      </c>
      <c r="H292" s="10" t="s">
        <v>1511</v>
      </c>
      <c r="I292" t="s">
        <v>1512</v>
      </c>
      <c r="J292" t="s">
        <v>1609</v>
      </c>
      <c r="K292" s="61">
        <v>2.0999999999999999E-3</v>
      </c>
      <c r="L292" s="57">
        <v>2.3199999999999998E-2</v>
      </c>
      <c r="M292" s="57">
        <v>8.2299999999999998E-2</v>
      </c>
      <c r="N292" s="61">
        <v>0.15340000000000001</v>
      </c>
      <c r="O292" s="57">
        <v>-0.09</v>
      </c>
      <c r="P292" s="57">
        <v>-1.78E-2</v>
      </c>
      <c r="Q292" s="57">
        <v>-3.6999999999999998E-2</v>
      </c>
      <c r="R292" s="57">
        <v>-3.6999999999999998E-2</v>
      </c>
      <c r="S292" s="57">
        <v>-3.6999999999999998E-2</v>
      </c>
      <c r="T292">
        <v>59.72</v>
      </c>
      <c r="U292">
        <v>92.36</v>
      </c>
      <c r="V292">
        <v>16.670000000000002</v>
      </c>
      <c r="W292" s="20">
        <v>6689.3431</v>
      </c>
    </row>
    <row r="293" spans="7:23" x14ac:dyDescent="0.15">
      <c r="G293" s="11">
        <v>292</v>
      </c>
      <c r="H293" t="s">
        <v>587</v>
      </c>
      <c r="I293" t="s">
        <v>985</v>
      </c>
      <c r="J293" t="s">
        <v>830</v>
      </c>
      <c r="K293" s="61">
        <v>-2.3E-3</v>
      </c>
      <c r="L293" s="57">
        <v>3.8999999999999998E-3</v>
      </c>
      <c r="M293" s="57">
        <v>3.7999999999999999E-2</v>
      </c>
      <c r="N293" s="61">
        <v>5.1000000000000004E-3</v>
      </c>
      <c r="O293" s="57">
        <v>-3.2000000000000001E-2</v>
      </c>
      <c r="P293" s="57">
        <v>-6.4199999999999993E-2</v>
      </c>
      <c r="Q293" s="57">
        <v>-0.1009</v>
      </c>
      <c r="R293" s="57">
        <v>-8.3000000000000001E-3</v>
      </c>
      <c r="S293" s="57">
        <v>3.04E-2</v>
      </c>
      <c r="T293">
        <v>59.58</v>
      </c>
      <c r="U293">
        <v>29.03</v>
      </c>
      <c r="V293">
        <v>79.86</v>
      </c>
      <c r="W293" s="20">
        <v>1067.6029000000001</v>
      </c>
    </row>
    <row r="294" spans="7:23" x14ac:dyDescent="0.15">
      <c r="G294" s="11">
        <v>293</v>
      </c>
      <c r="H294" t="s">
        <v>300</v>
      </c>
      <c r="I294" t="s">
        <v>1292</v>
      </c>
      <c r="J294" t="s">
        <v>1609</v>
      </c>
      <c r="K294" s="61">
        <v>-5.0000000000000001E-3</v>
      </c>
      <c r="L294" s="57">
        <v>-4.4000000000000003E-3</v>
      </c>
      <c r="M294" s="57">
        <v>-4.4000000000000003E-3</v>
      </c>
      <c r="N294" s="61">
        <v>-3.8999999999999998E-3</v>
      </c>
      <c r="O294" s="57">
        <v>6.9999999999999999E-4</v>
      </c>
      <c r="P294" s="57">
        <v>1.17E-2</v>
      </c>
      <c r="Q294" s="57">
        <v>3.7699999999999997E-2</v>
      </c>
      <c r="R294" s="57">
        <v>8.2100000000000006E-2</v>
      </c>
      <c r="S294" s="57">
        <v>0.1104</v>
      </c>
      <c r="T294">
        <v>59.44</v>
      </c>
      <c r="U294">
        <v>16.940000000000001</v>
      </c>
      <c r="V294">
        <v>91.94</v>
      </c>
      <c r="W294" s="20">
        <v>22684.884699999999</v>
      </c>
    </row>
    <row r="295" spans="7:23" x14ac:dyDescent="0.15">
      <c r="G295" s="11">
        <v>294</v>
      </c>
      <c r="H295" s="10" t="s">
        <v>1965</v>
      </c>
      <c r="I295" t="s">
        <v>1966</v>
      </c>
      <c r="J295" t="s">
        <v>1946</v>
      </c>
      <c r="K295" s="61">
        <v>-6.9999999999999999E-4</v>
      </c>
      <c r="L295" s="57">
        <v>6.8999999999999999E-3</v>
      </c>
      <c r="M295" s="57">
        <v>2.41E-2</v>
      </c>
      <c r="N295" s="61">
        <v>2.8500000000000001E-2</v>
      </c>
      <c r="O295" s="57">
        <v>-2.5899999999999999E-2</v>
      </c>
      <c r="P295" s="57">
        <v>3.6299999999999999E-2</v>
      </c>
      <c r="Q295" s="57">
        <v>-0.1008</v>
      </c>
      <c r="R295" s="57">
        <v>2.07E-2</v>
      </c>
      <c r="S295" s="57">
        <v>4.07E-2</v>
      </c>
      <c r="T295">
        <v>59.31</v>
      </c>
      <c r="U295">
        <v>49.44</v>
      </c>
      <c r="V295">
        <v>59.31</v>
      </c>
      <c r="W295" s="20">
        <v>129.86799999999999</v>
      </c>
    </row>
    <row r="296" spans="7:23" x14ac:dyDescent="0.15">
      <c r="G296" s="11">
        <v>295</v>
      </c>
      <c r="H296" s="10" t="s">
        <v>1367</v>
      </c>
      <c r="I296" t="s">
        <v>1368</v>
      </c>
      <c r="J296" t="s">
        <v>1609</v>
      </c>
      <c r="K296" s="61">
        <v>-1.1999999999999999E-3</v>
      </c>
      <c r="L296" s="57">
        <v>6.3E-3</v>
      </c>
      <c r="M296" s="57">
        <v>-7.3000000000000001E-3</v>
      </c>
      <c r="N296" s="61">
        <v>1.9400000000000001E-2</v>
      </c>
      <c r="O296" s="57">
        <v>-0.1115</v>
      </c>
      <c r="P296" s="57">
        <v>1.35E-2</v>
      </c>
      <c r="Q296" s="57">
        <v>-0.27529999999999999</v>
      </c>
      <c r="R296" s="57">
        <v>-0.27910000000000001</v>
      </c>
      <c r="S296" s="57">
        <v>-0.27910000000000001</v>
      </c>
      <c r="T296">
        <v>59.17</v>
      </c>
      <c r="U296">
        <v>42.64</v>
      </c>
      <c r="V296">
        <v>66.11</v>
      </c>
      <c r="W296" s="20">
        <v>111.02487620000001</v>
      </c>
    </row>
    <row r="297" spans="7:23" x14ac:dyDescent="0.15">
      <c r="G297" s="11">
        <v>296</v>
      </c>
      <c r="H297" t="s">
        <v>680</v>
      </c>
      <c r="I297" t="s">
        <v>1120</v>
      </c>
      <c r="J297" t="s">
        <v>830</v>
      </c>
      <c r="K297" s="61">
        <v>-6.9999999999999999E-4</v>
      </c>
      <c r="L297" s="57">
        <v>2.8999999999999998E-3</v>
      </c>
      <c r="M297" s="57">
        <v>0.10100000000000001</v>
      </c>
      <c r="N297" s="61">
        <v>2.87E-2</v>
      </c>
      <c r="O297" s="57">
        <v>-2.6499999999999999E-2</v>
      </c>
      <c r="P297" s="57">
        <v>-4.7E-2</v>
      </c>
      <c r="Q297" s="57">
        <v>6.3E-3</v>
      </c>
      <c r="R297" s="57">
        <v>-0.19320000000000001</v>
      </c>
      <c r="S297" s="57">
        <v>-0.17419999999999999</v>
      </c>
      <c r="T297">
        <v>59.03</v>
      </c>
      <c r="U297">
        <v>50</v>
      </c>
      <c r="V297">
        <v>58.75</v>
      </c>
      <c r="W297" s="20">
        <v>43727.604299999999</v>
      </c>
    </row>
    <row r="298" spans="7:23" x14ac:dyDescent="0.15">
      <c r="G298" s="11">
        <v>297</v>
      </c>
      <c r="H298" t="s">
        <v>534</v>
      </c>
      <c r="I298" t="s">
        <v>1108</v>
      </c>
      <c r="J298" t="s">
        <v>830</v>
      </c>
      <c r="K298" s="61">
        <v>6.9999999999999999E-4</v>
      </c>
      <c r="L298" s="57">
        <v>8.6E-3</v>
      </c>
      <c r="M298" s="57">
        <v>-3.7600000000000001E-2</v>
      </c>
      <c r="N298" s="61">
        <v>6.6199999999999995E-2</v>
      </c>
      <c r="O298" s="57">
        <v>-0.1012</v>
      </c>
      <c r="P298" s="57">
        <v>2.6200000000000001E-2</v>
      </c>
      <c r="Q298" s="57">
        <v>-0.26800000000000002</v>
      </c>
      <c r="R298" s="57">
        <v>-0.25700000000000001</v>
      </c>
      <c r="S298" s="57">
        <v>-0.25700000000000001</v>
      </c>
      <c r="T298">
        <v>58.89</v>
      </c>
      <c r="U298">
        <v>75.28</v>
      </c>
      <c r="V298">
        <v>33.33</v>
      </c>
      <c r="W298" s="20">
        <v>20037.554800000002</v>
      </c>
    </row>
    <row r="299" spans="7:23" x14ac:dyDescent="0.15">
      <c r="G299" s="11">
        <v>298</v>
      </c>
      <c r="H299" t="s">
        <v>1433</v>
      </c>
      <c r="I299" t="s">
        <v>1434</v>
      </c>
      <c r="J299" t="s">
        <v>1609</v>
      </c>
      <c r="K299" s="61">
        <v>2.0000000000000001E-4</v>
      </c>
      <c r="L299" s="57">
        <v>2.53E-2</v>
      </c>
      <c r="M299" s="57">
        <v>2.7900000000000001E-2</v>
      </c>
      <c r="N299" s="61">
        <v>4.87E-2</v>
      </c>
      <c r="O299" s="57">
        <v>-2.3400000000000001E-2</v>
      </c>
      <c r="P299" s="57">
        <v>1.2999999999999999E-2</v>
      </c>
      <c r="Q299" s="57">
        <v>-0.21210000000000001</v>
      </c>
      <c r="R299" s="57">
        <v>-0.37709999999999999</v>
      </c>
      <c r="S299" s="57">
        <v>-0.37709999999999999</v>
      </c>
      <c r="T299">
        <v>58.75</v>
      </c>
      <c r="U299">
        <v>64.72</v>
      </c>
      <c r="V299">
        <v>43.47</v>
      </c>
      <c r="W299" s="20">
        <v>433.36180000000002</v>
      </c>
    </row>
    <row r="300" spans="7:23" x14ac:dyDescent="0.15">
      <c r="G300" s="11">
        <v>299</v>
      </c>
      <c r="H300" s="10" t="s">
        <v>261</v>
      </c>
      <c r="I300" t="s">
        <v>809</v>
      </c>
      <c r="J300" t="s">
        <v>793</v>
      </c>
      <c r="K300" s="61">
        <v>-4.3700000000000003E-2</v>
      </c>
      <c r="L300" s="57">
        <v>2.01E-2</v>
      </c>
      <c r="M300" s="57">
        <v>-3.1600000000000003E-2</v>
      </c>
      <c r="N300" s="61">
        <v>-2.0199999999999999E-2</v>
      </c>
      <c r="O300" s="57">
        <v>-0.1037</v>
      </c>
      <c r="P300" s="57">
        <v>0.21240000000000001</v>
      </c>
      <c r="Q300" s="57">
        <v>-0.1593</v>
      </c>
      <c r="R300" s="57">
        <v>-0.1227</v>
      </c>
      <c r="S300" s="57">
        <v>-0.1227</v>
      </c>
      <c r="T300">
        <v>58.61</v>
      </c>
      <c r="U300">
        <v>8.61</v>
      </c>
      <c r="V300">
        <v>99.17</v>
      </c>
      <c r="W300" s="20">
        <v>91.081100000000006</v>
      </c>
    </row>
    <row r="301" spans="7:23" x14ac:dyDescent="0.15">
      <c r="G301" s="11">
        <v>300</v>
      </c>
      <c r="H301" t="s">
        <v>1531</v>
      </c>
      <c r="I301" t="s">
        <v>1532</v>
      </c>
      <c r="J301" t="s">
        <v>1609</v>
      </c>
      <c r="K301" s="61">
        <v>2E-3</v>
      </c>
      <c r="L301" s="57">
        <v>2.1600000000000001E-2</v>
      </c>
      <c r="M301" s="57">
        <v>7.7499999999999999E-2</v>
      </c>
      <c r="N301" s="61">
        <v>0.1396</v>
      </c>
      <c r="O301" s="57">
        <v>-8.6599999999999996E-2</v>
      </c>
      <c r="P301" s="57">
        <v>-3.6200000000000003E-2</v>
      </c>
      <c r="Q301" s="57">
        <v>-0.2465</v>
      </c>
      <c r="R301" s="57">
        <v>-0.2465</v>
      </c>
      <c r="S301" s="57">
        <v>-0.2465</v>
      </c>
      <c r="T301">
        <v>58.47</v>
      </c>
      <c r="U301">
        <v>90.69</v>
      </c>
      <c r="V301">
        <v>17.079999999999998</v>
      </c>
      <c r="W301" s="20">
        <v>246.08670000000001</v>
      </c>
    </row>
    <row r="302" spans="7:23" x14ac:dyDescent="0.15">
      <c r="G302" s="11">
        <v>301</v>
      </c>
      <c r="H302" s="10" t="s">
        <v>355</v>
      </c>
      <c r="I302" t="s">
        <v>812</v>
      </c>
      <c r="J302" t="s">
        <v>793</v>
      </c>
      <c r="K302" s="61">
        <v>-4.7699999999999999E-2</v>
      </c>
      <c r="L302" s="57">
        <v>4.5999999999999999E-3</v>
      </c>
      <c r="M302" s="57">
        <v>-2.98E-2</v>
      </c>
      <c r="N302" s="61">
        <v>-2.3800000000000002E-2</v>
      </c>
      <c r="O302" s="57">
        <v>-9.5000000000000001E-2</v>
      </c>
      <c r="P302" s="57">
        <v>7.9000000000000001E-2</v>
      </c>
      <c r="Q302" s="57">
        <v>-0.2215</v>
      </c>
      <c r="R302" s="57">
        <v>0.217</v>
      </c>
      <c r="S302" s="57">
        <v>0.217</v>
      </c>
      <c r="T302">
        <v>58.33</v>
      </c>
      <c r="U302">
        <v>7.78</v>
      </c>
      <c r="V302">
        <v>99.86</v>
      </c>
      <c r="W302" s="20">
        <v>22.056160000000002</v>
      </c>
    </row>
    <row r="303" spans="7:23" x14ac:dyDescent="0.15">
      <c r="G303" s="11">
        <v>302</v>
      </c>
      <c r="H303" t="s">
        <v>697</v>
      </c>
      <c r="I303" t="s">
        <v>1062</v>
      </c>
      <c r="J303" t="s">
        <v>830</v>
      </c>
      <c r="K303" s="61">
        <v>2.7000000000000001E-3</v>
      </c>
      <c r="L303" s="57">
        <v>8.6499999999999994E-2</v>
      </c>
      <c r="M303" s="57">
        <v>0.12659999999999999</v>
      </c>
      <c r="N303" s="61">
        <v>0.17460000000000001</v>
      </c>
      <c r="O303" s="57">
        <v>-1.1999999999999999E-3</v>
      </c>
      <c r="P303" s="57">
        <v>5.4399999999999997E-2</v>
      </c>
      <c r="Q303" s="57">
        <v>-0.2031</v>
      </c>
      <c r="R303" s="57">
        <v>-0.19220000000000001</v>
      </c>
      <c r="S303" s="57">
        <v>-0.19220000000000001</v>
      </c>
      <c r="T303">
        <v>58.19</v>
      </c>
      <c r="U303">
        <v>95.28</v>
      </c>
      <c r="V303">
        <v>12.36</v>
      </c>
      <c r="W303" s="20">
        <v>13543.609034499999</v>
      </c>
    </row>
    <row r="304" spans="7:23" x14ac:dyDescent="0.15">
      <c r="G304" s="11">
        <v>303</v>
      </c>
      <c r="H304" s="10" t="s">
        <v>356</v>
      </c>
      <c r="I304" t="s">
        <v>1140</v>
      </c>
      <c r="J304" t="s">
        <v>1140</v>
      </c>
      <c r="K304" s="61">
        <v>0</v>
      </c>
      <c r="L304" s="57">
        <v>-1.5E-3</v>
      </c>
      <c r="M304" s="57">
        <v>3.5200000000000002E-2</v>
      </c>
      <c r="N304" s="61">
        <v>4.4999999999999998E-2</v>
      </c>
      <c r="O304" s="57">
        <v>4.8800000000000003E-2</v>
      </c>
      <c r="P304" s="57">
        <v>1.5800000000000002E-2</v>
      </c>
      <c r="Q304" s="57">
        <v>7.5999999999999998E-2</v>
      </c>
      <c r="R304" s="57">
        <v>6.7999999999999996E-3</v>
      </c>
      <c r="S304" s="57">
        <v>0.17330000000000001</v>
      </c>
      <c r="T304">
        <v>58.06</v>
      </c>
      <c r="U304">
        <v>61.94</v>
      </c>
      <c r="V304">
        <v>45.69</v>
      </c>
      <c r="W304" s="20">
        <v>131853.7482</v>
      </c>
    </row>
    <row r="305" spans="7:23" x14ac:dyDescent="0.15">
      <c r="G305" s="11">
        <v>304</v>
      </c>
      <c r="H305" s="10" t="s">
        <v>1352</v>
      </c>
      <c r="I305" t="s">
        <v>1353</v>
      </c>
      <c r="J305" t="s">
        <v>1609</v>
      </c>
      <c r="K305" s="61">
        <v>-1E-3</v>
      </c>
      <c r="L305" s="57">
        <v>6.4999999999999997E-3</v>
      </c>
      <c r="M305" s="57">
        <v>-7.3000000000000001E-3</v>
      </c>
      <c r="N305" s="61">
        <v>1.9900000000000001E-2</v>
      </c>
      <c r="O305" s="57">
        <v>-0.1116</v>
      </c>
      <c r="P305" s="57">
        <v>1.34E-2</v>
      </c>
      <c r="Q305" s="57">
        <v>-0.2707</v>
      </c>
      <c r="R305" s="57">
        <v>-0.26829999999999998</v>
      </c>
      <c r="S305" s="57">
        <v>-0.26829999999999998</v>
      </c>
      <c r="T305">
        <v>57.92</v>
      </c>
      <c r="U305">
        <v>42.92</v>
      </c>
      <c r="V305">
        <v>64.17</v>
      </c>
      <c r="W305" s="20">
        <v>175.8565035</v>
      </c>
    </row>
    <row r="306" spans="7:23" x14ac:dyDescent="0.15">
      <c r="G306" s="11">
        <v>305</v>
      </c>
      <c r="H306" t="s">
        <v>295</v>
      </c>
      <c r="I306" t="s">
        <v>803</v>
      </c>
      <c r="J306" t="s">
        <v>793</v>
      </c>
      <c r="K306" s="61">
        <v>-4.5900000000000003E-2</v>
      </c>
      <c r="L306" s="57">
        <v>0</v>
      </c>
      <c r="M306" s="57">
        <v>-3.27E-2</v>
      </c>
      <c r="N306" s="61">
        <v>-2.5999999999999999E-2</v>
      </c>
      <c r="O306" s="57">
        <v>-9.5000000000000001E-2</v>
      </c>
      <c r="P306" s="57">
        <v>3.78E-2</v>
      </c>
      <c r="Q306" s="57">
        <v>-0.22159999999999999</v>
      </c>
      <c r="R306" s="57">
        <v>8.2600000000000007E-2</v>
      </c>
      <c r="S306" s="57">
        <v>0.12570000000000001</v>
      </c>
      <c r="T306">
        <v>57.78</v>
      </c>
      <c r="U306">
        <v>7.36</v>
      </c>
      <c r="V306">
        <v>99.58</v>
      </c>
      <c r="W306" s="20">
        <v>16.023670000000003</v>
      </c>
    </row>
    <row r="307" spans="7:23" x14ac:dyDescent="0.15">
      <c r="G307" s="11">
        <v>306</v>
      </c>
      <c r="H307" s="10" t="s">
        <v>1252</v>
      </c>
      <c r="I307" t="s">
        <v>1253</v>
      </c>
      <c r="J307" t="s">
        <v>1609</v>
      </c>
      <c r="K307" s="61">
        <v>-3.2000000000000002E-3</v>
      </c>
      <c r="L307" s="57">
        <v>-6.0000000000000001E-3</v>
      </c>
      <c r="M307" s="57">
        <v>-2.3400000000000001E-2</v>
      </c>
      <c r="N307" s="61">
        <v>-6.9999999999999999E-4</v>
      </c>
      <c r="O307" s="57">
        <v>-0.1328</v>
      </c>
      <c r="P307" s="57">
        <v>3.4200000000000001E-2</v>
      </c>
      <c r="Q307" s="57">
        <v>-0.2853</v>
      </c>
      <c r="R307" s="57">
        <v>-7.7399999999999997E-2</v>
      </c>
      <c r="S307" s="57">
        <v>0.54190000000000005</v>
      </c>
      <c r="T307">
        <v>57.64</v>
      </c>
      <c r="U307">
        <v>21.11</v>
      </c>
      <c r="V307">
        <v>85.83</v>
      </c>
      <c r="W307" s="20">
        <v>5.6654200000000001</v>
      </c>
    </row>
    <row r="308" spans="7:23" x14ac:dyDescent="0.15">
      <c r="G308" s="11">
        <v>307</v>
      </c>
      <c r="H308" s="10" t="s">
        <v>464</v>
      </c>
      <c r="I308" t="s">
        <v>856</v>
      </c>
      <c r="J308" t="s">
        <v>830</v>
      </c>
      <c r="K308" s="61">
        <v>-6.9999999999999999E-4</v>
      </c>
      <c r="L308" s="57">
        <v>1.44E-2</v>
      </c>
      <c r="M308" s="57">
        <v>3.2199999999999999E-2</v>
      </c>
      <c r="N308" s="61">
        <v>2.5899999999999999E-2</v>
      </c>
      <c r="O308" s="57">
        <v>-5.0200000000000002E-2</v>
      </c>
      <c r="P308" s="57">
        <v>-5.0200000000000002E-2</v>
      </c>
      <c r="Q308" s="57">
        <v>-0.17180000000000001</v>
      </c>
      <c r="R308" s="57">
        <v>-8.0199999999999994E-2</v>
      </c>
      <c r="S308" s="57">
        <v>-8.8400000000000006E-2</v>
      </c>
      <c r="T308">
        <v>57.5</v>
      </c>
      <c r="U308">
        <v>47.92</v>
      </c>
      <c r="V308">
        <v>58.89</v>
      </c>
      <c r="W308" s="20">
        <v>1.0234000000000001</v>
      </c>
    </row>
    <row r="309" spans="7:23" x14ac:dyDescent="0.15">
      <c r="G309" s="11">
        <v>308</v>
      </c>
      <c r="H309" s="10" t="s">
        <v>459</v>
      </c>
      <c r="I309" t="s">
        <v>1371</v>
      </c>
      <c r="J309" t="s">
        <v>1609</v>
      </c>
      <c r="K309" s="61">
        <v>-5.0000000000000001E-3</v>
      </c>
      <c r="L309" s="57">
        <v>-6.1000000000000004E-3</v>
      </c>
      <c r="M309" s="57">
        <v>-7.4000000000000003E-3</v>
      </c>
      <c r="N309" s="61">
        <v>-7.1000000000000004E-3</v>
      </c>
      <c r="O309" s="57">
        <v>-4.7999999999999996E-3</v>
      </c>
      <c r="P309" s="57">
        <v>4.8999999999999998E-3</v>
      </c>
      <c r="Q309" s="57">
        <v>2.46E-2</v>
      </c>
      <c r="R309" s="57">
        <v>6.1199999999999997E-2</v>
      </c>
      <c r="S309" s="57">
        <v>9.0700000000000003E-2</v>
      </c>
      <c r="T309">
        <v>57.36</v>
      </c>
      <c r="U309">
        <v>14.44</v>
      </c>
      <c r="V309">
        <v>92.08</v>
      </c>
      <c r="W309" s="20">
        <v>10070.8169</v>
      </c>
    </row>
    <row r="310" spans="7:23" x14ac:dyDescent="0.15">
      <c r="G310" s="11">
        <v>309</v>
      </c>
      <c r="H310" t="s">
        <v>588</v>
      </c>
      <c r="I310" t="s">
        <v>950</v>
      </c>
      <c r="J310" t="s">
        <v>830</v>
      </c>
      <c r="K310" s="61">
        <v>-1.1000000000000001E-3</v>
      </c>
      <c r="L310" s="57">
        <v>1.38E-2</v>
      </c>
      <c r="M310" s="57">
        <v>2.5899999999999999E-2</v>
      </c>
      <c r="N310" s="61">
        <v>1.7299999999999999E-2</v>
      </c>
      <c r="O310" s="57">
        <v>-9.3200000000000005E-2</v>
      </c>
      <c r="P310" s="57">
        <v>-3.1199999999999999E-2</v>
      </c>
      <c r="Q310" s="57">
        <v>-0.20269999999999999</v>
      </c>
      <c r="R310" s="57">
        <v>-0.25819999999999999</v>
      </c>
      <c r="S310" s="57">
        <v>-0.25819999999999999</v>
      </c>
      <c r="T310">
        <v>57.22</v>
      </c>
      <c r="U310">
        <v>40.69</v>
      </c>
      <c r="V310">
        <v>65.56</v>
      </c>
      <c r="W310" s="20">
        <v>770.26059999999995</v>
      </c>
    </row>
    <row r="311" spans="7:23" x14ac:dyDescent="0.15">
      <c r="G311" s="11">
        <v>310</v>
      </c>
      <c r="H311" s="10" t="s">
        <v>624</v>
      </c>
      <c r="I311" t="s">
        <v>936</v>
      </c>
      <c r="J311" t="s">
        <v>830</v>
      </c>
      <c r="K311" s="61">
        <v>-1E-3</v>
      </c>
      <c r="L311" s="57">
        <v>8.6999999999999994E-3</v>
      </c>
      <c r="M311" s="57">
        <v>1.43E-2</v>
      </c>
      <c r="N311" s="61">
        <v>1.89E-2</v>
      </c>
      <c r="O311" s="57">
        <v>-2.6100000000000002E-2</v>
      </c>
      <c r="P311" s="57">
        <v>9.7999999999999997E-3</v>
      </c>
      <c r="Q311" s="57">
        <v>-6.9099999999999995E-2</v>
      </c>
      <c r="R311" s="57">
        <v>0.2041</v>
      </c>
      <c r="S311" s="57">
        <v>0.18779999999999999</v>
      </c>
      <c r="T311">
        <v>57.08</v>
      </c>
      <c r="U311">
        <v>42.22</v>
      </c>
      <c r="V311">
        <v>63.75</v>
      </c>
      <c r="W311" s="20">
        <v>1252.4987000000001</v>
      </c>
    </row>
    <row r="312" spans="7:23" x14ac:dyDescent="0.15">
      <c r="G312" s="11">
        <v>311</v>
      </c>
      <c r="H312" s="10" t="s">
        <v>1437</v>
      </c>
      <c r="I312" t="s">
        <v>1438</v>
      </c>
      <c r="J312" t="s">
        <v>1609</v>
      </c>
      <c r="K312" s="61">
        <v>3.8999999999999998E-3</v>
      </c>
      <c r="L312" s="57">
        <v>7.5300000000000006E-2</v>
      </c>
      <c r="M312" s="57">
        <v>0.1201</v>
      </c>
      <c r="N312" s="61">
        <v>0.18720000000000001</v>
      </c>
      <c r="O312" s="57">
        <v>8.6999999999999994E-3</v>
      </c>
      <c r="P312" s="57">
        <v>2.4299999999999999E-2</v>
      </c>
      <c r="Q312" s="57">
        <v>-0.20710000000000001</v>
      </c>
      <c r="R312" s="57">
        <v>-0.20710000000000001</v>
      </c>
      <c r="S312" s="57">
        <v>-0.20710000000000001</v>
      </c>
      <c r="T312">
        <v>56.94</v>
      </c>
      <c r="U312">
        <v>96.94</v>
      </c>
      <c r="V312">
        <v>8.89</v>
      </c>
      <c r="W312" s="20">
        <v>354.26049999999998</v>
      </c>
    </row>
    <row r="313" spans="7:23" x14ac:dyDescent="0.15">
      <c r="G313" s="11">
        <v>312</v>
      </c>
      <c r="H313" t="s">
        <v>1338</v>
      </c>
      <c r="I313" t="s">
        <v>1339</v>
      </c>
      <c r="J313" t="s">
        <v>1609</v>
      </c>
      <c r="K313" s="61">
        <v>-5.0000000000000001E-4</v>
      </c>
      <c r="L313" s="57">
        <v>8.3999999999999995E-3</v>
      </c>
      <c r="M313" s="57">
        <v>1.66E-2</v>
      </c>
      <c r="N313" s="61">
        <v>2.86E-2</v>
      </c>
      <c r="O313" s="57">
        <v>-7.2099999999999997E-2</v>
      </c>
      <c r="P313" s="57">
        <v>-4.7100000000000003E-2</v>
      </c>
      <c r="Q313" s="57">
        <v>-0.16009999999999999</v>
      </c>
      <c r="R313" s="57">
        <v>-0.1956</v>
      </c>
      <c r="S313" s="57">
        <v>-0.1956</v>
      </c>
      <c r="T313">
        <v>56.81</v>
      </c>
      <c r="U313">
        <v>49.72</v>
      </c>
      <c r="V313">
        <v>55.97</v>
      </c>
      <c r="W313" s="20">
        <v>1049.3948</v>
      </c>
    </row>
    <row r="314" spans="7:23" x14ac:dyDescent="0.15">
      <c r="G314" s="11">
        <v>313</v>
      </c>
      <c r="H314" s="10" t="s">
        <v>1979</v>
      </c>
      <c r="I314" t="s">
        <v>1980</v>
      </c>
      <c r="J314" t="s">
        <v>1946</v>
      </c>
      <c r="K314" s="61">
        <v>3.3E-3</v>
      </c>
      <c r="L314" s="57">
        <v>9.2499999999999999E-2</v>
      </c>
      <c r="M314" s="57">
        <v>0.1074</v>
      </c>
      <c r="N314" s="61">
        <v>0.1782</v>
      </c>
      <c r="O314" s="57">
        <v>0.22059999999999999</v>
      </c>
      <c r="P314" s="57">
        <v>0.22889999999999999</v>
      </c>
      <c r="Q314" s="57">
        <v>0.22889999999999999</v>
      </c>
      <c r="R314" s="57">
        <v>0.22889999999999999</v>
      </c>
      <c r="S314" s="57">
        <v>0.22889999999999999</v>
      </c>
      <c r="T314">
        <v>56.67</v>
      </c>
      <c r="U314">
        <v>95.83</v>
      </c>
      <c r="V314">
        <v>9.86</v>
      </c>
      <c r="W314" s="20">
        <v>5170.7685000000001</v>
      </c>
    </row>
    <row r="315" spans="7:23" x14ac:dyDescent="0.15">
      <c r="G315" s="11">
        <v>314</v>
      </c>
      <c r="H315" s="10" t="s">
        <v>277</v>
      </c>
      <c r="I315" t="s">
        <v>850</v>
      </c>
      <c r="J315" t="s">
        <v>830</v>
      </c>
      <c r="K315" s="61">
        <v>-4.7999999999999996E-3</v>
      </c>
      <c r="L315" s="57">
        <v>4.1399999999999999E-2</v>
      </c>
      <c r="M315" s="57">
        <v>1.1299999999999999E-2</v>
      </c>
      <c r="N315" s="61">
        <v>-8.2000000000000007E-3</v>
      </c>
      <c r="O315" s="57">
        <v>5.45E-2</v>
      </c>
      <c r="P315" s="57">
        <v>9.6699999999999994E-2</v>
      </c>
      <c r="Q315" s="57">
        <v>-0.1484</v>
      </c>
      <c r="R315" s="57">
        <v>-0.35589999999999999</v>
      </c>
      <c r="S315" s="57">
        <v>-0.35589999999999999</v>
      </c>
      <c r="T315">
        <v>56.53</v>
      </c>
      <c r="U315">
        <v>13.75</v>
      </c>
      <c r="V315">
        <v>91.81</v>
      </c>
      <c r="W315" s="20">
        <v>334.80454580000003</v>
      </c>
    </row>
    <row r="316" spans="7:23" x14ac:dyDescent="0.15">
      <c r="G316" s="11">
        <v>315</v>
      </c>
      <c r="H316" s="10" t="s">
        <v>303</v>
      </c>
      <c r="I316" t="s">
        <v>820</v>
      </c>
      <c r="J316" t="s">
        <v>793</v>
      </c>
      <c r="K316" s="61">
        <v>-1.41E-2</v>
      </c>
      <c r="L316" s="57">
        <v>-2.2100000000000002E-2</v>
      </c>
      <c r="M316" s="57">
        <v>-1.0500000000000001E-2</v>
      </c>
      <c r="N316" s="61">
        <v>-2.06E-2</v>
      </c>
      <c r="O316" s="57">
        <v>-1.89E-2</v>
      </c>
      <c r="P316" s="57">
        <v>-8.0000000000000002E-3</v>
      </c>
      <c r="Q316" s="57">
        <v>-0.1096</v>
      </c>
      <c r="R316" s="57">
        <v>0.34160000000000001</v>
      </c>
      <c r="S316" s="57">
        <v>1.4621999999999999</v>
      </c>
      <c r="T316">
        <v>56.39</v>
      </c>
      <c r="U316">
        <v>8.33</v>
      </c>
      <c r="V316">
        <v>97.22</v>
      </c>
      <c r="W316" s="20">
        <v>148.37403999999998</v>
      </c>
    </row>
    <row r="317" spans="7:23" x14ac:dyDescent="0.15">
      <c r="G317" s="11">
        <v>316</v>
      </c>
      <c r="H317" s="10" t="s">
        <v>598</v>
      </c>
      <c r="I317" t="s">
        <v>995</v>
      </c>
      <c r="J317" t="s">
        <v>830</v>
      </c>
      <c r="K317" s="61">
        <v>3.2000000000000002E-3</v>
      </c>
      <c r="L317" s="57">
        <v>8.48E-2</v>
      </c>
      <c r="M317" s="57">
        <v>0.1237</v>
      </c>
      <c r="N317" s="61">
        <v>0.17119999999999999</v>
      </c>
      <c r="O317" s="57">
        <v>-2.0000000000000001E-4</v>
      </c>
      <c r="P317" s="57">
        <v>5.3900000000000003E-2</v>
      </c>
      <c r="Q317" s="57">
        <v>-0.19089999999999999</v>
      </c>
      <c r="R317" s="57">
        <v>-0.18859999999999999</v>
      </c>
      <c r="S317" s="57">
        <v>-0.18859999999999999</v>
      </c>
      <c r="T317">
        <v>56.25</v>
      </c>
      <c r="U317">
        <v>94.86</v>
      </c>
      <c r="V317">
        <v>10.42</v>
      </c>
      <c r="W317" s="20">
        <v>2458.2215000000001</v>
      </c>
    </row>
    <row r="318" spans="7:23" x14ac:dyDescent="0.15">
      <c r="G318" s="11">
        <v>317</v>
      </c>
      <c r="H318" s="10" t="s">
        <v>683</v>
      </c>
      <c r="I318" t="s">
        <v>1070</v>
      </c>
      <c r="J318" t="s">
        <v>830</v>
      </c>
      <c r="K318" s="61">
        <v>5.0000000000000001E-4</v>
      </c>
      <c r="L318" s="57">
        <v>1.3100000000000001E-2</v>
      </c>
      <c r="M318" s="57">
        <v>3.8199999999999998E-2</v>
      </c>
      <c r="N318" s="61">
        <v>5.2900000000000003E-2</v>
      </c>
      <c r="O318" s="57">
        <v>-5.4699999999999999E-2</v>
      </c>
      <c r="P318" s="57">
        <v>8.3000000000000001E-3</v>
      </c>
      <c r="Q318" s="57">
        <v>-0.20580000000000001</v>
      </c>
      <c r="R318" s="57">
        <v>-0.22239999999999999</v>
      </c>
      <c r="S318" s="57">
        <v>-6.25E-2</v>
      </c>
      <c r="T318">
        <v>56.11</v>
      </c>
      <c r="U318">
        <v>67.78</v>
      </c>
      <c r="V318">
        <v>37.5</v>
      </c>
      <c r="W318" s="20">
        <v>3181.96702</v>
      </c>
    </row>
    <row r="319" spans="7:23" x14ac:dyDescent="0.15">
      <c r="G319" s="11">
        <v>318</v>
      </c>
      <c r="H319" s="10" t="s">
        <v>1207</v>
      </c>
      <c r="I319" t="s">
        <v>1208</v>
      </c>
      <c r="J319" t="s">
        <v>830</v>
      </c>
      <c r="K319" s="61">
        <v>4.1999999999999997E-3</v>
      </c>
      <c r="L319" s="57">
        <v>5.8799999999999998E-2</v>
      </c>
      <c r="M319" s="57">
        <v>8.8900000000000007E-2</v>
      </c>
      <c r="N319" s="61">
        <v>0.18790000000000001</v>
      </c>
      <c r="O319" s="57">
        <v>7.51E-2</v>
      </c>
      <c r="P319" s="57">
        <v>0.25319999999999998</v>
      </c>
      <c r="Q319" s="57">
        <v>0.18099999999999999</v>
      </c>
      <c r="R319" s="57">
        <v>0.18099999999999999</v>
      </c>
      <c r="S319" s="57">
        <v>0.18099999999999999</v>
      </c>
      <c r="T319">
        <v>55.97</v>
      </c>
      <c r="U319">
        <v>97.08</v>
      </c>
      <c r="V319">
        <v>8.06</v>
      </c>
      <c r="W319" s="20">
        <v>10050.41323</v>
      </c>
    </row>
    <row r="320" spans="7:23" x14ac:dyDescent="0.15">
      <c r="G320" s="11">
        <v>319</v>
      </c>
      <c r="H320" t="s">
        <v>514</v>
      </c>
      <c r="I320" t="s">
        <v>1172</v>
      </c>
      <c r="J320" t="s">
        <v>1166</v>
      </c>
      <c r="K320" s="61">
        <v>-4.1999999999999997E-3</v>
      </c>
      <c r="L320" s="57">
        <v>-4.0000000000000001E-3</v>
      </c>
      <c r="M320" s="57">
        <v>-2.07E-2</v>
      </c>
      <c r="N320" s="61">
        <v>-4.7000000000000002E-3</v>
      </c>
      <c r="O320" s="57">
        <v>-5.2999999999999999E-2</v>
      </c>
      <c r="P320" s="57">
        <v>2.41E-2</v>
      </c>
      <c r="Q320" s="57">
        <v>-9.01E-2</v>
      </c>
      <c r="R320" s="57">
        <v>-1.84E-2</v>
      </c>
      <c r="S320" s="57">
        <v>0.35780000000000001</v>
      </c>
      <c r="T320">
        <v>55.83</v>
      </c>
      <c r="U320">
        <v>15.97</v>
      </c>
      <c r="V320">
        <v>89.17</v>
      </c>
      <c r="W320" s="20">
        <v>741.71213880000005</v>
      </c>
    </row>
    <row r="321" spans="7:23" x14ac:dyDescent="0.15">
      <c r="G321" s="11">
        <v>320</v>
      </c>
      <c r="H321" s="10" t="s">
        <v>1299</v>
      </c>
      <c r="I321" t="s">
        <v>1300</v>
      </c>
      <c r="J321" t="s">
        <v>1609</v>
      </c>
      <c r="K321" s="61">
        <v>2.3E-3</v>
      </c>
      <c r="L321" s="57">
        <v>4.6100000000000002E-2</v>
      </c>
      <c r="M321" s="57">
        <v>7.9699999999999993E-2</v>
      </c>
      <c r="N321" s="61">
        <v>0.13930000000000001</v>
      </c>
      <c r="O321" s="57">
        <v>-3.0000000000000001E-3</v>
      </c>
      <c r="P321" s="57">
        <v>4.87E-2</v>
      </c>
      <c r="Q321" s="57">
        <v>-0.17019999999999999</v>
      </c>
      <c r="R321" s="57">
        <v>-0.15989999999999999</v>
      </c>
      <c r="S321" s="57">
        <v>-0.15989999999999999</v>
      </c>
      <c r="T321">
        <v>55.69</v>
      </c>
      <c r="U321">
        <v>90.28</v>
      </c>
      <c r="V321">
        <v>14.72</v>
      </c>
      <c r="W321" s="20">
        <v>85.037400000000005</v>
      </c>
    </row>
    <row r="322" spans="7:23" x14ac:dyDescent="0.15">
      <c r="G322" s="11">
        <v>321</v>
      </c>
      <c r="H322" s="10" t="s">
        <v>1426</v>
      </c>
      <c r="I322" t="s">
        <v>1427</v>
      </c>
      <c r="J322" t="s">
        <v>1609</v>
      </c>
      <c r="K322" s="61">
        <v>-1.6999999999999999E-3</v>
      </c>
      <c r="L322" s="57">
        <v>-2.18E-2</v>
      </c>
      <c r="M322" s="57">
        <v>-1.12E-2</v>
      </c>
      <c r="N322" s="61">
        <v>8.0000000000000002E-3</v>
      </c>
      <c r="O322" s="57">
        <v>-0.1401</v>
      </c>
      <c r="P322" s="57">
        <v>-6.6199999999999995E-2</v>
      </c>
      <c r="Q322" s="57">
        <v>-0.2432</v>
      </c>
      <c r="R322" s="57">
        <v>-0.1686</v>
      </c>
      <c r="S322" s="57">
        <v>-0.1686</v>
      </c>
      <c r="T322">
        <v>55.56</v>
      </c>
      <c r="U322">
        <v>31.67</v>
      </c>
      <c r="V322">
        <v>73.33</v>
      </c>
      <c r="W322" s="20">
        <v>3288.7977999999998</v>
      </c>
    </row>
    <row r="323" spans="7:23" x14ac:dyDescent="0.15">
      <c r="G323" s="11">
        <v>322</v>
      </c>
      <c r="H323" t="s">
        <v>1262</v>
      </c>
      <c r="I323" t="s">
        <v>1263</v>
      </c>
      <c r="J323" t="s">
        <v>1609</v>
      </c>
      <c r="K323" s="61">
        <v>5.9999999999999995E-4</v>
      </c>
      <c r="L323" s="57">
        <v>1.1000000000000001E-3</v>
      </c>
      <c r="M323" s="57">
        <v>-2.76E-2</v>
      </c>
      <c r="N323" s="61">
        <v>5.45E-2</v>
      </c>
      <c r="O323" s="57">
        <v>-0.16830000000000001</v>
      </c>
      <c r="P323" s="57">
        <v>3.04E-2</v>
      </c>
      <c r="Q323" s="57">
        <v>-0.2399</v>
      </c>
      <c r="R323" s="57">
        <v>-0.17349999999999999</v>
      </c>
      <c r="S323" s="57">
        <v>-0.17349999999999999</v>
      </c>
      <c r="T323">
        <v>55.42</v>
      </c>
      <c r="U323">
        <v>68.47</v>
      </c>
      <c r="V323">
        <v>36.39</v>
      </c>
      <c r="W323" s="20">
        <v>1623.40173</v>
      </c>
    </row>
    <row r="324" spans="7:23" x14ac:dyDescent="0.15">
      <c r="G324" s="11">
        <v>323</v>
      </c>
      <c r="H324" t="s">
        <v>331</v>
      </c>
      <c r="I324" t="s">
        <v>878</v>
      </c>
      <c r="J324" t="s">
        <v>830</v>
      </c>
      <c r="K324" s="61">
        <v>1.1999999999999999E-3</v>
      </c>
      <c r="L324" s="57">
        <v>4.9200000000000001E-2</v>
      </c>
      <c r="M324" s="57">
        <v>2.76E-2</v>
      </c>
      <c r="N324" s="61">
        <v>8.5300000000000001E-2</v>
      </c>
      <c r="O324" s="57">
        <v>3.6499999999999998E-2</v>
      </c>
      <c r="P324" s="57">
        <v>8.9700000000000002E-2</v>
      </c>
      <c r="Q324" s="57">
        <v>-0.1875</v>
      </c>
      <c r="R324" s="57">
        <v>-0.31580000000000003</v>
      </c>
      <c r="S324" s="57">
        <v>-0.31580000000000003</v>
      </c>
      <c r="T324">
        <v>55.28</v>
      </c>
      <c r="U324">
        <v>80.14</v>
      </c>
      <c r="V324">
        <v>24.58</v>
      </c>
      <c r="W324" s="20">
        <v>1070.9492</v>
      </c>
    </row>
    <row r="325" spans="7:23" x14ac:dyDescent="0.15">
      <c r="G325" s="11">
        <v>324</v>
      </c>
      <c r="H325" s="10" t="s">
        <v>518</v>
      </c>
      <c r="I325" t="s">
        <v>1015</v>
      </c>
      <c r="J325" t="s">
        <v>830</v>
      </c>
      <c r="K325" s="61">
        <v>-6.9999999999999999E-4</v>
      </c>
      <c r="L325" s="57">
        <v>4.4000000000000003E-3</v>
      </c>
      <c r="M325" s="57">
        <v>9.2999999999999992E-3</v>
      </c>
      <c r="N325" s="61">
        <v>2.24E-2</v>
      </c>
      <c r="O325" s="57">
        <v>-7.5499999999999998E-2</v>
      </c>
      <c r="P325" s="57">
        <v>-6.9999999999999999E-4</v>
      </c>
      <c r="Q325" s="57">
        <v>-0.17469999999999999</v>
      </c>
      <c r="R325" s="57">
        <v>-0.1154</v>
      </c>
      <c r="S325" s="57">
        <v>7.2800000000000004E-2</v>
      </c>
      <c r="T325">
        <v>55.14</v>
      </c>
      <c r="U325">
        <v>44.44</v>
      </c>
      <c r="V325">
        <v>60.14</v>
      </c>
      <c r="W325" s="20">
        <v>3399.2089000000001</v>
      </c>
    </row>
    <row r="326" spans="7:23" x14ac:dyDescent="0.15">
      <c r="G326" s="11">
        <v>325</v>
      </c>
      <c r="H326" s="10" t="s">
        <v>725</v>
      </c>
      <c r="I326" t="s">
        <v>1147</v>
      </c>
      <c r="J326" t="s">
        <v>1146</v>
      </c>
      <c r="K326" s="61">
        <v>4.7000000000000002E-3</v>
      </c>
      <c r="L326" s="57">
        <v>0.1681</v>
      </c>
      <c r="M326" s="57">
        <v>0.21659999999999999</v>
      </c>
      <c r="N326" s="61">
        <v>0.18390000000000001</v>
      </c>
      <c r="O326" s="57">
        <v>-3.9699999999999999E-2</v>
      </c>
      <c r="P326" s="57">
        <v>5.8799999999999998E-2</v>
      </c>
      <c r="Q326" s="57">
        <v>-0.28339999999999999</v>
      </c>
      <c r="R326" s="57">
        <v>-0.28339999999999999</v>
      </c>
      <c r="S326" s="57">
        <v>-0.28339999999999999</v>
      </c>
      <c r="T326">
        <v>55</v>
      </c>
      <c r="U326">
        <v>96.81</v>
      </c>
      <c r="V326">
        <v>7.5</v>
      </c>
      <c r="W326" s="20">
        <v>303938.93099139998</v>
      </c>
    </row>
    <row r="327" spans="7:23" x14ac:dyDescent="0.15">
      <c r="G327" s="11">
        <v>326</v>
      </c>
      <c r="H327" s="10" t="s">
        <v>1441</v>
      </c>
      <c r="I327" t="s">
        <v>1442</v>
      </c>
      <c r="J327" t="s">
        <v>1609</v>
      </c>
      <c r="K327" s="61">
        <v>-2.2000000000000001E-3</v>
      </c>
      <c r="L327" s="57">
        <v>3.0999999999999999E-3</v>
      </c>
      <c r="M327" s="57">
        <v>3.6400000000000002E-2</v>
      </c>
      <c r="N327" s="61">
        <v>2.5999999999999999E-3</v>
      </c>
      <c r="O327" s="57">
        <v>-3.6600000000000001E-2</v>
      </c>
      <c r="P327" s="57">
        <v>-7.6200000000000004E-2</v>
      </c>
      <c r="Q327" s="57">
        <v>-0.11559999999999999</v>
      </c>
      <c r="R327" s="57">
        <v>-0.1381</v>
      </c>
      <c r="S327" s="57">
        <v>-0.1381</v>
      </c>
      <c r="T327">
        <v>54.86</v>
      </c>
      <c r="U327">
        <v>25.14</v>
      </c>
      <c r="V327">
        <v>79.03</v>
      </c>
      <c r="W327" s="20">
        <v>790.65970000000004</v>
      </c>
    </row>
    <row r="328" spans="7:23" x14ac:dyDescent="0.15">
      <c r="G328" s="11">
        <v>327</v>
      </c>
      <c r="H328" s="10" t="s">
        <v>1475</v>
      </c>
      <c r="I328" t="s">
        <v>1476</v>
      </c>
      <c r="J328" t="s">
        <v>1609</v>
      </c>
      <c r="K328" s="61">
        <v>4.0000000000000002E-4</v>
      </c>
      <c r="L328" s="57">
        <v>1.11E-2</v>
      </c>
      <c r="M328" s="57">
        <v>3.7600000000000001E-2</v>
      </c>
      <c r="N328" s="61">
        <v>4.9099999999999998E-2</v>
      </c>
      <c r="O328" s="57">
        <v>-7.6600000000000001E-2</v>
      </c>
      <c r="P328" s="57">
        <v>-3.8699999999999998E-2</v>
      </c>
      <c r="Q328" s="57">
        <v>-0.2087</v>
      </c>
      <c r="R328" s="57">
        <v>-0.26229999999999998</v>
      </c>
      <c r="S328" s="57">
        <v>-0.26229999999999998</v>
      </c>
      <c r="T328">
        <v>54.72</v>
      </c>
      <c r="U328">
        <v>65</v>
      </c>
      <c r="V328">
        <v>39.03</v>
      </c>
      <c r="W328" s="20">
        <v>54.136000000000003</v>
      </c>
    </row>
    <row r="329" spans="7:23" x14ac:dyDescent="0.15">
      <c r="G329" s="11">
        <v>328</v>
      </c>
      <c r="H329" s="10" t="s">
        <v>662</v>
      </c>
      <c r="I329" t="s">
        <v>973</v>
      </c>
      <c r="J329" t="s">
        <v>830</v>
      </c>
      <c r="K329" s="61">
        <v>2.0999999999999999E-3</v>
      </c>
      <c r="L329" s="57">
        <v>4.6800000000000001E-2</v>
      </c>
      <c r="M329" s="57">
        <v>3.6700000000000003E-2</v>
      </c>
      <c r="N329" s="61">
        <v>0.11020000000000001</v>
      </c>
      <c r="O329" s="57">
        <v>6.3299999999999995E-2</v>
      </c>
      <c r="P329" s="57">
        <v>0.18890000000000001</v>
      </c>
      <c r="Q329" s="57">
        <v>-0.21820000000000001</v>
      </c>
      <c r="R329" s="57">
        <v>-0.23849999999999999</v>
      </c>
      <c r="S329" s="57">
        <v>-0.14990000000000001</v>
      </c>
      <c r="T329">
        <v>54.58</v>
      </c>
      <c r="U329">
        <v>87.08</v>
      </c>
      <c r="V329">
        <v>16.809999999999999</v>
      </c>
      <c r="W329" s="20">
        <v>3720.4568600000002</v>
      </c>
    </row>
    <row r="330" spans="7:23" x14ac:dyDescent="0.15">
      <c r="G330" s="11">
        <v>329</v>
      </c>
      <c r="H330" s="10" t="s">
        <v>319</v>
      </c>
      <c r="I330" t="s">
        <v>1054</v>
      </c>
      <c r="J330" t="s">
        <v>830</v>
      </c>
      <c r="K330" s="61">
        <v>1.1000000000000001E-3</v>
      </c>
      <c r="L330" s="57">
        <v>5.6000000000000001E-2</v>
      </c>
      <c r="M330" s="57">
        <v>4.2999999999999997E-2</v>
      </c>
      <c r="N330" s="61">
        <v>7.5200000000000003E-2</v>
      </c>
      <c r="O330" s="57">
        <v>7.4499999999999997E-2</v>
      </c>
      <c r="P330" s="57">
        <v>0.11459999999999999</v>
      </c>
      <c r="Q330" s="57">
        <v>-0.1108</v>
      </c>
      <c r="R330" s="57">
        <v>-0.1983</v>
      </c>
      <c r="S330" s="57">
        <v>0.24399999999999999</v>
      </c>
      <c r="T330">
        <v>54.44</v>
      </c>
      <c r="U330">
        <v>77.92</v>
      </c>
      <c r="V330">
        <v>25.97</v>
      </c>
      <c r="W330" s="20">
        <v>6035.0714399999997</v>
      </c>
    </row>
    <row r="331" spans="7:23" x14ac:dyDescent="0.15">
      <c r="G331" s="11">
        <v>330</v>
      </c>
      <c r="H331" s="10" t="s">
        <v>282</v>
      </c>
      <c r="I331" t="s">
        <v>801</v>
      </c>
      <c r="J331" t="s">
        <v>793</v>
      </c>
      <c r="K331" s="61">
        <v>-3.3E-3</v>
      </c>
      <c r="L331" s="57">
        <v>1.2999999999999999E-3</v>
      </c>
      <c r="M331" s="57">
        <v>-1.4E-2</v>
      </c>
      <c r="N331" s="61">
        <v>-3.2000000000000002E-3</v>
      </c>
      <c r="O331" s="57">
        <v>-6.8900000000000003E-2</v>
      </c>
      <c r="P331" s="57">
        <v>-4.3E-3</v>
      </c>
      <c r="Q331" s="57">
        <v>-0.1013</v>
      </c>
      <c r="R331" s="57">
        <v>-1E-4</v>
      </c>
      <c r="S331" s="57">
        <v>0.504</v>
      </c>
      <c r="T331">
        <v>54.31</v>
      </c>
      <c r="U331">
        <v>17.36</v>
      </c>
      <c r="V331">
        <v>86.39</v>
      </c>
      <c r="W331" s="20">
        <v>13.322900000000001</v>
      </c>
    </row>
    <row r="332" spans="7:23" x14ac:dyDescent="0.15">
      <c r="G332" s="11">
        <v>331</v>
      </c>
      <c r="H332" s="10" t="s">
        <v>488</v>
      </c>
      <c r="I332" t="s">
        <v>1058</v>
      </c>
      <c r="J332" t="s">
        <v>830</v>
      </c>
      <c r="K332" s="61">
        <v>-1.5E-3</v>
      </c>
      <c r="L332" s="57">
        <v>-2.5000000000000001E-3</v>
      </c>
      <c r="M332" s="57">
        <v>-3.7400000000000003E-2</v>
      </c>
      <c r="N332" s="61">
        <v>0.01</v>
      </c>
      <c r="O332" s="57">
        <v>-6.0499999999999998E-2</v>
      </c>
      <c r="P332" s="57">
        <v>0.1236</v>
      </c>
      <c r="Q332" s="57">
        <v>-0.15890000000000001</v>
      </c>
      <c r="R332" s="57">
        <v>0.23769999999999999</v>
      </c>
      <c r="S332" s="57">
        <v>0.82250000000000001</v>
      </c>
      <c r="T332">
        <v>54.17</v>
      </c>
      <c r="U332">
        <v>32.92</v>
      </c>
      <c r="V332">
        <v>70.42</v>
      </c>
      <c r="W332" s="20">
        <v>4892.4886999999999</v>
      </c>
    </row>
    <row r="333" spans="7:23" x14ac:dyDescent="0.15">
      <c r="G333" s="11">
        <v>332</v>
      </c>
      <c r="H333" s="10" t="s">
        <v>489</v>
      </c>
      <c r="I333" t="s">
        <v>860</v>
      </c>
      <c r="J333" t="s">
        <v>830</v>
      </c>
      <c r="K333" s="61">
        <v>-4.0000000000000002E-4</v>
      </c>
      <c r="L333" s="57">
        <v>2.8299999999999999E-2</v>
      </c>
      <c r="M333" s="57">
        <v>1.9099999999999999E-2</v>
      </c>
      <c r="N333" s="61">
        <v>2.87E-2</v>
      </c>
      <c r="O333" s="57">
        <v>-3.0700000000000002E-2</v>
      </c>
      <c r="P333" s="57">
        <v>5.6599999999999998E-2</v>
      </c>
      <c r="Q333" s="57">
        <v>-0.1242</v>
      </c>
      <c r="R333" s="57">
        <v>-0.25869999999999999</v>
      </c>
      <c r="S333" s="57">
        <v>-0.25869999999999999</v>
      </c>
      <c r="T333">
        <v>54.03</v>
      </c>
      <c r="U333">
        <v>49.86</v>
      </c>
      <c r="V333">
        <v>53.33</v>
      </c>
      <c r="W333" s="20">
        <v>396.45409999999998</v>
      </c>
    </row>
    <row r="334" spans="7:23" x14ac:dyDescent="0.15">
      <c r="G334" s="11">
        <v>333</v>
      </c>
      <c r="H334" s="10" t="s">
        <v>606</v>
      </c>
      <c r="I334" t="s">
        <v>960</v>
      </c>
      <c r="J334" t="s">
        <v>830</v>
      </c>
      <c r="K334" s="61">
        <v>8.9999999999999998E-4</v>
      </c>
      <c r="L334" s="57">
        <v>4.2200000000000001E-2</v>
      </c>
      <c r="M334" s="57">
        <v>1.89E-2</v>
      </c>
      <c r="N334" s="61">
        <v>6.3700000000000007E-2</v>
      </c>
      <c r="O334" s="57">
        <v>-0.1182</v>
      </c>
      <c r="P334" s="57">
        <v>-3.3E-3</v>
      </c>
      <c r="Q334" s="57">
        <v>-0.26100000000000001</v>
      </c>
      <c r="R334" s="57">
        <v>-0.25319999999999998</v>
      </c>
      <c r="S334" s="57">
        <v>-0.1244</v>
      </c>
      <c r="T334">
        <v>53.89</v>
      </c>
      <c r="U334">
        <v>72.5</v>
      </c>
      <c r="V334">
        <v>30.56</v>
      </c>
      <c r="W334" s="20">
        <v>831.95173</v>
      </c>
    </row>
    <row r="335" spans="7:23" x14ac:dyDescent="0.15">
      <c r="G335" s="11">
        <v>334</v>
      </c>
      <c r="H335" t="s">
        <v>436</v>
      </c>
      <c r="I335" t="s">
        <v>897</v>
      </c>
      <c r="J335" t="s">
        <v>830</v>
      </c>
      <c r="K335" s="61">
        <v>-5.0000000000000001E-4</v>
      </c>
      <c r="L335" s="57">
        <v>9.9000000000000008E-3</v>
      </c>
      <c r="M335" s="57">
        <v>1.67E-2</v>
      </c>
      <c r="N335" s="61">
        <v>2.5499999999999998E-2</v>
      </c>
      <c r="O335" s="57">
        <v>-3.1899999999999998E-2</v>
      </c>
      <c r="P335" s="57">
        <v>2.2200000000000001E-2</v>
      </c>
      <c r="Q335" s="57">
        <v>-0.10059999999999999</v>
      </c>
      <c r="R335" s="57">
        <v>0.1062</v>
      </c>
      <c r="S335" s="57">
        <v>0.19239999999999999</v>
      </c>
      <c r="T335">
        <v>53.75</v>
      </c>
      <c r="U335">
        <v>47.64</v>
      </c>
      <c r="V335">
        <v>55.14</v>
      </c>
      <c r="W335" s="20">
        <v>455.1737</v>
      </c>
    </row>
    <row r="336" spans="7:23" x14ac:dyDescent="0.15">
      <c r="G336" s="11">
        <v>335</v>
      </c>
      <c r="H336" s="10" t="s">
        <v>1205</v>
      </c>
      <c r="I336" t="s">
        <v>1206</v>
      </c>
      <c r="J336" t="s">
        <v>830</v>
      </c>
      <c r="K336" s="61">
        <v>6.1999999999999998E-3</v>
      </c>
      <c r="L336" s="57">
        <v>5.9200000000000003E-2</v>
      </c>
      <c r="M336" s="57">
        <v>8.9599999999999999E-2</v>
      </c>
      <c r="N336" s="61">
        <v>0.18870000000000001</v>
      </c>
      <c r="O336" s="57">
        <v>7.51E-2</v>
      </c>
      <c r="P336" s="57">
        <v>0.2525</v>
      </c>
      <c r="Q336" s="57">
        <v>-0.23419999999999999</v>
      </c>
      <c r="R336" s="57">
        <v>-0.4027</v>
      </c>
      <c r="S336" s="57">
        <v>-0.4027</v>
      </c>
      <c r="T336">
        <v>53.61</v>
      </c>
      <c r="U336">
        <v>97.22</v>
      </c>
      <c r="V336">
        <v>5.42</v>
      </c>
      <c r="W336" s="20">
        <v>6237.0519999999997</v>
      </c>
    </row>
    <row r="337" spans="7:23" x14ac:dyDescent="0.15">
      <c r="G337" s="11">
        <v>336</v>
      </c>
      <c r="H337" s="10" t="s">
        <v>358</v>
      </c>
      <c r="I337" t="s">
        <v>876</v>
      </c>
      <c r="J337" t="s">
        <v>830</v>
      </c>
      <c r="K337" s="61">
        <v>2.9999999999999997E-4</v>
      </c>
      <c r="L337" s="57">
        <v>-4.7699999999999999E-2</v>
      </c>
      <c r="M337" s="57">
        <v>-1.6E-2</v>
      </c>
      <c r="N337" s="61">
        <v>4.24E-2</v>
      </c>
      <c r="O337" s="57">
        <v>-0.1067</v>
      </c>
      <c r="P337" s="57">
        <v>-1.1900000000000001E-2</v>
      </c>
      <c r="Q337" s="57">
        <v>-0.15459999999999999</v>
      </c>
      <c r="R337" s="57">
        <v>0.15870000000000001</v>
      </c>
      <c r="S337" s="57">
        <v>0.15870000000000001</v>
      </c>
      <c r="T337">
        <v>53.47</v>
      </c>
      <c r="U337">
        <v>60.28</v>
      </c>
      <c r="V337">
        <v>42.22</v>
      </c>
      <c r="W337" s="20">
        <v>285.47275999999999</v>
      </c>
    </row>
    <row r="338" spans="7:23" x14ac:dyDescent="0.15">
      <c r="G338" s="11">
        <v>337</v>
      </c>
      <c r="H338" s="10" t="s">
        <v>291</v>
      </c>
      <c r="I338" t="s">
        <v>1360</v>
      </c>
      <c r="J338" t="s">
        <v>1609</v>
      </c>
      <c r="K338" s="61">
        <v>-3.3E-3</v>
      </c>
      <c r="L338" s="57">
        <v>-4.5999999999999999E-3</v>
      </c>
      <c r="M338" s="57">
        <v>-6.4000000000000003E-3</v>
      </c>
      <c r="N338" s="61">
        <v>-5.1000000000000004E-3</v>
      </c>
      <c r="O338" s="57">
        <v>-8.5000000000000006E-3</v>
      </c>
      <c r="P338" s="57">
        <v>5.7000000000000002E-3</v>
      </c>
      <c r="Q338" s="57">
        <v>2.53E-2</v>
      </c>
      <c r="R338" s="57">
        <v>7.0400000000000004E-2</v>
      </c>
      <c r="S338" s="57">
        <v>0.10059999999999999</v>
      </c>
      <c r="T338">
        <v>53.33</v>
      </c>
      <c r="U338">
        <v>15.69</v>
      </c>
      <c r="V338">
        <v>86.81</v>
      </c>
      <c r="W338" s="20">
        <v>4571.723</v>
      </c>
    </row>
    <row r="339" spans="7:23" x14ac:dyDescent="0.15">
      <c r="G339" s="11">
        <v>338</v>
      </c>
      <c r="H339" t="s">
        <v>586</v>
      </c>
      <c r="I339" t="s">
        <v>902</v>
      </c>
      <c r="J339" t="s">
        <v>830</v>
      </c>
      <c r="K339" s="61">
        <v>3.8999999999999998E-3</v>
      </c>
      <c r="L339" s="57">
        <v>5.4699999999999999E-2</v>
      </c>
      <c r="M339" s="57">
        <v>8.3699999999999997E-2</v>
      </c>
      <c r="N339" s="61">
        <v>0.16220000000000001</v>
      </c>
      <c r="O339" s="57">
        <v>1.34E-2</v>
      </c>
      <c r="P339" s="57">
        <v>7.4499999999999997E-2</v>
      </c>
      <c r="Q339" s="57">
        <v>-0.27789999999999998</v>
      </c>
      <c r="R339" s="57">
        <v>-0.45610000000000001</v>
      </c>
      <c r="S339" s="57">
        <v>-0.45610000000000001</v>
      </c>
      <c r="T339">
        <v>53.19</v>
      </c>
      <c r="U339">
        <v>93.19</v>
      </c>
      <c r="V339">
        <v>9.0299999999999994</v>
      </c>
      <c r="W339" s="20">
        <v>994.87260000000003</v>
      </c>
    </row>
    <row r="340" spans="7:23" x14ac:dyDescent="0.15">
      <c r="G340" s="11">
        <v>339</v>
      </c>
      <c r="H340" s="10" t="s">
        <v>693</v>
      </c>
      <c r="I340" t="s">
        <v>1098</v>
      </c>
      <c r="J340" t="s">
        <v>830</v>
      </c>
      <c r="K340" s="61">
        <v>5.9999999999999995E-4</v>
      </c>
      <c r="L340" s="57">
        <v>1.5800000000000002E-2</v>
      </c>
      <c r="M340" s="57">
        <v>3.95E-2</v>
      </c>
      <c r="N340" s="61">
        <v>0.05</v>
      </c>
      <c r="O340" s="57">
        <v>-5.6599999999999998E-2</v>
      </c>
      <c r="P340" s="57">
        <v>2.1299999999999999E-2</v>
      </c>
      <c r="Q340" s="57">
        <v>-0.2056</v>
      </c>
      <c r="R340" s="57">
        <v>-0.25779999999999997</v>
      </c>
      <c r="S340" s="57">
        <v>-4.2700000000000002E-2</v>
      </c>
      <c r="T340">
        <v>53.06</v>
      </c>
      <c r="U340">
        <v>65.97</v>
      </c>
      <c r="V340">
        <v>35.97</v>
      </c>
      <c r="W340" s="20">
        <v>94139.563200000004</v>
      </c>
    </row>
    <row r="341" spans="7:23" x14ac:dyDescent="0.15">
      <c r="G341" s="11">
        <v>340</v>
      </c>
      <c r="H341" s="10" t="s">
        <v>1951</v>
      </c>
      <c r="I341" t="s">
        <v>1952</v>
      </c>
      <c r="J341" t="s">
        <v>1946</v>
      </c>
      <c r="K341" s="61">
        <v>6.7000000000000002E-3</v>
      </c>
      <c r="L341" s="57">
        <v>8.3599999999999994E-2</v>
      </c>
      <c r="M341" s="57">
        <v>0.1236</v>
      </c>
      <c r="N341" s="61">
        <v>0.1837</v>
      </c>
      <c r="O341" s="57">
        <v>1.1999999999999999E-3</v>
      </c>
      <c r="P341" s="57">
        <v>3.9899999999999998E-2</v>
      </c>
      <c r="Q341" s="57">
        <v>-6.4299999999999996E-2</v>
      </c>
      <c r="R341" s="57">
        <v>-6.4299999999999996E-2</v>
      </c>
      <c r="S341" s="57">
        <v>-6.4299999999999996E-2</v>
      </c>
      <c r="T341">
        <v>52.92</v>
      </c>
      <c r="U341">
        <v>96.67</v>
      </c>
      <c r="V341">
        <v>5</v>
      </c>
      <c r="W341" s="20">
        <v>812.22590000000002</v>
      </c>
    </row>
    <row r="342" spans="7:23" x14ac:dyDescent="0.15">
      <c r="G342" s="11">
        <v>341</v>
      </c>
      <c r="H342" s="10" t="s">
        <v>521</v>
      </c>
      <c r="I342" t="s">
        <v>916</v>
      </c>
      <c r="J342" t="s">
        <v>830</v>
      </c>
      <c r="K342" s="61">
        <v>-8.0000000000000004E-4</v>
      </c>
      <c r="L342" s="57">
        <v>2.8999999999999998E-3</v>
      </c>
      <c r="M342" s="57">
        <v>6.7999999999999996E-3</v>
      </c>
      <c r="N342" s="61">
        <v>1.6400000000000001E-2</v>
      </c>
      <c r="O342" s="57">
        <v>-6.54E-2</v>
      </c>
      <c r="P342" s="57">
        <v>-6.8999999999999999E-3</v>
      </c>
      <c r="Q342" s="57">
        <v>-8.8800000000000004E-2</v>
      </c>
      <c r="R342" s="57">
        <v>0.1007</v>
      </c>
      <c r="S342" s="57">
        <v>0.15790000000000001</v>
      </c>
      <c r="T342">
        <v>52.78</v>
      </c>
      <c r="U342">
        <v>39.72</v>
      </c>
      <c r="V342">
        <v>61.94</v>
      </c>
      <c r="W342" s="20">
        <v>1271.2906</v>
      </c>
    </row>
    <row r="343" spans="7:23" x14ac:dyDescent="0.15">
      <c r="G343" s="11">
        <v>342</v>
      </c>
      <c r="H343" s="10" t="s">
        <v>1229</v>
      </c>
      <c r="I343" t="s">
        <v>1131</v>
      </c>
      <c r="J343" t="s">
        <v>1212</v>
      </c>
      <c r="K343" s="61">
        <v>2.3E-3</v>
      </c>
      <c r="L343" s="57">
        <v>2.06E-2</v>
      </c>
      <c r="M343" s="57">
        <v>8.5800000000000001E-2</v>
      </c>
      <c r="N343" s="61">
        <v>0.1051</v>
      </c>
      <c r="O343" s="57">
        <v>-3.1099999999999999E-2</v>
      </c>
      <c r="P343" s="57">
        <v>-2.9499999999999998E-2</v>
      </c>
      <c r="Q343" s="57">
        <v>-0.20250000000000001</v>
      </c>
      <c r="R343" s="57">
        <v>-0.28689999999999999</v>
      </c>
      <c r="S343" s="57">
        <v>-0.3362</v>
      </c>
      <c r="T343">
        <v>52.64</v>
      </c>
      <c r="U343">
        <v>86.11</v>
      </c>
      <c r="V343">
        <v>15.28</v>
      </c>
      <c r="W343" s="20">
        <v>2240.5175100000001</v>
      </c>
    </row>
    <row r="344" spans="7:23" x14ac:dyDescent="0.15">
      <c r="G344" s="11">
        <v>343</v>
      </c>
      <c r="H344" t="s">
        <v>570</v>
      </c>
      <c r="I344" t="s">
        <v>855</v>
      </c>
      <c r="J344" t="s">
        <v>830</v>
      </c>
      <c r="K344" s="61">
        <v>-1.4E-3</v>
      </c>
      <c r="L344" s="57">
        <v>7.0000000000000001E-3</v>
      </c>
      <c r="M344" s="57">
        <v>3.9800000000000002E-2</v>
      </c>
      <c r="N344" s="61">
        <v>8.0000000000000002E-3</v>
      </c>
      <c r="O344" s="57">
        <v>-2.9000000000000001E-2</v>
      </c>
      <c r="P344" s="57">
        <v>-4.4200000000000003E-2</v>
      </c>
      <c r="Q344" s="57">
        <v>-8.8400000000000006E-2</v>
      </c>
      <c r="R344" s="57">
        <v>-2.76E-2</v>
      </c>
      <c r="S344" s="57">
        <v>9.7799999999999998E-2</v>
      </c>
      <c r="T344">
        <v>52.5</v>
      </c>
      <c r="U344">
        <v>31.81</v>
      </c>
      <c r="V344">
        <v>69.58</v>
      </c>
      <c r="W344" s="20">
        <v>8.2687000000000008</v>
      </c>
    </row>
    <row r="345" spans="7:23" x14ac:dyDescent="0.15">
      <c r="G345" s="11">
        <v>344</v>
      </c>
      <c r="H345" s="10" t="s">
        <v>1973</v>
      </c>
      <c r="I345" t="s">
        <v>1974</v>
      </c>
      <c r="J345" t="s">
        <v>1946</v>
      </c>
      <c r="K345" s="61">
        <v>5.4000000000000003E-3</v>
      </c>
      <c r="L345" s="57">
        <v>8.9099999999999999E-2</v>
      </c>
      <c r="M345" s="57">
        <v>0.10249999999999999</v>
      </c>
      <c r="N345" s="61">
        <v>0.1716</v>
      </c>
      <c r="O345" s="57">
        <v>0.21659999999999999</v>
      </c>
      <c r="P345" s="57">
        <v>0.16769999999999999</v>
      </c>
      <c r="Q345" s="57">
        <v>0.16769999999999999</v>
      </c>
      <c r="R345" s="57">
        <v>0.16769999999999999</v>
      </c>
      <c r="S345" s="57">
        <v>0.16769999999999999</v>
      </c>
      <c r="T345">
        <v>52.36</v>
      </c>
      <c r="U345">
        <v>95</v>
      </c>
      <c r="V345">
        <v>6.25</v>
      </c>
      <c r="W345" s="20">
        <v>20341.1157274</v>
      </c>
    </row>
    <row r="346" spans="7:23" x14ac:dyDescent="0.15">
      <c r="G346" s="11">
        <v>345</v>
      </c>
      <c r="H346" s="10" t="s">
        <v>313</v>
      </c>
      <c r="I346" t="s">
        <v>826</v>
      </c>
      <c r="J346" t="s">
        <v>793</v>
      </c>
      <c r="K346" s="61">
        <v>-4.1399999999999999E-2</v>
      </c>
      <c r="L346" s="57">
        <v>-2.6100000000000002E-2</v>
      </c>
      <c r="M346" s="57">
        <v>-7.0000000000000007E-2</v>
      </c>
      <c r="N346" s="61">
        <v>-0.05</v>
      </c>
      <c r="O346" s="57">
        <v>-0.18010000000000001</v>
      </c>
      <c r="P346" s="57">
        <v>6.1699999999999998E-2</v>
      </c>
      <c r="Q346" s="57">
        <v>-0.24299999999999999</v>
      </c>
      <c r="R346" s="57">
        <v>-1.4200000000000001E-2</v>
      </c>
      <c r="S346" s="57">
        <v>-1.4200000000000001E-2</v>
      </c>
      <c r="T346">
        <v>52.22</v>
      </c>
      <c r="U346">
        <v>2.08</v>
      </c>
      <c r="V346">
        <v>99.03</v>
      </c>
      <c r="W346" s="20">
        <v>8.6831332999999997</v>
      </c>
    </row>
    <row r="347" spans="7:23" x14ac:dyDescent="0.15">
      <c r="G347" s="11">
        <v>346</v>
      </c>
      <c r="H347" t="s">
        <v>2016</v>
      </c>
      <c r="I347" t="s">
        <v>2017</v>
      </c>
      <c r="J347" t="s">
        <v>1946</v>
      </c>
      <c r="K347" s="61">
        <v>-1.4E-3</v>
      </c>
      <c r="L347" s="57">
        <v>-1E-4</v>
      </c>
      <c r="M347" s="57">
        <v>-3.9300000000000002E-2</v>
      </c>
      <c r="N347" s="61">
        <v>8.0000000000000002E-3</v>
      </c>
      <c r="O347" s="57">
        <v>-5.2900000000000003E-2</v>
      </c>
      <c r="P347" s="57">
        <v>-7.0699999999999999E-2</v>
      </c>
      <c r="Q347" s="57">
        <v>-7.0699999999999999E-2</v>
      </c>
      <c r="R347" s="57">
        <v>-7.0699999999999999E-2</v>
      </c>
      <c r="S347" s="57">
        <v>-7.0699999999999999E-2</v>
      </c>
      <c r="T347">
        <v>52.08</v>
      </c>
      <c r="U347">
        <v>31.39</v>
      </c>
      <c r="V347">
        <v>69.72</v>
      </c>
      <c r="W347" s="20">
        <v>8836.6833033999992</v>
      </c>
    </row>
    <row r="348" spans="7:23" x14ac:dyDescent="0.15">
      <c r="G348" s="11">
        <v>347</v>
      </c>
      <c r="H348" s="10" t="s">
        <v>723</v>
      </c>
      <c r="I348" t="s">
        <v>1236</v>
      </c>
      <c r="J348" t="s">
        <v>1212</v>
      </c>
      <c r="K348" s="61">
        <v>1.4999999999999999E-2</v>
      </c>
      <c r="L348" s="57">
        <v>7.2499999999999995E-2</v>
      </c>
      <c r="M348" s="57">
        <v>0.14560000000000001</v>
      </c>
      <c r="N348" s="61">
        <v>0.21260000000000001</v>
      </c>
      <c r="O348" s="57">
        <v>-7.8600000000000003E-2</v>
      </c>
      <c r="P348" s="57">
        <v>-4.0599999999999997E-2</v>
      </c>
      <c r="Q348" s="57">
        <v>-0.3493</v>
      </c>
      <c r="R348" s="57">
        <v>-0.58130000000000004</v>
      </c>
      <c r="S348" s="57">
        <v>-0.58130000000000004</v>
      </c>
      <c r="T348">
        <v>51.94</v>
      </c>
      <c r="U348">
        <v>99.72</v>
      </c>
      <c r="V348">
        <v>1.39</v>
      </c>
      <c r="W348" s="20">
        <v>367296.77299999999</v>
      </c>
    </row>
    <row r="349" spans="7:23" x14ac:dyDescent="0.15">
      <c r="G349" s="11">
        <v>348</v>
      </c>
      <c r="H349" s="10" t="s">
        <v>292</v>
      </c>
      <c r="I349" t="s">
        <v>875</v>
      </c>
      <c r="J349" t="s">
        <v>830</v>
      </c>
      <c r="K349" s="61">
        <v>6.9999999999999999E-4</v>
      </c>
      <c r="L349" s="57">
        <v>-4.82E-2</v>
      </c>
      <c r="M349" s="57">
        <v>-1.11E-2</v>
      </c>
      <c r="N349" s="61">
        <v>5.0900000000000001E-2</v>
      </c>
      <c r="O349" s="57">
        <v>-0.1007</v>
      </c>
      <c r="P349" s="57">
        <v>-1.52E-2</v>
      </c>
      <c r="Q349" s="57">
        <v>-0.161</v>
      </c>
      <c r="R349" s="57">
        <v>4.3299999999999998E-2</v>
      </c>
      <c r="S349" s="57">
        <v>4.3299999999999998E-2</v>
      </c>
      <c r="T349">
        <v>51.81</v>
      </c>
      <c r="U349">
        <v>66.94</v>
      </c>
      <c r="V349">
        <v>34.03</v>
      </c>
      <c r="W349" s="20">
        <v>175.95259999999999</v>
      </c>
    </row>
    <row r="350" spans="7:23" x14ac:dyDescent="0.15">
      <c r="G350" s="11">
        <v>349</v>
      </c>
      <c r="H350" t="s">
        <v>1473</v>
      </c>
      <c r="I350" t="s">
        <v>1474</v>
      </c>
      <c r="J350" t="s">
        <v>1609</v>
      </c>
      <c r="K350" s="61">
        <v>-1.1999999999999999E-3</v>
      </c>
      <c r="L350" s="57">
        <v>-9.2999999999999992E-3</v>
      </c>
      <c r="M350" s="57">
        <v>1.5299999999999999E-2</v>
      </c>
      <c r="N350" s="61">
        <v>1.3100000000000001E-2</v>
      </c>
      <c r="O350" s="57">
        <v>-5.4600000000000003E-2</v>
      </c>
      <c r="P350" s="57">
        <v>-3.5000000000000003E-2</v>
      </c>
      <c r="Q350" s="57">
        <v>-0.152</v>
      </c>
      <c r="R350" s="57">
        <v>-0.152</v>
      </c>
      <c r="S350" s="57">
        <v>-0.152</v>
      </c>
      <c r="T350">
        <v>51.67</v>
      </c>
      <c r="U350">
        <v>34.72</v>
      </c>
      <c r="V350">
        <v>66.25</v>
      </c>
      <c r="W350" s="20">
        <v>3205.9455742</v>
      </c>
    </row>
    <row r="351" spans="7:23" x14ac:dyDescent="0.15">
      <c r="G351" s="11">
        <v>350</v>
      </c>
      <c r="H351" s="10" t="s">
        <v>1465</v>
      </c>
      <c r="I351" t="s">
        <v>1466</v>
      </c>
      <c r="J351" t="s">
        <v>1609</v>
      </c>
      <c r="K351" s="61">
        <v>5.3E-3</v>
      </c>
      <c r="L351" s="57">
        <v>4.41E-2</v>
      </c>
      <c r="M351" s="57">
        <v>5.8000000000000003E-2</v>
      </c>
      <c r="N351" s="61">
        <v>0.17069999999999999</v>
      </c>
      <c r="O351" s="57">
        <v>8.2299999999999998E-2</v>
      </c>
      <c r="P351" s="57">
        <v>0.16289999999999999</v>
      </c>
      <c r="Q351" s="57">
        <v>-0.16339999999999999</v>
      </c>
      <c r="R351" s="57">
        <v>-0.16339999999999999</v>
      </c>
      <c r="S351" s="57">
        <v>-0.16339999999999999</v>
      </c>
      <c r="T351">
        <v>51.53</v>
      </c>
      <c r="U351">
        <v>94.31</v>
      </c>
      <c r="V351">
        <v>6.53</v>
      </c>
      <c r="W351" s="20">
        <v>1932.2482</v>
      </c>
    </row>
    <row r="352" spans="7:23" x14ac:dyDescent="0.15">
      <c r="G352" s="11">
        <v>351</v>
      </c>
      <c r="H352" s="10" t="s">
        <v>1986</v>
      </c>
      <c r="I352" t="s">
        <v>1987</v>
      </c>
      <c r="J352" t="s">
        <v>1946</v>
      </c>
      <c r="K352" s="61">
        <v>4.0000000000000002E-4</v>
      </c>
      <c r="L352" s="57">
        <v>4.1999999999999997E-3</v>
      </c>
      <c r="M352" s="57">
        <v>5.0000000000000001E-3</v>
      </c>
      <c r="N352" s="61">
        <v>4.5600000000000002E-2</v>
      </c>
      <c r="O352" s="57">
        <v>-6.4399999999999999E-2</v>
      </c>
      <c r="P352" s="57">
        <v>-3.3999999999999998E-3</v>
      </c>
      <c r="Q352" s="57">
        <v>-3.3999999999999998E-3</v>
      </c>
      <c r="R352" s="57">
        <v>-3.3999999999999998E-3</v>
      </c>
      <c r="S352" s="57">
        <v>-3.3999999999999998E-3</v>
      </c>
      <c r="T352">
        <v>51.39</v>
      </c>
      <c r="U352">
        <v>62.5</v>
      </c>
      <c r="V352">
        <v>38.33</v>
      </c>
      <c r="W352" s="20">
        <v>3509.5899955999998</v>
      </c>
    </row>
    <row r="353" spans="7:23" x14ac:dyDescent="0.15">
      <c r="G353" s="11">
        <v>352</v>
      </c>
      <c r="H353" s="10" t="s">
        <v>479</v>
      </c>
      <c r="I353" t="s">
        <v>940</v>
      </c>
      <c r="J353" t="s">
        <v>830</v>
      </c>
      <c r="K353" s="61">
        <v>1.4E-3</v>
      </c>
      <c r="L353" s="57">
        <v>4.6100000000000002E-2</v>
      </c>
      <c r="M353" s="57">
        <v>1.32E-2</v>
      </c>
      <c r="N353" s="61">
        <v>7.3700000000000002E-2</v>
      </c>
      <c r="O353" s="57">
        <v>-0.1149</v>
      </c>
      <c r="P353" s="57">
        <v>-2.7199999999999998E-2</v>
      </c>
      <c r="Q353" s="57">
        <v>-0.31190000000000001</v>
      </c>
      <c r="R353" s="57">
        <v>-0.27129999999999999</v>
      </c>
      <c r="S353" s="57">
        <v>-0.28520000000000001</v>
      </c>
      <c r="T353">
        <v>51.25</v>
      </c>
      <c r="U353">
        <v>77.64</v>
      </c>
      <c r="V353">
        <v>23.06</v>
      </c>
      <c r="W353" s="20">
        <v>894.01729999999998</v>
      </c>
    </row>
    <row r="354" spans="7:23" x14ac:dyDescent="0.15">
      <c r="G354" s="11">
        <v>353</v>
      </c>
      <c r="H354" s="10" t="s">
        <v>453</v>
      </c>
      <c r="I354" t="s">
        <v>893</v>
      </c>
      <c r="J354" t="s">
        <v>830</v>
      </c>
      <c r="K354" s="61">
        <v>-1E-3</v>
      </c>
      <c r="L354" s="57">
        <v>1.5E-3</v>
      </c>
      <c r="M354" s="57">
        <v>5.1000000000000004E-3</v>
      </c>
      <c r="N354" s="61">
        <v>1.38E-2</v>
      </c>
      <c r="O354" s="57">
        <v>-8.2600000000000007E-2</v>
      </c>
      <c r="P354" s="57">
        <v>-8.5000000000000006E-3</v>
      </c>
      <c r="Q354" s="57">
        <v>-0.1646</v>
      </c>
      <c r="R354" s="57">
        <v>8.2000000000000007E-3</v>
      </c>
      <c r="S354" s="57">
        <v>0.35659999999999997</v>
      </c>
      <c r="T354">
        <v>51.11</v>
      </c>
      <c r="U354">
        <v>35.42</v>
      </c>
      <c r="V354">
        <v>65.28</v>
      </c>
      <c r="W354" s="20">
        <v>254.30510000000001</v>
      </c>
    </row>
    <row r="355" spans="7:23" x14ac:dyDescent="0.15">
      <c r="G355" s="11">
        <v>354</v>
      </c>
      <c r="H355" t="s">
        <v>1395</v>
      </c>
      <c r="I355" t="s">
        <v>1396</v>
      </c>
      <c r="J355" t="s">
        <v>1609</v>
      </c>
      <c r="K355" s="61">
        <v>1.2999999999999999E-3</v>
      </c>
      <c r="L355" s="57">
        <v>4.5199999999999997E-2</v>
      </c>
      <c r="M355" s="57">
        <v>1.7399999999999999E-2</v>
      </c>
      <c r="N355" s="61">
        <v>7.3200000000000001E-2</v>
      </c>
      <c r="O355" s="57">
        <v>-0.153</v>
      </c>
      <c r="P355" s="57">
        <v>-3.1300000000000001E-2</v>
      </c>
      <c r="Q355" s="57">
        <v>-0.32379999999999998</v>
      </c>
      <c r="R355" s="57">
        <v>-0.32890000000000003</v>
      </c>
      <c r="S355" s="57">
        <v>-0.32890000000000003</v>
      </c>
      <c r="T355">
        <v>50.97</v>
      </c>
      <c r="U355">
        <v>77.36</v>
      </c>
      <c r="V355">
        <v>23.33</v>
      </c>
      <c r="W355" s="20">
        <v>706.88979000000006</v>
      </c>
    </row>
    <row r="356" spans="7:23" x14ac:dyDescent="0.15">
      <c r="G356" s="11">
        <v>355</v>
      </c>
      <c r="H356" s="10" t="s">
        <v>1386</v>
      </c>
      <c r="I356" t="s">
        <v>1387</v>
      </c>
      <c r="J356" t="s">
        <v>1609</v>
      </c>
      <c r="K356" s="61">
        <v>-1.8E-3</v>
      </c>
      <c r="L356" s="57">
        <v>-1.17E-2</v>
      </c>
      <c r="M356" s="57">
        <v>-1.09E-2</v>
      </c>
      <c r="N356" s="61">
        <v>2.8999999999999998E-3</v>
      </c>
      <c r="O356" s="57">
        <v>-7.5600000000000001E-2</v>
      </c>
      <c r="P356" s="57">
        <v>1.1599999999999999E-2</v>
      </c>
      <c r="Q356" s="57">
        <v>-0.13039999999999999</v>
      </c>
      <c r="R356" s="57">
        <v>-0.13039999999999999</v>
      </c>
      <c r="S356" s="57">
        <v>-0.13039999999999999</v>
      </c>
      <c r="T356">
        <v>50.83</v>
      </c>
      <c r="U356">
        <v>25.69</v>
      </c>
      <c r="V356">
        <v>74.58</v>
      </c>
      <c r="W356" s="20">
        <v>1499.19958</v>
      </c>
    </row>
    <row r="357" spans="7:23" x14ac:dyDescent="0.15">
      <c r="G357" s="11">
        <v>356</v>
      </c>
      <c r="H357" s="10" t="s">
        <v>1598</v>
      </c>
      <c r="I357" t="s">
        <v>1599</v>
      </c>
      <c r="J357" t="s">
        <v>1609</v>
      </c>
      <c r="K357" s="61">
        <v>0</v>
      </c>
      <c r="L357" s="57">
        <v>1.35E-2</v>
      </c>
      <c r="M357" s="57">
        <v>-6.1999999999999998E-3</v>
      </c>
      <c r="N357" s="61">
        <v>3.2800000000000003E-2</v>
      </c>
      <c r="O357" s="57">
        <v>-7.4099999999999999E-2</v>
      </c>
      <c r="P357" s="57">
        <v>0.13320000000000001</v>
      </c>
      <c r="Q357" s="57">
        <v>4.3999999999999997E-2</v>
      </c>
      <c r="R357" s="57">
        <v>4.3999999999999997E-2</v>
      </c>
      <c r="S357" s="57">
        <v>4.3999999999999997E-2</v>
      </c>
      <c r="T357">
        <v>50.69</v>
      </c>
      <c r="U357">
        <v>53.06</v>
      </c>
      <c r="V357">
        <v>46.94</v>
      </c>
      <c r="W357" s="20">
        <v>254.3211</v>
      </c>
    </row>
    <row r="358" spans="7:23" x14ac:dyDescent="0.15">
      <c r="G358" s="11">
        <v>357</v>
      </c>
      <c r="H358" s="10" t="s">
        <v>504</v>
      </c>
      <c r="I358" t="s">
        <v>888</v>
      </c>
      <c r="J358" t="s">
        <v>830</v>
      </c>
      <c r="K358" s="61">
        <v>0</v>
      </c>
      <c r="L358" s="57">
        <v>1.5299999999999999E-2</v>
      </c>
      <c r="M358" s="57">
        <v>-6.1999999999999998E-3</v>
      </c>
      <c r="N358" s="61">
        <v>3.2899999999999999E-2</v>
      </c>
      <c r="O358" s="57">
        <v>-0.10730000000000001</v>
      </c>
      <c r="P358" s="57">
        <v>4.3400000000000001E-2</v>
      </c>
      <c r="Q358" s="57">
        <v>-0.22900000000000001</v>
      </c>
      <c r="R358" s="57">
        <v>-0.26650000000000001</v>
      </c>
      <c r="S358" s="57">
        <v>0.27650000000000002</v>
      </c>
      <c r="T358">
        <v>50.56</v>
      </c>
      <c r="U358">
        <v>53.19</v>
      </c>
      <c r="V358">
        <v>46.67</v>
      </c>
      <c r="W358" s="20">
        <v>328.23322000000002</v>
      </c>
    </row>
    <row r="359" spans="7:23" x14ac:dyDescent="0.15">
      <c r="G359" s="11">
        <v>358</v>
      </c>
      <c r="H359" t="s">
        <v>686</v>
      </c>
      <c r="I359" t="s">
        <v>1230</v>
      </c>
      <c r="J359" t="s">
        <v>1212</v>
      </c>
      <c r="K359" s="61">
        <v>2.3E-3</v>
      </c>
      <c r="L359" s="57">
        <v>1.7100000000000001E-2</v>
      </c>
      <c r="M359" s="57">
        <v>8.2000000000000003E-2</v>
      </c>
      <c r="N359" s="61">
        <v>9.8500000000000004E-2</v>
      </c>
      <c r="O359" s="57">
        <v>-3.9100000000000003E-2</v>
      </c>
      <c r="P359" s="57">
        <v>-3.1899999999999998E-2</v>
      </c>
      <c r="Q359" s="57">
        <v>-0.15759999999999999</v>
      </c>
      <c r="R359" s="57">
        <v>-0.1578</v>
      </c>
      <c r="S359" s="57">
        <v>-0.21290000000000001</v>
      </c>
      <c r="T359">
        <v>50.42</v>
      </c>
      <c r="U359">
        <v>84.86</v>
      </c>
      <c r="V359">
        <v>15</v>
      </c>
      <c r="W359" s="20">
        <v>13134.015100000001</v>
      </c>
    </row>
    <row r="360" spans="7:23" x14ac:dyDescent="0.15">
      <c r="G360" s="11">
        <v>359</v>
      </c>
      <c r="H360" s="10" t="s">
        <v>572</v>
      </c>
      <c r="I360" t="s">
        <v>1065</v>
      </c>
      <c r="J360" t="s">
        <v>830</v>
      </c>
      <c r="K360" s="61">
        <v>1.2999999999999999E-3</v>
      </c>
      <c r="L360" s="57">
        <v>4.6600000000000003E-2</v>
      </c>
      <c r="M360" s="57">
        <v>1.46E-2</v>
      </c>
      <c r="N360" s="61">
        <v>6.8599999999999994E-2</v>
      </c>
      <c r="O360" s="57">
        <v>-4.9799999999999997E-2</v>
      </c>
      <c r="P360" s="57">
        <v>2.8500000000000001E-2</v>
      </c>
      <c r="Q360" s="57">
        <v>-0.28860000000000002</v>
      </c>
      <c r="R360" s="57">
        <v>-0.2898</v>
      </c>
      <c r="S360" s="57">
        <v>7.9200000000000007E-2</v>
      </c>
      <c r="T360">
        <v>50.28</v>
      </c>
      <c r="U360">
        <v>76.11</v>
      </c>
      <c r="V360">
        <v>23.75</v>
      </c>
      <c r="W360" s="20">
        <v>6680.1558999999997</v>
      </c>
    </row>
    <row r="361" spans="7:23" x14ac:dyDescent="0.15">
      <c r="G361" s="11">
        <v>360</v>
      </c>
      <c r="H361" t="s">
        <v>382</v>
      </c>
      <c r="I361" t="s">
        <v>1144</v>
      </c>
      <c r="J361" t="s">
        <v>1140</v>
      </c>
      <c r="K361" s="61">
        <v>4.0000000000000002E-4</v>
      </c>
      <c r="L361" s="57">
        <v>-1.6000000000000001E-3</v>
      </c>
      <c r="M361" s="57">
        <v>3.5200000000000002E-2</v>
      </c>
      <c r="N361" s="61">
        <v>4.48E-2</v>
      </c>
      <c r="O361" s="57">
        <v>4.8000000000000001E-2</v>
      </c>
      <c r="P361" s="57">
        <v>1.4200000000000001E-2</v>
      </c>
      <c r="Q361" s="57">
        <v>7.2900000000000006E-2</v>
      </c>
      <c r="R361" s="57">
        <v>1.1000000000000001E-3</v>
      </c>
      <c r="S361" s="57">
        <v>2.6200000000000001E-2</v>
      </c>
      <c r="T361">
        <v>50.14</v>
      </c>
      <c r="U361">
        <v>61.39</v>
      </c>
      <c r="V361">
        <v>38.47</v>
      </c>
      <c r="W361" s="20">
        <v>596.64819999999997</v>
      </c>
    </row>
    <row r="362" spans="7:23" x14ac:dyDescent="0.15">
      <c r="G362" s="11">
        <v>361</v>
      </c>
      <c r="H362" t="s">
        <v>719</v>
      </c>
      <c r="I362" t="s">
        <v>1209</v>
      </c>
      <c r="J362" t="s">
        <v>1146</v>
      </c>
      <c r="K362" s="61">
        <v>5.7000000000000002E-3</v>
      </c>
      <c r="L362" s="57">
        <v>2.0400000000000001E-2</v>
      </c>
      <c r="M362" s="57">
        <v>0.1197</v>
      </c>
      <c r="N362" s="61">
        <v>0.16830000000000001</v>
      </c>
      <c r="O362" s="57">
        <v>0.1067</v>
      </c>
      <c r="P362" s="57">
        <v>4.7E-2</v>
      </c>
      <c r="Q362" s="57">
        <v>-0.14099999999999999</v>
      </c>
      <c r="R362" s="57">
        <v>8.5999999999999993E-2</v>
      </c>
      <c r="S362" s="57">
        <v>-3.0499999999999999E-2</v>
      </c>
      <c r="T362">
        <v>50</v>
      </c>
      <c r="U362">
        <v>93.89</v>
      </c>
      <c r="V362">
        <v>5.83</v>
      </c>
      <c r="W362" s="20">
        <v>1446.9158</v>
      </c>
    </row>
    <row r="363" spans="7:23" x14ac:dyDescent="0.15">
      <c r="G363" s="11">
        <v>362</v>
      </c>
      <c r="H363" s="10" t="s">
        <v>375</v>
      </c>
      <c r="I363" t="s">
        <v>1141</v>
      </c>
      <c r="J363" t="s">
        <v>1140</v>
      </c>
      <c r="K363" s="61">
        <v>5.0000000000000001E-4</v>
      </c>
      <c r="L363" s="57">
        <v>-1.5E-3</v>
      </c>
      <c r="M363" s="57">
        <v>3.5200000000000002E-2</v>
      </c>
      <c r="N363" s="61">
        <v>4.4999999999999998E-2</v>
      </c>
      <c r="O363" s="57">
        <v>4.8899999999999999E-2</v>
      </c>
      <c r="P363" s="57">
        <v>1.55E-2</v>
      </c>
      <c r="Q363" s="57">
        <v>7.5800000000000006E-2</v>
      </c>
      <c r="R363" s="57">
        <v>6.4999999999999997E-3</v>
      </c>
      <c r="S363" s="57">
        <v>0.1724</v>
      </c>
      <c r="T363">
        <v>49.86</v>
      </c>
      <c r="U363">
        <v>61.53</v>
      </c>
      <c r="V363">
        <v>38.06</v>
      </c>
      <c r="W363" s="20">
        <v>19850.182199999999</v>
      </c>
    </row>
    <row r="364" spans="7:23" x14ac:dyDescent="0.15">
      <c r="G364" s="11">
        <v>363</v>
      </c>
      <c r="H364" t="s">
        <v>619</v>
      </c>
      <c r="I364" t="s">
        <v>229</v>
      </c>
      <c r="J364" t="s">
        <v>1166</v>
      </c>
      <c r="K364" s="61">
        <v>4.0000000000000002E-4</v>
      </c>
      <c r="L364" s="57">
        <v>-3.7499999999999999E-2</v>
      </c>
      <c r="M364" s="57">
        <v>-4.4999999999999997E-3</v>
      </c>
      <c r="N364" s="61">
        <v>4.2099999999999999E-2</v>
      </c>
      <c r="O364" s="57">
        <v>3.44E-2</v>
      </c>
      <c r="P364" s="57">
        <v>-3.3999999999999998E-3</v>
      </c>
      <c r="Q364" s="57">
        <v>-2.6499999999999999E-2</v>
      </c>
      <c r="R364" s="57">
        <v>-0.1091</v>
      </c>
      <c r="S364" s="57">
        <v>0.41549999999999998</v>
      </c>
      <c r="T364">
        <v>49.72</v>
      </c>
      <c r="U364">
        <v>59.86</v>
      </c>
      <c r="V364">
        <v>39.72</v>
      </c>
      <c r="W364" s="20">
        <v>19.055209999999999</v>
      </c>
    </row>
    <row r="365" spans="7:23" x14ac:dyDescent="0.15">
      <c r="G365" s="11">
        <v>364</v>
      </c>
      <c r="H365" t="s">
        <v>577</v>
      </c>
      <c r="I365" t="s">
        <v>881</v>
      </c>
      <c r="J365" t="s">
        <v>830</v>
      </c>
      <c r="K365" s="61">
        <v>-5.0000000000000001E-4</v>
      </c>
      <c r="L365" s="57">
        <v>3.8E-3</v>
      </c>
      <c r="M365" s="57">
        <v>2.0500000000000001E-2</v>
      </c>
      <c r="N365" s="61">
        <v>2.24E-2</v>
      </c>
      <c r="O365" s="57">
        <v>-3.5099999999999999E-2</v>
      </c>
      <c r="P365" s="57">
        <v>-2.7000000000000001E-3</v>
      </c>
      <c r="Q365" s="57">
        <v>-4.5699999999999998E-2</v>
      </c>
      <c r="R365" s="57">
        <v>0.1099</v>
      </c>
      <c r="S365" s="57">
        <v>0.22439999999999999</v>
      </c>
      <c r="T365">
        <v>49.58</v>
      </c>
      <c r="U365">
        <v>44.58</v>
      </c>
      <c r="V365">
        <v>54.86</v>
      </c>
      <c r="W365" s="20">
        <v>195.55836000000002</v>
      </c>
    </row>
    <row r="366" spans="7:23" x14ac:dyDescent="0.15">
      <c r="G366" s="11">
        <v>365</v>
      </c>
      <c r="H366" t="s">
        <v>452</v>
      </c>
      <c r="I366" t="s">
        <v>1116</v>
      </c>
      <c r="J366" t="s">
        <v>830</v>
      </c>
      <c r="K366" s="61">
        <v>1.9E-3</v>
      </c>
      <c r="L366" s="57">
        <v>4.6199999999999998E-2</v>
      </c>
      <c r="M366" s="57">
        <v>-3.3E-3</v>
      </c>
      <c r="N366" s="61">
        <v>8.8499999999999995E-2</v>
      </c>
      <c r="O366" s="57">
        <v>-0.13789999999999999</v>
      </c>
      <c r="P366" s="57">
        <v>-3.2399999999999998E-2</v>
      </c>
      <c r="Q366" s="57">
        <v>-0.34050000000000002</v>
      </c>
      <c r="R366" s="57">
        <v>-7.2800000000000004E-2</v>
      </c>
      <c r="S366" s="57">
        <v>0.64510000000000001</v>
      </c>
      <c r="T366">
        <v>49.44</v>
      </c>
      <c r="U366">
        <v>80.97</v>
      </c>
      <c r="V366">
        <v>18.47</v>
      </c>
      <c r="W366" s="20">
        <v>50054.0412</v>
      </c>
    </row>
    <row r="367" spans="7:23" x14ac:dyDescent="0.15">
      <c r="G367" s="11">
        <v>366</v>
      </c>
      <c r="H367" t="s">
        <v>726</v>
      </c>
      <c r="I367" t="s">
        <v>1145</v>
      </c>
      <c r="J367" t="s">
        <v>1146</v>
      </c>
      <c r="K367" s="61">
        <v>8.3000000000000001E-3</v>
      </c>
      <c r="L367" s="57">
        <v>0.1671</v>
      </c>
      <c r="M367" s="57">
        <v>0.21460000000000001</v>
      </c>
      <c r="N367" s="61">
        <v>0.17649999999999999</v>
      </c>
      <c r="O367" s="57">
        <v>-4.1700000000000001E-2</v>
      </c>
      <c r="P367" s="57">
        <v>5.8799999999999998E-2</v>
      </c>
      <c r="Q367" s="57">
        <v>-0.28000000000000003</v>
      </c>
      <c r="R367" s="57">
        <v>-0.28000000000000003</v>
      </c>
      <c r="S367" s="57">
        <v>-0.28000000000000003</v>
      </c>
      <c r="T367">
        <v>49.31</v>
      </c>
      <c r="U367">
        <v>95.69</v>
      </c>
      <c r="V367">
        <v>3.61</v>
      </c>
      <c r="W367" s="20">
        <v>104194.8398396</v>
      </c>
    </row>
    <row r="368" spans="7:23" x14ac:dyDescent="0.15">
      <c r="G368" s="11">
        <v>367</v>
      </c>
      <c r="H368" t="s">
        <v>633</v>
      </c>
      <c r="I368" t="s">
        <v>1009</v>
      </c>
      <c r="J368" t="s">
        <v>830</v>
      </c>
      <c r="K368" s="61">
        <v>-6.9999999999999999E-4</v>
      </c>
      <c r="L368" s="57">
        <v>3.3999999999999998E-3</v>
      </c>
      <c r="M368" s="57">
        <v>9.1999999999999998E-3</v>
      </c>
      <c r="N368" s="61">
        <v>1.6299999999999999E-2</v>
      </c>
      <c r="O368" s="57">
        <v>-8.7099999999999997E-2</v>
      </c>
      <c r="P368" s="57">
        <v>-2.3199999999999998E-2</v>
      </c>
      <c r="Q368" s="57">
        <v>-0.18870000000000001</v>
      </c>
      <c r="R368" s="57">
        <v>-9.0700000000000003E-2</v>
      </c>
      <c r="S368" s="57">
        <v>0.16589999999999999</v>
      </c>
      <c r="T368">
        <v>49.17</v>
      </c>
      <c r="U368">
        <v>39.31</v>
      </c>
      <c r="V368">
        <v>59.72</v>
      </c>
      <c r="W368" s="20">
        <v>1938.3883000000001</v>
      </c>
    </row>
    <row r="369" spans="7:23" x14ac:dyDescent="0.15">
      <c r="G369" s="11">
        <v>368</v>
      </c>
      <c r="H369" t="s">
        <v>444</v>
      </c>
      <c r="I369" t="s">
        <v>861</v>
      </c>
      <c r="J369" t="s">
        <v>830</v>
      </c>
      <c r="K369" s="61">
        <v>0</v>
      </c>
      <c r="L369" s="57">
        <v>-1E-3</v>
      </c>
      <c r="M369" s="57">
        <v>-1.1900000000000001E-2</v>
      </c>
      <c r="N369" s="61">
        <v>3.1600000000000003E-2</v>
      </c>
      <c r="O369" s="57">
        <v>-0.14130000000000001</v>
      </c>
      <c r="P369" s="57">
        <v>3.44E-2</v>
      </c>
      <c r="Q369" s="57">
        <v>-0.1933</v>
      </c>
      <c r="R369" s="57">
        <v>-0.159</v>
      </c>
      <c r="S369" s="57">
        <v>-0.159</v>
      </c>
      <c r="T369">
        <v>49.03</v>
      </c>
      <c r="U369">
        <v>51.39</v>
      </c>
      <c r="V369">
        <v>47.64</v>
      </c>
      <c r="W369" s="20">
        <v>166.05167</v>
      </c>
    </row>
    <row r="370" spans="7:23" x14ac:dyDescent="0.15">
      <c r="G370" s="11">
        <v>369</v>
      </c>
      <c r="H370" s="10" t="s">
        <v>370</v>
      </c>
      <c r="I370" t="s">
        <v>1432</v>
      </c>
      <c r="J370" t="s">
        <v>1609</v>
      </c>
      <c r="K370" s="61">
        <v>5.0000000000000001E-4</v>
      </c>
      <c r="L370" s="57">
        <v>-1.6000000000000001E-3</v>
      </c>
      <c r="M370" s="57">
        <v>3.49E-2</v>
      </c>
      <c r="N370" s="61">
        <v>4.4400000000000002E-2</v>
      </c>
      <c r="O370" s="57">
        <v>4.7399999999999998E-2</v>
      </c>
      <c r="P370" s="57">
        <v>1.35E-2</v>
      </c>
      <c r="Q370" s="57">
        <v>7.0499999999999993E-2</v>
      </c>
      <c r="R370" s="57">
        <v>-1.2999999999999999E-3</v>
      </c>
      <c r="S370" s="57">
        <v>2.9600000000000001E-2</v>
      </c>
      <c r="T370">
        <v>48.89</v>
      </c>
      <c r="U370">
        <v>60.83</v>
      </c>
      <c r="V370">
        <v>38.19</v>
      </c>
      <c r="W370" s="20">
        <v>277.12099999999998</v>
      </c>
    </row>
    <row r="371" spans="7:23" x14ac:dyDescent="0.15">
      <c r="G371" s="11">
        <v>370</v>
      </c>
      <c r="H371" t="s">
        <v>641</v>
      </c>
      <c r="I371" t="s">
        <v>1042</v>
      </c>
      <c r="J371" t="s">
        <v>830</v>
      </c>
      <c r="K371" s="61">
        <v>2E-3</v>
      </c>
      <c r="L371" s="57">
        <v>4.9700000000000001E-2</v>
      </c>
      <c r="M371" s="57">
        <v>2.3800000000000002E-2</v>
      </c>
      <c r="N371" s="61">
        <v>8.9399999999999993E-2</v>
      </c>
      <c r="O371" s="57">
        <v>-0.13730000000000001</v>
      </c>
      <c r="P371" s="57">
        <v>-1.4500000000000001E-2</v>
      </c>
      <c r="Q371" s="57">
        <v>-0.28570000000000001</v>
      </c>
      <c r="R371" s="57">
        <v>-0.318</v>
      </c>
      <c r="S371" s="57">
        <v>-0.31140000000000001</v>
      </c>
      <c r="T371">
        <v>48.75</v>
      </c>
      <c r="U371">
        <v>81.25</v>
      </c>
      <c r="V371">
        <v>17.5</v>
      </c>
      <c r="W371" s="20">
        <v>2124.7904399999998</v>
      </c>
    </row>
    <row r="372" spans="7:23" x14ac:dyDescent="0.15">
      <c r="G372" s="11">
        <v>371</v>
      </c>
      <c r="H372" s="10" t="s">
        <v>1342</v>
      </c>
      <c r="I372" t="s">
        <v>1343</v>
      </c>
      <c r="J372" t="s">
        <v>1609</v>
      </c>
      <c r="K372" s="61">
        <v>8.9999999999999998E-4</v>
      </c>
      <c r="L372" s="57">
        <v>3.32E-2</v>
      </c>
      <c r="M372" s="57">
        <v>3.3E-3</v>
      </c>
      <c r="N372" s="61">
        <v>5.6000000000000001E-2</v>
      </c>
      <c r="O372" s="57">
        <v>-0.10780000000000001</v>
      </c>
      <c r="P372" s="57">
        <v>1.9E-3</v>
      </c>
      <c r="Q372" s="57">
        <v>-0.2671</v>
      </c>
      <c r="R372" s="57">
        <v>-0.26279999999999998</v>
      </c>
      <c r="S372" s="57">
        <v>-0.26279999999999998</v>
      </c>
      <c r="T372">
        <v>48.61</v>
      </c>
      <c r="U372">
        <v>69.17</v>
      </c>
      <c r="V372">
        <v>29.44</v>
      </c>
      <c r="W372" s="20">
        <v>23.843579999999999</v>
      </c>
    </row>
    <row r="373" spans="7:23" x14ac:dyDescent="0.15">
      <c r="G373" s="11">
        <v>372</v>
      </c>
      <c r="H373" s="10" t="s">
        <v>2014</v>
      </c>
      <c r="I373" t="s">
        <v>2015</v>
      </c>
      <c r="J373" t="s">
        <v>1946</v>
      </c>
      <c r="K373" s="61">
        <v>-1.8E-3</v>
      </c>
      <c r="L373" s="57">
        <v>-2.7E-2</v>
      </c>
      <c r="M373" s="57">
        <v>-2.5700000000000001E-2</v>
      </c>
      <c r="N373" s="61">
        <v>1.6999999999999999E-3</v>
      </c>
      <c r="O373" s="57">
        <v>-0.15840000000000001</v>
      </c>
      <c r="P373" s="57">
        <v>-0.17249999999999999</v>
      </c>
      <c r="Q373" s="57">
        <v>-0.17249999999999999</v>
      </c>
      <c r="R373" s="57">
        <v>-0.17249999999999999</v>
      </c>
      <c r="S373" s="57">
        <v>-0.17249999999999999</v>
      </c>
      <c r="T373">
        <v>48.47</v>
      </c>
      <c r="U373">
        <v>24.03</v>
      </c>
      <c r="V373">
        <v>74.31</v>
      </c>
      <c r="W373" s="20">
        <v>3650.3852711999998</v>
      </c>
    </row>
    <row r="374" spans="7:23" x14ac:dyDescent="0.15">
      <c r="G374" s="11">
        <v>373</v>
      </c>
      <c r="H374" s="10" t="s">
        <v>1250</v>
      </c>
      <c r="I374" t="s">
        <v>1251</v>
      </c>
      <c r="J374" t="s">
        <v>1609</v>
      </c>
      <c r="K374" s="61">
        <v>-1.2999999999999999E-3</v>
      </c>
      <c r="L374" s="57">
        <v>-4.3E-3</v>
      </c>
      <c r="M374" s="57">
        <v>0.1075</v>
      </c>
      <c r="N374" s="61">
        <v>7.0000000000000001E-3</v>
      </c>
      <c r="O374" s="57">
        <v>-1.5100000000000001E-2</v>
      </c>
      <c r="P374" s="57">
        <v>-4.6100000000000002E-2</v>
      </c>
      <c r="Q374" s="57">
        <v>-0.13389999999999999</v>
      </c>
      <c r="R374" s="57">
        <v>-0.13389999999999999</v>
      </c>
      <c r="S374" s="57">
        <v>-0.13389999999999999</v>
      </c>
      <c r="T374">
        <v>48.33</v>
      </c>
      <c r="U374">
        <v>30.42</v>
      </c>
      <c r="V374">
        <v>67.64</v>
      </c>
      <c r="W374" s="20">
        <v>3772.9569000000001</v>
      </c>
    </row>
    <row r="375" spans="7:23" x14ac:dyDescent="0.15">
      <c r="G375" s="11">
        <v>374</v>
      </c>
      <c r="H375" s="10" t="s">
        <v>1497</v>
      </c>
      <c r="I375" t="s">
        <v>1498</v>
      </c>
      <c r="J375" t="s">
        <v>1609</v>
      </c>
      <c r="K375" s="61">
        <v>-2.3E-3</v>
      </c>
      <c r="L375" s="57">
        <v>-6.7000000000000002E-3</v>
      </c>
      <c r="M375" s="57">
        <v>-2.53E-2</v>
      </c>
      <c r="N375" s="61">
        <v>-2.7000000000000001E-3</v>
      </c>
      <c r="O375" s="57">
        <v>-0.1394</v>
      </c>
      <c r="P375" s="57">
        <v>2.5000000000000001E-2</v>
      </c>
      <c r="Q375" s="57">
        <v>-0.30059999999999998</v>
      </c>
      <c r="R375" s="57">
        <v>-0.12590000000000001</v>
      </c>
      <c r="S375" s="57">
        <v>-0.11899999999999999</v>
      </c>
      <c r="T375">
        <v>48.19</v>
      </c>
      <c r="U375">
        <v>17.920000000000002</v>
      </c>
      <c r="V375">
        <v>80</v>
      </c>
      <c r="W375" s="20">
        <v>3.11239</v>
      </c>
    </row>
    <row r="376" spans="7:23" x14ac:dyDescent="0.15">
      <c r="G376" s="11">
        <v>375</v>
      </c>
      <c r="H376" s="10" t="s">
        <v>485</v>
      </c>
      <c r="I376" t="s">
        <v>1010</v>
      </c>
      <c r="J376" t="s">
        <v>830</v>
      </c>
      <c r="K376" s="61">
        <v>-3.0000000000000001E-3</v>
      </c>
      <c r="L376" s="57">
        <v>4.2299999999999997E-2</v>
      </c>
      <c r="M376" s="57">
        <v>6.4000000000000003E-3</v>
      </c>
      <c r="N376" s="61">
        <v>-9.2999999999999992E-3</v>
      </c>
      <c r="O376" s="57">
        <v>5.8599999999999999E-2</v>
      </c>
      <c r="P376" s="57">
        <v>9.5799999999999996E-2</v>
      </c>
      <c r="Q376" s="57">
        <v>-0.11650000000000001</v>
      </c>
      <c r="R376" s="57">
        <v>-0.30790000000000001</v>
      </c>
      <c r="S376" s="57">
        <v>-0.30790000000000001</v>
      </c>
      <c r="T376">
        <v>48.06</v>
      </c>
      <c r="U376">
        <v>13.19</v>
      </c>
      <c r="V376">
        <v>84.72</v>
      </c>
      <c r="W376" s="20">
        <v>24122.612174000002</v>
      </c>
    </row>
    <row r="377" spans="7:23" x14ac:dyDescent="0.15">
      <c r="G377" s="11">
        <v>376</v>
      </c>
      <c r="H377" s="10" t="s">
        <v>1268</v>
      </c>
      <c r="I377" t="s">
        <v>1269</v>
      </c>
      <c r="J377" t="s">
        <v>1609</v>
      </c>
      <c r="K377" s="61">
        <v>1E-3</v>
      </c>
      <c r="L377" s="57">
        <v>1.1999999999999999E-3</v>
      </c>
      <c r="M377" s="57">
        <v>-2.47E-2</v>
      </c>
      <c r="N377" s="61">
        <v>5.6899999999999999E-2</v>
      </c>
      <c r="O377" s="57">
        <v>-0.17130000000000001</v>
      </c>
      <c r="P377" s="57">
        <v>2.5700000000000001E-2</v>
      </c>
      <c r="Q377" s="57">
        <v>-0.18679999999999999</v>
      </c>
      <c r="R377" s="57">
        <v>-0.18679999999999999</v>
      </c>
      <c r="S377" s="57">
        <v>-0.18679999999999999</v>
      </c>
      <c r="T377">
        <v>47.92</v>
      </c>
      <c r="U377">
        <v>69.58</v>
      </c>
      <c r="V377">
        <v>28.33</v>
      </c>
      <c r="W377" s="20">
        <v>330.11637999999999</v>
      </c>
    </row>
    <row r="378" spans="7:23" x14ac:dyDescent="0.15">
      <c r="G378" s="11">
        <v>377</v>
      </c>
      <c r="H378" t="s">
        <v>2006</v>
      </c>
      <c r="I378" t="s">
        <v>2007</v>
      </c>
      <c r="J378" t="s">
        <v>1946</v>
      </c>
      <c r="K378" s="61">
        <v>-1.9E-3</v>
      </c>
      <c r="L378" s="57">
        <v>-2.7099999999999999E-2</v>
      </c>
      <c r="M378" s="57">
        <v>-2.5899999999999999E-2</v>
      </c>
      <c r="N378" s="61">
        <v>1.1999999999999999E-3</v>
      </c>
      <c r="O378" s="57">
        <v>-0.15909999999999999</v>
      </c>
      <c r="P378" s="57">
        <v>-0.1764</v>
      </c>
      <c r="Q378" s="57">
        <v>-0.1764</v>
      </c>
      <c r="R378" s="57">
        <v>-0.1764</v>
      </c>
      <c r="S378" s="57">
        <v>-0.1764</v>
      </c>
      <c r="T378">
        <v>47.78</v>
      </c>
      <c r="U378">
        <v>23.19</v>
      </c>
      <c r="V378">
        <v>74.72</v>
      </c>
      <c r="W378" s="20">
        <v>3053.2046</v>
      </c>
    </row>
    <row r="379" spans="7:23" x14ac:dyDescent="0.15">
      <c r="G379" s="11">
        <v>378</v>
      </c>
      <c r="H379" s="10" t="s">
        <v>498</v>
      </c>
      <c r="I379" t="s">
        <v>1053</v>
      </c>
      <c r="J379" t="s">
        <v>830</v>
      </c>
      <c r="K379" s="61">
        <v>2.0000000000000001E-4</v>
      </c>
      <c r="L379" s="57">
        <v>2.3999999999999998E-3</v>
      </c>
      <c r="M379" s="57">
        <v>-7.4999999999999997E-3</v>
      </c>
      <c r="N379" s="61">
        <v>3.56E-2</v>
      </c>
      <c r="O379" s="57">
        <v>-9.5200000000000007E-2</v>
      </c>
      <c r="P379" s="57">
        <v>7.8E-2</v>
      </c>
      <c r="Q379" s="57">
        <v>-0.1066</v>
      </c>
      <c r="R379" s="57">
        <v>0.1065</v>
      </c>
      <c r="S379" s="57">
        <v>0.1065</v>
      </c>
      <c r="T379">
        <v>47.64</v>
      </c>
      <c r="U379">
        <v>54.17</v>
      </c>
      <c r="V379">
        <v>43.61</v>
      </c>
      <c r="W379" s="20">
        <v>189723.9594924</v>
      </c>
    </row>
    <row r="380" spans="7:23" x14ac:dyDescent="0.15">
      <c r="G380" s="11">
        <v>379</v>
      </c>
      <c r="H380" s="10" t="s">
        <v>729</v>
      </c>
      <c r="I380" t="s">
        <v>1150</v>
      </c>
      <c r="J380" t="s">
        <v>1146</v>
      </c>
      <c r="K380" s="61">
        <v>3.0000000000000001E-3</v>
      </c>
      <c r="L380" s="57">
        <v>0.11070000000000001</v>
      </c>
      <c r="M380" s="57">
        <v>0.152</v>
      </c>
      <c r="N380" s="61">
        <v>0.1074</v>
      </c>
      <c r="O380" s="57">
        <v>-6.4500000000000002E-2</v>
      </c>
      <c r="P380" s="57">
        <v>-4.48E-2</v>
      </c>
      <c r="Q380" s="57">
        <v>-0.31259999999999999</v>
      </c>
      <c r="R380" s="57">
        <v>-0.39679999999999999</v>
      </c>
      <c r="S380" s="57">
        <v>-0.39679999999999999</v>
      </c>
      <c r="T380">
        <v>47.5</v>
      </c>
      <c r="U380">
        <v>86.53</v>
      </c>
      <c r="V380">
        <v>10.97</v>
      </c>
      <c r="W380" s="20">
        <v>1478.3448599999999</v>
      </c>
    </row>
    <row r="381" spans="7:23" x14ac:dyDescent="0.15">
      <c r="G381" s="11">
        <v>380</v>
      </c>
      <c r="H381" s="10" t="s">
        <v>433</v>
      </c>
      <c r="I381" t="s">
        <v>1050</v>
      </c>
      <c r="J381" t="s">
        <v>830</v>
      </c>
      <c r="K381" s="61">
        <v>-1E-3</v>
      </c>
      <c r="L381" s="57">
        <v>-2.7000000000000001E-3</v>
      </c>
      <c r="M381" s="57">
        <v>-3.8100000000000002E-2</v>
      </c>
      <c r="N381" s="61">
        <v>8.9999999999999993E-3</v>
      </c>
      <c r="O381" s="57">
        <v>-6.2600000000000003E-2</v>
      </c>
      <c r="P381" s="57">
        <v>0.1236</v>
      </c>
      <c r="Q381" s="57">
        <v>-0.1696</v>
      </c>
      <c r="R381" s="57">
        <v>0.1096</v>
      </c>
      <c r="S381" s="57">
        <v>0.59560000000000002</v>
      </c>
      <c r="T381">
        <v>47.36</v>
      </c>
      <c r="U381">
        <v>32.5</v>
      </c>
      <c r="V381">
        <v>64.86</v>
      </c>
      <c r="W381" s="20">
        <v>1831.9548</v>
      </c>
    </row>
    <row r="382" spans="7:23" x14ac:dyDescent="0.15">
      <c r="G382" s="11">
        <v>381</v>
      </c>
      <c r="H382" s="10" t="s">
        <v>707</v>
      </c>
      <c r="I382" t="s">
        <v>980</v>
      </c>
      <c r="J382" t="s">
        <v>830</v>
      </c>
      <c r="K382" s="61">
        <v>8.0000000000000004E-4</v>
      </c>
      <c r="L382" s="57">
        <v>1.5599999999999999E-2</v>
      </c>
      <c r="M382" s="57">
        <v>3.9199999999999999E-2</v>
      </c>
      <c r="N382" s="61">
        <v>4.9599999999999998E-2</v>
      </c>
      <c r="O382" s="57">
        <v>-5.6099999999999997E-2</v>
      </c>
      <c r="P382" s="57">
        <v>2.3599999999999999E-2</v>
      </c>
      <c r="Q382" s="57">
        <v>-0.2</v>
      </c>
      <c r="R382" s="57">
        <v>-0.19320000000000001</v>
      </c>
      <c r="S382" s="57">
        <v>7.1099999999999997E-2</v>
      </c>
      <c r="T382">
        <v>47.22</v>
      </c>
      <c r="U382">
        <v>65.42</v>
      </c>
      <c r="V382">
        <v>31.81</v>
      </c>
      <c r="W382" s="20">
        <v>1517.8034</v>
      </c>
    </row>
    <row r="383" spans="7:23" x14ac:dyDescent="0.15">
      <c r="G383" s="11">
        <v>382</v>
      </c>
      <c r="H383" s="10" t="s">
        <v>380</v>
      </c>
      <c r="I383" t="s">
        <v>1140</v>
      </c>
      <c r="J383" t="s">
        <v>1140</v>
      </c>
      <c r="K383" s="61">
        <v>5.9999999999999995E-4</v>
      </c>
      <c r="L383" s="57">
        <v>-1.6000000000000001E-3</v>
      </c>
      <c r="M383" s="57">
        <v>3.5299999999999998E-2</v>
      </c>
      <c r="N383" s="61">
        <v>4.4999999999999998E-2</v>
      </c>
      <c r="O383" s="57">
        <v>4.8500000000000001E-2</v>
      </c>
      <c r="P383" s="57">
        <v>1.5299999999999999E-2</v>
      </c>
      <c r="Q383" s="57">
        <v>7.51E-2</v>
      </c>
      <c r="R383" s="57">
        <v>5.1000000000000004E-3</v>
      </c>
      <c r="S383" s="57">
        <v>0.1711</v>
      </c>
      <c r="T383">
        <v>47.08</v>
      </c>
      <c r="U383">
        <v>61.81</v>
      </c>
      <c r="V383">
        <v>35.28</v>
      </c>
      <c r="W383" s="20">
        <v>15516.878031600001</v>
      </c>
    </row>
    <row r="384" spans="7:23" x14ac:dyDescent="0.15">
      <c r="G384" s="11">
        <v>383</v>
      </c>
      <c r="H384" t="s">
        <v>515</v>
      </c>
      <c r="I384" t="s">
        <v>945</v>
      </c>
      <c r="J384" t="s">
        <v>830</v>
      </c>
      <c r="K384" s="61">
        <v>-2.9999999999999997E-4</v>
      </c>
      <c r="L384" s="57">
        <v>2.0299999999999999E-2</v>
      </c>
      <c r="M384" s="57">
        <v>5.1700000000000003E-2</v>
      </c>
      <c r="N384" s="61">
        <v>2.3400000000000001E-2</v>
      </c>
      <c r="O384" s="57">
        <v>-6.5199999999999994E-2</v>
      </c>
      <c r="P384" s="57">
        <v>-3.5099999999999999E-2</v>
      </c>
      <c r="Q384" s="57">
        <v>-0.20050000000000001</v>
      </c>
      <c r="R384" s="57">
        <v>-0.30070000000000002</v>
      </c>
      <c r="S384" s="57">
        <v>-0.30070000000000002</v>
      </c>
      <c r="T384">
        <v>46.94</v>
      </c>
      <c r="U384">
        <v>45.42</v>
      </c>
      <c r="V384">
        <v>51.67</v>
      </c>
      <c r="W384" s="20">
        <v>1114.1161</v>
      </c>
    </row>
    <row r="385" spans="7:23" x14ac:dyDescent="0.15">
      <c r="G385" s="11">
        <v>384</v>
      </c>
      <c r="H385" s="10" t="s">
        <v>447</v>
      </c>
      <c r="I385" t="s">
        <v>1170</v>
      </c>
      <c r="J385" t="s">
        <v>1166</v>
      </c>
      <c r="K385" s="61">
        <v>0</v>
      </c>
      <c r="L385" s="57">
        <v>7.4999999999999997E-3</v>
      </c>
      <c r="M385" s="57">
        <v>2.18E-2</v>
      </c>
      <c r="N385" s="61">
        <v>2.8400000000000002E-2</v>
      </c>
      <c r="O385" s="57">
        <v>-3.39E-2</v>
      </c>
      <c r="P385" s="57">
        <v>-9.7000000000000003E-3</v>
      </c>
      <c r="Q385" s="57">
        <v>-9.3399999999999997E-2</v>
      </c>
      <c r="R385" s="57">
        <v>0.21199999999999999</v>
      </c>
      <c r="S385" s="57">
        <v>1.1698</v>
      </c>
      <c r="T385">
        <v>46.81</v>
      </c>
      <c r="U385">
        <v>49.17</v>
      </c>
      <c r="V385">
        <v>47.36</v>
      </c>
      <c r="W385" s="20">
        <v>3.7043900000000001</v>
      </c>
    </row>
    <row r="386" spans="7:23" x14ac:dyDescent="0.15">
      <c r="G386" s="11">
        <v>385</v>
      </c>
      <c r="H386" s="10" t="s">
        <v>582</v>
      </c>
      <c r="I386" t="s">
        <v>1222</v>
      </c>
      <c r="J386" t="s">
        <v>1212</v>
      </c>
      <c r="K386" s="61">
        <v>2.8999999999999998E-3</v>
      </c>
      <c r="L386" s="57">
        <v>-1.5299999999999999E-2</v>
      </c>
      <c r="M386" s="57">
        <v>5.6500000000000002E-2</v>
      </c>
      <c r="N386" s="61">
        <v>9.9599999999999994E-2</v>
      </c>
      <c r="O386" s="57">
        <v>-2.06E-2</v>
      </c>
      <c r="P386" s="57">
        <v>1.44E-2</v>
      </c>
      <c r="Q386" s="57">
        <v>-0.1283</v>
      </c>
      <c r="R386" s="57">
        <v>-3.4500000000000003E-2</v>
      </c>
      <c r="S386" s="57">
        <v>-0.01</v>
      </c>
      <c r="T386">
        <v>46.67</v>
      </c>
      <c r="U386">
        <v>85.28</v>
      </c>
      <c r="V386">
        <v>11.11</v>
      </c>
      <c r="W386" s="20">
        <v>108.3295</v>
      </c>
    </row>
    <row r="387" spans="7:23" x14ac:dyDescent="0.15">
      <c r="G387" s="11">
        <v>386</v>
      </c>
      <c r="H387" s="10" t="s">
        <v>336</v>
      </c>
      <c r="I387" t="s">
        <v>1024</v>
      </c>
      <c r="J387" t="s">
        <v>830</v>
      </c>
      <c r="K387" s="61">
        <v>5.9999999999999995E-4</v>
      </c>
      <c r="L387" s="57">
        <v>-4.7899999999999998E-2</v>
      </c>
      <c r="M387" s="57">
        <v>-1.61E-2</v>
      </c>
      <c r="N387" s="61">
        <v>4.2299999999999997E-2</v>
      </c>
      <c r="O387" s="57">
        <v>-0.1043</v>
      </c>
      <c r="P387" s="57">
        <v>-1.0999999999999999E-2</v>
      </c>
      <c r="Q387" s="57">
        <v>-0.14510000000000001</v>
      </c>
      <c r="R387" s="57">
        <v>5.2400000000000002E-2</v>
      </c>
      <c r="S387" s="57">
        <v>5.2400000000000002E-2</v>
      </c>
      <c r="T387">
        <v>46.53</v>
      </c>
      <c r="U387">
        <v>60.14</v>
      </c>
      <c r="V387">
        <v>36.25</v>
      </c>
      <c r="W387" s="20">
        <v>3287.5682000000002</v>
      </c>
    </row>
    <row r="388" spans="7:23" x14ac:dyDescent="0.15">
      <c r="G388" s="11">
        <v>387</v>
      </c>
      <c r="H388" s="10" t="s">
        <v>415</v>
      </c>
      <c r="I388" t="s">
        <v>1068</v>
      </c>
      <c r="J388" t="s">
        <v>830</v>
      </c>
      <c r="K388" s="61">
        <v>2.3E-3</v>
      </c>
      <c r="L388" s="57">
        <v>4.5499999999999999E-2</v>
      </c>
      <c r="M388" s="57">
        <v>1.5E-3</v>
      </c>
      <c r="N388" s="61">
        <v>9.0499999999999997E-2</v>
      </c>
      <c r="O388" s="57">
        <v>-0.13830000000000001</v>
      </c>
      <c r="P388" s="57">
        <v>-4.6300000000000001E-2</v>
      </c>
      <c r="Q388" s="57">
        <v>-0.3372</v>
      </c>
      <c r="R388" s="57">
        <v>2.5399999999999999E-2</v>
      </c>
      <c r="S388" s="57">
        <v>5.5100000000000003E-2</v>
      </c>
      <c r="T388">
        <v>46.39</v>
      </c>
      <c r="U388">
        <v>81.94</v>
      </c>
      <c r="V388">
        <v>14.44</v>
      </c>
      <c r="W388" s="20">
        <v>11227.261720500001</v>
      </c>
    </row>
    <row r="389" spans="7:23" x14ac:dyDescent="0.15">
      <c r="G389" s="11">
        <v>388</v>
      </c>
      <c r="H389" t="s">
        <v>1273</v>
      </c>
      <c r="I389" t="s">
        <v>1274</v>
      </c>
      <c r="J389" t="s">
        <v>1609</v>
      </c>
      <c r="K389" s="61">
        <v>-2.5000000000000001E-3</v>
      </c>
      <c r="L389" s="57">
        <v>4.19E-2</v>
      </c>
      <c r="M389" s="57">
        <v>1.18E-2</v>
      </c>
      <c r="N389" s="61">
        <v>-6.7999999999999996E-3</v>
      </c>
      <c r="O389" s="57">
        <v>5.6399999999999999E-2</v>
      </c>
      <c r="P389" s="57">
        <v>0.1047</v>
      </c>
      <c r="Q389" s="57">
        <v>-0.14860000000000001</v>
      </c>
      <c r="R389" s="57">
        <v>-0.15190000000000001</v>
      </c>
      <c r="S389" s="57">
        <v>-0.15190000000000001</v>
      </c>
      <c r="T389">
        <v>46.25</v>
      </c>
      <c r="U389">
        <v>14.86</v>
      </c>
      <c r="V389">
        <v>81.39</v>
      </c>
      <c r="W389" s="20">
        <v>1253.99198</v>
      </c>
    </row>
    <row r="390" spans="7:23" x14ac:dyDescent="0.15">
      <c r="G390" s="11">
        <v>389</v>
      </c>
      <c r="H390" t="s">
        <v>724</v>
      </c>
      <c r="I390" t="s">
        <v>1145</v>
      </c>
      <c r="J390" t="s">
        <v>1146</v>
      </c>
      <c r="K390" s="61">
        <v>6.7199999999999996E-2</v>
      </c>
      <c r="L390" s="57">
        <v>0.18410000000000001</v>
      </c>
      <c r="M390" s="57">
        <v>0.22359999999999999</v>
      </c>
      <c r="N390" s="61">
        <v>0.18</v>
      </c>
      <c r="O390" s="57">
        <v>-4.5199999999999997E-2</v>
      </c>
      <c r="P390" s="57">
        <v>1.29E-2</v>
      </c>
      <c r="Q390" s="57">
        <v>-0.35189999999999999</v>
      </c>
      <c r="R390" s="57">
        <v>-0.57320000000000004</v>
      </c>
      <c r="S390" s="57">
        <v>-0.2477</v>
      </c>
      <c r="T390">
        <v>46.11</v>
      </c>
      <c r="U390">
        <v>96.11</v>
      </c>
      <c r="V390">
        <v>0.14000000000000001</v>
      </c>
      <c r="W390" s="20">
        <v>211215.53839999999</v>
      </c>
    </row>
    <row r="391" spans="7:23" x14ac:dyDescent="0.15">
      <c r="G391" s="11">
        <v>390</v>
      </c>
      <c r="H391" t="s">
        <v>651</v>
      </c>
      <c r="I391" t="s">
        <v>859</v>
      </c>
      <c r="J391" t="s">
        <v>830</v>
      </c>
      <c r="K391" s="61">
        <v>-5.9999999999999995E-4</v>
      </c>
      <c r="L391" s="57">
        <v>3.3999999999999998E-3</v>
      </c>
      <c r="M391" s="57">
        <v>9.2999999999999992E-3</v>
      </c>
      <c r="N391" s="61">
        <v>1.5900000000000001E-2</v>
      </c>
      <c r="O391" s="57">
        <v>-8.8300000000000003E-2</v>
      </c>
      <c r="P391" s="57">
        <v>-2.7300000000000001E-2</v>
      </c>
      <c r="Q391" s="57">
        <v>-0.20050000000000001</v>
      </c>
      <c r="R391" s="57">
        <v>-0.16289999999999999</v>
      </c>
      <c r="S391" s="57">
        <v>9.1999999999999998E-2</v>
      </c>
      <c r="T391">
        <v>45.97</v>
      </c>
      <c r="U391">
        <v>38.19</v>
      </c>
      <c r="V391">
        <v>57.92</v>
      </c>
      <c r="W391" s="20">
        <v>80.871886099999998</v>
      </c>
    </row>
    <row r="392" spans="7:23" x14ac:dyDescent="0.15">
      <c r="G392" s="11">
        <v>391</v>
      </c>
      <c r="H392" t="s">
        <v>392</v>
      </c>
      <c r="I392" t="s">
        <v>978</v>
      </c>
      <c r="J392" t="s">
        <v>830</v>
      </c>
      <c r="K392" s="61">
        <v>-2.9999999999999997E-4</v>
      </c>
      <c r="L392" s="57">
        <v>1.17E-2</v>
      </c>
      <c r="M392" s="57">
        <v>3.1699999999999999E-2</v>
      </c>
      <c r="N392" s="61">
        <v>2.12E-2</v>
      </c>
      <c r="O392" s="57">
        <v>-4.3E-3</v>
      </c>
      <c r="P392" s="57">
        <v>-2.3999999999999998E-3</v>
      </c>
      <c r="Q392" s="57">
        <v>0.1033</v>
      </c>
      <c r="R392" s="57">
        <v>0.29160000000000003</v>
      </c>
      <c r="S392" s="57">
        <v>0.50529999999999997</v>
      </c>
      <c r="T392">
        <v>45.83</v>
      </c>
      <c r="U392">
        <v>43.47</v>
      </c>
      <c r="V392">
        <v>52.5</v>
      </c>
      <c r="W392" s="20">
        <v>2449.5012999999999</v>
      </c>
    </row>
    <row r="393" spans="7:23" x14ac:dyDescent="0.15">
      <c r="G393" s="11">
        <v>392</v>
      </c>
      <c r="H393" t="s">
        <v>1938</v>
      </c>
      <c r="I393" t="s">
        <v>2026</v>
      </c>
      <c r="J393" t="s">
        <v>1946</v>
      </c>
      <c r="K393" s="61">
        <v>1.35E-2</v>
      </c>
      <c r="L393" s="57">
        <v>0.1618</v>
      </c>
      <c r="M393" s="57">
        <v>0.2092</v>
      </c>
      <c r="N393" s="61">
        <v>0.16839999999999999</v>
      </c>
      <c r="O393" s="57">
        <v>-5.3800000000000001E-2</v>
      </c>
      <c r="P393" s="57">
        <v>-0.14849999999999999</v>
      </c>
      <c r="Q393" s="57">
        <v>-0.14849999999999999</v>
      </c>
      <c r="R393" s="57">
        <v>-0.14849999999999999</v>
      </c>
      <c r="S393" s="57">
        <v>-0.14849999999999999</v>
      </c>
      <c r="T393">
        <v>45.69</v>
      </c>
      <c r="U393">
        <v>94.03</v>
      </c>
      <c r="V393">
        <v>1.94</v>
      </c>
      <c r="W393" s="20">
        <v>6697.2341999999999</v>
      </c>
    </row>
    <row r="394" spans="7:23" x14ac:dyDescent="0.15">
      <c r="G394" s="11">
        <v>393</v>
      </c>
      <c r="H394" t="s">
        <v>420</v>
      </c>
      <c r="I394" t="s">
        <v>925</v>
      </c>
      <c r="J394" t="s">
        <v>830</v>
      </c>
      <c r="K394" s="61">
        <v>2.9999999999999997E-4</v>
      </c>
      <c r="L394" s="57">
        <v>2.2200000000000001E-2</v>
      </c>
      <c r="M394" s="57">
        <v>2.1499999999999998E-2</v>
      </c>
      <c r="N394" s="61">
        <v>3.6700000000000003E-2</v>
      </c>
      <c r="O394" s="57">
        <v>-3.0300000000000001E-2</v>
      </c>
      <c r="P394" s="57">
        <v>3.8300000000000001E-2</v>
      </c>
      <c r="Q394" s="57">
        <v>-0.19950000000000001</v>
      </c>
      <c r="R394" s="57">
        <v>-0.3382</v>
      </c>
      <c r="S394" s="57">
        <v>-0.3382</v>
      </c>
      <c r="T394">
        <v>45.56</v>
      </c>
      <c r="U394">
        <v>55.56</v>
      </c>
      <c r="V394">
        <v>40.14</v>
      </c>
      <c r="W394" s="20">
        <v>1015.1692</v>
      </c>
    </row>
    <row r="395" spans="7:23" x14ac:dyDescent="0.15">
      <c r="G395" s="11">
        <v>394</v>
      </c>
      <c r="H395" s="10" t="s">
        <v>508</v>
      </c>
      <c r="I395" t="s">
        <v>1136</v>
      </c>
      <c r="J395" t="s">
        <v>830</v>
      </c>
      <c r="K395" s="61">
        <v>-2.0999999999999999E-3</v>
      </c>
      <c r="L395" s="57">
        <v>-6.6E-3</v>
      </c>
      <c r="M395" s="57">
        <v>-2.52E-2</v>
      </c>
      <c r="N395" s="61">
        <v>-2.5000000000000001E-3</v>
      </c>
      <c r="O395" s="57">
        <v>-0.13950000000000001</v>
      </c>
      <c r="P395" s="57">
        <v>2.8799999999999999E-2</v>
      </c>
      <c r="Q395" s="57">
        <v>-0.2979</v>
      </c>
      <c r="R395" s="57">
        <v>-0.11020000000000001</v>
      </c>
      <c r="S395" s="57">
        <v>0.46460000000000001</v>
      </c>
      <c r="T395">
        <v>45.42</v>
      </c>
      <c r="U395">
        <v>18.329999999999998</v>
      </c>
      <c r="V395">
        <v>77.36</v>
      </c>
      <c r="W395" s="20">
        <v>173341.4577115</v>
      </c>
    </row>
    <row r="396" spans="7:23" x14ac:dyDescent="0.15">
      <c r="G396" s="11">
        <v>395</v>
      </c>
      <c r="H396" t="s">
        <v>657</v>
      </c>
      <c r="I396" t="s">
        <v>1011</v>
      </c>
      <c r="J396" t="s">
        <v>830</v>
      </c>
      <c r="K396" s="61">
        <v>1E-3</v>
      </c>
      <c r="L396" s="57">
        <v>1.5699999999999999E-2</v>
      </c>
      <c r="M396" s="57">
        <v>3.9100000000000003E-2</v>
      </c>
      <c r="N396" s="61">
        <v>5.0299999999999997E-2</v>
      </c>
      <c r="O396" s="57">
        <v>-5.5E-2</v>
      </c>
      <c r="P396" s="57">
        <v>2.4299999999999999E-2</v>
      </c>
      <c r="Q396" s="57">
        <v>-0.1988</v>
      </c>
      <c r="R396" s="57">
        <v>-0.23549999999999999</v>
      </c>
      <c r="S396" s="57">
        <v>-0.1978</v>
      </c>
      <c r="T396">
        <v>45.28</v>
      </c>
      <c r="U396">
        <v>66.53</v>
      </c>
      <c r="V396">
        <v>28.47</v>
      </c>
      <c r="W396" s="20">
        <v>444.58530000000002</v>
      </c>
    </row>
    <row r="397" spans="7:23" x14ac:dyDescent="0.15">
      <c r="G397" s="11">
        <v>396</v>
      </c>
      <c r="H397" s="10" t="s">
        <v>360</v>
      </c>
      <c r="I397" t="s">
        <v>851</v>
      </c>
      <c r="J397" t="s">
        <v>830</v>
      </c>
      <c r="K397" s="61">
        <v>0</v>
      </c>
      <c r="L397" s="57">
        <v>4.4999999999999997E-3</v>
      </c>
      <c r="M397" s="57">
        <v>0</v>
      </c>
      <c r="N397" s="61">
        <v>2.4199999999999999E-2</v>
      </c>
      <c r="O397" s="57">
        <v>-9.9500000000000005E-2</v>
      </c>
      <c r="P397" s="57">
        <v>1.49E-2</v>
      </c>
      <c r="Q397" s="57">
        <v>-0.215</v>
      </c>
      <c r="R397" s="57">
        <v>-0.1022</v>
      </c>
      <c r="S397" s="57">
        <v>0.29680000000000001</v>
      </c>
      <c r="T397">
        <v>45.14</v>
      </c>
      <c r="U397">
        <v>46.67</v>
      </c>
      <c r="V397">
        <v>47.92</v>
      </c>
      <c r="W397" s="20">
        <v>237.3490793</v>
      </c>
    </row>
    <row r="398" spans="7:23" x14ac:dyDescent="0.15">
      <c r="G398" s="11">
        <v>397</v>
      </c>
      <c r="H398" t="s">
        <v>468</v>
      </c>
      <c r="I398" t="s">
        <v>1083</v>
      </c>
      <c r="J398" t="s">
        <v>830</v>
      </c>
      <c r="K398" s="61">
        <v>-1.9E-3</v>
      </c>
      <c r="L398" s="57">
        <v>-6.8999999999999999E-3</v>
      </c>
      <c r="M398" s="57">
        <v>-2.52E-2</v>
      </c>
      <c r="N398" s="61">
        <v>-2.0999999999999999E-3</v>
      </c>
      <c r="O398" s="57">
        <v>-0.13780000000000001</v>
      </c>
      <c r="P398" s="57">
        <v>2.87E-2</v>
      </c>
      <c r="Q398" s="57">
        <v>-0.29620000000000002</v>
      </c>
      <c r="R398" s="57">
        <v>-0.1052</v>
      </c>
      <c r="S398" s="57">
        <v>0.46939999999999998</v>
      </c>
      <c r="T398">
        <v>45</v>
      </c>
      <c r="U398">
        <v>19.170000000000002</v>
      </c>
      <c r="V398">
        <v>75.14</v>
      </c>
      <c r="W398" s="20">
        <v>4299.4512169</v>
      </c>
    </row>
    <row r="399" spans="7:23" x14ac:dyDescent="0.15">
      <c r="G399" s="11">
        <v>398</v>
      </c>
      <c r="H399" t="s">
        <v>556</v>
      </c>
      <c r="I399" t="s">
        <v>234</v>
      </c>
      <c r="J399" t="s">
        <v>1166</v>
      </c>
      <c r="K399" s="61">
        <v>-1.6999999999999999E-3</v>
      </c>
      <c r="L399" s="57">
        <v>-8.9999999999999998E-4</v>
      </c>
      <c r="M399" s="57">
        <v>5.5999999999999999E-3</v>
      </c>
      <c r="N399" s="61">
        <v>-5.9999999999999995E-4</v>
      </c>
      <c r="O399" s="57">
        <v>-7.4300000000000005E-2</v>
      </c>
      <c r="P399" s="57">
        <v>-5.3499999999999999E-2</v>
      </c>
      <c r="Q399" s="57">
        <v>-0.14510000000000001</v>
      </c>
      <c r="R399" s="57">
        <v>-1.3299999999999999E-2</v>
      </c>
      <c r="S399" s="57">
        <v>0.3821</v>
      </c>
      <c r="T399">
        <v>44.86</v>
      </c>
      <c r="U399">
        <v>21.53</v>
      </c>
      <c r="V399">
        <v>72.78</v>
      </c>
      <c r="W399" s="20">
        <v>204.86848179999998</v>
      </c>
    </row>
    <row r="400" spans="7:23" x14ac:dyDescent="0.15">
      <c r="G400" s="11">
        <v>399</v>
      </c>
      <c r="H400" s="10" t="s">
        <v>254</v>
      </c>
      <c r="I400" t="s">
        <v>804</v>
      </c>
      <c r="J400" t="s">
        <v>793</v>
      </c>
      <c r="K400" s="61">
        <v>-5.3E-3</v>
      </c>
      <c r="L400" s="57">
        <v>-4.99E-2</v>
      </c>
      <c r="M400" s="57">
        <v>-9.2999999999999999E-2</v>
      </c>
      <c r="N400" s="61">
        <v>-5.57E-2</v>
      </c>
      <c r="O400" s="57">
        <v>-0.23769999999999999</v>
      </c>
      <c r="P400" s="57">
        <v>2.64E-2</v>
      </c>
      <c r="Q400" s="57">
        <v>-0.21210000000000001</v>
      </c>
      <c r="R400" s="57">
        <v>-0.19889999999999999</v>
      </c>
      <c r="S400" s="57">
        <v>-8.1100000000000005E-2</v>
      </c>
      <c r="T400">
        <v>44.72</v>
      </c>
      <c r="U400">
        <v>1.39</v>
      </c>
      <c r="V400">
        <v>92.78</v>
      </c>
      <c r="W400" s="20">
        <v>29.3949</v>
      </c>
    </row>
    <row r="401" spans="7:23" x14ac:dyDescent="0.15">
      <c r="G401" s="11">
        <v>400</v>
      </c>
      <c r="H401" t="s">
        <v>1566</v>
      </c>
      <c r="I401" t="s">
        <v>1567</v>
      </c>
      <c r="J401" t="s">
        <v>1609</v>
      </c>
      <c r="K401" s="61">
        <v>0</v>
      </c>
      <c r="L401" s="57">
        <v>1.7899999999999999E-2</v>
      </c>
      <c r="M401" s="57">
        <v>1.5900000000000001E-2</v>
      </c>
      <c r="N401" s="61">
        <v>2.7300000000000001E-2</v>
      </c>
      <c r="O401" s="57">
        <v>-9.4200000000000006E-2</v>
      </c>
      <c r="P401" s="57">
        <v>-6.4999999999999997E-3</v>
      </c>
      <c r="Q401" s="57">
        <v>-0.2447</v>
      </c>
      <c r="R401" s="57">
        <v>-0.2392</v>
      </c>
      <c r="S401" s="57">
        <v>-0.2392</v>
      </c>
      <c r="T401">
        <v>44.58</v>
      </c>
      <c r="U401">
        <v>48.61</v>
      </c>
      <c r="V401">
        <v>45.56</v>
      </c>
      <c r="W401" s="20">
        <v>2647.3341</v>
      </c>
    </row>
    <row r="402" spans="7:23" x14ac:dyDescent="0.15">
      <c r="G402" s="11">
        <v>401</v>
      </c>
      <c r="H402" t="s">
        <v>1388</v>
      </c>
      <c r="I402" t="s">
        <v>1389</v>
      </c>
      <c r="J402" t="s">
        <v>1609</v>
      </c>
      <c r="K402" s="61">
        <v>-5.9999999999999995E-4</v>
      </c>
      <c r="L402" s="57">
        <v>4.7999999999999996E-3</v>
      </c>
      <c r="M402" s="57">
        <v>1.23E-2</v>
      </c>
      <c r="N402" s="61">
        <v>1.5100000000000001E-2</v>
      </c>
      <c r="O402" s="57">
        <v>-9.1800000000000007E-2</v>
      </c>
      <c r="P402" s="57">
        <v>-4.5400000000000003E-2</v>
      </c>
      <c r="Q402" s="57">
        <v>-0.13450000000000001</v>
      </c>
      <c r="R402" s="57">
        <v>-0.13450000000000001</v>
      </c>
      <c r="S402" s="57">
        <v>-0.13450000000000001</v>
      </c>
      <c r="T402">
        <v>44.44</v>
      </c>
      <c r="U402">
        <v>36.53</v>
      </c>
      <c r="V402">
        <v>57.5</v>
      </c>
      <c r="W402" s="20">
        <v>256.52294000000001</v>
      </c>
    </row>
    <row r="403" spans="7:23" x14ac:dyDescent="0.15">
      <c r="G403" s="11">
        <v>402</v>
      </c>
      <c r="H403" s="10" t="s">
        <v>1570</v>
      </c>
      <c r="I403" t="s">
        <v>1571</v>
      </c>
      <c r="J403" t="s">
        <v>1609</v>
      </c>
      <c r="K403" s="61">
        <v>1.4E-3</v>
      </c>
      <c r="L403" s="57">
        <v>3.0200000000000001E-2</v>
      </c>
      <c r="M403" s="57">
        <v>3.2000000000000002E-3</v>
      </c>
      <c r="N403" s="61">
        <v>6.1499999999999999E-2</v>
      </c>
      <c r="O403" s="57">
        <v>-0.14749999999999999</v>
      </c>
      <c r="P403" s="57">
        <v>-3.27E-2</v>
      </c>
      <c r="Q403" s="57">
        <v>-0.3256</v>
      </c>
      <c r="R403" s="57">
        <v>-0.28699999999999998</v>
      </c>
      <c r="S403" s="57">
        <v>-0.28699999999999998</v>
      </c>
      <c r="T403">
        <v>44.31</v>
      </c>
      <c r="U403">
        <v>71.25</v>
      </c>
      <c r="V403">
        <v>22.78</v>
      </c>
      <c r="W403" s="20">
        <v>98.258899999999997</v>
      </c>
    </row>
    <row r="404" spans="7:23" x14ac:dyDescent="0.15">
      <c r="G404" s="11">
        <v>403</v>
      </c>
      <c r="H404" t="s">
        <v>647</v>
      </c>
      <c r="I404" t="s">
        <v>975</v>
      </c>
      <c r="J404" t="s">
        <v>830</v>
      </c>
      <c r="K404" s="61">
        <v>1.1000000000000001E-3</v>
      </c>
      <c r="L404" s="57">
        <v>1.6E-2</v>
      </c>
      <c r="M404" s="57">
        <v>4.0099999999999997E-2</v>
      </c>
      <c r="N404" s="61">
        <v>5.11E-2</v>
      </c>
      <c r="O404" s="57">
        <v>-5.45E-2</v>
      </c>
      <c r="P404" s="57">
        <v>2.5999999999999999E-2</v>
      </c>
      <c r="Q404" s="57">
        <v>-0.1983</v>
      </c>
      <c r="R404" s="57">
        <v>-0.21920000000000001</v>
      </c>
      <c r="S404" s="57">
        <v>1.9E-3</v>
      </c>
      <c r="T404">
        <v>44.17</v>
      </c>
      <c r="U404">
        <v>67.08</v>
      </c>
      <c r="V404">
        <v>26.94</v>
      </c>
      <c r="W404" s="20">
        <v>947.95669999999996</v>
      </c>
    </row>
    <row r="405" spans="7:23" x14ac:dyDescent="0.15">
      <c r="G405" s="11">
        <v>404</v>
      </c>
      <c r="H405" t="s">
        <v>1390</v>
      </c>
      <c r="I405" t="s">
        <v>1391</v>
      </c>
      <c r="J405" t="s">
        <v>1609</v>
      </c>
      <c r="K405" s="61">
        <v>-5.0000000000000001E-4</v>
      </c>
      <c r="L405" s="57">
        <v>4.5999999999999999E-3</v>
      </c>
      <c r="M405" s="57">
        <v>1.18E-2</v>
      </c>
      <c r="N405" s="61">
        <v>1.6E-2</v>
      </c>
      <c r="O405" s="57">
        <v>-0.10680000000000001</v>
      </c>
      <c r="P405" s="57">
        <v>-3.6200000000000003E-2</v>
      </c>
      <c r="Q405" s="57">
        <v>-0.2132</v>
      </c>
      <c r="R405" s="57">
        <v>-0.21659999999999999</v>
      </c>
      <c r="S405" s="57">
        <v>-0.21659999999999999</v>
      </c>
      <c r="T405">
        <v>44.03</v>
      </c>
      <c r="U405">
        <v>38.89</v>
      </c>
      <c r="V405">
        <v>55</v>
      </c>
      <c r="W405" s="20">
        <v>818.37950000000001</v>
      </c>
    </row>
    <row r="406" spans="7:23" x14ac:dyDescent="0.15">
      <c r="G406" s="11">
        <v>405</v>
      </c>
      <c r="H406" s="10" t="s">
        <v>1346</v>
      </c>
      <c r="I406" t="s">
        <v>1347</v>
      </c>
      <c r="J406" t="s">
        <v>1609</v>
      </c>
      <c r="K406" s="61">
        <v>-6.9999999999999999E-4</v>
      </c>
      <c r="L406" s="57">
        <v>-1.4E-3</v>
      </c>
      <c r="M406" s="57">
        <v>-1.9400000000000001E-2</v>
      </c>
      <c r="N406" s="61">
        <v>1.11E-2</v>
      </c>
      <c r="O406" s="57">
        <v>-0.1232</v>
      </c>
      <c r="P406" s="57">
        <v>5.8299999999999998E-2</v>
      </c>
      <c r="Q406" s="57">
        <v>-0.25940000000000002</v>
      </c>
      <c r="R406" s="57">
        <v>-0.15440000000000001</v>
      </c>
      <c r="S406" s="57">
        <v>-0.15440000000000001</v>
      </c>
      <c r="T406">
        <v>43.89</v>
      </c>
      <c r="U406">
        <v>33.75</v>
      </c>
      <c r="V406">
        <v>60</v>
      </c>
      <c r="W406" s="20">
        <v>206.55226000000002</v>
      </c>
    </row>
    <row r="407" spans="7:23" x14ac:dyDescent="0.15">
      <c r="G407" s="11">
        <v>406</v>
      </c>
      <c r="H407" s="10" t="s">
        <v>1244</v>
      </c>
      <c r="I407" t="s">
        <v>1245</v>
      </c>
      <c r="J407" t="s">
        <v>1609</v>
      </c>
      <c r="K407" s="61">
        <v>4.1000000000000003E-3</v>
      </c>
      <c r="L407" s="57">
        <v>3.9E-2</v>
      </c>
      <c r="M407" s="57">
        <v>-1E-3</v>
      </c>
      <c r="N407" s="61">
        <v>9.8900000000000002E-2</v>
      </c>
      <c r="O407" s="57">
        <v>-5.2200000000000003E-2</v>
      </c>
      <c r="P407" s="57">
        <v>2.1700000000000001E-2</v>
      </c>
      <c r="Q407" s="57">
        <v>2.6800000000000001E-2</v>
      </c>
      <c r="R407" s="57">
        <v>2.6800000000000001E-2</v>
      </c>
      <c r="S407" s="57">
        <v>2.6800000000000001E-2</v>
      </c>
      <c r="T407">
        <v>43.75</v>
      </c>
      <c r="U407">
        <v>85</v>
      </c>
      <c r="V407">
        <v>8.4700000000000006</v>
      </c>
      <c r="W407" s="20">
        <v>8399.4974000000002</v>
      </c>
    </row>
    <row r="408" spans="7:23" x14ac:dyDescent="0.15">
      <c r="G408" s="11">
        <v>407</v>
      </c>
      <c r="H408" s="10" t="s">
        <v>1275</v>
      </c>
      <c r="I408" t="s">
        <v>1276</v>
      </c>
      <c r="J408" t="s">
        <v>1609</v>
      </c>
      <c r="K408" s="61">
        <v>3.0999999999999999E-3</v>
      </c>
      <c r="L408" s="57">
        <v>4.8599999999999997E-2</v>
      </c>
      <c r="M408" s="57">
        <v>0</v>
      </c>
      <c r="N408" s="61">
        <v>9.1300000000000006E-2</v>
      </c>
      <c r="O408" s="57">
        <v>-0.13420000000000001</v>
      </c>
      <c r="P408" s="57">
        <v>-2.7900000000000001E-2</v>
      </c>
      <c r="Q408" s="57">
        <v>-0.29720000000000002</v>
      </c>
      <c r="R408" s="57">
        <v>-0.29720000000000002</v>
      </c>
      <c r="S408" s="57">
        <v>-0.29720000000000002</v>
      </c>
      <c r="T408">
        <v>43.61</v>
      </c>
      <c r="U408">
        <v>82.64</v>
      </c>
      <c r="V408">
        <v>10.56</v>
      </c>
      <c r="W408" s="20">
        <v>1178.9795999999999</v>
      </c>
    </row>
    <row r="409" spans="7:23" x14ac:dyDescent="0.15">
      <c r="G409" s="11">
        <v>408</v>
      </c>
      <c r="H409" s="10" t="s">
        <v>348</v>
      </c>
      <c r="I409" t="s">
        <v>866</v>
      </c>
      <c r="J409" t="s">
        <v>830</v>
      </c>
      <c r="K409" s="61">
        <v>5.0000000000000001E-4</v>
      </c>
      <c r="L409" s="57">
        <v>5.1200000000000002E-2</v>
      </c>
      <c r="M409" s="57">
        <v>2.58E-2</v>
      </c>
      <c r="N409" s="61">
        <v>3.8899999999999997E-2</v>
      </c>
      <c r="O409" s="57">
        <v>3.8300000000000001E-2</v>
      </c>
      <c r="P409" s="57">
        <v>7.5600000000000001E-2</v>
      </c>
      <c r="Q409" s="57">
        <v>-0.17100000000000001</v>
      </c>
      <c r="R409" s="57">
        <v>-0.26740000000000003</v>
      </c>
      <c r="S409" s="57">
        <v>-0.26740000000000003</v>
      </c>
      <c r="T409">
        <v>43.47</v>
      </c>
      <c r="U409">
        <v>56.11</v>
      </c>
      <c r="V409">
        <v>37.08</v>
      </c>
      <c r="W409" s="20">
        <v>1101.7723800000001</v>
      </c>
    </row>
    <row r="410" spans="7:23" x14ac:dyDescent="0.15">
      <c r="G410" s="11">
        <v>409</v>
      </c>
      <c r="H410" s="10" t="s">
        <v>2002</v>
      </c>
      <c r="I410" t="s">
        <v>2003</v>
      </c>
      <c r="J410" t="s">
        <v>1946</v>
      </c>
      <c r="K410" s="61">
        <v>-1.1999999999999999E-3</v>
      </c>
      <c r="L410" s="57">
        <v>-2.6800000000000001E-2</v>
      </c>
      <c r="M410" s="57">
        <v>-2.5100000000000001E-2</v>
      </c>
      <c r="N410" s="61">
        <v>3.0000000000000001E-3</v>
      </c>
      <c r="O410" s="57">
        <v>-0.15709999999999999</v>
      </c>
      <c r="P410" s="57">
        <v>-0.16200000000000001</v>
      </c>
      <c r="Q410" s="57">
        <v>-0.16200000000000001</v>
      </c>
      <c r="R410" s="57">
        <v>-0.16200000000000001</v>
      </c>
      <c r="S410" s="57">
        <v>-0.16200000000000001</v>
      </c>
      <c r="T410">
        <v>43.33</v>
      </c>
      <c r="U410">
        <v>26.11</v>
      </c>
      <c r="V410">
        <v>66.94</v>
      </c>
      <c r="W410" s="20">
        <v>2060.3389306000004</v>
      </c>
    </row>
    <row r="411" spans="7:23" x14ac:dyDescent="0.15">
      <c r="G411" s="11">
        <v>410</v>
      </c>
      <c r="H411" t="s">
        <v>584</v>
      </c>
      <c r="I411" t="s">
        <v>971</v>
      </c>
      <c r="J411" t="s">
        <v>830</v>
      </c>
      <c r="K411" s="61">
        <v>6.8999999999999999E-3</v>
      </c>
      <c r="L411" s="57">
        <v>3.4500000000000003E-2</v>
      </c>
      <c r="M411" s="57">
        <v>2.5700000000000001E-2</v>
      </c>
      <c r="N411" s="61">
        <v>0.1183</v>
      </c>
      <c r="O411" s="57">
        <v>0.113</v>
      </c>
      <c r="P411" s="57">
        <v>0.26329999999999998</v>
      </c>
      <c r="Q411" s="57">
        <v>-0.18629999999999999</v>
      </c>
      <c r="R411" s="57">
        <v>-0.1211</v>
      </c>
      <c r="S411" s="57">
        <v>-0.1211</v>
      </c>
      <c r="T411">
        <v>43.19</v>
      </c>
      <c r="U411">
        <v>88.06</v>
      </c>
      <c r="V411">
        <v>4.8600000000000003</v>
      </c>
      <c r="W411" s="20">
        <v>11738.1325001</v>
      </c>
    </row>
    <row r="412" spans="7:23" x14ac:dyDescent="0.15">
      <c r="G412" s="11">
        <v>411</v>
      </c>
      <c r="H412" s="10" t="s">
        <v>622</v>
      </c>
      <c r="I412" t="s">
        <v>1080</v>
      </c>
      <c r="J412" t="s">
        <v>830</v>
      </c>
      <c r="K412" s="61">
        <v>1.1000000000000001E-3</v>
      </c>
      <c r="L412" s="57">
        <v>1.6E-2</v>
      </c>
      <c r="M412" s="57">
        <v>3.9699999999999999E-2</v>
      </c>
      <c r="N412" s="61">
        <v>5.0099999999999999E-2</v>
      </c>
      <c r="O412" s="57">
        <v>-5.6300000000000003E-2</v>
      </c>
      <c r="P412" s="57">
        <v>2.1399999999999999E-2</v>
      </c>
      <c r="Q412" s="57">
        <v>-0.20519999999999999</v>
      </c>
      <c r="R412" s="57">
        <v>-0.25319999999999998</v>
      </c>
      <c r="S412" s="57">
        <v>-2.12E-2</v>
      </c>
      <c r="T412">
        <v>43.06</v>
      </c>
      <c r="U412">
        <v>66.11</v>
      </c>
      <c r="V412">
        <v>26.81</v>
      </c>
      <c r="W412" s="20">
        <v>3614.3969000000002</v>
      </c>
    </row>
    <row r="413" spans="7:23" x14ac:dyDescent="0.15">
      <c r="G413" s="11">
        <v>412</v>
      </c>
      <c r="H413" t="s">
        <v>405</v>
      </c>
      <c r="I413" t="s">
        <v>1121</v>
      </c>
      <c r="J413" t="s">
        <v>830</v>
      </c>
      <c r="K413" s="61">
        <v>-8.0000000000000004E-4</v>
      </c>
      <c r="L413" s="57">
        <v>-2.7000000000000001E-3</v>
      </c>
      <c r="M413" s="57">
        <v>-3.8300000000000001E-2</v>
      </c>
      <c r="N413" s="61">
        <v>8.9999999999999993E-3</v>
      </c>
      <c r="O413" s="57">
        <v>-6.1600000000000002E-2</v>
      </c>
      <c r="P413" s="57">
        <v>0.1239</v>
      </c>
      <c r="Q413" s="57">
        <v>-0.17269999999999999</v>
      </c>
      <c r="R413" s="57">
        <v>0.10100000000000001</v>
      </c>
      <c r="S413" s="57">
        <v>0.56620000000000004</v>
      </c>
      <c r="T413">
        <v>42.92</v>
      </c>
      <c r="U413">
        <v>32.36</v>
      </c>
      <c r="V413">
        <v>60.56</v>
      </c>
      <c r="W413" s="20">
        <v>33144.383999999998</v>
      </c>
    </row>
    <row r="414" spans="7:23" x14ac:dyDescent="0.15">
      <c r="G414" s="11">
        <v>413</v>
      </c>
      <c r="H414" t="s">
        <v>531</v>
      </c>
      <c r="I414" t="s">
        <v>914</v>
      </c>
      <c r="J414" t="s">
        <v>830</v>
      </c>
      <c r="K414" s="61">
        <v>1.1000000000000001E-3</v>
      </c>
      <c r="L414" s="57">
        <v>1.15E-2</v>
      </c>
      <c r="M414" s="57">
        <v>3.8300000000000001E-2</v>
      </c>
      <c r="N414" s="61">
        <v>5.1499999999999997E-2</v>
      </c>
      <c r="O414" s="57">
        <v>-6.6000000000000003E-2</v>
      </c>
      <c r="P414" s="57">
        <v>-2.4799999999999999E-2</v>
      </c>
      <c r="Q414" s="57">
        <v>-0.18659999999999999</v>
      </c>
      <c r="R414" s="57">
        <v>-0.2848</v>
      </c>
      <c r="S414" s="57">
        <v>-0.2848</v>
      </c>
      <c r="T414">
        <v>42.78</v>
      </c>
      <c r="U414">
        <v>67.22</v>
      </c>
      <c r="V414">
        <v>25.69</v>
      </c>
      <c r="W414" s="20">
        <v>229.3783</v>
      </c>
    </row>
    <row r="415" spans="7:23" x14ac:dyDescent="0.15">
      <c r="G415" s="11">
        <v>414</v>
      </c>
      <c r="H415" s="10" t="s">
        <v>1289</v>
      </c>
      <c r="I415" t="s">
        <v>1290</v>
      </c>
      <c r="J415" t="s">
        <v>1609</v>
      </c>
      <c r="K415" s="61">
        <v>8.3000000000000001E-3</v>
      </c>
      <c r="L415" s="57">
        <v>3.2899999999999999E-2</v>
      </c>
      <c r="M415" s="57">
        <v>3.9899999999999998E-2</v>
      </c>
      <c r="N415" s="61">
        <v>0.1239</v>
      </c>
      <c r="O415" s="57">
        <v>6.0100000000000001E-2</v>
      </c>
      <c r="P415" s="57">
        <v>0.19239999999999999</v>
      </c>
      <c r="Q415" s="57">
        <v>-4.9599999999999998E-2</v>
      </c>
      <c r="R415" s="57">
        <v>-0.1421</v>
      </c>
      <c r="S415" s="57">
        <v>-0.1421</v>
      </c>
      <c r="T415">
        <v>42.64</v>
      </c>
      <c r="U415">
        <v>88.75</v>
      </c>
      <c r="V415">
        <v>3.75</v>
      </c>
      <c r="W415" s="20">
        <v>243.64510000000001</v>
      </c>
    </row>
    <row r="416" spans="7:23" x14ac:dyDescent="0.15">
      <c r="G416" s="11">
        <v>415</v>
      </c>
      <c r="H416" s="10" t="s">
        <v>374</v>
      </c>
      <c r="I416" t="s">
        <v>1008</v>
      </c>
      <c r="J416" t="s">
        <v>830</v>
      </c>
      <c r="K416" s="61">
        <v>2.9999999999999997E-4</v>
      </c>
      <c r="L416" s="57">
        <v>-1.4E-3</v>
      </c>
      <c r="M416" s="57">
        <v>-3.3399999999999999E-2</v>
      </c>
      <c r="N416" s="61">
        <v>3.1E-2</v>
      </c>
      <c r="O416" s="57">
        <v>-8.9499999999999996E-2</v>
      </c>
      <c r="P416" s="57">
        <v>6.0499999999999998E-2</v>
      </c>
      <c r="Q416" s="57">
        <v>-0.28639999999999999</v>
      </c>
      <c r="R416" s="57">
        <v>-0.29920000000000002</v>
      </c>
      <c r="S416" s="57">
        <v>-0.29920000000000002</v>
      </c>
      <c r="T416">
        <v>42.5</v>
      </c>
      <c r="U416">
        <v>51.11</v>
      </c>
      <c r="V416">
        <v>41.39</v>
      </c>
      <c r="W416" s="20">
        <v>1041.3975</v>
      </c>
    </row>
    <row r="417" spans="7:23" x14ac:dyDescent="0.15">
      <c r="G417" s="11">
        <v>416</v>
      </c>
      <c r="H417" s="10" t="s">
        <v>416</v>
      </c>
      <c r="I417" t="s">
        <v>901</v>
      </c>
      <c r="J417" t="s">
        <v>830</v>
      </c>
      <c r="K417" s="61">
        <v>-1.8E-3</v>
      </c>
      <c r="L417" s="57">
        <v>-6.4999999999999997E-3</v>
      </c>
      <c r="M417" s="57">
        <v>-2.5000000000000001E-2</v>
      </c>
      <c r="N417" s="61">
        <v>-2.7000000000000001E-3</v>
      </c>
      <c r="O417" s="57">
        <v>-0.13869999999999999</v>
      </c>
      <c r="P417" s="57">
        <v>2.7699999999999999E-2</v>
      </c>
      <c r="Q417" s="57">
        <v>-0.29720000000000002</v>
      </c>
      <c r="R417" s="57">
        <v>-0.1149</v>
      </c>
      <c r="S417" s="57">
        <v>0.44969999999999999</v>
      </c>
      <c r="T417">
        <v>42.36</v>
      </c>
      <c r="U417">
        <v>18.059999999999999</v>
      </c>
      <c r="V417">
        <v>74.03</v>
      </c>
      <c r="W417" s="20">
        <v>340.02915999999999</v>
      </c>
    </row>
    <row r="418" spans="7:23" x14ac:dyDescent="0.15">
      <c r="G418" s="11">
        <v>417</v>
      </c>
      <c r="H418" s="10" t="s">
        <v>730</v>
      </c>
      <c r="I418" t="s">
        <v>1152</v>
      </c>
      <c r="J418" t="s">
        <v>1146</v>
      </c>
      <c r="K418" s="61">
        <v>1.2E-2</v>
      </c>
      <c r="L418" s="57">
        <v>1.54E-2</v>
      </c>
      <c r="M418" s="57">
        <v>8.7900000000000006E-2</v>
      </c>
      <c r="N418" s="61">
        <v>0.13370000000000001</v>
      </c>
      <c r="O418" s="57">
        <v>6.88E-2</v>
      </c>
      <c r="P418" s="57">
        <v>9.1899999999999996E-2</v>
      </c>
      <c r="Q418" s="57">
        <v>-5.5199999999999999E-2</v>
      </c>
      <c r="R418" s="57">
        <v>0.3448</v>
      </c>
      <c r="S418" s="57">
        <v>0.24959999999999999</v>
      </c>
      <c r="T418">
        <v>42.22</v>
      </c>
      <c r="U418">
        <v>89.72</v>
      </c>
      <c r="V418">
        <v>2.2200000000000002</v>
      </c>
      <c r="W418" s="20">
        <v>199.95400000000001</v>
      </c>
    </row>
    <row r="419" spans="7:23" x14ac:dyDescent="0.15">
      <c r="G419" s="11">
        <v>418</v>
      </c>
      <c r="H419" t="s">
        <v>564</v>
      </c>
      <c r="I419" t="s">
        <v>1071</v>
      </c>
      <c r="J419" t="s">
        <v>830</v>
      </c>
      <c r="K419" s="61">
        <v>1.8E-3</v>
      </c>
      <c r="L419" s="57">
        <v>1.47E-2</v>
      </c>
      <c r="M419" s="57">
        <v>7.0000000000000007E-2</v>
      </c>
      <c r="N419" s="61">
        <v>6.4799999999999996E-2</v>
      </c>
      <c r="O419" s="57">
        <v>-9.9000000000000005E-2</v>
      </c>
      <c r="P419" s="57">
        <v>-0.1089</v>
      </c>
      <c r="Q419" s="57">
        <v>-0.1045</v>
      </c>
      <c r="R419" s="57">
        <v>-0.22939999999999999</v>
      </c>
      <c r="S419" s="57">
        <v>-0.22939999999999999</v>
      </c>
      <c r="T419">
        <v>42.08</v>
      </c>
      <c r="U419">
        <v>73.19</v>
      </c>
      <c r="V419">
        <v>18.75</v>
      </c>
      <c r="W419" s="20">
        <v>4192.5795699999999</v>
      </c>
    </row>
    <row r="420" spans="7:23" x14ac:dyDescent="0.15">
      <c r="G420" s="11">
        <v>419</v>
      </c>
      <c r="H420" s="10" t="s">
        <v>318</v>
      </c>
      <c r="I420" t="s">
        <v>983</v>
      </c>
      <c r="J420" t="s">
        <v>830</v>
      </c>
      <c r="K420" s="61">
        <v>6.9999999999999999E-4</v>
      </c>
      <c r="L420" s="57">
        <v>3.7900000000000003E-2</v>
      </c>
      <c r="M420" s="57">
        <v>1.9900000000000001E-2</v>
      </c>
      <c r="N420" s="61">
        <v>3.9899999999999998E-2</v>
      </c>
      <c r="O420" s="57">
        <v>-9.1000000000000004E-3</v>
      </c>
      <c r="P420" s="57">
        <v>1.49E-2</v>
      </c>
      <c r="Q420" s="57">
        <v>-0.26939999999999997</v>
      </c>
      <c r="R420" s="57">
        <v>-0.44740000000000002</v>
      </c>
      <c r="S420" s="57">
        <v>-0.44740000000000002</v>
      </c>
      <c r="T420">
        <v>41.94</v>
      </c>
      <c r="U420">
        <v>57.64</v>
      </c>
      <c r="V420">
        <v>34.17</v>
      </c>
      <c r="W420" s="20">
        <v>4128.4084999999995</v>
      </c>
    </row>
    <row r="421" spans="7:23" x14ac:dyDescent="0.15">
      <c r="G421" s="11">
        <v>420</v>
      </c>
      <c r="H421" s="10" t="s">
        <v>371</v>
      </c>
      <c r="I421" t="s">
        <v>1021</v>
      </c>
      <c r="J421" t="s">
        <v>830</v>
      </c>
      <c r="K421" s="61">
        <v>6.9999999999999999E-4</v>
      </c>
      <c r="L421" s="57">
        <v>1.29E-2</v>
      </c>
      <c r="M421" s="57">
        <v>9.5999999999999992E-3</v>
      </c>
      <c r="N421" s="61">
        <v>4.0099999999999997E-2</v>
      </c>
      <c r="O421" s="57">
        <v>-5.1400000000000001E-2</v>
      </c>
      <c r="P421" s="57">
        <v>1.09E-2</v>
      </c>
      <c r="Q421" s="57">
        <v>-0.19869999999999999</v>
      </c>
      <c r="R421" s="57">
        <v>-0.16309999999999999</v>
      </c>
      <c r="S421" s="57">
        <v>0.40139999999999998</v>
      </c>
      <c r="T421">
        <v>41.81</v>
      </c>
      <c r="U421">
        <v>58.33</v>
      </c>
      <c r="V421">
        <v>33.47</v>
      </c>
      <c r="W421" s="20">
        <v>3572.6192000000001</v>
      </c>
    </row>
    <row r="422" spans="7:23" x14ac:dyDescent="0.15">
      <c r="G422" s="11">
        <v>421</v>
      </c>
      <c r="H422" s="10" t="s">
        <v>1210</v>
      </c>
      <c r="I422" t="s">
        <v>1211</v>
      </c>
      <c r="J422" t="s">
        <v>1212</v>
      </c>
      <c r="K422" s="61">
        <v>3.7000000000000002E-3</v>
      </c>
      <c r="L422" s="57">
        <v>1.84E-2</v>
      </c>
      <c r="M422" s="57">
        <v>7.9100000000000004E-2</v>
      </c>
      <c r="N422" s="61">
        <v>9.11E-2</v>
      </c>
      <c r="O422" s="57">
        <v>-2.7199999999999998E-2</v>
      </c>
      <c r="P422" s="57">
        <v>-2.5100000000000001E-2</v>
      </c>
      <c r="Q422" s="57">
        <v>-0.17580000000000001</v>
      </c>
      <c r="R422" s="57">
        <v>-0.24490000000000001</v>
      </c>
      <c r="S422" s="57">
        <v>-0.29780000000000001</v>
      </c>
      <c r="T422">
        <v>41.67</v>
      </c>
      <c r="U422">
        <v>82.5</v>
      </c>
      <c r="V422">
        <v>9.17</v>
      </c>
      <c r="W422" s="20">
        <v>348.8623</v>
      </c>
    </row>
    <row r="423" spans="7:23" x14ac:dyDescent="0.15">
      <c r="G423" s="11">
        <v>422</v>
      </c>
      <c r="H423" s="10" t="s">
        <v>414</v>
      </c>
      <c r="I423" t="s">
        <v>1122</v>
      </c>
      <c r="J423" t="s">
        <v>830</v>
      </c>
      <c r="K423" s="61">
        <v>4.0000000000000001E-3</v>
      </c>
      <c r="L423" s="57">
        <v>5.2999999999999999E-2</v>
      </c>
      <c r="M423" s="57">
        <v>1.8E-3</v>
      </c>
      <c r="N423" s="61">
        <v>9.1600000000000001E-2</v>
      </c>
      <c r="O423" s="57">
        <v>-0.12820000000000001</v>
      </c>
      <c r="P423" s="57">
        <v>-2.8500000000000001E-2</v>
      </c>
      <c r="Q423" s="57">
        <v>-0.31559999999999999</v>
      </c>
      <c r="R423" s="57">
        <v>-8.3900000000000002E-2</v>
      </c>
      <c r="S423" s="57">
        <v>0.56240000000000001</v>
      </c>
      <c r="T423">
        <v>41.53</v>
      </c>
      <c r="U423">
        <v>82.92</v>
      </c>
      <c r="V423">
        <v>8.75</v>
      </c>
      <c r="W423" s="20">
        <v>94859.683600000004</v>
      </c>
    </row>
    <row r="424" spans="7:23" x14ac:dyDescent="0.15">
      <c r="G424" s="11">
        <v>423</v>
      </c>
      <c r="H424" t="s">
        <v>1340</v>
      </c>
      <c r="I424" t="s">
        <v>1341</v>
      </c>
      <c r="J424" t="s">
        <v>1609</v>
      </c>
      <c r="K424" s="61">
        <v>0</v>
      </c>
      <c r="L424" s="57">
        <v>1.8E-3</v>
      </c>
      <c r="M424" s="57">
        <v>3.3E-3</v>
      </c>
      <c r="N424" s="61">
        <v>2.1100000000000001E-2</v>
      </c>
      <c r="O424" s="57">
        <v>-6.7599999999999993E-2</v>
      </c>
      <c r="P424" s="57">
        <v>1.7299999999999999E-2</v>
      </c>
      <c r="Q424" s="57">
        <v>-0.17699999999999999</v>
      </c>
      <c r="R424" s="57">
        <v>-0.17699999999999999</v>
      </c>
      <c r="S424" s="57">
        <v>-0.17699999999999999</v>
      </c>
      <c r="T424">
        <v>41.39</v>
      </c>
      <c r="U424">
        <v>43.33</v>
      </c>
      <c r="V424">
        <v>48.33</v>
      </c>
      <c r="W424" s="20">
        <v>8105.4880320999991</v>
      </c>
    </row>
    <row r="425" spans="7:23" x14ac:dyDescent="0.15">
      <c r="G425" s="11">
        <v>424</v>
      </c>
      <c r="H425" s="10" t="s">
        <v>1314</v>
      </c>
      <c r="I425" t="s">
        <v>1315</v>
      </c>
      <c r="J425" t="s">
        <v>1609</v>
      </c>
      <c r="K425" s="61">
        <v>2.0999999999999999E-3</v>
      </c>
      <c r="L425" s="57">
        <v>3.3599999999999998E-2</v>
      </c>
      <c r="M425" s="57">
        <v>1.7000000000000001E-2</v>
      </c>
      <c r="N425" s="61">
        <v>6.6199999999999995E-2</v>
      </c>
      <c r="O425" s="57">
        <v>-0.16370000000000001</v>
      </c>
      <c r="P425" s="57">
        <v>-1.6299999999999999E-2</v>
      </c>
      <c r="Q425" s="57">
        <v>-0.33479999999999999</v>
      </c>
      <c r="R425" s="57">
        <v>-0.30149999999999999</v>
      </c>
      <c r="S425" s="57">
        <v>-0.30149999999999999</v>
      </c>
      <c r="T425">
        <v>41.25</v>
      </c>
      <c r="U425">
        <v>75</v>
      </c>
      <c r="V425">
        <v>16.53</v>
      </c>
      <c r="W425" s="20">
        <v>2195.4574600000001</v>
      </c>
    </row>
    <row r="426" spans="7:23" x14ac:dyDescent="0.15">
      <c r="G426" s="11">
        <v>425</v>
      </c>
      <c r="H426" s="10" t="s">
        <v>310</v>
      </c>
      <c r="I426" t="s">
        <v>233</v>
      </c>
      <c r="J426" t="s">
        <v>1166</v>
      </c>
      <c r="K426" s="61">
        <v>1.5E-3</v>
      </c>
      <c r="L426" s="57">
        <v>2.5100000000000001E-2</v>
      </c>
      <c r="M426" s="57">
        <v>9.4999999999999998E-3</v>
      </c>
      <c r="N426" s="61">
        <v>5.5800000000000002E-2</v>
      </c>
      <c r="O426" s="57">
        <v>-2.3E-3</v>
      </c>
      <c r="P426" s="57">
        <v>3.2500000000000001E-2</v>
      </c>
      <c r="Q426" s="57">
        <v>-0.17929999999999999</v>
      </c>
      <c r="R426" s="57">
        <v>-7.2900000000000006E-2</v>
      </c>
      <c r="S426" s="57">
        <v>0.4476</v>
      </c>
      <c r="T426">
        <v>41.11</v>
      </c>
      <c r="U426">
        <v>69.03</v>
      </c>
      <c r="V426">
        <v>22.5</v>
      </c>
      <c r="W426" s="20">
        <v>1690.3494366</v>
      </c>
    </row>
    <row r="427" spans="7:23" x14ac:dyDescent="0.15">
      <c r="G427" s="11">
        <v>426</v>
      </c>
      <c r="H427" s="10" t="s">
        <v>2000</v>
      </c>
      <c r="I427" t="s">
        <v>2001</v>
      </c>
      <c r="J427" t="s">
        <v>1946</v>
      </c>
      <c r="K427" s="61">
        <v>-1E-3</v>
      </c>
      <c r="L427" s="57">
        <v>-2.6499999999999999E-2</v>
      </c>
      <c r="M427" s="57">
        <v>-2.5399999999999999E-2</v>
      </c>
      <c r="N427" s="61">
        <v>3.0999999999999999E-3</v>
      </c>
      <c r="O427" s="57">
        <v>-0.15310000000000001</v>
      </c>
      <c r="P427" s="57">
        <v>-0.15920000000000001</v>
      </c>
      <c r="Q427" s="57">
        <v>-0.15920000000000001</v>
      </c>
      <c r="R427" s="57">
        <v>-0.15920000000000001</v>
      </c>
      <c r="S427" s="57">
        <v>-0.15920000000000001</v>
      </c>
      <c r="T427">
        <v>40.97</v>
      </c>
      <c r="U427">
        <v>26.39</v>
      </c>
      <c r="V427">
        <v>65.14</v>
      </c>
      <c r="W427" s="20">
        <v>924.19872269999996</v>
      </c>
    </row>
    <row r="428" spans="7:23" x14ac:dyDescent="0.15">
      <c r="G428" s="11">
        <v>427</v>
      </c>
      <c r="H428" t="s">
        <v>674</v>
      </c>
      <c r="I428" t="s">
        <v>1128</v>
      </c>
      <c r="J428" t="s">
        <v>830</v>
      </c>
      <c r="K428" s="61">
        <v>-6.9999999999999999E-4</v>
      </c>
      <c r="L428" s="57">
        <v>1.1000000000000001E-3</v>
      </c>
      <c r="M428" s="57">
        <v>-4.3E-3</v>
      </c>
      <c r="N428" s="61">
        <v>8.3000000000000001E-3</v>
      </c>
      <c r="O428" s="57">
        <v>-0.10390000000000001</v>
      </c>
      <c r="P428" s="57">
        <v>-5.7000000000000002E-2</v>
      </c>
      <c r="Q428" s="57">
        <v>-0.26150000000000001</v>
      </c>
      <c r="R428" s="57">
        <v>-0.26150000000000001</v>
      </c>
      <c r="S428" s="57">
        <v>-0.26150000000000001</v>
      </c>
      <c r="T428">
        <v>40.83</v>
      </c>
      <c r="U428">
        <v>31.94</v>
      </c>
      <c r="V428">
        <v>59.58</v>
      </c>
      <c r="W428" s="20">
        <v>9493.4264000000003</v>
      </c>
    </row>
    <row r="429" spans="7:23" x14ac:dyDescent="0.15">
      <c r="G429" s="11">
        <v>428</v>
      </c>
      <c r="H429" s="10" t="s">
        <v>1990</v>
      </c>
      <c r="I429" t="s">
        <v>1991</v>
      </c>
      <c r="J429" t="s">
        <v>1946</v>
      </c>
      <c r="K429" s="61">
        <v>5.0000000000000001E-4</v>
      </c>
      <c r="L429" s="57">
        <v>2E-3</v>
      </c>
      <c r="M429" s="57">
        <v>-7.4000000000000003E-3</v>
      </c>
      <c r="N429" s="61">
        <v>3.5000000000000003E-2</v>
      </c>
      <c r="O429" s="57">
        <v>-9.4500000000000001E-2</v>
      </c>
      <c r="P429" s="57">
        <v>-6.4699999999999994E-2</v>
      </c>
      <c r="Q429" s="57">
        <v>-6.4699999999999994E-2</v>
      </c>
      <c r="R429" s="57">
        <v>-6.4699999999999994E-2</v>
      </c>
      <c r="S429" s="57">
        <v>-6.4699999999999994E-2</v>
      </c>
      <c r="T429">
        <v>40.69</v>
      </c>
      <c r="U429">
        <v>53.75</v>
      </c>
      <c r="V429">
        <v>37.64</v>
      </c>
      <c r="W429" s="20">
        <v>175373.3315044</v>
      </c>
    </row>
    <row r="430" spans="7:23" x14ac:dyDescent="0.15">
      <c r="G430" s="11">
        <v>429</v>
      </c>
      <c r="H430" s="10" t="s">
        <v>642</v>
      </c>
      <c r="I430" t="s">
        <v>930</v>
      </c>
      <c r="J430" t="s">
        <v>830</v>
      </c>
      <c r="K430" s="61">
        <v>-8.0000000000000004E-4</v>
      </c>
      <c r="L430" s="57">
        <v>-2.0899999999999998E-2</v>
      </c>
      <c r="M430" s="57">
        <v>-1.06E-2</v>
      </c>
      <c r="N430" s="61">
        <v>7.1000000000000004E-3</v>
      </c>
      <c r="O430" s="57">
        <v>-0.1414</v>
      </c>
      <c r="P430" s="57">
        <v>-6.8400000000000002E-2</v>
      </c>
      <c r="Q430" s="57">
        <v>-0.2369</v>
      </c>
      <c r="R430" s="57">
        <v>-0.23139999999999999</v>
      </c>
      <c r="S430" s="57">
        <v>-0.23139999999999999</v>
      </c>
      <c r="T430">
        <v>40.56</v>
      </c>
      <c r="U430">
        <v>30.56</v>
      </c>
      <c r="V430">
        <v>60.83</v>
      </c>
      <c r="W430" s="20">
        <v>3455.7496479999995</v>
      </c>
    </row>
    <row r="431" spans="7:23" x14ac:dyDescent="0.15">
      <c r="G431" s="11">
        <v>430</v>
      </c>
      <c r="H431" t="s">
        <v>406</v>
      </c>
      <c r="I431" t="s">
        <v>1078</v>
      </c>
      <c r="J431" t="s">
        <v>830</v>
      </c>
      <c r="K431" s="61">
        <v>-8.9999999999999998E-4</v>
      </c>
      <c r="L431" s="57">
        <v>-3.2500000000000001E-2</v>
      </c>
      <c r="M431" s="57">
        <v>-4.6699999999999998E-2</v>
      </c>
      <c r="N431" s="61">
        <v>4.1000000000000003E-3</v>
      </c>
      <c r="O431" s="57">
        <v>-0.18079999999999999</v>
      </c>
      <c r="P431" s="57">
        <v>-4.4999999999999997E-3</v>
      </c>
      <c r="Q431" s="57">
        <v>-0.19089999999999999</v>
      </c>
      <c r="R431" s="57">
        <v>0.17610000000000001</v>
      </c>
      <c r="S431" s="57">
        <v>0.17610000000000001</v>
      </c>
      <c r="T431">
        <v>40.42</v>
      </c>
      <c r="U431">
        <v>27.78</v>
      </c>
      <c r="V431">
        <v>63.47</v>
      </c>
      <c r="W431" s="20">
        <v>7561.8671000000004</v>
      </c>
    </row>
    <row r="432" spans="7:23" x14ac:dyDescent="0.15">
      <c r="G432" s="11">
        <v>431</v>
      </c>
      <c r="H432" t="s">
        <v>1285</v>
      </c>
      <c r="I432" t="s">
        <v>1286</v>
      </c>
      <c r="J432" t="s">
        <v>1609</v>
      </c>
      <c r="K432" s="61">
        <v>-2E-3</v>
      </c>
      <c r="L432" s="57">
        <v>4.1700000000000001E-2</v>
      </c>
      <c r="M432" s="57">
        <v>5.4999999999999997E-3</v>
      </c>
      <c r="N432" s="61">
        <v>-7.6E-3</v>
      </c>
      <c r="O432" s="57">
        <v>6.6100000000000006E-2</v>
      </c>
      <c r="P432" s="57">
        <v>9.7000000000000003E-2</v>
      </c>
      <c r="Q432" s="57">
        <v>6.7100000000000007E-2</v>
      </c>
      <c r="R432" s="57">
        <v>6.7100000000000007E-2</v>
      </c>
      <c r="S432" s="57">
        <v>6.7100000000000007E-2</v>
      </c>
      <c r="T432">
        <v>40.28</v>
      </c>
      <c r="U432">
        <v>14.03</v>
      </c>
      <c r="V432">
        <v>76.81</v>
      </c>
      <c r="W432" s="20">
        <v>925.77079159999994</v>
      </c>
    </row>
    <row r="433" spans="7:23" x14ac:dyDescent="0.15">
      <c r="G433" s="11">
        <v>432</v>
      </c>
      <c r="H433" t="s">
        <v>561</v>
      </c>
      <c r="I433" t="s">
        <v>920</v>
      </c>
      <c r="J433" t="s">
        <v>830</v>
      </c>
      <c r="K433" s="61">
        <v>9.1999999999999998E-3</v>
      </c>
      <c r="L433" s="57">
        <v>2.5899999999999999E-2</v>
      </c>
      <c r="M433" s="57">
        <v>2.24E-2</v>
      </c>
      <c r="N433" s="61">
        <v>0.11219999999999999</v>
      </c>
      <c r="O433" s="57">
        <v>8.8900000000000007E-2</v>
      </c>
      <c r="P433" s="57">
        <v>0.23749999999999999</v>
      </c>
      <c r="Q433" s="57">
        <v>-0.1618</v>
      </c>
      <c r="R433" s="57">
        <v>-0.2054</v>
      </c>
      <c r="S433" s="57">
        <v>-0.2054</v>
      </c>
      <c r="T433">
        <v>40.14</v>
      </c>
      <c r="U433">
        <v>87.64</v>
      </c>
      <c r="V433">
        <v>3.06</v>
      </c>
      <c r="W433" s="20">
        <v>824.61759000000006</v>
      </c>
    </row>
    <row r="434" spans="7:23" x14ac:dyDescent="0.15">
      <c r="G434" s="11">
        <v>433</v>
      </c>
      <c r="H434" t="s">
        <v>1336</v>
      </c>
      <c r="I434" t="s">
        <v>1337</v>
      </c>
      <c r="J434" t="s">
        <v>1609</v>
      </c>
      <c r="K434" s="61">
        <v>0.01</v>
      </c>
      <c r="L434" s="57">
        <v>4.1099999999999998E-2</v>
      </c>
      <c r="M434" s="57">
        <v>2.76E-2</v>
      </c>
      <c r="N434" s="61">
        <v>0.11509999999999999</v>
      </c>
      <c r="O434" s="57">
        <v>4.1099999999999998E-2</v>
      </c>
      <c r="P434" s="57">
        <v>0.16850000000000001</v>
      </c>
      <c r="Q434" s="57">
        <v>-0.20200000000000001</v>
      </c>
      <c r="R434" s="57">
        <v>-0.20200000000000001</v>
      </c>
      <c r="S434" s="57">
        <v>-0.20200000000000001</v>
      </c>
      <c r="T434">
        <v>40</v>
      </c>
      <c r="U434">
        <v>87.78</v>
      </c>
      <c r="V434">
        <v>2.78</v>
      </c>
      <c r="W434" s="20">
        <v>1213.8544199999999</v>
      </c>
    </row>
    <row r="435" spans="7:23" x14ac:dyDescent="0.15">
      <c r="G435" s="11">
        <v>434</v>
      </c>
      <c r="H435" s="10" t="s">
        <v>1295</v>
      </c>
      <c r="I435" t="s">
        <v>1296</v>
      </c>
      <c r="J435" t="s">
        <v>1609</v>
      </c>
      <c r="K435" s="61">
        <v>5.7000000000000002E-3</v>
      </c>
      <c r="L435" s="57">
        <v>4.3799999999999999E-2</v>
      </c>
      <c r="M435" s="57">
        <v>0.02</v>
      </c>
      <c r="N435" s="61">
        <v>9.8000000000000004E-2</v>
      </c>
      <c r="O435" s="57">
        <v>-6.3700000000000007E-2</v>
      </c>
      <c r="P435" s="57">
        <v>4.19E-2</v>
      </c>
      <c r="Q435" s="57">
        <v>-0.31990000000000002</v>
      </c>
      <c r="R435" s="57">
        <v>-0.30709999999999998</v>
      </c>
      <c r="S435" s="57">
        <v>-0.20449999999999999</v>
      </c>
      <c r="T435">
        <v>39.86</v>
      </c>
      <c r="U435">
        <v>84.44</v>
      </c>
      <c r="V435">
        <v>5.97</v>
      </c>
      <c r="W435" s="20">
        <v>470.73750000000001</v>
      </c>
    </row>
    <row r="436" spans="7:23" x14ac:dyDescent="0.15">
      <c r="G436" s="11">
        <v>435</v>
      </c>
      <c r="H436" t="s">
        <v>621</v>
      </c>
      <c r="I436" t="s">
        <v>1176</v>
      </c>
      <c r="J436" t="s">
        <v>1175</v>
      </c>
      <c r="K436" s="61">
        <v>-2.0000000000000001E-4</v>
      </c>
      <c r="L436" s="57">
        <v>4.4999999999999997E-3</v>
      </c>
      <c r="M436" s="57">
        <v>1.15E-2</v>
      </c>
      <c r="N436" s="61">
        <v>1.6299999999999999E-2</v>
      </c>
      <c r="O436" s="57">
        <v>-0.1014</v>
      </c>
      <c r="P436" s="57">
        <v>-3.4200000000000001E-2</v>
      </c>
      <c r="Q436" s="57">
        <v>-0.20449999999999999</v>
      </c>
      <c r="R436" s="57">
        <v>-0.19739999999999999</v>
      </c>
      <c r="S436" s="57">
        <v>0.19320000000000001</v>
      </c>
      <c r="T436">
        <v>39.72</v>
      </c>
      <c r="U436">
        <v>39.44</v>
      </c>
      <c r="V436">
        <v>50.56</v>
      </c>
      <c r="W436" s="20">
        <v>47.358699999999999</v>
      </c>
    </row>
    <row r="437" spans="7:23" x14ac:dyDescent="0.15">
      <c r="G437" s="11">
        <v>436</v>
      </c>
      <c r="H437" t="s">
        <v>352</v>
      </c>
      <c r="I437" t="s">
        <v>833</v>
      </c>
      <c r="J437" t="s">
        <v>830</v>
      </c>
      <c r="K437" s="61">
        <v>-4.0000000000000001E-3</v>
      </c>
      <c r="L437" s="57">
        <v>-2.86E-2</v>
      </c>
      <c r="M437" s="57">
        <v>-3.0099999999999998E-2</v>
      </c>
      <c r="N437" s="61">
        <v>-6.2600000000000003E-2</v>
      </c>
      <c r="O437" s="57">
        <v>5.4800000000000001E-2</v>
      </c>
      <c r="P437" s="57">
        <v>-0.1023</v>
      </c>
      <c r="Q437" s="57">
        <v>-0.1673</v>
      </c>
      <c r="R437" s="57">
        <v>-0.10340000000000001</v>
      </c>
      <c r="S437" s="57">
        <v>-0.10340000000000001</v>
      </c>
      <c r="T437">
        <v>39.58</v>
      </c>
      <c r="U437">
        <v>1.1100000000000001</v>
      </c>
      <c r="V437">
        <v>88.61</v>
      </c>
      <c r="W437" s="20">
        <v>0</v>
      </c>
    </row>
    <row r="438" spans="7:23" x14ac:dyDescent="0.15">
      <c r="G438" s="11">
        <v>437</v>
      </c>
      <c r="H438" s="10" t="s">
        <v>727</v>
      </c>
      <c r="I438" t="s">
        <v>1159</v>
      </c>
      <c r="J438" t="s">
        <v>1146</v>
      </c>
      <c r="K438" s="61">
        <v>3.5499999999999997E-2</v>
      </c>
      <c r="L438" s="57">
        <v>4.5499999999999999E-2</v>
      </c>
      <c r="M438" s="57">
        <v>4.24E-2</v>
      </c>
      <c r="N438" s="61">
        <v>0.13239999999999999</v>
      </c>
      <c r="O438" s="57">
        <v>0.15</v>
      </c>
      <c r="P438" s="57">
        <v>0.51749999999999996</v>
      </c>
      <c r="Q438" s="57">
        <v>-2.58E-2</v>
      </c>
      <c r="R438" s="57">
        <v>-0.53549999999999998</v>
      </c>
      <c r="S438" s="57">
        <v>-0.53549999999999998</v>
      </c>
      <c r="T438">
        <v>39.44</v>
      </c>
      <c r="U438">
        <v>89.31</v>
      </c>
      <c r="V438">
        <v>0.28000000000000003</v>
      </c>
      <c r="W438" s="20">
        <v>23778.141</v>
      </c>
    </row>
    <row r="439" spans="7:23" x14ac:dyDescent="0.15">
      <c r="G439" s="11">
        <v>438</v>
      </c>
      <c r="H439" t="s">
        <v>477</v>
      </c>
      <c r="I439" t="s">
        <v>854</v>
      </c>
      <c r="J439" t="s">
        <v>830</v>
      </c>
      <c r="K439" s="61">
        <v>2.9999999999999997E-4</v>
      </c>
      <c r="L439" s="57">
        <v>9.7999999999999997E-3</v>
      </c>
      <c r="M439" s="57">
        <v>1.6500000000000001E-2</v>
      </c>
      <c r="N439" s="61">
        <v>2.5000000000000001E-2</v>
      </c>
      <c r="O439" s="57">
        <v>-3.0800000000000001E-2</v>
      </c>
      <c r="P439" s="57">
        <v>2.1299999999999999E-2</v>
      </c>
      <c r="Q439" s="57">
        <v>-9.9099999999999994E-2</v>
      </c>
      <c r="R439" s="57">
        <v>0.1108</v>
      </c>
      <c r="S439" s="57">
        <v>0.19470000000000001</v>
      </c>
      <c r="T439">
        <v>39.31</v>
      </c>
      <c r="U439">
        <v>47.5</v>
      </c>
      <c r="V439">
        <v>41.53</v>
      </c>
      <c r="W439" s="20">
        <v>470.36660000000001</v>
      </c>
    </row>
    <row r="440" spans="7:23" x14ac:dyDescent="0.15">
      <c r="G440" s="11">
        <v>439</v>
      </c>
      <c r="H440" t="s">
        <v>713</v>
      </c>
      <c r="I440" t="s">
        <v>835</v>
      </c>
      <c r="J440" t="s">
        <v>830</v>
      </c>
      <c r="K440" s="61">
        <v>6.9999999999999999E-4</v>
      </c>
      <c r="L440" s="57">
        <v>-1.09E-2</v>
      </c>
      <c r="M440" s="57">
        <v>-1.3599999999999999E-2</v>
      </c>
      <c r="N440" s="61">
        <v>3.56E-2</v>
      </c>
      <c r="O440" s="57">
        <v>-0.1119</v>
      </c>
      <c r="P440" s="57">
        <v>5.7000000000000002E-3</v>
      </c>
      <c r="Q440" s="57">
        <v>-0.1686</v>
      </c>
      <c r="R440" s="57">
        <v>-0.1193</v>
      </c>
      <c r="S440" s="57">
        <v>0.2586</v>
      </c>
      <c r="T440">
        <v>39.17</v>
      </c>
      <c r="U440">
        <v>54.44</v>
      </c>
      <c r="V440">
        <v>34.44</v>
      </c>
      <c r="W440" s="20">
        <v>10.989289999999999</v>
      </c>
    </row>
    <row r="441" spans="7:23" x14ac:dyDescent="0.15">
      <c r="G441" s="11">
        <v>440</v>
      </c>
      <c r="H441" s="10" t="s">
        <v>1260</v>
      </c>
      <c r="I441" t="s">
        <v>1261</v>
      </c>
      <c r="J441" t="s">
        <v>1609</v>
      </c>
      <c r="K441" s="61">
        <v>5.7999999999999996E-3</v>
      </c>
      <c r="L441" s="57">
        <v>4.8599999999999997E-2</v>
      </c>
      <c r="M441" s="57">
        <v>2.0000000000000001E-4</v>
      </c>
      <c r="N441" s="61">
        <v>9.1399999999999995E-2</v>
      </c>
      <c r="O441" s="57">
        <v>-0.1333</v>
      </c>
      <c r="P441" s="57">
        <v>-2.41E-2</v>
      </c>
      <c r="Q441" s="57">
        <v>-0.32519999999999999</v>
      </c>
      <c r="R441" s="57">
        <v>-0.3478</v>
      </c>
      <c r="S441" s="57">
        <v>-0.3478</v>
      </c>
      <c r="T441">
        <v>39.03</v>
      </c>
      <c r="U441">
        <v>82.78</v>
      </c>
      <c r="V441">
        <v>5.69</v>
      </c>
      <c r="W441" s="20">
        <v>5753.2628000000004</v>
      </c>
    </row>
    <row r="442" spans="7:23" x14ac:dyDescent="0.15">
      <c r="G442" s="11">
        <v>441</v>
      </c>
      <c r="H442" t="s">
        <v>542</v>
      </c>
      <c r="I442" t="s">
        <v>836</v>
      </c>
      <c r="J442" t="s">
        <v>830</v>
      </c>
      <c r="K442" s="61">
        <v>4.0000000000000002E-4</v>
      </c>
      <c r="L442" s="57">
        <v>1.0999999999999999E-2</v>
      </c>
      <c r="M442" s="57">
        <v>3.85E-2</v>
      </c>
      <c r="N442" s="61">
        <v>2.8000000000000001E-2</v>
      </c>
      <c r="O442" s="57">
        <v>-1.23E-2</v>
      </c>
      <c r="P442" s="57">
        <v>-1.14E-2</v>
      </c>
      <c r="Q442" s="57">
        <v>-0.11459999999999999</v>
      </c>
      <c r="R442" s="57">
        <v>-0.17580000000000001</v>
      </c>
      <c r="S442" s="57">
        <v>-0.15890000000000001</v>
      </c>
      <c r="T442">
        <v>38.89</v>
      </c>
      <c r="U442">
        <v>48.89</v>
      </c>
      <c r="V442">
        <v>39.17</v>
      </c>
      <c r="W442" s="20">
        <v>3706.8984</v>
      </c>
    </row>
    <row r="443" spans="7:23" x14ac:dyDescent="0.15">
      <c r="G443" s="11">
        <v>442</v>
      </c>
      <c r="H443" s="10" t="s">
        <v>596</v>
      </c>
      <c r="I443" t="s">
        <v>1020</v>
      </c>
      <c r="J443" t="s">
        <v>830</v>
      </c>
      <c r="K443" s="61">
        <v>-6.9999999999999999E-4</v>
      </c>
      <c r="L443" s="57">
        <v>-2.8899999999999999E-2</v>
      </c>
      <c r="M443" s="57">
        <v>-5.4399999999999997E-2</v>
      </c>
      <c r="N443" s="61">
        <v>4.7999999999999996E-3</v>
      </c>
      <c r="O443" s="57">
        <v>-0.18809999999999999</v>
      </c>
      <c r="P443" s="57">
        <v>-8.0199999999999994E-2</v>
      </c>
      <c r="Q443" s="57">
        <v>-0.28070000000000001</v>
      </c>
      <c r="R443" s="57">
        <v>-1.9300000000000001E-2</v>
      </c>
      <c r="S443" s="57">
        <v>-1.9300000000000001E-2</v>
      </c>
      <c r="T443">
        <v>38.75</v>
      </c>
      <c r="U443">
        <v>28.61</v>
      </c>
      <c r="V443">
        <v>59.44</v>
      </c>
      <c r="W443" s="20">
        <v>4770.7249000000002</v>
      </c>
    </row>
    <row r="444" spans="7:23" x14ac:dyDescent="0.15">
      <c r="G444" s="11">
        <v>443</v>
      </c>
      <c r="H444" s="10" t="s">
        <v>687</v>
      </c>
      <c r="I444" t="s">
        <v>873</v>
      </c>
      <c r="J444" t="s">
        <v>830</v>
      </c>
      <c r="K444" s="61">
        <v>-8.9999999999999998E-4</v>
      </c>
      <c r="L444" s="57">
        <v>2.8E-3</v>
      </c>
      <c r="M444" s="57">
        <v>2.0500000000000001E-2</v>
      </c>
      <c r="N444" s="61">
        <v>2.3E-3</v>
      </c>
      <c r="O444" s="57">
        <v>-8.5199999999999998E-2</v>
      </c>
      <c r="P444" s="57">
        <v>-5.3499999999999999E-2</v>
      </c>
      <c r="Q444" s="57">
        <v>-0.1898</v>
      </c>
      <c r="R444" s="57">
        <v>-0.13569999999999999</v>
      </c>
      <c r="S444" s="57">
        <v>0.1105</v>
      </c>
      <c r="T444">
        <v>38.61</v>
      </c>
      <c r="U444">
        <v>24.72</v>
      </c>
      <c r="V444">
        <v>63.33</v>
      </c>
      <c r="W444" s="20">
        <v>173.99369999999999</v>
      </c>
    </row>
    <row r="445" spans="7:23" x14ac:dyDescent="0.15">
      <c r="G445" s="11">
        <v>444</v>
      </c>
      <c r="H445" s="10" t="s">
        <v>1407</v>
      </c>
      <c r="I445" t="s">
        <v>1408</v>
      </c>
      <c r="J445" t="s">
        <v>1609</v>
      </c>
      <c r="K445" s="61">
        <v>-2.5000000000000001E-3</v>
      </c>
      <c r="L445" s="57">
        <v>-5.8099999999999999E-2</v>
      </c>
      <c r="M445" s="57">
        <v>-7.3300000000000004E-2</v>
      </c>
      <c r="N445" s="61">
        <v>-2.8500000000000001E-2</v>
      </c>
      <c r="O445" s="57">
        <v>-0.2356</v>
      </c>
      <c r="P445" s="57">
        <v>-4.0099999999999997E-2</v>
      </c>
      <c r="Q445" s="57">
        <v>-0.33689999999999998</v>
      </c>
      <c r="R445" s="57">
        <v>-0.25309999999999999</v>
      </c>
      <c r="S445" s="57">
        <v>-0.25309999999999999</v>
      </c>
      <c r="T445">
        <v>38.47</v>
      </c>
      <c r="U445">
        <v>6.81</v>
      </c>
      <c r="V445">
        <v>80.97</v>
      </c>
      <c r="W445" s="20">
        <v>4574.4196786000002</v>
      </c>
    </row>
    <row r="446" spans="7:23" x14ac:dyDescent="0.15">
      <c r="G446" s="11">
        <v>445</v>
      </c>
      <c r="H446" s="10" t="s">
        <v>1399</v>
      </c>
      <c r="I446" t="s">
        <v>1400</v>
      </c>
      <c r="J446" t="s">
        <v>1609</v>
      </c>
      <c r="K446" s="61">
        <v>2.3999999999999998E-3</v>
      </c>
      <c r="L446" s="57">
        <v>3.7699999999999997E-2</v>
      </c>
      <c r="M446" s="57">
        <v>1.1599999999999999E-2</v>
      </c>
      <c r="N446" s="61">
        <v>6.54E-2</v>
      </c>
      <c r="O446" s="57">
        <v>-0.12180000000000001</v>
      </c>
      <c r="P446" s="57">
        <v>-1.43E-2</v>
      </c>
      <c r="Q446" s="57">
        <v>-0.27910000000000001</v>
      </c>
      <c r="R446" s="57">
        <v>-0.24779999999999999</v>
      </c>
      <c r="S446" s="57">
        <v>-0.24779999999999999</v>
      </c>
      <c r="T446">
        <v>38.33</v>
      </c>
      <c r="U446">
        <v>73.75</v>
      </c>
      <c r="V446">
        <v>14.03</v>
      </c>
      <c r="W446" s="20">
        <v>852.61644999999999</v>
      </c>
    </row>
    <row r="447" spans="7:23" x14ac:dyDescent="0.15">
      <c r="G447" s="11">
        <v>446</v>
      </c>
      <c r="H447" t="s">
        <v>509</v>
      </c>
      <c r="I447" t="s">
        <v>1103</v>
      </c>
      <c r="J447" t="s">
        <v>830</v>
      </c>
      <c r="K447" s="61">
        <v>-2.5000000000000001E-3</v>
      </c>
      <c r="L447" s="57">
        <v>-2.8799999999999999E-2</v>
      </c>
      <c r="M447" s="57">
        <v>-5.1900000000000002E-2</v>
      </c>
      <c r="N447" s="61">
        <v>-2.98E-2</v>
      </c>
      <c r="O447" s="57">
        <v>-0.18629999999999999</v>
      </c>
      <c r="P447" s="57">
        <v>-1.04E-2</v>
      </c>
      <c r="Q447" s="57">
        <v>-0.32869999999999999</v>
      </c>
      <c r="R447" s="57">
        <v>1.17E-2</v>
      </c>
      <c r="S447" s="57">
        <v>0.80349999999999999</v>
      </c>
      <c r="T447">
        <v>38.19</v>
      </c>
      <c r="U447">
        <v>5.83</v>
      </c>
      <c r="V447">
        <v>81.81</v>
      </c>
      <c r="W447" s="20">
        <v>14560.8918072</v>
      </c>
    </row>
    <row r="448" spans="7:23" x14ac:dyDescent="0.15">
      <c r="G448" s="11">
        <v>447</v>
      </c>
      <c r="H448" s="10" t="s">
        <v>578</v>
      </c>
      <c r="I448" t="s">
        <v>847</v>
      </c>
      <c r="J448" t="s">
        <v>830</v>
      </c>
      <c r="K448" s="61">
        <v>-2.9999999999999997E-4</v>
      </c>
      <c r="L448" s="57">
        <v>3.7000000000000002E-3</v>
      </c>
      <c r="M448" s="57">
        <v>9.2999999999999992E-3</v>
      </c>
      <c r="N448" s="61">
        <v>1.44E-2</v>
      </c>
      <c r="O448" s="57">
        <v>-9.0399999999999994E-2</v>
      </c>
      <c r="P448" s="57">
        <v>-3.2800000000000003E-2</v>
      </c>
      <c r="Q448" s="57">
        <v>-0.19750000000000001</v>
      </c>
      <c r="R448" s="57">
        <v>-0.13469999999999999</v>
      </c>
      <c r="S448" s="57">
        <v>5.8299999999999998E-2</v>
      </c>
      <c r="T448">
        <v>38.06</v>
      </c>
      <c r="U448">
        <v>35.97</v>
      </c>
      <c r="V448">
        <v>51.53</v>
      </c>
      <c r="W448" s="20">
        <v>77.909599999999998</v>
      </c>
    </row>
    <row r="449" spans="7:23" x14ac:dyDescent="0.15">
      <c r="G449" s="11">
        <v>448</v>
      </c>
      <c r="H449" s="10" t="s">
        <v>298</v>
      </c>
      <c r="I449" t="s">
        <v>806</v>
      </c>
      <c r="J449" t="s">
        <v>793</v>
      </c>
      <c r="K449" s="61">
        <v>-2.5000000000000001E-3</v>
      </c>
      <c r="L449" s="57">
        <v>-1.67E-2</v>
      </c>
      <c r="M449" s="57">
        <v>-4.3400000000000001E-2</v>
      </c>
      <c r="N449" s="61">
        <v>-2.8899999999999999E-2</v>
      </c>
      <c r="O449" s="57">
        <v>-0.17799999999999999</v>
      </c>
      <c r="P449" s="57">
        <v>-3.7900000000000003E-2</v>
      </c>
      <c r="Q449" s="57">
        <v>-0.2732</v>
      </c>
      <c r="R449" s="57">
        <v>-0.25409999999999999</v>
      </c>
      <c r="S449" s="57">
        <v>-0.25409999999999999</v>
      </c>
      <c r="T449">
        <v>37.92</v>
      </c>
      <c r="U449">
        <v>6.25</v>
      </c>
      <c r="V449">
        <v>81.11</v>
      </c>
      <c r="W449" s="20">
        <v>25.6746771</v>
      </c>
    </row>
    <row r="450" spans="7:23" x14ac:dyDescent="0.15">
      <c r="G450" s="11">
        <v>449</v>
      </c>
      <c r="H450" s="10" t="s">
        <v>576</v>
      </c>
      <c r="I450" t="s">
        <v>906</v>
      </c>
      <c r="J450" t="s">
        <v>830</v>
      </c>
      <c r="K450" s="61">
        <v>1E-4</v>
      </c>
      <c r="L450" s="57">
        <v>5.1000000000000004E-3</v>
      </c>
      <c r="M450" s="57">
        <v>1.0200000000000001E-2</v>
      </c>
      <c r="N450" s="61">
        <v>2.0299999999999999E-2</v>
      </c>
      <c r="O450" s="57">
        <v>-7.7799999999999994E-2</v>
      </c>
      <c r="P450" s="57">
        <v>-3.0999999999999999E-3</v>
      </c>
      <c r="Q450" s="57">
        <v>-0.1772</v>
      </c>
      <c r="R450" s="57">
        <v>-0.1124</v>
      </c>
      <c r="S450" s="57">
        <v>0.248</v>
      </c>
      <c r="T450">
        <v>37.78</v>
      </c>
      <c r="U450">
        <v>43.19</v>
      </c>
      <c r="V450">
        <v>44.17</v>
      </c>
      <c r="W450" s="20">
        <v>605.76020000000005</v>
      </c>
    </row>
    <row r="451" spans="7:23" x14ac:dyDescent="0.15">
      <c r="G451" s="11">
        <v>450</v>
      </c>
      <c r="H451" s="10" t="s">
        <v>350</v>
      </c>
      <c r="I451" t="s">
        <v>935</v>
      </c>
      <c r="J451" t="s">
        <v>830</v>
      </c>
      <c r="K451" s="61">
        <v>-1.1999999999999999E-3</v>
      </c>
      <c r="L451" s="57">
        <v>-3.9E-2</v>
      </c>
      <c r="M451" s="57">
        <v>-1.15E-2</v>
      </c>
      <c r="N451" s="61">
        <v>-1E-3</v>
      </c>
      <c r="O451" s="57">
        <v>-9.3700000000000006E-2</v>
      </c>
      <c r="P451" s="57">
        <v>-3.5400000000000001E-2</v>
      </c>
      <c r="Q451" s="57">
        <v>-3.9E-2</v>
      </c>
      <c r="R451" s="57">
        <v>0.54020000000000001</v>
      </c>
      <c r="S451" s="57">
        <v>1.1339999999999999</v>
      </c>
      <c r="T451">
        <v>37.64</v>
      </c>
      <c r="U451">
        <v>20.69</v>
      </c>
      <c r="V451">
        <v>66.53</v>
      </c>
      <c r="W451" s="20">
        <v>349.57619999999997</v>
      </c>
    </row>
    <row r="452" spans="7:23" x14ac:dyDescent="0.15">
      <c r="G452" s="11">
        <v>451</v>
      </c>
      <c r="H452" t="s">
        <v>286</v>
      </c>
      <c r="I452" t="s">
        <v>976</v>
      </c>
      <c r="J452" t="s">
        <v>830</v>
      </c>
      <c r="K452" s="61">
        <v>1E-3</v>
      </c>
      <c r="L452" s="57">
        <v>5.1900000000000002E-2</v>
      </c>
      <c r="M452" s="57">
        <v>2.5899999999999999E-2</v>
      </c>
      <c r="N452" s="61">
        <v>4.0099999999999997E-2</v>
      </c>
      <c r="O452" s="57">
        <v>3.9899999999999998E-2</v>
      </c>
      <c r="P452" s="57">
        <v>8.2400000000000001E-2</v>
      </c>
      <c r="Q452" s="57">
        <v>-0.16370000000000001</v>
      </c>
      <c r="R452" s="57">
        <v>-0.1986</v>
      </c>
      <c r="S452" s="57">
        <v>0.28170000000000001</v>
      </c>
      <c r="T452">
        <v>37.5</v>
      </c>
      <c r="U452">
        <v>58.06</v>
      </c>
      <c r="V452">
        <v>29.03</v>
      </c>
      <c r="W452" s="20">
        <v>3045.9274999999998</v>
      </c>
    </row>
    <row r="453" spans="7:23" x14ac:dyDescent="0.15">
      <c r="G453" s="11">
        <v>452</v>
      </c>
      <c r="H453" t="s">
        <v>499</v>
      </c>
      <c r="I453" t="s">
        <v>981</v>
      </c>
      <c r="J453" t="s">
        <v>830</v>
      </c>
      <c r="K453" s="61">
        <v>0</v>
      </c>
      <c r="L453" s="57">
        <v>1.5100000000000001E-2</v>
      </c>
      <c r="M453" s="57">
        <v>2.7300000000000001E-2</v>
      </c>
      <c r="N453" s="61">
        <v>1.7600000000000001E-2</v>
      </c>
      <c r="O453" s="57">
        <v>-9.5500000000000002E-2</v>
      </c>
      <c r="P453" s="57">
        <v>-1.84E-2</v>
      </c>
      <c r="Q453" s="57">
        <v>-0.1837</v>
      </c>
      <c r="R453" s="57">
        <v>-0.255</v>
      </c>
      <c r="S453" s="57">
        <v>-0.255</v>
      </c>
      <c r="T453">
        <v>37.36</v>
      </c>
      <c r="U453">
        <v>40.97</v>
      </c>
      <c r="V453">
        <v>46.11</v>
      </c>
      <c r="W453" s="20">
        <v>3122.9271199999998</v>
      </c>
    </row>
    <row r="454" spans="7:23" x14ac:dyDescent="0.15">
      <c r="G454" s="11">
        <v>453</v>
      </c>
      <c r="H454" s="10" t="s">
        <v>563</v>
      </c>
      <c r="I454" t="s">
        <v>853</v>
      </c>
      <c r="J454" t="s">
        <v>830</v>
      </c>
      <c r="K454" s="61">
        <v>-5.9999999999999995E-4</v>
      </c>
      <c r="L454" s="57">
        <v>-2.0000000000000001E-4</v>
      </c>
      <c r="M454" s="57">
        <v>-4.5999999999999999E-3</v>
      </c>
      <c r="N454" s="61">
        <v>7.0000000000000001E-3</v>
      </c>
      <c r="O454" s="57">
        <v>-0.12180000000000001</v>
      </c>
      <c r="P454" s="57">
        <v>-2.5600000000000001E-2</v>
      </c>
      <c r="Q454" s="57">
        <v>-0.25790000000000002</v>
      </c>
      <c r="R454" s="57">
        <v>-0.1978</v>
      </c>
      <c r="S454" s="57">
        <v>7.0900000000000005E-2</v>
      </c>
      <c r="T454">
        <v>37.22</v>
      </c>
      <c r="U454">
        <v>30.28</v>
      </c>
      <c r="V454">
        <v>56.67</v>
      </c>
      <c r="W454" s="20">
        <v>53.196719999999992</v>
      </c>
    </row>
    <row r="455" spans="7:23" x14ac:dyDescent="0.15">
      <c r="G455" s="11">
        <v>454</v>
      </c>
      <c r="H455" s="10" t="s">
        <v>344</v>
      </c>
      <c r="I455" t="s">
        <v>1143</v>
      </c>
      <c r="J455" t="s">
        <v>1140</v>
      </c>
      <c r="K455" s="61">
        <v>1.1999999999999999E-3</v>
      </c>
      <c r="L455" s="57">
        <v>-1.6000000000000001E-3</v>
      </c>
      <c r="M455" s="57">
        <v>3.5200000000000002E-2</v>
      </c>
      <c r="N455" s="61">
        <v>4.4999999999999998E-2</v>
      </c>
      <c r="O455" s="57">
        <v>4.87E-2</v>
      </c>
      <c r="P455" s="57">
        <v>1.54E-2</v>
      </c>
      <c r="Q455" s="57">
        <v>7.5200000000000003E-2</v>
      </c>
      <c r="R455" s="57">
        <v>5.1999999999999998E-3</v>
      </c>
      <c r="S455" s="57">
        <v>0.1701</v>
      </c>
      <c r="T455">
        <v>37.08</v>
      </c>
      <c r="U455">
        <v>62.08</v>
      </c>
      <c r="V455">
        <v>24.86</v>
      </c>
      <c r="W455" s="20">
        <v>17227.627899999999</v>
      </c>
    </row>
    <row r="456" spans="7:23" x14ac:dyDescent="0.15">
      <c r="G456" s="11">
        <v>455</v>
      </c>
      <c r="H456" s="10" t="s">
        <v>435</v>
      </c>
      <c r="I456" t="s">
        <v>940</v>
      </c>
      <c r="J456" t="s">
        <v>830</v>
      </c>
      <c r="K456" s="61">
        <v>3.3E-3</v>
      </c>
      <c r="L456" s="57">
        <v>4.1799999999999997E-2</v>
      </c>
      <c r="M456" s="57">
        <v>8.3000000000000001E-3</v>
      </c>
      <c r="N456" s="61">
        <v>7.2300000000000003E-2</v>
      </c>
      <c r="O456" s="57">
        <v>-0.13020000000000001</v>
      </c>
      <c r="P456" s="57">
        <v>-4.3E-3</v>
      </c>
      <c r="Q456" s="57">
        <v>-0.30459999999999998</v>
      </c>
      <c r="R456" s="57">
        <v>-0.2339</v>
      </c>
      <c r="S456" s="57">
        <v>-8.1000000000000003E-2</v>
      </c>
      <c r="T456">
        <v>36.94</v>
      </c>
      <c r="U456">
        <v>77.08</v>
      </c>
      <c r="V456">
        <v>9.7200000000000006</v>
      </c>
      <c r="W456" s="20">
        <v>4506.6436800000001</v>
      </c>
    </row>
    <row r="457" spans="7:23" x14ac:dyDescent="0.15">
      <c r="G457" s="11">
        <v>456</v>
      </c>
      <c r="H457" s="10" t="s">
        <v>1969</v>
      </c>
      <c r="I457" t="s">
        <v>1970</v>
      </c>
      <c r="J457" t="s">
        <v>1946</v>
      </c>
      <c r="K457" s="61">
        <v>-1E-4</v>
      </c>
      <c r="L457" s="57">
        <v>1.6000000000000001E-3</v>
      </c>
      <c r="M457" s="57">
        <v>5.7999999999999996E-3</v>
      </c>
      <c r="N457" s="61">
        <v>1.55E-2</v>
      </c>
      <c r="O457" s="57">
        <v>-0.08</v>
      </c>
      <c r="P457" s="57">
        <v>-2.9999999999999997E-4</v>
      </c>
      <c r="Q457" s="57">
        <v>-0.17280000000000001</v>
      </c>
      <c r="R457" s="57">
        <v>-7.8700000000000006E-2</v>
      </c>
      <c r="S457" s="57">
        <v>0.22409999999999999</v>
      </c>
      <c r="T457">
        <v>36.81</v>
      </c>
      <c r="U457">
        <v>37.64</v>
      </c>
      <c r="V457">
        <v>49.03</v>
      </c>
      <c r="W457" s="20">
        <v>386.17489999999998</v>
      </c>
    </row>
    <row r="458" spans="7:23" x14ac:dyDescent="0.15">
      <c r="G458" s="11">
        <v>457</v>
      </c>
      <c r="H458" s="10" t="s">
        <v>2008</v>
      </c>
      <c r="I458" t="s">
        <v>2009</v>
      </c>
      <c r="J458" t="s">
        <v>1946</v>
      </c>
      <c r="K458" s="61">
        <v>-8.0000000000000004E-4</v>
      </c>
      <c r="L458" s="57">
        <v>-2.7E-2</v>
      </c>
      <c r="M458" s="57">
        <v>-2.5499999999999998E-2</v>
      </c>
      <c r="N458" s="61">
        <v>1.9E-3</v>
      </c>
      <c r="O458" s="57">
        <v>-0.1578</v>
      </c>
      <c r="P458" s="57">
        <v>-0.17030000000000001</v>
      </c>
      <c r="Q458" s="57">
        <v>-0.17030000000000001</v>
      </c>
      <c r="R458" s="57">
        <v>-0.17030000000000001</v>
      </c>
      <c r="S458" s="57">
        <v>-0.17030000000000001</v>
      </c>
      <c r="T458">
        <v>36.67</v>
      </c>
      <c r="U458">
        <v>24.31</v>
      </c>
      <c r="V458">
        <v>61.81</v>
      </c>
      <c r="W458" s="20">
        <v>6408.2370000000001</v>
      </c>
    </row>
    <row r="459" spans="7:23" x14ac:dyDescent="0.15">
      <c r="G459" s="11">
        <v>458</v>
      </c>
      <c r="H459" s="10" t="s">
        <v>1461</v>
      </c>
      <c r="I459" t="s">
        <v>1462</v>
      </c>
      <c r="J459" t="s">
        <v>1609</v>
      </c>
      <c r="K459" s="61">
        <v>5.1000000000000004E-3</v>
      </c>
      <c r="L459" s="57">
        <v>3.1300000000000001E-2</v>
      </c>
      <c r="M459" s="57">
        <v>4.3400000000000001E-2</v>
      </c>
      <c r="N459" s="61">
        <v>8.1799999999999998E-2</v>
      </c>
      <c r="O459" s="57">
        <v>-4.3E-3</v>
      </c>
      <c r="P459" s="57">
        <v>3.8600000000000002E-2</v>
      </c>
      <c r="Q459" s="57">
        <v>-0.17319999999999999</v>
      </c>
      <c r="R459" s="57">
        <v>-0.17319999999999999</v>
      </c>
      <c r="S459" s="57">
        <v>-0.17319999999999999</v>
      </c>
      <c r="T459">
        <v>36.53</v>
      </c>
      <c r="U459">
        <v>79.17</v>
      </c>
      <c r="V459">
        <v>6.81</v>
      </c>
      <c r="W459" s="20">
        <v>124.3789</v>
      </c>
    </row>
    <row r="460" spans="7:23" x14ac:dyDescent="0.15">
      <c r="G460" s="11">
        <v>459</v>
      </c>
      <c r="H460" s="10" t="s">
        <v>475</v>
      </c>
      <c r="I460" t="s">
        <v>1114</v>
      </c>
      <c r="J460" t="s">
        <v>830</v>
      </c>
      <c r="K460" s="61">
        <v>-1.9E-3</v>
      </c>
      <c r="L460" s="57">
        <v>-5.67E-2</v>
      </c>
      <c r="M460" s="57">
        <v>-7.4099999999999999E-2</v>
      </c>
      <c r="N460" s="61">
        <v>-1.61E-2</v>
      </c>
      <c r="O460" s="57">
        <v>-0.21379999999999999</v>
      </c>
      <c r="P460" s="57">
        <v>-3.2099999999999997E-2</v>
      </c>
      <c r="Q460" s="57">
        <v>-0.33050000000000002</v>
      </c>
      <c r="R460" s="57">
        <v>0.48249999999999998</v>
      </c>
      <c r="S460" s="57">
        <v>1.3067</v>
      </c>
      <c r="T460">
        <v>36.39</v>
      </c>
      <c r="U460">
        <v>10.97</v>
      </c>
      <c r="V460">
        <v>75</v>
      </c>
      <c r="W460" s="20">
        <v>19035.487700000001</v>
      </c>
    </row>
    <row r="461" spans="7:23" x14ac:dyDescent="0.15">
      <c r="G461" s="11">
        <v>460</v>
      </c>
      <c r="H461" s="10" t="s">
        <v>698</v>
      </c>
      <c r="I461" t="s">
        <v>1035</v>
      </c>
      <c r="J461" t="s">
        <v>830</v>
      </c>
      <c r="K461" s="61">
        <v>1.6999999999999999E-3</v>
      </c>
      <c r="L461" s="57">
        <v>1.6E-2</v>
      </c>
      <c r="M461" s="57">
        <v>3.9699999999999999E-2</v>
      </c>
      <c r="N461" s="61">
        <v>5.0099999999999999E-2</v>
      </c>
      <c r="O461" s="57">
        <v>-5.62E-2</v>
      </c>
      <c r="P461" s="57">
        <v>2.1100000000000001E-2</v>
      </c>
      <c r="Q461" s="57">
        <v>-0.20530000000000001</v>
      </c>
      <c r="R461" s="57">
        <v>-0.25480000000000003</v>
      </c>
      <c r="S461" s="57">
        <v>-3.5700000000000003E-2</v>
      </c>
      <c r="T461">
        <v>36.25</v>
      </c>
      <c r="U461">
        <v>66.25</v>
      </c>
      <c r="V461">
        <v>19.579999999999998</v>
      </c>
      <c r="W461" s="20">
        <v>58640.375699999997</v>
      </c>
    </row>
    <row r="462" spans="7:23" x14ac:dyDescent="0.15">
      <c r="G462" s="11">
        <v>461</v>
      </c>
      <c r="H462" t="s">
        <v>676</v>
      </c>
      <c r="I462" t="s">
        <v>989</v>
      </c>
      <c r="J462" t="s">
        <v>830</v>
      </c>
      <c r="K462" s="61">
        <v>1.5E-3</v>
      </c>
      <c r="L462" s="57">
        <v>1.54E-2</v>
      </c>
      <c r="M462" s="57">
        <v>3.85E-2</v>
      </c>
      <c r="N462" s="61">
        <v>4.87E-2</v>
      </c>
      <c r="O462" s="57">
        <v>-5.4300000000000001E-2</v>
      </c>
      <c r="P462" s="57">
        <v>2.4400000000000002E-2</v>
      </c>
      <c r="Q462" s="57">
        <v>-0.19689999999999999</v>
      </c>
      <c r="R462" s="57">
        <v>-0.11509999999999999</v>
      </c>
      <c r="S462" s="57">
        <v>-0.11509999999999999</v>
      </c>
      <c r="T462">
        <v>36.11</v>
      </c>
      <c r="U462">
        <v>64.58</v>
      </c>
      <c r="V462">
        <v>21.25</v>
      </c>
      <c r="W462" s="20">
        <v>1284.7904199999998</v>
      </c>
    </row>
    <row r="463" spans="7:23" x14ac:dyDescent="0.15">
      <c r="G463" s="11">
        <v>462</v>
      </c>
      <c r="H463" s="10" t="s">
        <v>349</v>
      </c>
      <c r="I463" t="s">
        <v>1194</v>
      </c>
      <c r="J463" t="s">
        <v>1175</v>
      </c>
      <c r="K463" s="61">
        <v>-1E-3</v>
      </c>
      <c r="L463" s="57">
        <v>-1.6999999999999999E-3</v>
      </c>
      <c r="M463" s="57">
        <v>-5.7000000000000002E-3</v>
      </c>
      <c r="N463" s="61">
        <v>-1.1000000000000001E-3</v>
      </c>
      <c r="O463" s="57">
        <v>-3.1E-2</v>
      </c>
      <c r="P463" s="57">
        <v>5.1999999999999998E-3</v>
      </c>
      <c r="Q463" s="57">
        <v>-7.6899999999999996E-2</v>
      </c>
      <c r="R463" s="57">
        <v>-2.5000000000000001E-2</v>
      </c>
      <c r="S463" s="57">
        <v>0.1061</v>
      </c>
      <c r="T463">
        <v>35.97</v>
      </c>
      <c r="U463">
        <v>20.56</v>
      </c>
      <c r="V463">
        <v>65</v>
      </c>
      <c r="W463" s="20">
        <v>140.59899369999999</v>
      </c>
    </row>
    <row r="464" spans="7:23" x14ac:dyDescent="0.15">
      <c r="G464" s="11">
        <v>463</v>
      </c>
      <c r="H464" t="s">
        <v>466</v>
      </c>
      <c r="I464" t="s">
        <v>913</v>
      </c>
      <c r="J464" t="s">
        <v>830</v>
      </c>
      <c r="K464" s="61">
        <v>-1.5E-3</v>
      </c>
      <c r="L464" s="57">
        <v>4.24E-2</v>
      </c>
      <c r="M464" s="57">
        <v>1.24E-2</v>
      </c>
      <c r="N464" s="61">
        <v>-5.7999999999999996E-3</v>
      </c>
      <c r="O464" s="57">
        <v>5.74E-2</v>
      </c>
      <c r="P464" s="57">
        <v>0.1103</v>
      </c>
      <c r="Q464" s="57">
        <v>-0.13500000000000001</v>
      </c>
      <c r="R464" s="57">
        <v>-0.1988</v>
      </c>
      <c r="S464" s="57">
        <v>-0.1988</v>
      </c>
      <c r="T464">
        <v>35.83</v>
      </c>
      <c r="U464">
        <v>15.28</v>
      </c>
      <c r="V464">
        <v>70.14</v>
      </c>
      <c r="W464" s="20">
        <v>2178.9838500000001</v>
      </c>
    </row>
    <row r="465" spans="7:23" x14ac:dyDescent="0.15">
      <c r="G465" s="11">
        <v>464</v>
      </c>
      <c r="H465" s="10" t="s">
        <v>549</v>
      </c>
      <c r="I465" t="s">
        <v>1073</v>
      </c>
      <c r="J465" t="s">
        <v>830</v>
      </c>
      <c r="K465" s="61">
        <v>2.0000000000000001E-4</v>
      </c>
      <c r="L465" s="57">
        <v>4.5999999999999999E-3</v>
      </c>
      <c r="M465" s="57">
        <v>1.5100000000000001E-2</v>
      </c>
      <c r="N465" s="61">
        <v>1.83E-2</v>
      </c>
      <c r="O465" s="57">
        <v>-5.9200000000000003E-2</v>
      </c>
      <c r="P465" s="57">
        <v>-2.6100000000000002E-2</v>
      </c>
      <c r="Q465" s="57">
        <v>-0.14680000000000001</v>
      </c>
      <c r="R465" s="57">
        <v>-0.1174</v>
      </c>
      <c r="S465" s="57">
        <v>6.7000000000000002E-3</v>
      </c>
      <c r="T465">
        <v>35.69</v>
      </c>
      <c r="U465">
        <v>41.39</v>
      </c>
      <c r="V465">
        <v>44.03</v>
      </c>
      <c r="W465" s="20">
        <v>6855.5892000000003</v>
      </c>
    </row>
    <row r="466" spans="7:23" x14ac:dyDescent="0.15">
      <c r="G466" s="11">
        <v>465</v>
      </c>
      <c r="H466" t="s">
        <v>654</v>
      </c>
      <c r="I466" t="s">
        <v>1055</v>
      </c>
      <c r="J466" t="s">
        <v>830</v>
      </c>
      <c r="K466" s="61">
        <v>1E-4</v>
      </c>
      <c r="L466" s="57">
        <v>3.3E-3</v>
      </c>
      <c r="M466" s="57">
        <v>9.1999999999999998E-3</v>
      </c>
      <c r="N466" s="61">
        <v>1.66E-2</v>
      </c>
      <c r="O466" s="57">
        <v>-8.6999999999999994E-2</v>
      </c>
      <c r="P466" s="57">
        <v>-2.4500000000000001E-2</v>
      </c>
      <c r="Q466" s="57">
        <v>-0.19750000000000001</v>
      </c>
      <c r="R466" s="57">
        <v>-0.1265</v>
      </c>
      <c r="S466" s="57">
        <v>2.93E-2</v>
      </c>
      <c r="T466">
        <v>35.56</v>
      </c>
      <c r="U466">
        <v>40.14</v>
      </c>
      <c r="V466">
        <v>45</v>
      </c>
      <c r="W466" s="20">
        <v>4169.4584000000004</v>
      </c>
    </row>
    <row r="467" spans="7:23" x14ac:dyDescent="0.15">
      <c r="G467" s="11">
        <v>466</v>
      </c>
      <c r="H467" s="10" t="s">
        <v>551</v>
      </c>
      <c r="I467" t="s">
        <v>952</v>
      </c>
      <c r="J467" t="s">
        <v>830</v>
      </c>
      <c r="K467" s="61">
        <v>-8.0000000000000004E-4</v>
      </c>
      <c r="L467" s="57">
        <v>-2.0400000000000001E-2</v>
      </c>
      <c r="M467" s="57">
        <v>-1.18E-2</v>
      </c>
      <c r="N467" s="61">
        <v>2E-3</v>
      </c>
      <c r="O467" s="57">
        <v>-0.12590000000000001</v>
      </c>
      <c r="P467" s="57">
        <v>-6.3299999999999995E-2</v>
      </c>
      <c r="Q467" s="57">
        <v>-0.20200000000000001</v>
      </c>
      <c r="R467" s="57">
        <v>-0.1643</v>
      </c>
      <c r="S467" s="57">
        <v>-0.1643</v>
      </c>
      <c r="T467">
        <v>35.42</v>
      </c>
      <c r="U467">
        <v>24.44</v>
      </c>
      <c r="V467">
        <v>60.69</v>
      </c>
      <c r="W467" s="20">
        <v>348.2713</v>
      </c>
    </row>
    <row r="468" spans="7:23" x14ac:dyDescent="0.15">
      <c r="G468" s="11">
        <v>467</v>
      </c>
      <c r="H468" s="10" t="s">
        <v>569</v>
      </c>
      <c r="I468" t="s">
        <v>923</v>
      </c>
      <c r="J468" t="s">
        <v>830</v>
      </c>
      <c r="K468" s="61">
        <v>-1.1999999999999999E-3</v>
      </c>
      <c r="L468" s="57">
        <v>-6.4000000000000003E-3</v>
      </c>
      <c r="M468" s="57">
        <v>-2.5000000000000001E-2</v>
      </c>
      <c r="N468" s="61">
        <v>-2.3999999999999998E-3</v>
      </c>
      <c r="O468" s="57">
        <v>-0.13869999999999999</v>
      </c>
      <c r="P468" s="57">
        <v>3.0200000000000001E-2</v>
      </c>
      <c r="Q468" s="57">
        <v>-0.29060000000000002</v>
      </c>
      <c r="R468" s="57">
        <v>-8.3900000000000002E-2</v>
      </c>
      <c r="S468" s="57">
        <v>0.52259999999999995</v>
      </c>
      <c r="T468">
        <v>35.28</v>
      </c>
      <c r="U468">
        <v>18.47</v>
      </c>
      <c r="V468">
        <v>66.39</v>
      </c>
      <c r="W468" s="20">
        <v>624.41399000000001</v>
      </c>
    </row>
    <row r="469" spans="7:23" x14ac:dyDescent="0.15">
      <c r="G469" s="11">
        <v>468</v>
      </c>
      <c r="H469" s="10" t="s">
        <v>1419</v>
      </c>
      <c r="I469" t="s">
        <v>1420</v>
      </c>
      <c r="J469" t="s">
        <v>1609</v>
      </c>
      <c r="K469" s="61">
        <v>1.2999999999999999E-3</v>
      </c>
      <c r="L469" s="57">
        <v>9.1999999999999998E-3</v>
      </c>
      <c r="M469" s="57">
        <v>3.7999999999999999E-2</v>
      </c>
      <c r="N469" s="61">
        <v>4.3099999999999999E-2</v>
      </c>
      <c r="O469" s="57">
        <v>-7.7600000000000002E-2</v>
      </c>
      <c r="P469" s="57">
        <v>-2.3800000000000002E-2</v>
      </c>
      <c r="Q469" s="57">
        <v>-6.6199999999999995E-2</v>
      </c>
      <c r="R469" s="57">
        <v>-6.6199999999999995E-2</v>
      </c>
      <c r="S469" s="57">
        <v>-6.6199999999999995E-2</v>
      </c>
      <c r="T469">
        <v>35.14</v>
      </c>
      <c r="U469">
        <v>60.56</v>
      </c>
      <c r="V469">
        <v>24.03</v>
      </c>
      <c r="W469" s="20">
        <v>87.900999999999996</v>
      </c>
    </row>
    <row r="470" spans="7:23" x14ac:dyDescent="0.15">
      <c r="G470" s="11">
        <v>469</v>
      </c>
      <c r="H470" s="10" t="s">
        <v>1369</v>
      </c>
      <c r="I470" t="s">
        <v>1370</v>
      </c>
      <c r="J470" t="s">
        <v>1609</v>
      </c>
      <c r="K470" s="61">
        <v>-2.9999999999999997E-4</v>
      </c>
      <c r="L470" s="57">
        <v>1.32E-2</v>
      </c>
      <c r="M470" s="57">
        <v>3.1600000000000003E-2</v>
      </c>
      <c r="N470" s="61">
        <v>1.06E-2</v>
      </c>
      <c r="O470" s="57">
        <v>-9.3299999999999994E-2</v>
      </c>
      <c r="P470" s="57">
        <v>-5.1799999999999999E-2</v>
      </c>
      <c r="Q470" s="57">
        <v>-6.2700000000000006E-2</v>
      </c>
      <c r="R470" s="57">
        <v>-6.2700000000000006E-2</v>
      </c>
      <c r="S470" s="57">
        <v>-6.2700000000000006E-2</v>
      </c>
      <c r="T470">
        <v>35</v>
      </c>
      <c r="U470">
        <v>33.06</v>
      </c>
      <c r="V470">
        <v>51.39</v>
      </c>
      <c r="W470" s="20">
        <v>1415.83232</v>
      </c>
    </row>
    <row r="471" spans="7:23" x14ac:dyDescent="0.15">
      <c r="G471" s="11">
        <v>470</v>
      </c>
      <c r="H471" s="10" t="s">
        <v>473</v>
      </c>
      <c r="I471" t="s">
        <v>1021</v>
      </c>
      <c r="J471" t="s">
        <v>830</v>
      </c>
      <c r="K471" s="61">
        <v>-1.6000000000000001E-3</v>
      </c>
      <c r="L471" s="57">
        <v>3.8E-3</v>
      </c>
      <c r="M471" s="57">
        <v>1.34E-2</v>
      </c>
      <c r="N471" s="61">
        <v>-1.17E-2</v>
      </c>
      <c r="O471" s="57">
        <v>-9.2799999999999994E-2</v>
      </c>
      <c r="P471" s="57">
        <v>-2.81E-2</v>
      </c>
      <c r="Q471" s="57">
        <v>-0.18940000000000001</v>
      </c>
      <c r="R471" s="57">
        <v>-0.18090000000000001</v>
      </c>
      <c r="S471" s="57">
        <v>0.28889999999999999</v>
      </c>
      <c r="T471">
        <v>34.86</v>
      </c>
      <c r="U471">
        <v>12.64</v>
      </c>
      <c r="V471">
        <v>71.67</v>
      </c>
      <c r="W471" s="20">
        <v>17302.141309999999</v>
      </c>
    </row>
    <row r="472" spans="7:23" x14ac:dyDescent="0.15">
      <c r="G472" s="11">
        <v>471</v>
      </c>
      <c r="H472" s="10" t="s">
        <v>1312</v>
      </c>
      <c r="I472" t="s">
        <v>1313</v>
      </c>
      <c r="J472" t="s">
        <v>1609</v>
      </c>
      <c r="K472" s="61">
        <v>1E-4</v>
      </c>
      <c r="L472" s="57">
        <v>1E-4</v>
      </c>
      <c r="M472" s="57">
        <v>2.5999999999999999E-3</v>
      </c>
      <c r="N472" s="61">
        <v>1.61E-2</v>
      </c>
      <c r="O472" s="57">
        <v>-8.7599999999999997E-2</v>
      </c>
      <c r="P472" s="57">
        <v>-1.5100000000000001E-2</v>
      </c>
      <c r="Q472" s="57">
        <v>-0.2321</v>
      </c>
      <c r="R472" s="57">
        <v>-0.2321</v>
      </c>
      <c r="S472" s="57">
        <v>-0.2321</v>
      </c>
      <c r="T472">
        <v>34.72</v>
      </c>
      <c r="U472">
        <v>39.03</v>
      </c>
      <c r="V472">
        <v>45.14</v>
      </c>
      <c r="W472" s="20">
        <v>306.01159999999999</v>
      </c>
    </row>
    <row r="473" spans="7:23" x14ac:dyDescent="0.15">
      <c r="G473" s="11">
        <v>472</v>
      </c>
      <c r="H473" t="s">
        <v>351</v>
      </c>
      <c r="I473" t="s">
        <v>1095</v>
      </c>
      <c r="J473" t="s">
        <v>830</v>
      </c>
      <c r="K473" s="61">
        <v>-1.2999999999999999E-3</v>
      </c>
      <c r="L473" s="57">
        <v>-4.5999999999999999E-3</v>
      </c>
      <c r="M473" s="57">
        <v>-6.1000000000000004E-3</v>
      </c>
      <c r="N473" s="61">
        <v>-4.5999999999999999E-3</v>
      </c>
      <c r="O473" s="57">
        <v>-6.1000000000000004E-3</v>
      </c>
      <c r="P473" s="57">
        <v>6.1999999999999998E-3</v>
      </c>
      <c r="Q473" s="57">
        <v>2.5999999999999999E-2</v>
      </c>
      <c r="R473" s="57">
        <v>6.1199999999999997E-2</v>
      </c>
      <c r="S473" s="57">
        <v>8.5999999999999993E-2</v>
      </c>
      <c r="T473">
        <v>34.58</v>
      </c>
      <c r="U473">
        <v>16.11</v>
      </c>
      <c r="V473">
        <v>67.92</v>
      </c>
      <c r="W473" s="20">
        <v>70451.115399999995</v>
      </c>
    </row>
    <row r="474" spans="7:23" x14ac:dyDescent="0.15">
      <c r="G474" s="11">
        <v>473</v>
      </c>
      <c r="H474" s="10" t="s">
        <v>1381</v>
      </c>
      <c r="I474" t="s">
        <v>1382</v>
      </c>
      <c r="J474" t="s">
        <v>1609</v>
      </c>
      <c r="K474" s="61">
        <v>-2.9999999999999997E-4</v>
      </c>
      <c r="L474" s="57">
        <v>7.1000000000000004E-3</v>
      </c>
      <c r="M474" s="57">
        <v>2.2800000000000001E-2</v>
      </c>
      <c r="N474" s="61">
        <v>8.0000000000000002E-3</v>
      </c>
      <c r="O474" s="57">
        <v>-3.3999999999999998E-3</v>
      </c>
      <c r="P474" s="57">
        <v>-1.4500000000000001E-2</v>
      </c>
      <c r="Q474" s="57">
        <v>2.4199999999999999E-2</v>
      </c>
      <c r="R474" s="57">
        <v>0.157</v>
      </c>
      <c r="S474" s="57">
        <v>0.21940000000000001</v>
      </c>
      <c r="T474">
        <v>34.44</v>
      </c>
      <c r="U474">
        <v>31.53</v>
      </c>
      <c r="V474">
        <v>52.36</v>
      </c>
      <c r="W474" s="20">
        <v>2722.5106999999998</v>
      </c>
    </row>
    <row r="475" spans="7:23" x14ac:dyDescent="0.15">
      <c r="G475" s="11">
        <v>474</v>
      </c>
      <c r="H475" t="s">
        <v>1363</v>
      </c>
      <c r="I475" t="s">
        <v>1364</v>
      </c>
      <c r="J475" t="s">
        <v>1609</v>
      </c>
      <c r="K475" s="61">
        <v>1.1999999999999999E-3</v>
      </c>
      <c r="L475" s="57">
        <v>1.7500000000000002E-2</v>
      </c>
      <c r="M475" s="57">
        <v>3.8600000000000002E-2</v>
      </c>
      <c r="N475" s="61">
        <v>4.0500000000000001E-2</v>
      </c>
      <c r="O475" s="57">
        <v>-7.8600000000000003E-2</v>
      </c>
      <c r="P475" s="57">
        <v>-5.9999999999999995E-4</v>
      </c>
      <c r="Q475" s="57">
        <v>-0.16800000000000001</v>
      </c>
      <c r="R475" s="57">
        <v>-0.16800000000000001</v>
      </c>
      <c r="S475" s="57">
        <v>-0.16800000000000001</v>
      </c>
      <c r="T475">
        <v>34.31</v>
      </c>
      <c r="U475">
        <v>58.61</v>
      </c>
      <c r="V475">
        <v>25.14</v>
      </c>
      <c r="W475" s="20">
        <v>143.81405000000001</v>
      </c>
    </row>
    <row r="476" spans="7:23" x14ac:dyDescent="0.15">
      <c r="G476" s="11">
        <v>475</v>
      </c>
      <c r="H476" s="10" t="s">
        <v>736</v>
      </c>
      <c r="I476" t="s">
        <v>1158</v>
      </c>
      <c r="J476" t="s">
        <v>1146</v>
      </c>
      <c r="K476" s="61">
        <v>5.1999999999999998E-3</v>
      </c>
      <c r="L476" s="57">
        <v>-1.72E-2</v>
      </c>
      <c r="M476" s="57">
        <v>7.4099999999999999E-2</v>
      </c>
      <c r="N476" s="61">
        <v>7.1999999999999995E-2</v>
      </c>
      <c r="O476" s="57">
        <v>-8.2400000000000001E-2</v>
      </c>
      <c r="P476" s="57">
        <v>5.7000000000000002E-2</v>
      </c>
      <c r="Q476" s="57">
        <v>-0.12790000000000001</v>
      </c>
      <c r="R476" s="57">
        <v>0.19189999999999999</v>
      </c>
      <c r="S476" s="57">
        <v>0.52980000000000005</v>
      </c>
      <c r="T476">
        <v>34.17</v>
      </c>
      <c r="U476">
        <v>76.81</v>
      </c>
      <c r="V476">
        <v>6.67</v>
      </c>
      <c r="W476" s="20">
        <v>68.193860700000002</v>
      </c>
    </row>
    <row r="477" spans="7:23" x14ac:dyDescent="0.15">
      <c r="G477" s="11">
        <v>476</v>
      </c>
      <c r="H477" s="10" t="s">
        <v>1568</v>
      </c>
      <c r="I477" t="s">
        <v>1569</v>
      </c>
      <c r="J477" t="s">
        <v>1609</v>
      </c>
      <c r="K477" s="61">
        <v>1.1000000000000001E-3</v>
      </c>
      <c r="L477" s="57">
        <v>8.6E-3</v>
      </c>
      <c r="M477" s="57">
        <v>9.7999999999999997E-3</v>
      </c>
      <c r="N477" s="61">
        <v>3.95E-2</v>
      </c>
      <c r="O477" s="57">
        <v>-4.2500000000000003E-2</v>
      </c>
      <c r="P477" s="57">
        <v>7.5499999999999998E-2</v>
      </c>
      <c r="Q477" s="57">
        <v>-9.7100000000000006E-2</v>
      </c>
      <c r="R477" s="57">
        <v>-9.4E-2</v>
      </c>
      <c r="S477" s="57">
        <v>-9.4E-2</v>
      </c>
      <c r="T477">
        <v>34.03</v>
      </c>
      <c r="U477">
        <v>57.22</v>
      </c>
      <c r="V477">
        <v>25.83</v>
      </c>
      <c r="W477" s="20">
        <v>6560.8849</v>
      </c>
    </row>
    <row r="478" spans="7:23" x14ac:dyDescent="0.15">
      <c r="G478" s="11">
        <v>477</v>
      </c>
      <c r="H478" s="10" t="s">
        <v>1201</v>
      </c>
      <c r="I478" t="s">
        <v>1202</v>
      </c>
      <c r="J478" t="s">
        <v>830</v>
      </c>
      <c r="K478" s="61">
        <v>2.2000000000000001E-3</v>
      </c>
      <c r="L478" s="57">
        <v>1.1900000000000001E-2</v>
      </c>
      <c r="M478" s="57">
        <v>3.9100000000000003E-2</v>
      </c>
      <c r="N478" s="61">
        <v>5.1999999999999998E-2</v>
      </c>
      <c r="O478" s="57">
        <v>-6.9699999999999998E-2</v>
      </c>
      <c r="P478" s="57">
        <v>-2.52E-2</v>
      </c>
      <c r="Q478" s="57">
        <v>-0.19159999999999999</v>
      </c>
      <c r="R478" s="57">
        <v>-0.28760000000000002</v>
      </c>
      <c r="S478" s="57">
        <v>-0.28760000000000002</v>
      </c>
      <c r="T478">
        <v>33.89</v>
      </c>
      <c r="U478">
        <v>67.36</v>
      </c>
      <c r="V478">
        <v>15.56</v>
      </c>
      <c r="W478" s="20">
        <v>346.48509999999999</v>
      </c>
    </row>
    <row r="479" spans="7:23" x14ac:dyDescent="0.15">
      <c r="G479" s="11">
        <v>478</v>
      </c>
      <c r="H479" s="10" t="s">
        <v>544</v>
      </c>
      <c r="I479" t="s">
        <v>1132</v>
      </c>
      <c r="J479" t="s">
        <v>830</v>
      </c>
      <c r="K479" s="61">
        <v>-5.9999999999999995E-4</v>
      </c>
      <c r="L479" s="57">
        <v>-3.7000000000000002E-3</v>
      </c>
      <c r="M479" s="57">
        <v>6.7999999999999996E-3</v>
      </c>
      <c r="N479" s="61">
        <v>3.0999999999999999E-3</v>
      </c>
      <c r="O479" s="57">
        <v>-0.1038</v>
      </c>
      <c r="P479" s="57">
        <v>-3.8600000000000002E-2</v>
      </c>
      <c r="Q479" s="57">
        <v>-0.2114</v>
      </c>
      <c r="R479" s="57">
        <v>-0.2175</v>
      </c>
      <c r="S479" s="57">
        <v>-0.2175</v>
      </c>
      <c r="T479">
        <v>33.75</v>
      </c>
      <c r="U479">
        <v>26.53</v>
      </c>
      <c r="V479">
        <v>56.39</v>
      </c>
      <c r="W479" s="20">
        <v>26289.598888100001</v>
      </c>
    </row>
    <row r="480" spans="7:23" x14ac:dyDescent="0.15">
      <c r="G480" s="11">
        <v>479</v>
      </c>
      <c r="H480" t="s">
        <v>611</v>
      </c>
      <c r="I480" t="s">
        <v>1061</v>
      </c>
      <c r="J480" t="s">
        <v>830</v>
      </c>
      <c r="K480" s="61">
        <v>-5.0000000000000001E-4</v>
      </c>
      <c r="L480" s="57">
        <v>3.0999999999999999E-3</v>
      </c>
      <c r="M480" s="57">
        <v>3.73E-2</v>
      </c>
      <c r="N480" s="61">
        <v>3.5999999999999999E-3</v>
      </c>
      <c r="O480" s="57">
        <v>-3.5700000000000003E-2</v>
      </c>
      <c r="P480" s="57">
        <v>-7.5600000000000001E-2</v>
      </c>
      <c r="Q480" s="57">
        <v>-0.1154</v>
      </c>
      <c r="R480" s="57">
        <v>-0.18060000000000001</v>
      </c>
      <c r="S480" s="57">
        <v>-0.18060000000000001</v>
      </c>
      <c r="T480">
        <v>33.61</v>
      </c>
      <c r="U480">
        <v>27.5</v>
      </c>
      <c r="V480">
        <v>54.72</v>
      </c>
      <c r="W480" s="20">
        <v>4366.8575499999997</v>
      </c>
    </row>
    <row r="481" spans="7:23" x14ac:dyDescent="0.15">
      <c r="G481" s="11">
        <v>480</v>
      </c>
      <c r="H481" t="s">
        <v>1602</v>
      </c>
      <c r="I481" t="s">
        <v>1603</v>
      </c>
      <c r="J481" t="s">
        <v>1609</v>
      </c>
      <c r="K481" s="61">
        <v>4.0000000000000001E-3</v>
      </c>
      <c r="L481" s="57">
        <v>-2.7099999999999999E-2</v>
      </c>
      <c r="M481" s="57">
        <v>3.2000000000000001E-2</v>
      </c>
      <c r="N481" s="61">
        <v>6.5199999999999994E-2</v>
      </c>
      <c r="O481" s="57">
        <v>-3.8600000000000002E-2</v>
      </c>
      <c r="P481" s="57">
        <v>6.6400000000000001E-2</v>
      </c>
      <c r="Q481" s="57">
        <v>4.6800000000000001E-2</v>
      </c>
      <c r="R481" s="57">
        <v>4.6800000000000001E-2</v>
      </c>
      <c r="S481" s="57">
        <v>4.6800000000000001E-2</v>
      </c>
      <c r="T481">
        <v>33.47</v>
      </c>
      <c r="U481">
        <v>73.47</v>
      </c>
      <c r="V481">
        <v>8.61</v>
      </c>
      <c r="W481" s="20">
        <v>1288.0514499999999</v>
      </c>
    </row>
    <row r="482" spans="7:23" x14ac:dyDescent="0.15">
      <c r="G482" s="11">
        <v>481</v>
      </c>
      <c r="H482" t="s">
        <v>320</v>
      </c>
      <c r="I482" t="s">
        <v>40</v>
      </c>
      <c r="J482" t="s">
        <v>793</v>
      </c>
      <c r="K482" s="61">
        <v>-2.5000000000000001E-3</v>
      </c>
      <c r="L482" s="57">
        <v>-8.9999999999999993E-3</v>
      </c>
      <c r="M482" s="57">
        <v>-2.9600000000000001E-2</v>
      </c>
      <c r="N482" s="61">
        <v>-0.12139999999999999</v>
      </c>
      <c r="O482" s="57">
        <v>-0.21809999999999999</v>
      </c>
      <c r="P482" s="57">
        <v>-4.3200000000000002E-2</v>
      </c>
      <c r="Q482" s="57">
        <v>-0.15390000000000001</v>
      </c>
      <c r="R482" s="57">
        <v>9.6500000000000002E-2</v>
      </c>
      <c r="S482" s="57">
        <v>0.69350000000000001</v>
      </c>
      <c r="T482">
        <v>33.33</v>
      </c>
      <c r="U482">
        <v>0.14000000000000001</v>
      </c>
      <c r="V482">
        <v>81.67</v>
      </c>
      <c r="W482" s="20">
        <v>30.378499999999999</v>
      </c>
    </row>
    <row r="483" spans="7:23" x14ac:dyDescent="0.15">
      <c r="G483" s="11">
        <v>482</v>
      </c>
      <c r="H483" s="10" t="s">
        <v>396</v>
      </c>
      <c r="I483" t="s">
        <v>900</v>
      </c>
      <c r="J483" t="s">
        <v>830</v>
      </c>
      <c r="K483" s="61">
        <v>1.5E-3</v>
      </c>
      <c r="L483" s="57">
        <v>-4.7800000000000002E-2</v>
      </c>
      <c r="M483" s="57">
        <v>-1.5800000000000002E-2</v>
      </c>
      <c r="N483" s="61">
        <v>4.2000000000000003E-2</v>
      </c>
      <c r="O483" s="57">
        <v>-0.1069</v>
      </c>
      <c r="P483" s="57">
        <v>-1.2699999999999999E-2</v>
      </c>
      <c r="Q483" s="57">
        <v>-0.15670000000000001</v>
      </c>
      <c r="R483" s="57">
        <v>0.12429999999999999</v>
      </c>
      <c r="S483" s="57">
        <v>0.12429999999999999</v>
      </c>
      <c r="T483">
        <v>33.19</v>
      </c>
      <c r="U483">
        <v>59.72</v>
      </c>
      <c r="V483">
        <v>22.08</v>
      </c>
      <c r="W483" s="20">
        <v>997.86024999999995</v>
      </c>
    </row>
    <row r="484" spans="7:23" x14ac:dyDescent="0.15">
      <c r="G484" s="11">
        <v>483</v>
      </c>
      <c r="H484" s="10" t="s">
        <v>690</v>
      </c>
      <c r="I484" t="s">
        <v>896</v>
      </c>
      <c r="J484" t="s">
        <v>830</v>
      </c>
      <c r="K484" s="61">
        <v>1.1999999999999999E-3</v>
      </c>
      <c r="L484" s="57">
        <v>8.6999999999999994E-3</v>
      </c>
      <c r="M484" s="57">
        <v>5.1999999999999998E-3</v>
      </c>
      <c r="N484" s="61">
        <v>3.95E-2</v>
      </c>
      <c r="O484" s="57">
        <v>-7.7200000000000005E-2</v>
      </c>
      <c r="P484" s="57">
        <v>2.4199999999999999E-2</v>
      </c>
      <c r="Q484" s="57">
        <v>-0.17610000000000001</v>
      </c>
      <c r="R484" s="57">
        <v>-8.5099999999999995E-2</v>
      </c>
      <c r="S484" s="57">
        <v>0.15459999999999999</v>
      </c>
      <c r="T484">
        <v>33.06</v>
      </c>
      <c r="U484">
        <v>57.08</v>
      </c>
      <c r="V484">
        <v>24.72</v>
      </c>
      <c r="W484" s="20">
        <v>1046.5713000000001</v>
      </c>
    </row>
    <row r="485" spans="7:23" x14ac:dyDescent="0.15">
      <c r="G485" s="11">
        <v>484</v>
      </c>
      <c r="H485" s="10" t="s">
        <v>441</v>
      </c>
      <c r="I485" t="s">
        <v>1090</v>
      </c>
      <c r="J485" t="s">
        <v>830</v>
      </c>
      <c r="K485" s="61">
        <v>-1.8E-3</v>
      </c>
      <c r="L485" s="57">
        <v>-1.7500000000000002E-2</v>
      </c>
      <c r="M485" s="57">
        <v>-5.8000000000000003E-2</v>
      </c>
      <c r="N485" s="61">
        <v>-2.2499999999999999E-2</v>
      </c>
      <c r="O485" s="57">
        <v>-6.6500000000000004E-2</v>
      </c>
      <c r="P485" s="57">
        <v>0.1212</v>
      </c>
      <c r="Q485" s="57">
        <v>-0.17280000000000001</v>
      </c>
      <c r="R485" s="57">
        <v>0.18340000000000001</v>
      </c>
      <c r="S485" s="57">
        <v>0.89680000000000004</v>
      </c>
      <c r="T485">
        <v>32.92</v>
      </c>
      <c r="U485">
        <v>7.92</v>
      </c>
      <c r="V485">
        <v>73.61</v>
      </c>
      <c r="W485" s="20">
        <v>14286.544400000001</v>
      </c>
    </row>
    <row r="486" spans="7:23" x14ac:dyDescent="0.15">
      <c r="G486" s="11">
        <v>485</v>
      </c>
      <c r="H486" t="s">
        <v>340</v>
      </c>
      <c r="I486" t="s">
        <v>877</v>
      </c>
      <c r="J486" t="s">
        <v>830</v>
      </c>
      <c r="K486" s="61">
        <v>-8.0000000000000004E-4</v>
      </c>
      <c r="L486" s="57">
        <v>-2.4899999999999999E-2</v>
      </c>
      <c r="M486" s="57">
        <v>-4.0399999999999998E-2</v>
      </c>
      <c r="N486" s="61">
        <v>-1.6999999999999999E-3</v>
      </c>
      <c r="O486" s="57">
        <v>-0.20369999999999999</v>
      </c>
      <c r="P486" s="57">
        <v>-5.0799999999999998E-2</v>
      </c>
      <c r="Q486" s="57">
        <v>-0.30230000000000001</v>
      </c>
      <c r="R486" s="57">
        <v>-9.5299999999999996E-2</v>
      </c>
      <c r="S486" s="57">
        <v>-9.5299999999999996E-2</v>
      </c>
      <c r="T486">
        <v>32.78</v>
      </c>
      <c r="U486">
        <v>20</v>
      </c>
      <c r="V486">
        <v>61.53</v>
      </c>
      <c r="W486" s="20">
        <v>336.81552499999998</v>
      </c>
    </row>
    <row r="487" spans="7:23" x14ac:dyDescent="0.15">
      <c r="G487" s="11">
        <v>486</v>
      </c>
      <c r="H487" s="10" t="s">
        <v>500</v>
      </c>
      <c r="I487" t="s">
        <v>848</v>
      </c>
      <c r="J487" t="s">
        <v>830</v>
      </c>
      <c r="K487" s="61">
        <v>4.0000000000000002E-4</v>
      </c>
      <c r="L487" s="57">
        <v>-8.3000000000000001E-3</v>
      </c>
      <c r="M487" s="57">
        <v>-2.2700000000000001E-2</v>
      </c>
      <c r="N487" s="61">
        <v>1.9400000000000001E-2</v>
      </c>
      <c r="O487" s="57">
        <v>-0.15210000000000001</v>
      </c>
      <c r="P487" s="57">
        <v>-4.1399999999999999E-2</v>
      </c>
      <c r="Q487" s="57">
        <v>-0.28520000000000001</v>
      </c>
      <c r="R487" s="57">
        <v>-0.11550000000000001</v>
      </c>
      <c r="S487" s="57">
        <v>0.53410000000000002</v>
      </c>
      <c r="T487">
        <v>32.64</v>
      </c>
      <c r="U487">
        <v>42.5</v>
      </c>
      <c r="V487">
        <v>38.89</v>
      </c>
      <c r="W487" s="20">
        <v>353.20249999999999</v>
      </c>
    </row>
    <row r="488" spans="7:23" x14ac:dyDescent="0.15">
      <c r="G488" s="11">
        <v>487</v>
      </c>
      <c r="H488" s="10" t="s">
        <v>560</v>
      </c>
      <c r="I488" t="s">
        <v>1028</v>
      </c>
      <c r="J488" t="s">
        <v>830</v>
      </c>
      <c r="K488" s="61">
        <v>1.1000000000000001E-3</v>
      </c>
      <c r="L488" s="57">
        <v>2.2100000000000002E-2</v>
      </c>
      <c r="M488" s="57">
        <v>-1.0800000000000001E-2</v>
      </c>
      <c r="N488" s="61">
        <v>3.56E-2</v>
      </c>
      <c r="O488" s="57">
        <v>-9.69E-2</v>
      </c>
      <c r="P488" s="57">
        <v>1.44E-2</v>
      </c>
      <c r="Q488" s="57">
        <v>-0.29409999999999997</v>
      </c>
      <c r="R488" s="57">
        <v>-0.22450000000000001</v>
      </c>
      <c r="S488" s="57">
        <v>0.13880000000000001</v>
      </c>
      <c r="T488">
        <v>32.5</v>
      </c>
      <c r="U488">
        <v>54.31</v>
      </c>
      <c r="V488">
        <v>27.08</v>
      </c>
      <c r="W488" s="20">
        <v>2933.80429</v>
      </c>
    </row>
    <row r="489" spans="7:23" x14ac:dyDescent="0.15">
      <c r="G489" s="11">
        <v>488</v>
      </c>
      <c r="H489" t="s">
        <v>567</v>
      </c>
      <c r="I489" t="s">
        <v>1105</v>
      </c>
      <c r="J489" t="s">
        <v>830</v>
      </c>
      <c r="K489" s="61">
        <v>1.2999999999999999E-3</v>
      </c>
      <c r="L489" s="57">
        <v>8.6999999999999994E-3</v>
      </c>
      <c r="M489" s="57">
        <v>9.5999999999999992E-3</v>
      </c>
      <c r="N489" s="61">
        <v>3.9800000000000002E-2</v>
      </c>
      <c r="O489" s="57">
        <v>-4.1799999999999997E-2</v>
      </c>
      <c r="P489" s="57">
        <v>7.6999999999999999E-2</v>
      </c>
      <c r="Q489" s="57">
        <v>-0.10829999999999999</v>
      </c>
      <c r="R489" s="57">
        <v>3.3000000000000002E-2</v>
      </c>
      <c r="S489" s="57">
        <v>0.35220000000000001</v>
      </c>
      <c r="T489">
        <v>32.36</v>
      </c>
      <c r="U489">
        <v>57.5</v>
      </c>
      <c r="V489">
        <v>23.89</v>
      </c>
      <c r="W489" s="20">
        <v>73951.803339799997</v>
      </c>
    </row>
    <row r="490" spans="7:23" x14ac:dyDescent="0.15">
      <c r="G490" s="11">
        <v>489</v>
      </c>
      <c r="H490" t="s">
        <v>1411</v>
      </c>
      <c r="I490" t="s">
        <v>1412</v>
      </c>
      <c r="J490" t="s">
        <v>1609</v>
      </c>
      <c r="K490" s="61">
        <v>6.0000000000000001E-3</v>
      </c>
      <c r="L490" s="57">
        <v>3.7900000000000003E-2</v>
      </c>
      <c r="M490" s="57">
        <v>1.2800000000000001E-2</v>
      </c>
      <c r="N490" s="61">
        <v>6.7699999999999996E-2</v>
      </c>
      <c r="O490" s="57">
        <v>-0.1182</v>
      </c>
      <c r="P490" s="57">
        <v>-6.1000000000000004E-3</v>
      </c>
      <c r="Q490" s="57">
        <v>-0.29820000000000002</v>
      </c>
      <c r="R490" s="57">
        <v>-0.29820000000000002</v>
      </c>
      <c r="S490" s="57">
        <v>-0.29820000000000002</v>
      </c>
      <c r="T490">
        <v>32.22</v>
      </c>
      <c r="U490">
        <v>75.83</v>
      </c>
      <c r="V490">
        <v>5.56</v>
      </c>
      <c r="W490" s="20">
        <v>121.18933999999999</v>
      </c>
    </row>
    <row r="491" spans="7:23" x14ac:dyDescent="0.15">
      <c r="G491" s="11">
        <v>490</v>
      </c>
      <c r="H491" t="s">
        <v>594</v>
      </c>
      <c r="I491" t="s">
        <v>929</v>
      </c>
      <c r="J491" t="s">
        <v>830</v>
      </c>
      <c r="K491" s="61">
        <v>5.0000000000000001E-4</v>
      </c>
      <c r="L491" s="57">
        <v>0</v>
      </c>
      <c r="M491" s="57">
        <v>-1.3899999999999999E-2</v>
      </c>
      <c r="N491" s="61">
        <v>2.2200000000000001E-2</v>
      </c>
      <c r="O491" s="57">
        <v>-0.1152</v>
      </c>
      <c r="P491" s="57">
        <v>-1.01E-2</v>
      </c>
      <c r="Q491" s="57">
        <v>-0.22259999999999999</v>
      </c>
      <c r="R491" s="57">
        <v>-0.15740000000000001</v>
      </c>
      <c r="S491" s="57">
        <v>0.2626</v>
      </c>
      <c r="T491">
        <v>32.08</v>
      </c>
      <c r="U491">
        <v>44.17</v>
      </c>
      <c r="V491">
        <v>37.22</v>
      </c>
      <c r="W491" s="20">
        <v>483.72005000000001</v>
      </c>
    </row>
    <row r="492" spans="7:23" x14ac:dyDescent="0.15">
      <c r="G492" s="11">
        <v>491</v>
      </c>
      <c r="H492" t="s">
        <v>629</v>
      </c>
      <c r="I492" t="s">
        <v>1153</v>
      </c>
      <c r="J492" t="s">
        <v>1146</v>
      </c>
      <c r="K492" s="61">
        <v>6.6E-3</v>
      </c>
      <c r="L492" s="57">
        <v>-2.6200000000000001E-2</v>
      </c>
      <c r="M492" s="57">
        <v>3.5099999999999999E-2</v>
      </c>
      <c r="N492" s="61">
        <v>6.88E-2</v>
      </c>
      <c r="O492" s="57">
        <v>-3.9399999999999998E-2</v>
      </c>
      <c r="P492" s="57">
        <v>6.2199999999999998E-2</v>
      </c>
      <c r="Q492" s="57">
        <v>-5.8099999999999999E-2</v>
      </c>
      <c r="R492" s="57">
        <v>0.18060000000000001</v>
      </c>
      <c r="S492" s="57">
        <v>0.32229999999999998</v>
      </c>
      <c r="T492">
        <v>31.94</v>
      </c>
      <c r="U492">
        <v>76.25</v>
      </c>
      <c r="V492">
        <v>5.14</v>
      </c>
      <c r="W492" s="20">
        <v>17470.858800000002</v>
      </c>
    </row>
    <row r="493" spans="7:23" x14ac:dyDescent="0.15">
      <c r="G493" s="11">
        <v>492</v>
      </c>
      <c r="H493" s="10" t="s">
        <v>605</v>
      </c>
      <c r="I493" t="s">
        <v>1137</v>
      </c>
      <c r="J493" t="s">
        <v>830</v>
      </c>
      <c r="K493" s="61">
        <v>1.4E-3</v>
      </c>
      <c r="L493" s="57">
        <v>8.6999999999999994E-3</v>
      </c>
      <c r="M493" s="57">
        <v>9.7000000000000003E-3</v>
      </c>
      <c r="N493" s="61">
        <v>4.02E-2</v>
      </c>
      <c r="O493" s="57">
        <v>-4.0899999999999999E-2</v>
      </c>
      <c r="P493" s="57">
        <v>7.85E-2</v>
      </c>
      <c r="Q493" s="57">
        <v>-0.1071</v>
      </c>
      <c r="R493" s="57">
        <v>3.04E-2</v>
      </c>
      <c r="S493" s="57">
        <v>0.32869999999999999</v>
      </c>
      <c r="T493">
        <v>31.81</v>
      </c>
      <c r="U493">
        <v>58.47</v>
      </c>
      <c r="V493">
        <v>22.92</v>
      </c>
      <c r="W493" s="20">
        <v>289612.9987</v>
      </c>
    </row>
    <row r="494" spans="7:23" x14ac:dyDescent="0.15">
      <c r="G494" s="11">
        <v>493</v>
      </c>
      <c r="H494" t="s">
        <v>575</v>
      </c>
      <c r="I494" t="s">
        <v>1100</v>
      </c>
      <c r="J494" t="s">
        <v>830</v>
      </c>
      <c r="K494" s="61">
        <v>-5.0000000000000001E-4</v>
      </c>
      <c r="L494" s="57">
        <v>-3.8E-3</v>
      </c>
      <c r="M494" s="57">
        <v>6.8999999999999999E-3</v>
      </c>
      <c r="N494" s="61">
        <v>3.0999999999999999E-3</v>
      </c>
      <c r="O494" s="57">
        <v>-0.1031</v>
      </c>
      <c r="P494" s="57">
        <v>-3.8699999999999998E-2</v>
      </c>
      <c r="Q494" s="57">
        <v>-0.21110000000000001</v>
      </c>
      <c r="R494" s="57">
        <v>-0.21759999999999999</v>
      </c>
      <c r="S494" s="57">
        <v>-0.21759999999999999</v>
      </c>
      <c r="T494">
        <v>31.67</v>
      </c>
      <c r="U494">
        <v>26.67</v>
      </c>
      <c r="V494">
        <v>54.58</v>
      </c>
      <c r="W494" s="20">
        <v>4685.4244600000002</v>
      </c>
    </row>
    <row r="495" spans="7:23" x14ac:dyDescent="0.15">
      <c r="G495" s="11">
        <v>494</v>
      </c>
      <c r="H495" s="10" t="s">
        <v>482</v>
      </c>
      <c r="I495" t="s">
        <v>977</v>
      </c>
      <c r="J495" t="s">
        <v>830</v>
      </c>
      <c r="K495" s="61">
        <v>-1.4E-3</v>
      </c>
      <c r="L495" s="57">
        <v>-3.3700000000000001E-2</v>
      </c>
      <c r="M495" s="57">
        <v>-6.2199999999999998E-2</v>
      </c>
      <c r="N495" s="61">
        <v>-1.43E-2</v>
      </c>
      <c r="O495" s="57">
        <v>-0.18459999999999999</v>
      </c>
      <c r="P495" s="57">
        <v>2.9600000000000001E-2</v>
      </c>
      <c r="Q495" s="57">
        <v>-0.25340000000000001</v>
      </c>
      <c r="R495" s="57">
        <v>2.1399999999999999E-2</v>
      </c>
      <c r="S495" s="57">
        <v>2.1399999999999999E-2</v>
      </c>
      <c r="T495">
        <v>31.53</v>
      </c>
      <c r="U495">
        <v>11.94</v>
      </c>
      <c r="V495">
        <v>69.31</v>
      </c>
      <c r="W495" s="20">
        <v>2453.4425999999999</v>
      </c>
    </row>
    <row r="496" spans="7:23" x14ac:dyDescent="0.15">
      <c r="G496" s="11">
        <v>495</v>
      </c>
      <c r="H496" t="s">
        <v>536</v>
      </c>
      <c r="I496" t="s">
        <v>844</v>
      </c>
      <c r="J496" t="s">
        <v>830</v>
      </c>
      <c r="K496" s="61">
        <v>-2.5000000000000001E-3</v>
      </c>
      <c r="L496" s="57">
        <v>-8.3799999999999999E-2</v>
      </c>
      <c r="M496" s="57">
        <v>-8.2299999999999998E-2</v>
      </c>
      <c r="N496" s="61">
        <v>-7.6999999999999999E-2</v>
      </c>
      <c r="O496" s="57">
        <v>-0.16619999999999999</v>
      </c>
      <c r="P496" s="57">
        <v>-0.11</v>
      </c>
      <c r="Q496" s="57">
        <v>-0.30320000000000003</v>
      </c>
      <c r="R496" s="57">
        <v>-7.0699999999999999E-2</v>
      </c>
      <c r="S496" s="57">
        <v>-7.0699999999999999E-2</v>
      </c>
      <c r="T496">
        <v>31.39</v>
      </c>
      <c r="U496">
        <v>0.42</v>
      </c>
      <c r="V496">
        <v>80.83</v>
      </c>
      <c r="W496" s="20">
        <v>0</v>
      </c>
    </row>
    <row r="497" spans="7:23" x14ac:dyDescent="0.15">
      <c r="G497" s="11">
        <v>496</v>
      </c>
      <c r="H497" s="10" t="s">
        <v>669</v>
      </c>
      <c r="I497" t="s">
        <v>235</v>
      </c>
      <c r="J497" t="s">
        <v>830</v>
      </c>
      <c r="K497" s="61">
        <v>2.9999999999999997E-4</v>
      </c>
      <c r="L497" s="57">
        <v>3.3999999999999998E-3</v>
      </c>
      <c r="M497" s="57">
        <v>9.1000000000000004E-3</v>
      </c>
      <c r="N497" s="61">
        <v>1.6E-2</v>
      </c>
      <c r="O497" s="57">
        <v>-8.8400000000000006E-2</v>
      </c>
      <c r="P497" s="57">
        <v>-2.6499999999999999E-2</v>
      </c>
      <c r="Q497" s="57">
        <v>-0.20019999999999999</v>
      </c>
      <c r="R497" s="57">
        <v>-0.17119999999999999</v>
      </c>
      <c r="S497" s="57">
        <v>-1.55E-2</v>
      </c>
      <c r="T497">
        <v>31.25</v>
      </c>
      <c r="U497">
        <v>38.61</v>
      </c>
      <c r="V497">
        <v>42.5</v>
      </c>
      <c r="W497" s="20">
        <v>9732.6448999999993</v>
      </c>
    </row>
    <row r="498" spans="7:23" x14ac:dyDescent="0.15">
      <c r="G498" s="11">
        <v>497</v>
      </c>
      <c r="H498" t="s">
        <v>362</v>
      </c>
      <c r="I498" t="s">
        <v>1093</v>
      </c>
      <c r="J498" t="s">
        <v>830</v>
      </c>
      <c r="K498" s="61">
        <v>1.6999999999999999E-3</v>
      </c>
      <c r="L498" s="57">
        <v>-4.9200000000000001E-2</v>
      </c>
      <c r="M498" s="57">
        <v>-1.8200000000000001E-2</v>
      </c>
      <c r="N498" s="61">
        <v>4.4400000000000002E-2</v>
      </c>
      <c r="O498" s="57">
        <v>-0.1174</v>
      </c>
      <c r="P498" s="57">
        <v>-3.8100000000000002E-2</v>
      </c>
      <c r="Q498" s="57">
        <v>-0.1928</v>
      </c>
      <c r="R498" s="57">
        <v>0.38929999999999998</v>
      </c>
      <c r="S498" s="57">
        <v>0.80579999999999996</v>
      </c>
      <c r="T498">
        <v>31.11</v>
      </c>
      <c r="U498">
        <v>61.11</v>
      </c>
      <c r="V498">
        <v>19.72</v>
      </c>
      <c r="W498" s="20">
        <v>9652.6571000000004</v>
      </c>
    </row>
    <row r="499" spans="7:23" x14ac:dyDescent="0.15">
      <c r="G499" s="11">
        <v>498</v>
      </c>
      <c r="H499" t="s">
        <v>510</v>
      </c>
      <c r="I499" t="s">
        <v>1019</v>
      </c>
      <c r="J499" t="s">
        <v>830</v>
      </c>
      <c r="K499" s="61">
        <v>8.9999999999999998E-4</v>
      </c>
      <c r="L499" s="57">
        <v>3.3999999999999998E-3</v>
      </c>
      <c r="M499" s="57">
        <v>0.1007</v>
      </c>
      <c r="N499" s="61">
        <v>3.0800000000000001E-2</v>
      </c>
      <c r="O499" s="57">
        <v>-2.3800000000000002E-2</v>
      </c>
      <c r="P499" s="57">
        <v>-3.9399999999999998E-2</v>
      </c>
      <c r="Q499" s="57">
        <v>1.2800000000000001E-2</v>
      </c>
      <c r="R499" s="57">
        <v>-8.8499999999999995E-2</v>
      </c>
      <c r="S499" s="57">
        <v>-8.1799999999999998E-2</v>
      </c>
      <c r="T499">
        <v>30.97</v>
      </c>
      <c r="U499">
        <v>50.83</v>
      </c>
      <c r="V499">
        <v>30</v>
      </c>
      <c r="W499" s="20">
        <v>2992.3076999999998</v>
      </c>
    </row>
    <row r="500" spans="7:23" x14ac:dyDescent="0.15">
      <c r="G500" s="11">
        <v>499</v>
      </c>
      <c r="H500" s="10" t="s">
        <v>614</v>
      </c>
      <c r="I500" t="s">
        <v>1066</v>
      </c>
      <c r="J500" t="s">
        <v>830</v>
      </c>
      <c r="K500" s="61">
        <v>0</v>
      </c>
      <c r="L500" s="57">
        <v>1.3299999999999999E-2</v>
      </c>
      <c r="M500" s="57">
        <v>3.2300000000000002E-2</v>
      </c>
      <c r="N500" s="61">
        <v>1.1299999999999999E-2</v>
      </c>
      <c r="O500" s="57">
        <v>-9.5100000000000004E-2</v>
      </c>
      <c r="P500" s="57">
        <v>-4.3499999999999997E-2</v>
      </c>
      <c r="Q500" s="57">
        <v>-0.2001</v>
      </c>
      <c r="R500" s="57">
        <v>-0.2243</v>
      </c>
      <c r="S500" s="57">
        <v>0.151</v>
      </c>
      <c r="T500">
        <v>30.83</v>
      </c>
      <c r="U500">
        <v>33.89</v>
      </c>
      <c r="V500">
        <v>46.81</v>
      </c>
      <c r="W500" s="20">
        <v>7317.0589</v>
      </c>
    </row>
    <row r="501" spans="7:23" x14ac:dyDescent="0.15">
      <c r="G501" s="11">
        <v>500</v>
      </c>
      <c r="H501" s="10" t="s">
        <v>395</v>
      </c>
      <c r="I501" t="s">
        <v>1383</v>
      </c>
      <c r="J501" t="s">
        <v>1609</v>
      </c>
      <c r="K501" s="61">
        <v>-6.9999999999999999E-4</v>
      </c>
      <c r="L501" s="57">
        <v>-1E-3</v>
      </c>
      <c r="M501" s="57">
        <v>-1.2999999999999999E-3</v>
      </c>
      <c r="N501" s="61">
        <v>-8.0000000000000004E-4</v>
      </c>
      <c r="O501" s="57">
        <v>1.6000000000000001E-3</v>
      </c>
      <c r="P501" s="57">
        <v>7.0000000000000001E-3</v>
      </c>
      <c r="Q501" s="57">
        <v>2.23E-2</v>
      </c>
      <c r="R501" s="57">
        <v>5.2999999999999999E-2</v>
      </c>
      <c r="S501" s="57">
        <v>5.8299999999999998E-2</v>
      </c>
      <c r="T501">
        <v>30.69</v>
      </c>
      <c r="U501">
        <v>20.83</v>
      </c>
      <c r="V501">
        <v>59.86</v>
      </c>
      <c r="W501" s="20">
        <v>699492.09160000004</v>
      </c>
    </row>
    <row r="502" spans="7:23" x14ac:dyDescent="0.15">
      <c r="G502" s="11">
        <v>501</v>
      </c>
      <c r="H502" s="10" t="s">
        <v>547</v>
      </c>
      <c r="I502" t="s">
        <v>1018</v>
      </c>
      <c r="J502" t="s">
        <v>830</v>
      </c>
      <c r="K502" s="61">
        <v>-1.2999999999999999E-3</v>
      </c>
      <c r="L502" s="57">
        <v>3.8999999999999998E-3</v>
      </c>
      <c r="M502" s="57">
        <v>1.38E-2</v>
      </c>
      <c r="N502" s="61">
        <v>-1.03E-2</v>
      </c>
      <c r="O502" s="57">
        <v>-9.0200000000000002E-2</v>
      </c>
      <c r="P502" s="57">
        <v>-1.84E-2</v>
      </c>
      <c r="Q502" s="57">
        <v>-0.17730000000000001</v>
      </c>
      <c r="R502" s="57">
        <v>-0.12939999999999999</v>
      </c>
      <c r="S502" s="57">
        <v>0.36470000000000002</v>
      </c>
      <c r="T502">
        <v>30.56</v>
      </c>
      <c r="U502">
        <v>13.06</v>
      </c>
      <c r="V502">
        <v>67.36</v>
      </c>
      <c r="W502" s="20">
        <v>1788.8454999999999</v>
      </c>
    </row>
    <row r="503" spans="7:23" x14ac:dyDescent="0.15">
      <c r="G503" s="11">
        <v>502</v>
      </c>
      <c r="H503" t="s">
        <v>1971</v>
      </c>
      <c r="I503" t="s">
        <v>1972</v>
      </c>
      <c r="J503" t="s">
        <v>1946</v>
      </c>
      <c r="K503" s="61">
        <v>1E-4</v>
      </c>
      <c r="L503" s="57">
        <v>5.1000000000000004E-3</v>
      </c>
      <c r="M503" s="57">
        <v>1.0500000000000001E-2</v>
      </c>
      <c r="N503" s="61">
        <v>1.3100000000000001E-2</v>
      </c>
      <c r="O503" s="57">
        <v>-0.10150000000000001</v>
      </c>
      <c r="P503" s="57">
        <v>-0.1091</v>
      </c>
      <c r="Q503" s="57">
        <v>-0.1091</v>
      </c>
      <c r="R503" s="57">
        <v>-0.1091</v>
      </c>
      <c r="S503" s="57">
        <v>-0.1091</v>
      </c>
      <c r="T503">
        <v>30.42</v>
      </c>
      <c r="U503">
        <v>34.86</v>
      </c>
      <c r="V503">
        <v>45.28</v>
      </c>
      <c r="W503" s="20">
        <v>5180.8890000000001</v>
      </c>
    </row>
    <row r="504" spans="7:23" x14ac:dyDescent="0.15">
      <c r="G504" s="11">
        <v>503</v>
      </c>
      <c r="H504" t="s">
        <v>636</v>
      </c>
      <c r="I504" t="s">
        <v>1007</v>
      </c>
      <c r="J504" t="s">
        <v>830</v>
      </c>
      <c r="K504" s="61">
        <v>2.0000000000000001E-4</v>
      </c>
      <c r="L504" s="57">
        <v>1.6000000000000001E-3</v>
      </c>
      <c r="M504" s="57">
        <v>5.7999999999999996E-3</v>
      </c>
      <c r="N504" s="61">
        <v>1.5299999999999999E-2</v>
      </c>
      <c r="O504" s="57">
        <v>-8.1900000000000001E-2</v>
      </c>
      <c r="P504" s="57">
        <v>-6.4999999999999997E-3</v>
      </c>
      <c r="Q504" s="57">
        <v>-0.18390000000000001</v>
      </c>
      <c r="R504" s="57">
        <v>-8.2400000000000001E-2</v>
      </c>
      <c r="S504" s="57">
        <v>0.27239999999999998</v>
      </c>
      <c r="T504">
        <v>30.28</v>
      </c>
      <c r="U504">
        <v>36.94</v>
      </c>
      <c r="V504">
        <v>43.19</v>
      </c>
      <c r="W504" s="20">
        <v>1473.0748000000001</v>
      </c>
    </row>
    <row r="505" spans="7:23" x14ac:dyDescent="0.15">
      <c r="G505" s="11">
        <v>504</v>
      </c>
      <c r="H505" t="s">
        <v>672</v>
      </c>
      <c r="I505" t="s">
        <v>955</v>
      </c>
      <c r="J505" t="s">
        <v>830</v>
      </c>
      <c r="K505" s="61">
        <v>8.0000000000000004E-4</v>
      </c>
      <c r="L505" s="57">
        <v>1.17E-2</v>
      </c>
      <c r="M505" s="57">
        <v>5.2400000000000002E-2</v>
      </c>
      <c r="N505" s="61">
        <v>2.6700000000000002E-2</v>
      </c>
      <c r="O505" s="57">
        <v>-1.67E-2</v>
      </c>
      <c r="P505" s="57">
        <v>-2.3E-2</v>
      </c>
      <c r="Q505" s="57">
        <v>-0.1273</v>
      </c>
      <c r="R505" s="57">
        <v>-0.1022</v>
      </c>
      <c r="S505" s="57">
        <v>-8.3799999999999999E-2</v>
      </c>
      <c r="T505">
        <v>30.14</v>
      </c>
      <c r="U505">
        <v>48.33</v>
      </c>
      <c r="V505">
        <v>31.67</v>
      </c>
      <c r="W505" s="20">
        <v>559.40449999999998</v>
      </c>
    </row>
    <row r="506" spans="7:23" x14ac:dyDescent="0.15">
      <c r="G506" s="11">
        <v>505</v>
      </c>
      <c r="H506" t="s">
        <v>1574</v>
      </c>
      <c r="I506" t="s">
        <v>1575</v>
      </c>
      <c r="J506" t="s">
        <v>1609</v>
      </c>
      <c r="K506" s="61">
        <v>2.3E-3</v>
      </c>
      <c r="L506" s="57">
        <v>1.2500000000000001E-2</v>
      </c>
      <c r="M506" s="57">
        <v>3.4000000000000002E-2</v>
      </c>
      <c r="N506" s="61">
        <v>4.9399999999999999E-2</v>
      </c>
      <c r="O506" s="57">
        <v>-9.7699999999999995E-2</v>
      </c>
      <c r="P506" s="57">
        <v>3.0700000000000002E-2</v>
      </c>
      <c r="Q506" s="57">
        <v>-0.11899999999999999</v>
      </c>
      <c r="R506" s="57">
        <v>-0.11899999999999999</v>
      </c>
      <c r="S506" s="57">
        <v>-0.11899999999999999</v>
      </c>
      <c r="T506">
        <v>30</v>
      </c>
      <c r="U506">
        <v>65.14</v>
      </c>
      <c r="V506">
        <v>14.86</v>
      </c>
      <c r="W506" s="20">
        <v>3116.2937000000002</v>
      </c>
    </row>
    <row r="507" spans="7:23" x14ac:dyDescent="0.15">
      <c r="G507" s="11">
        <v>506</v>
      </c>
      <c r="H507" t="s">
        <v>715</v>
      </c>
      <c r="I507" t="s">
        <v>887</v>
      </c>
      <c r="J507" t="s">
        <v>830</v>
      </c>
      <c r="K507" s="61">
        <v>2.8E-3</v>
      </c>
      <c r="L507" s="57">
        <v>1.37E-2</v>
      </c>
      <c r="M507" s="57">
        <v>3.3500000000000002E-2</v>
      </c>
      <c r="N507" s="61">
        <v>5.3800000000000001E-2</v>
      </c>
      <c r="O507" s="57">
        <v>-2.6499999999999999E-2</v>
      </c>
      <c r="P507" s="57">
        <v>6.5799999999999997E-2</v>
      </c>
      <c r="Q507" s="57">
        <v>-0.18010000000000001</v>
      </c>
      <c r="R507" s="57">
        <v>-0.2208</v>
      </c>
      <c r="S507" s="57">
        <v>-6.7999999999999996E-3</v>
      </c>
      <c r="T507">
        <v>29.86</v>
      </c>
      <c r="U507">
        <v>68.06</v>
      </c>
      <c r="V507">
        <v>11.67</v>
      </c>
      <c r="W507" s="20">
        <v>90.052199999999999</v>
      </c>
    </row>
    <row r="508" spans="7:23" x14ac:dyDescent="0.15">
      <c r="G508" s="11">
        <v>507</v>
      </c>
      <c r="H508" s="10" t="s">
        <v>608</v>
      </c>
      <c r="I508" t="s">
        <v>1123</v>
      </c>
      <c r="J508" t="s">
        <v>830</v>
      </c>
      <c r="K508" s="61">
        <v>2.0000000000000001E-4</v>
      </c>
      <c r="L508" s="57">
        <v>3.2000000000000002E-3</v>
      </c>
      <c r="M508" s="57">
        <v>8.5000000000000006E-3</v>
      </c>
      <c r="N508" s="61">
        <v>1.47E-2</v>
      </c>
      <c r="O508" s="57">
        <v>-8.4900000000000003E-2</v>
      </c>
      <c r="P508" s="57">
        <v>-2.7799999999999998E-2</v>
      </c>
      <c r="Q508" s="57">
        <v>-0.19339999999999999</v>
      </c>
      <c r="R508" s="57">
        <v>-0.16889999999999999</v>
      </c>
      <c r="S508" s="57">
        <v>3.7100000000000001E-2</v>
      </c>
      <c r="T508">
        <v>29.72</v>
      </c>
      <c r="U508">
        <v>36.25</v>
      </c>
      <c r="V508">
        <v>43.33</v>
      </c>
      <c r="W508" s="20">
        <v>72139.839500000002</v>
      </c>
    </row>
    <row r="509" spans="7:23" x14ac:dyDescent="0.15">
      <c r="G509" s="11">
        <v>508</v>
      </c>
      <c r="H509" s="10" t="s">
        <v>677</v>
      </c>
      <c r="I509" t="s">
        <v>965</v>
      </c>
      <c r="J509" t="s">
        <v>830</v>
      </c>
      <c r="K509" s="61">
        <v>2.9999999999999997E-4</v>
      </c>
      <c r="L509" s="57">
        <v>3.3E-3</v>
      </c>
      <c r="M509" s="57">
        <v>8.9999999999999993E-3</v>
      </c>
      <c r="N509" s="61">
        <v>1.5599999999999999E-2</v>
      </c>
      <c r="O509" s="57">
        <v>-8.8300000000000003E-2</v>
      </c>
      <c r="P509" s="57">
        <v>-2.4199999999999999E-2</v>
      </c>
      <c r="Q509" s="57">
        <v>-0.19750000000000001</v>
      </c>
      <c r="R509" s="57">
        <v>-0.1696</v>
      </c>
      <c r="S509" s="57">
        <v>3.0300000000000001E-2</v>
      </c>
      <c r="T509">
        <v>29.58</v>
      </c>
      <c r="U509">
        <v>37.78</v>
      </c>
      <c r="V509">
        <v>40.97</v>
      </c>
      <c r="W509" s="20">
        <v>2675.7680999999998</v>
      </c>
    </row>
    <row r="510" spans="7:23" x14ac:dyDescent="0.15">
      <c r="G510" s="11">
        <v>509</v>
      </c>
      <c r="H510" s="10" t="s">
        <v>1354</v>
      </c>
      <c r="I510" t="s">
        <v>1355</v>
      </c>
      <c r="J510" t="s">
        <v>1609</v>
      </c>
      <c r="K510" s="61">
        <v>5.9999999999999995E-4</v>
      </c>
      <c r="L510" s="57">
        <v>9.1000000000000004E-3</v>
      </c>
      <c r="M510" s="57">
        <v>-2.4299999999999999E-2</v>
      </c>
      <c r="N510" s="61">
        <v>1.9699999999999999E-2</v>
      </c>
      <c r="O510" s="57">
        <v>-0.14199999999999999</v>
      </c>
      <c r="P510" s="57">
        <v>-1.0999999999999999E-2</v>
      </c>
      <c r="Q510" s="57">
        <v>-0.20150000000000001</v>
      </c>
      <c r="R510" s="57">
        <v>-0.20150000000000001</v>
      </c>
      <c r="S510" s="57">
        <v>-0.20150000000000001</v>
      </c>
      <c r="T510">
        <v>29.44</v>
      </c>
      <c r="U510">
        <v>42.78</v>
      </c>
      <c r="V510">
        <v>35.83</v>
      </c>
      <c r="W510" s="20">
        <v>120.70635</v>
      </c>
    </row>
    <row r="511" spans="7:23" x14ac:dyDescent="0.15">
      <c r="G511" s="11">
        <v>510</v>
      </c>
      <c r="H511" t="s">
        <v>579</v>
      </c>
      <c r="I511" t="s">
        <v>836</v>
      </c>
      <c r="J511" t="s">
        <v>830</v>
      </c>
      <c r="K511" s="61">
        <v>8.9999999999999998E-4</v>
      </c>
      <c r="L511" s="57">
        <v>1.15E-2</v>
      </c>
      <c r="M511" s="57">
        <v>5.3800000000000001E-2</v>
      </c>
      <c r="N511" s="61">
        <v>2.69E-2</v>
      </c>
      <c r="O511" s="57">
        <v>-2.86E-2</v>
      </c>
      <c r="P511" s="57">
        <v>-3.2300000000000002E-2</v>
      </c>
      <c r="Q511" s="57">
        <v>-0.14380000000000001</v>
      </c>
      <c r="R511" s="57">
        <v>-0.22459999999999999</v>
      </c>
      <c r="S511" s="57">
        <v>-0.21199999999999999</v>
      </c>
      <c r="T511">
        <v>29.31</v>
      </c>
      <c r="U511">
        <v>48.47</v>
      </c>
      <c r="V511">
        <v>30.14</v>
      </c>
      <c r="W511" s="20">
        <v>50.386119999999998</v>
      </c>
    </row>
    <row r="512" spans="7:23" x14ac:dyDescent="0.15">
      <c r="G512" s="11">
        <v>511</v>
      </c>
      <c r="H512" t="s">
        <v>490</v>
      </c>
      <c r="I512" t="s">
        <v>1107</v>
      </c>
      <c r="J512" t="s">
        <v>830</v>
      </c>
      <c r="K512" s="61">
        <v>-1E-4</v>
      </c>
      <c r="L512" s="57">
        <v>-9.5999999999999992E-3</v>
      </c>
      <c r="M512" s="57">
        <v>1.4999999999999999E-2</v>
      </c>
      <c r="N512" s="61">
        <v>6.4000000000000003E-3</v>
      </c>
      <c r="O512" s="57">
        <v>-6.2E-2</v>
      </c>
      <c r="P512" s="57">
        <v>-4.9799999999999997E-2</v>
      </c>
      <c r="Q512" s="57">
        <v>-9.2700000000000005E-2</v>
      </c>
      <c r="R512" s="57">
        <v>-6.0900000000000003E-2</v>
      </c>
      <c r="S512" s="57">
        <v>-6.0900000000000003E-2</v>
      </c>
      <c r="T512">
        <v>29.17</v>
      </c>
      <c r="U512">
        <v>29.72</v>
      </c>
      <c r="V512">
        <v>48.75</v>
      </c>
      <c r="W512" s="20">
        <v>5704.0313999999998</v>
      </c>
    </row>
    <row r="513" spans="7:23" x14ac:dyDescent="0.15">
      <c r="G513" s="11">
        <v>512</v>
      </c>
      <c r="H513" t="s">
        <v>493</v>
      </c>
      <c r="I513" t="s">
        <v>915</v>
      </c>
      <c r="J513" t="s">
        <v>830</v>
      </c>
      <c r="K513" s="61">
        <v>8.0000000000000004E-4</v>
      </c>
      <c r="L513" s="57">
        <v>2.1700000000000001E-2</v>
      </c>
      <c r="M513" s="57">
        <v>3.0999999999999999E-3</v>
      </c>
      <c r="N513" s="61">
        <v>2.4299999999999999E-2</v>
      </c>
      <c r="O513" s="57">
        <v>-2.7E-2</v>
      </c>
      <c r="P513" s="57">
        <v>8.77E-2</v>
      </c>
      <c r="Q513" s="57">
        <v>-0.23</v>
      </c>
      <c r="R513" s="57">
        <v>-0.20019999999999999</v>
      </c>
      <c r="S513" s="57">
        <v>0.3448</v>
      </c>
      <c r="T513">
        <v>29.03</v>
      </c>
      <c r="U513">
        <v>46.81</v>
      </c>
      <c r="V513">
        <v>30.97</v>
      </c>
      <c r="W513" s="20">
        <v>1652.9042340000001</v>
      </c>
    </row>
    <row r="514" spans="7:23" x14ac:dyDescent="0.15">
      <c r="G514" s="11">
        <v>513</v>
      </c>
      <c r="H514" s="10" t="s">
        <v>591</v>
      </c>
      <c r="I514" t="s">
        <v>987</v>
      </c>
      <c r="J514" t="s">
        <v>830</v>
      </c>
      <c r="K514" s="61">
        <v>-1E-4</v>
      </c>
      <c r="L514" s="57">
        <v>3.7000000000000002E-3</v>
      </c>
      <c r="M514" s="57">
        <v>3.8300000000000001E-2</v>
      </c>
      <c r="N514" s="61">
        <v>4.8999999999999998E-3</v>
      </c>
      <c r="O514" s="57">
        <v>-3.2099999999999997E-2</v>
      </c>
      <c r="P514" s="57">
        <v>-6.6900000000000001E-2</v>
      </c>
      <c r="Q514" s="57">
        <v>-0.10340000000000001</v>
      </c>
      <c r="R514" s="57">
        <v>-0.19489999999999999</v>
      </c>
      <c r="S514" s="57">
        <v>-0.19489999999999999</v>
      </c>
      <c r="T514">
        <v>28.89</v>
      </c>
      <c r="U514">
        <v>28.75</v>
      </c>
      <c r="V514">
        <v>48.89</v>
      </c>
      <c r="W514" s="20">
        <v>645.02149999999995</v>
      </c>
    </row>
    <row r="515" spans="7:23" x14ac:dyDescent="0.15">
      <c r="G515" s="11">
        <v>514</v>
      </c>
      <c r="H515" s="10" t="s">
        <v>609</v>
      </c>
      <c r="I515" t="s">
        <v>1117</v>
      </c>
      <c r="J515" t="s">
        <v>830</v>
      </c>
      <c r="K515" s="61">
        <v>1.6000000000000001E-3</v>
      </c>
      <c r="L515" s="57">
        <v>8.6999999999999994E-3</v>
      </c>
      <c r="M515" s="57">
        <v>9.4999999999999998E-3</v>
      </c>
      <c r="N515" s="61">
        <v>3.9399999999999998E-2</v>
      </c>
      <c r="O515" s="57">
        <v>-4.24E-2</v>
      </c>
      <c r="P515" s="57">
        <v>7.7600000000000002E-2</v>
      </c>
      <c r="Q515" s="57">
        <v>-0.10979999999999999</v>
      </c>
      <c r="R515" s="57">
        <v>2.8899999999999999E-2</v>
      </c>
      <c r="S515" s="57">
        <v>0.32519999999999999</v>
      </c>
      <c r="T515">
        <v>28.75</v>
      </c>
      <c r="U515">
        <v>56.81</v>
      </c>
      <c r="V515">
        <v>20.83</v>
      </c>
      <c r="W515" s="20">
        <v>15623.389300000001</v>
      </c>
    </row>
    <row r="516" spans="7:23" x14ac:dyDescent="0.15">
      <c r="G516" s="11">
        <v>515</v>
      </c>
      <c r="H516" s="10" t="s">
        <v>388</v>
      </c>
      <c r="I516" t="s">
        <v>1079</v>
      </c>
      <c r="J516" t="s">
        <v>830</v>
      </c>
      <c r="K516" s="61">
        <v>-1.1000000000000001E-3</v>
      </c>
      <c r="L516" s="57">
        <v>-5.7099999999999998E-2</v>
      </c>
      <c r="M516" s="57">
        <v>-7.3499999999999996E-2</v>
      </c>
      <c r="N516" s="61">
        <v>-1.61E-2</v>
      </c>
      <c r="O516" s="57">
        <v>-0.215</v>
      </c>
      <c r="P516" s="57">
        <v>-3.9399999999999998E-2</v>
      </c>
      <c r="Q516" s="57">
        <v>-0.33429999999999999</v>
      </c>
      <c r="R516" s="57">
        <v>0.1032</v>
      </c>
      <c r="S516" s="57">
        <v>0.1032</v>
      </c>
      <c r="T516">
        <v>28.61</v>
      </c>
      <c r="U516">
        <v>11.25</v>
      </c>
      <c r="V516">
        <v>65.97</v>
      </c>
      <c r="W516" s="20">
        <v>4640.9165000000003</v>
      </c>
    </row>
    <row r="517" spans="7:23" x14ac:dyDescent="0.15">
      <c r="G517" s="11">
        <v>516</v>
      </c>
      <c r="H517" s="10" t="s">
        <v>1445</v>
      </c>
      <c r="I517" t="s">
        <v>1446</v>
      </c>
      <c r="J517" t="s">
        <v>1609</v>
      </c>
      <c r="K517" s="61">
        <v>-1.6999999999999999E-3</v>
      </c>
      <c r="L517" s="57">
        <v>-5.8400000000000001E-2</v>
      </c>
      <c r="M517" s="57">
        <v>-7.46E-2</v>
      </c>
      <c r="N517" s="61">
        <v>-3.1199999999999999E-2</v>
      </c>
      <c r="O517" s="57">
        <v>-0.24160000000000001</v>
      </c>
      <c r="P517" s="57">
        <v>-5.9700000000000003E-2</v>
      </c>
      <c r="Q517" s="57">
        <v>-0.2162</v>
      </c>
      <c r="R517" s="57">
        <v>-0.2162</v>
      </c>
      <c r="S517" s="57">
        <v>-0.2162</v>
      </c>
      <c r="T517">
        <v>28.47</v>
      </c>
      <c r="U517">
        <v>5.14</v>
      </c>
      <c r="V517">
        <v>72.08</v>
      </c>
      <c r="W517" s="20">
        <v>301.15485000000001</v>
      </c>
    </row>
    <row r="518" spans="7:23" x14ac:dyDescent="0.15">
      <c r="G518" s="11">
        <v>517</v>
      </c>
      <c r="H518" t="s">
        <v>1409</v>
      </c>
      <c r="I518" t="s">
        <v>1410</v>
      </c>
      <c r="J518" t="s">
        <v>1609</v>
      </c>
      <c r="K518" s="61">
        <v>-5.0000000000000001E-4</v>
      </c>
      <c r="L518" s="57">
        <v>-4.0500000000000001E-2</v>
      </c>
      <c r="M518" s="57">
        <v>-5.9299999999999999E-2</v>
      </c>
      <c r="N518" s="61">
        <v>8.9999999999999998E-4</v>
      </c>
      <c r="O518" s="57">
        <v>-0.2077</v>
      </c>
      <c r="P518" s="57">
        <v>-5.1499999999999997E-2</v>
      </c>
      <c r="Q518" s="57">
        <v>-0.34960000000000002</v>
      </c>
      <c r="R518" s="57">
        <v>-0.25459999999999999</v>
      </c>
      <c r="S518" s="57">
        <v>-0.25459999999999999</v>
      </c>
      <c r="T518">
        <v>28.33</v>
      </c>
      <c r="U518">
        <v>22.78</v>
      </c>
      <c r="V518">
        <v>54.31</v>
      </c>
      <c r="W518" s="20">
        <v>987.35648000000003</v>
      </c>
    </row>
    <row r="519" spans="7:23" x14ac:dyDescent="0.15">
      <c r="G519" s="11">
        <v>518</v>
      </c>
      <c r="H519" s="10" t="s">
        <v>1584</v>
      </c>
      <c r="I519" t="s">
        <v>1585</v>
      </c>
      <c r="J519" t="s">
        <v>1609</v>
      </c>
      <c r="K519" s="61">
        <v>-1.4E-3</v>
      </c>
      <c r="L519" s="57">
        <v>-1.7600000000000001E-2</v>
      </c>
      <c r="M519" s="57">
        <v>-1.52E-2</v>
      </c>
      <c r="N519" s="61">
        <v>-2.7199999999999998E-2</v>
      </c>
      <c r="O519" s="57">
        <v>-9.7600000000000006E-2</v>
      </c>
      <c r="P519" s="57">
        <v>-2.81E-2</v>
      </c>
      <c r="Q519" s="57">
        <v>-6.9699999999999998E-2</v>
      </c>
      <c r="R519" s="57">
        <v>-6.9699999999999998E-2</v>
      </c>
      <c r="S519" s="57">
        <v>-6.9699999999999998E-2</v>
      </c>
      <c r="T519">
        <v>28.19</v>
      </c>
      <c r="U519">
        <v>7.08</v>
      </c>
      <c r="V519">
        <v>69.86</v>
      </c>
      <c r="W519" s="20">
        <v>2130.0288</v>
      </c>
    </row>
    <row r="520" spans="7:23" x14ac:dyDescent="0.15">
      <c r="G520" s="11">
        <v>519</v>
      </c>
      <c r="H520" t="s">
        <v>460</v>
      </c>
      <c r="I520" t="s">
        <v>1072</v>
      </c>
      <c r="J520" t="s">
        <v>830</v>
      </c>
      <c r="K520" s="61">
        <v>1.2999999999999999E-3</v>
      </c>
      <c r="L520" s="57">
        <v>-1.4E-3</v>
      </c>
      <c r="M520" s="57">
        <v>-3.3599999999999998E-2</v>
      </c>
      <c r="N520" s="61">
        <v>3.2000000000000001E-2</v>
      </c>
      <c r="O520" s="57">
        <v>-8.9700000000000002E-2</v>
      </c>
      <c r="P520" s="57">
        <v>6.5299999999999997E-2</v>
      </c>
      <c r="Q520" s="57">
        <v>-0.28549999999999998</v>
      </c>
      <c r="R520" s="57">
        <v>-0.36380000000000001</v>
      </c>
      <c r="S520" s="57">
        <v>-0.36380000000000001</v>
      </c>
      <c r="T520">
        <v>28.06</v>
      </c>
      <c r="U520">
        <v>52.08</v>
      </c>
      <c r="V520">
        <v>24.31</v>
      </c>
      <c r="W520" s="20">
        <v>7856.9421508000005</v>
      </c>
    </row>
    <row r="521" spans="7:23" x14ac:dyDescent="0.15">
      <c r="G521" s="11">
        <v>520</v>
      </c>
      <c r="H521" t="s">
        <v>650</v>
      </c>
      <c r="I521" t="s">
        <v>231</v>
      </c>
      <c r="J521" t="s">
        <v>830</v>
      </c>
      <c r="K521" s="61">
        <v>8.0000000000000004E-4</v>
      </c>
      <c r="L521" s="57">
        <v>1.0999999999999999E-2</v>
      </c>
      <c r="M521" s="57">
        <v>3.0499999999999999E-2</v>
      </c>
      <c r="N521" s="61">
        <v>2.3599999999999999E-2</v>
      </c>
      <c r="O521" s="57">
        <v>-7.4999999999999997E-2</v>
      </c>
      <c r="P521" s="57">
        <v>-4.6899999999999997E-2</v>
      </c>
      <c r="Q521" s="57">
        <v>-0.17910000000000001</v>
      </c>
      <c r="R521" s="57">
        <v>-0.19750000000000001</v>
      </c>
      <c r="S521" s="57">
        <v>-9.2999999999999999E-2</v>
      </c>
      <c r="T521">
        <v>27.92</v>
      </c>
      <c r="U521">
        <v>45.56</v>
      </c>
      <c r="V521">
        <v>30.83</v>
      </c>
      <c r="W521" s="20">
        <v>2638.2181</v>
      </c>
    </row>
    <row r="522" spans="7:23" x14ac:dyDescent="0.15">
      <c r="G522" s="11">
        <v>521</v>
      </c>
      <c r="H522" s="10" t="s">
        <v>1981</v>
      </c>
      <c r="I522" t="s">
        <v>1982</v>
      </c>
      <c r="J522" t="s">
        <v>1946</v>
      </c>
      <c r="K522" s="61">
        <v>1.1999999999999999E-3</v>
      </c>
      <c r="L522" s="57">
        <v>9.4999999999999998E-3</v>
      </c>
      <c r="M522" s="57">
        <v>7.7000000000000002E-3</v>
      </c>
      <c r="N522" s="61">
        <v>3.0300000000000001E-2</v>
      </c>
      <c r="O522" s="57">
        <v>-3.4500000000000003E-2</v>
      </c>
      <c r="P522" s="57">
        <v>1.6999999999999999E-3</v>
      </c>
      <c r="Q522" s="57">
        <v>1.6999999999999999E-3</v>
      </c>
      <c r="R522" s="57">
        <v>1.6999999999999999E-3</v>
      </c>
      <c r="S522" s="57">
        <v>1.6999999999999999E-3</v>
      </c>
      <c r="T522">
        <v>27.78</v>
      </c>
      <c r="U522">
        <v>50.69</v>
      </c>
      <c r="V522">
        <v>25.28</v>
      </c>
      <c r="W522" s="20">
        <v>0</v>
      </c>
    </row>
    <row r="523" spans="7:23" x14ac:dyDescent="0.15">
      <c r="G523" s="11">
        <v>522</v>
      </c>
      <c r="H523" t="s">
        <v>480</v>
      </c>
      <c r="I523" t="s">
        <v>1033</v>
      </c>
      <c r="J523" t="s">
        <v>830</v>
      </c>
      <c r="K523" s="61">
        <v>-2.0000000000000001E-4</v>
      </c>
      <c r="L523" s="57">
        <v>-1.4E-3</v>
      </c>
      <c r="M523" s="57">
        <v>2.6599999999999999E-2</v>
      </c>
      <c r="N523" s="61">
        <v>2.5000000000000001E-3</v>
      </c>
      <c r="O523" s="57">
        <v>-1.1599999999999999E-2</v>
      </c>
      <c r="P523" s="57">
        <v>1.6400000000000001E-2</v>
      </c>
      <c r="Q523" s="57">
        <v>3.8800000000000001E-2</v>
      </c>
      <c r="R523" s="57">
        <v>0.20100000000000001</v>
      </c>
      <c r="S523" s="57">
        <v>0.36720000000000003</v>
      </c>
      <c r="T523">
        <v>27.64</v>
      </c>
      <c r="U523">
        <v>25</v>
      </c>
      <c r="V523">
        <v>50.69</v>
      </c>
      <c r="W523" s="20">
        <v>5498.5005000000001</v>
      </c>
    </row>
    <row r="524" spans="7:23" x14ac:dyDescent="0.15">
      <c r="G524" s="11">
        <v>523</v>
      </c>
      <c r="H524" s="10" t="s">
        <v>1277</v>
      </c>
      <c r="I524" t="s">
        <v>1278</v>
      </c>
      <c r="J524" t="s">
        <v>1609</v>
      </c>
      <c r="K524" s="61">
        <v>-6.9999999999999999E-4</v>
      </c>
      <c r="L524" s="57">
        <v>4.1599999999999998E-2</v>
      </c>
      <c r="M524" s="57">
        <v>1.32E-2</v>
      </c>
      <c r="N524" s="61">
        <v>-4.4000000000000003E-3</v>
      </c>
      <c r="O524" s="57">
        <v>5.67E-2</v>
      </c>
      <c r="P524" s="57">
        <v>0.1069</v>
      </c>
      <c r="Q524" s="57">
        <v>-0.13020000000000001</v>
      </c>
      <c r="R524" s="57">
        <v>-0.19339999999999999</v>
      </c>
      <c r="S524" s="57">
        <v>-0.19339999999999999</v>
      </c>
      <c r="T524">
        <v>27.5</v>
      </c>
      <c r="U524">
        <v>16.25</v>
      </c>
      <c r="V524">
        <v>59.17</v>
      </c>
      <c r="W524" s="20">
        <v>1086.2538999999999</v>
      </c>
    </row>
    <row r="525" spans="7:23" x14ac:dyDescent="0.15">
      <c r="G525" s="11">
        <v>524</v>
      </c>
      <c r="H525" s="10" t="s">
        <v>673</v>
      </c>
      <c r="I525" t="s">
        <v>1127</v>
      </c>
      <c r="J525" t="s">
        <v>830</v>
      </c>
      <c r="K525" s="61">
        <v>2.9999999999999997E-4</v>
      </c>
      <c r="L525" s="57">
        <v>2.8999999999999998E-3</v>
      </c>
      <c r="M525" s="57">
        <v>7.7000000000000002E-3</v>
      </c>
      <c r="N525" s="61">
        <v>1.3299999999999999E-2</v>
      </c>
      <c r="O525" s="57">
        <v>-7.7399999999999997E-2</v>
      </c>
      <c r="P525" s="57">
        <v>-2.4799999999999999E-2</v>
      </c>
      <c r="Q525" s="57">
        <v>-0.17929999999999999</v>
      </c>
      <c r="R525" s="57">
        <v>-0.1537</v>
      </c>
      <c r="S525" s="57">
        <v>3.61E-2</v>
      </c>
      <c r="T525">
        <v>27.36</v>
      </c>
      <c r="U525">
        <v>35</v>
      </c>
      <c r="V525">
        <v>40.28</v>
      </c>
      <c r="W525" s="20">
        <v>39049.984100000001</v>
      </c>
    </row>
    <row r="526" spans="7:23" x14ac:dyDescent="0.15">
      <c r="G526" s="11">
        <v>525</v>
      </c>
      <c r="H526" s="10" t="s">
        <v>603</v>
      </c>
      <c r="I526" t="s">
        <v>1000</v>
      </c>
      <c r="J526" t="s">
        <v>830</v>
      </c>
      <c r="K526" s="61">
        <v>1E-3</v>
      </c>
      <c r="L526" s="57">
        <v>1.15E-2</v>
      </c>
      <c r="M526" s="57">
        <v>3.15E-2</v>
      </c>
      <c r="N526" s="61">
        <v>2.4E-2</v>
      </c>
      <c r="O526" s="57">
        <v>-7.3599999999999999E-2</v>
      </c>
      <c r="P526" s="57">
        <v>-4.5900000000000003E-2</v>
      </c>
      <c r="Q526" s="57">
        <v>-0.17749999999999999</v>
      </c>
      <c r="R526" s="57">
        <v>-0.1797</v>
      </c>
      <c r="S526" s="57">
        <v>-1.9199999999999998E-2</v>
      </c>
      <c r="T526">
        <v>27.22</v>
      </c>
      <c r="U526">
        <v>46.25</v>
      </c>
      <c r="V526">
        <v>28.89</v>
      </c>
      <c r="W526" s="20">
        <v>2801.4796999999999</v>
      </c>
    </row>
    <row r="527" spans="7:23" x14ac:dyDescent="0.15">
      <c r="G527" s="11">
        <v>526</v>
      </c>
      <c r="H527" s="10" t="s">
        <v>1423</v>
      </c>
      <c r="I527" t="s">
        <v>1424</v>
      </c>
      <c r="J527" t="s">
        <v>1609</v>
      </c>
      <c r="K527" s="61">
        <v>-4.0000000000000002E-4</v>
      </c>
      <c r="L527" s="57">
        <v>-2.4400000000000002E-2</v>
      </c>
      <c r="M527" s="57">
        <v>-3.9300000000000002E-2</v>
      </c>
      <c r="N527" s="61">
        <v>0</v>
      </c>
      <c r="O527" s="57">
        <v>-0.2016</v>
      </c>
      <c r="P527" s="57">
        <v>-4.5699999999999998E-2</v>
      </c>
      <c r="Q527" s="57">
        <v>-0.29830000000000001</v>
      </c>
      <c r="R527" s="57">
        <v>-0.2697</v>
      </c>
      <c r="S527" s="57">
        <v>-0.2697</v>
      </c>
      <c r="T527">
        <v>27.08</v>
      </c>
      <c r="U527">
        <v>22.22</v>
      </c>
      <c r="V527">
        <v>52.92</v>
      </c>
      <c r="W527" s="20">
        <v>801.91489999999999</v>
      </c>
    </row>
    <row r="528" spans="7:23" x14ac:dyDescent="0.15">
      <c r="G528" s="11">
        <v>527</v>
      </c>
      <c r="H528" t="s">
        <v>398</v>
      </c>
      <c r="I528" t="s">
        <v>237</v>
      </c>
      <c r="J528" t="s">
        <v>830</v>
      </c>
      <c r="K528" s="61">
        <v>1.8E-3</v>
      </c>
      <c r="L528" s="57">
        <v>8.3999999999999995E-3</v>
      </c>
      <c r="M528" s="57">
        <v>9.1999999999999998E-3</v>
      </c>
      <c r="N528" s="61">
        <v>3.8600000000000002E-2</v>
      </c>
      <c r="O528" s="57">
        <v>-4.2799999999999998E-2</v>
      </c>
      <c r="P528" s="57">
        <v>7.0599999999999996E-2</v>
      </c>
      <c r="Q528" s="57">
        <v>-0.1148</v>
      </c>
      <c r="R528" s="57">
        <v>1.0800000000000001E-2</v>
      </c>
      <c r="S528" s="57">
        <v>0.22639999999999999</v>
      </c>
      <c r="T528">
        <v>26.94</v>
      </c>
      <c r="U528">
        <v>55.97</v>
      </c>
      <c r="V528">
        <v>19.03</v>
      </c>
      <c r="W528" s="20">
        <v>371.19069999999999</v>
      </c>
    </row>
    <row r="529" spans="7:23" x14ac:dyDescent="0.15">
      <c r="G529" s="11">
        <v>528</v>
      </c>
      <c r="H529" s="10" t="s">
        <v>383</v>
      </c>
      <c r="I529" t="s">
        <v>1044</v>
      </c>
      <c r="J529" t="s">
        <v>830</v>
      </c>
      <c r="K529" s="61">
        <v>1E-3</v>
      </c>
      <c r="L529" s="57">
        <v>3.2000000000000002E-3</v>
      </c>
      <c r="M529" s="57">
        <v>1.7000000000000001E-2</v>
      </c>
      <c r="N529" s="61">
        <v>2.4500000000000001E-2</v>
      </c>
      <c r="O529" s="57">
        <v>-2.7099999999999999E-2</v>
      </c>
      <c r="P529" s="57">
        <v>5.9299999999999999E-2</v>
      </c>
      <c r="Q529" s="57">
        <v>-2.1299999999999999E-2</v>
      </c>
      <c r="R529" s="57">
        <v>6.2899999999999998E-2</v>
      </c>
      <c r="S529" s="57">
        <v>2.2700000000000001E-2</v>
      </c>
      <c r="T529">
        <v>26.81</v>
      </c>
      <c r="U529">
        <v>46.94</v>
      </c>
      <c r="V529">
        <v>28.06</v>
      </c>
      <c r="W529" s="20">
        <v>3311.1842000000001</v>
      </c>
    </row>
    <row r="530" spans="7:23" x14ac:dyDescent="0.15">
      <c r="G530" s="11">
        <v>529</v>
      </c>
      <c r="H530" s="10" t="s">
        <v>1365</v>
      </c>
      <c r="I530" t="s">
        <v>1366</v>
      </c>
      <c r="J530" t="s">
        <v>1609</v>
      </c>
      <c r="K530" s="61">
        <v>-5.0000000000000001E-4</v>
      </c>
      <c r="L530" s="57">
        <v>-2.47E-2</v>
      </c>
      <c r="M530" s="57">
        <v>-3.9800000000000002E-2</v>
      </c>
      <c r="N530" s="61">
        <v>-2E-3</v>
      </c>
      <c r="O530" s="57">
        <v>-0.2006</v>
      </c>
      <c r="P530" s="57">
        <v>-5.33E-2</v>
      </c>
      <c r="Q530" s="57">
        <v>-0.2989</v>
      </c>
      <c r="R530" s="57">
        <v>-0.23780000000000001</v>
      </c>
      <c r="S530" s="57">
        <v>-0.23780000000000001</v>
      </c>
      <c r="T530">
        <v>26.67</v>
      </c>
      <c r="U530">
        <v>19.579999999999998</v>
      </c>
      <c r="V530">
        <v>55.28</v>
      </c>
      <c r="W530" s="20">
        <v>287.71769999999998</v>
      </c>
    </row>
    <row r="531" spans="7:23" x14ac:dyDescent="0.15">
      <c r="G531" s="11">
        <v>530</v>
      </c>
      <c r="H531" t="s">
        <v>623</v>
      </c>
      <c r="I531" t="s">
        <v>1038</v>
      </c>
      <c r="J531" t="s">
        <v>830</v>
      </c>
      <c r="K531" s="61">
        <v>2.2000000000000001E-3</v>
      </c>
      <c r="L531" s="57">
        <v>8.6E-3</v>
      </c>
      <c r="M531" s="57">
        <v>1.01E-2</v>
      </c>
      <c r="N531" s="61">
        <v>4.0800000000000003E-2</v>
      </c>
      <c r="O531" s="57">
        <v>-3.9300000000000002E-2</v>
      </c>
      <c r="P531" s="57">
        <v>8.1900000000000001E-2</v>
      </c>
      <c r="Q531" s="57">
        <v>-0.1003</v>
      </c>
      <c r="R531" s="57">
        <v>7.2999999999999995E-2</v>
      </c>
      <c r="S531" s="57">
        <v>0.46260000000000001</v>
      </c>
      <c r="T531">
        <v>26.53</v>
      </c>
      <c r="U531">
        <v>58.75</v>
      </c>
      <c r="V531">
        <v>15.83</v>
      </c>
      <c r="W531" s="20">
        <v>4607.8906999999999</v>
      </c>
    </row>
    <row r="532" spans="7:23" x14ac:dyDescent="0.15">
      <c r="G532" s="11">
        <v>531</v>
      </c>
      <c r="H532" t="s">
        <v>671</v>
      </c>
      <c r="I532" t="s">
        <v>941</v>
      </c>
      <c r="J532" t="s">
        <v>830</v>
      </c>
      <c r="K532" s="61">
        <v>5.0000000000000001E-4</v>
      </c>
      <c r="L532" s="57">
        <v>3.2000000000000002E-3</v>
      </c>
      <c r="M532" s="57">
        <v>8.9999999999999993E-3</v>
      </c>
      <c r="N532" s="61">
        <v>1.55E-2</v>
      </c>
      <c r="O532" s="57">
        <v>-8.9499999999999996E-2</v>
      </c>
      <c r="P532" s="57">
        <v>-3.0800000000000001E-2</v>
      </c>
      <c r="Q532" s="57">
        <v>-0.19589999999999999</v>
      </c>
      <c r="R532" s="57">
        <v>-0.12939999999999999</v>
      </c>
      <c r="S532" s="57">
        <v>0.1472</v>
      </c>
      <c r="T532">
        <v>26.39</v>
      </c>
      <c r="U532">
        <v>37.5</v>
      </c>
      <c r="V532">
        <v>36.94</v>
      </c>
      <c r="W532" s="20">
        <v>1490.9453000000001</v>
      </c>
    </row>
    <row r="533" spans="7:23" x14ac:dyDescent="0.15">
      <c r="G533" s="11">
        <v>532</v>
      </c>
      <c r="H533" s="10" t="s">
        <v>553</v>
      </c>
      <c r="I533" t="s">
        <v>837</v>
      </c>
      <c r="J533" t="s">
        <v>830</v>
      </c>
      <c r="K533" s="61">
        <v>1E-3</v>
      </c>
      <c r="L533" s="57">
        <v>1.11E-2</v>
      </c>
      <c r="M533" s="57">
        <v>3.1099999999999999E-2</v>
      </c>
      <c r="N533" s="61">
        <v>2.3099999999999999E-2</v>
      </c>
      <c r="O533" s="57">
        <v>-7.4399999999999994E-2</v>
      </c>
      <c r="P533" s="57">
        <v>-5.0200000000000002E-2</v>
      </c>
      <c r="Q533" s="57">
        <v>-0.1797</v>
      </c>
      <c r="R533" s="57">
        <v>-0.1578</v>
      </c>
      <c r="S533" s="57">
        <v>1.5599999999999999E-2</v>
      </c>
      <c r="T533">
        <v>26.25</v>
      </c>
      <c r="U533">
        <v>45</v>
      </c>
      <c r="V533">
        <v>29.31</v>
      </c>
      <c r="W533" s="20">
        <v>76.327600000000004</v>
      </c>
    </row>
    <row r="534" spans="7:23" x14ac:dyDescent="0.15">
      <c r="G534" s="11">
        <v>533</v>
      </c>
      <c r="H534" t="s">
        <v>640</v>
      </c>
      <c r="I534" t="s">
        <v>1138</v>
      </c>
      <c r="J534" t="s">
        <v>830</v>
      </c>
      <c r="K534" s="61">
        <v>8.0000000000000004E-4</v>
      </c>
      <c r="L534" s="57">
        <v>9.4000000000000004E-3</v>
      </c>
      <c r="M534" s="57">
        <v>2.5700000000000001E-2</v>
      </c>
      <c r="N534" s="61">
        <v>1.8700000000000001E-2</v>
      </c>
      <c r="O534" s="57">
        <v>-6.2100000000000002E-2</v>
      </c>
      <c r="P534" s="57">
        <v>-4.1799999999999997E-2</v>
      </c>
      <c r="Q534" s="57">
        <v>-0.1583</v>
      </c>
      <c r="R534" s="57">
        <v>-0.18</v>
      </c>
      <c r="S534" s="57">
        <v>-8.3900000000000002E-2</v>
      </c>
      <c r="T534">
        <v>26.11</v>
      </c>
      <c r="U534">
        <v>41.81</v>
      </c>
      <c r="V534">
        <v>32.36</v>
      </c>
      <c r="W534" s="20">
        <v>195352.85769999999</v>
      </c>
    </row>
    <row r="535" spans="7:23" x14ac:dyDescent="0.15">
      <c r="G535" s="11">
        <v>534</v>
      </c>
      <c r="H535" t="s">
        <v>585</v>
      </c>
      <c r="I535" t="s">
        <v>937</v>
      </c>
      <c r="J535" t="s">
        <v>830</v>
      </c>
      <c r="K535" s="61">
        <v>8.0000000000000004E-4</v>
      </c>
      <c r="L535" s="57">
        <v>3.0999999999999999E-3</v>
      </c>
      <c r="M535" s="57">
        <v>8.3999999999999995E-3</v>
      </c>
      <c r="N535" s="61">
        <v>1.8800000000000001E-2</v>
      </c>
      <c r="O535" s="57">
        <v>-7.3899999999999993E-2</v>
      </c>
      <c r="P535" s="57">
        <v>-1.4E-3</v>
      </c>
      <c r="Q535" s="57">
        <v>-0.17519999999999999</v>
      </c>
      <c r="R535" s="57">
        <v>-3.5000000000000003E-2</v>
      </c>
      <c r="S535" s="57">
        <v>0.29609999999999997</v>
      </c>
      <c r="T535">
        <v>25.97</v>
      </c>
      <c r="U535">
        <v>42.08</v>
      </c>
      <c r="V535">
        <v>31.25</v>
      </c>
      <c r="W535" s="20">
        <v>2139.3485000000001</v>
      </c>
    </row>
    <row r="536" spans="7:23" x14ac:dyDescent="0.15">
      <c r="G536" s="11">
        <v>535</v>
      </c>
      <c r="H536" t="s">
        <v>495</v>
      </c>
      <c r="I536" t="s">
        <v>970</v>
      </c>
      <c r="J536" t="s">
        <v>830</v>
      </c>
      <c r="K536" s="61">
        <v>-1.5E-3</v>
      </c>
      <c r="L536" s="57">
        <v>-1.95E-2</v>
      </c>
      <c r="M536" s="57">
        <v>-1.9099999999999999E-2</v>
      </c>
      <c r="N536" s="61">
        <v>-3.6900000000000002E-2</v>
      </c>
      <c r="O536" s="57">
        <v>-0.11020000000000001</v>
      </c>
      <c r="P536" s="57">
        <v>-6.6100000000000006E-2</v>
      </c>
      <c r="Q536" s="57">
        <v>-0.15840000000000001</v>
      </c>
      <c r="R536" s="57">
        <v>-0.14369999999999999</v>
      </c>
      <c r="S536" s="57">
        <v>-0.14369999999999999</v>
      </c>
      <c r="T536">
        <v>25.83</v>
      </c>
      <c r="U536">
        <v>2.92</v>
      </c>
      <c r="V536">
        <v>70.28</v>
      </c>
      <c r="W536" s="20">
        <v>12133.345879999999</v>
      </c>
    </row>
    <row r="537" spans="7:23" x14ac:dyDescent="0.15">
      <c r="G537" s="11">
        <v>536</v>
      </c>
      <c r="H537" t="s">
        <v>613</v>
      </c>
      <c r="I537" t="s">
        <v>921</v>
      </c>
      <c r="J537" t="s">
        <v>830</v>
      </c>
      <c r="K537" s="61">
        <v>6.9999999999999999E-4</v>
      </c>
      <c r="L537" s="57">
        <v>3.3999999999999998E-3</v>
      </c>
      <c r="M537" s="57">
        <v>8.9999999999999993E-3</v>
      </c>
      <c r="N537" s="61">
        <v>1.5900000000000001E-2</v>
      </c>
      <c r="O537" s="57">
        <v>-8.8900000000000007E-2</v>
      </c>
      <c r="P537" s="57">
        <v>-2.7699999999999999E-2</v>
      </c>
      <c r="Q537" s="57">
        <v>-0.2011</v>
      </c>
      <c r="R537" s="57">
        <v>-0.1729</v>
      </c>
      <c r="S537" s="57">
        <v>1.7299999999999999E-2</v>
      </c>
      <c r="T537">
        <v>25.69</v>
      </c>
      <c r="U537">
        <v>38.06</v>
      </c>
      <c r="V537">
        <v>34.86</v>
      </c>
      <c r="W537" s="20">
        <v>1126.5912000000001</v>
      </c>
    </row>
    <row r="538" spans="7:23" x14ac:dyDescent="0.15">
      <c r="G538" s="11">
        <v>537</v>
      </c>
      <c r="H538" s="10" t="s">
        <v>1560</v>
      </c>
      <c r="I538" t="s">
        <v>1561</v>
      </c>
      <c r="J538" t="s">
        <v>1609</v>
      </c>
      <c r="K538" s="61">
        <v>-4.0000000000000002E-4</v>
      </c>
      <c r="L538" s="57">
        <v>-4.0800000000000003E-2</v>
      </c>
      <c r="M538" s="57">
        <v>-6.0199999999999997E-2</v>
      </c>
      <c r="N538" s="61">
        <v>-1.9E-3</v>
      </c>
      <c r="O538" s="57">
        <v>-0.20880000000000001</v>
      </c>
      <c r="P538" s="57">
        <v>-6.3100000000000003E-2</v>
      </c>
      <c r="Q538" s="57">
        <v>-0.35070000000000001</v>
      </c>
      <c r="R538" s="57">
        <v>-0.23069999999999999</v>
      </c>
      <c r="S538" s="57">
        <v>-0.23069999999999999</v>
      </c>
      <c r="T538">
        <v>25.56</v>
      </c>
      <c r="U538">
        <v>19.72</v>
      </c>
      <c r="V538">
        <v>53.06</v>
      </c>
      <c r="W538" s="20">
        <v>329.01179999999999</v>
      </c>
    </row>
    <row r="539" spans="7:23" x14ac:dyDescent="0.15">
      <c r="G539" s="11">
        <v>538</v>
      </c>
      <c r="H539" t="s">
        <v>2004</v>
      </c>
      <c r="I539" t="s">
        <v>2005</v>
      </c>
      <c r="J539" t="s">
        <v>1946</v>
      </c>
      <c r="K539" s="61">
        <v>-1E-4</v>
      </c>
      <c r="L539" s="57">
        <v>-2.69E-2</v>
      </c>
      <c r="M539" s="57">
        <v>-2.5700000000000001E-2</v>
      </c>
      <c r="N539" s="61">
        <v>1.2999999999999999E-3</v>
      </c>
      <c r="O539" s="57">
        <v>-0.1585</v>
      </c>
      <c r="P539" s="57">
        <v>-0.1729</v>
      </c>
      <c r="Q539" s="57">
        <v>-0.1729</v>
      </c>
      <c r="R539" s="57">
        <v>-0.1729</v>
      </c>
      <c r="S539" s="57">
        <v>-0.1729</v>
      </c>
      <c r="T539">
        <v>25.42</v>
      </c>
      <c r="U539">
        <v>23.47</v>
      </c>
      <c r="V539">
        <v>48.47</v>
      </c>
      <c r="W539" s="20">
        <v>756.56910000000005</v>
      </c>
    </row>
    <row r="540" spans="7:23" x14ac:dyDescent="0.15">
      <c r="G540" s="11">
        <v>539</v>
      </c>
      <c r="H540" t="s">
        <v>620</v>
      </c>
      <c r="I540" t="s">
        <v>1110</v>
      </c>
      <c r="J540" t="s">
        <v>830</v>
      </c>
      <c r="K540" s="61">
        <v>8.0000000000000004E-4</v>
      </c>
      <c r="L540" s="57">
        <v>3.3999999999999998E-3</v>
      </c>
      <c r="M540" s="57">
        <v>9.1999999999999998E-3</v>
      </c>
      <c r="N540" s="61">
        <v>1.6E-2</v>
      </c>
      <c r="O540" s="57">
        <v>-8.7900000000000006E-2</v>
      </c>
      <c r="P540" s="57">
        <v>-2.64E-2</v>
      </c>
      <c r="Q540" s="57">
        <v>-0.19739999999999999</v>
      </c>
      <c r="R540" s="57">
        <v>-0.1661</v>
      </c>
      <c r="S540" s="57">
        <v>5.16E-2</v>
      </c>
      <c r="T540">
        <v>25.28</v>
      </c>
      <c r="U540">
        <v>38.75</v>
      </c>
      <c r="V540">
        <v>33.19</v>
      </c>
      <c r="W540" s="20">
        <v>10935.2876</v>
      </c>
    </row>
    <row r="541" spans="7:23" x14ac:dyDescent="0.15">
      <c r="G541" s="11">
        <v>540</v>
      </c>
      <c r="H541" s="10" t="s">
        <v>1348</v>
      </c>
      <c r="I541" t="s">
        <v>1349</v>
      </c>
      <c r="J541" t="s">
        <v>1609</v>
      </c>
      <c r="K541" s="61">
        <v>2.9999999999999997E-4</v>
      </c>
      <c r="L541" s="57">
        <v>1E-4</v>
      </c>
      <c r="M541" s="57">
        <v>-4.5999999999999999E-3</v>
      </c>
      <c r="N541" s="61">
        <v>7.6E-3</v>
      </c>
      <c r="O541" s="57">
        <v>-0.124</v>
      </c>
      <c r="P541" s="57">
        <v>-2.5000000000000001E-2</v>
      </c>
      <c r="Q541" s="57">
        <v>-0.2702</v>
      </c>
      <c r="R541" s="57">
        <v>-0.2702</v>
      </c>
      <c r="S541" s="57">
        <v>-0.2702</v>
      </c>
      <c r="T541">
        <v>25.14</v>
      </c>
      <c r="U541">
        <v>30.83</v>
      </c>
      <c r="V541">
        <v>40.42</v>
      </c>
      <c r="W541" s="20">
        <v>511.68495000000001</v>
      </c>
    </row>
    <row r="542" spans="7:23" x14ac:dyDescent="0.15">
      <c r="G542" s="11">
        <v>541</v>
      </c>
      <c r="H542" t="s">
        <v>1600</v>
      </c>
      <c r="I542" t="s">
        <v>1601</v>
      </c>
      <c r="J542" t="s">
        <v>1609</v>
      </c>
      <c r="K542" s="61">
        <v>5.3E-3</v>
      </c>
      <c r="L542" s="57">
        <v>1.2500000000000001E-2</v>
      </c>
      <c r="M542" s="57">
        <v>3.4200000000000001E-2</v>
      </c>
      <c r="N542" s="61">
        <v>4.9099999999999998E-2</v>
      </c>
      <c r="O542" s="57">
        <v>-9.7900000000000001E-2</v>
      </c>
      <c r="P542" s="57">
        <v>2.9899999999999999E-2</v>
      </c>
      <c r="Q542" s="57">
        <v>3.5499999999999997E-2</v>
      </c>
      <c r="R542" s="57">
        <v>3.5499999999999997E-2</v>
      </c>
      <c r="S542" s="57">
        <v>3.5499999999999997E-2</v>
      </c>
      <c r="T542">
        <v>25</v>
      </c>
      <c r="U542">
        <v>64.86</v>
      </c>
      <c r="V542">
        <v>6.39</v>
      </c>
      <c r="W542" s="20">
        <v>1002.4573</v>
      </c>
    </row>
    <row r="543" spans="7:23" x14ac:dyDescent="0.15">
      <c r="G543" s="11">
        <v>542</v>
      </c>
      <c r="H543" t="s">
        <v>461</v>
      </c>
      <c r="I543" t="s">
        <v>1003</v>
      </c>
      <c r="J543" t="s">
        <v>830</v>
      </c>
      <c r="K543" s="61">
        <v>2.0000000000000001E-4</v>
      </c>
      <c r="L543" s="57">
        <v>-1.1000000000000001E-3</v>
      </c>
      <c r="M543" s="57">
        <v>2.76E-2</v>
      </c>
      <c r="N543" s="61">
        <v>3.5999999999999999E-3</v>
      </c>
      <c r="O543" s="57">
        <v>-0.01</v>
      </c>
      <c r="P543" s="57">
        <v>2.3800000000000002E-2</v>
      </c>
      <c r="Q543" s="57">
        <v>4.3099999999999999E-2</v>
      </c>
      <c r="R543" s="57">
        <v>0.16589999999999999</v>
      </c>
      <c r="S543" s="57">
        <v>0.3795</v>
      </c>
      <c r="T543">
        <v>24.86</v>
      </c>
      <c r="U543">
        <v>27.36</v>
      </c>
      <c r="V543">
        <v>43.89</v>
      </c>
      <c r="W543" s="20">
        <v>1402.6329000000001</v>
      </c>
    </row>
    <row r="544" spans="7:23" x14ac:dyDescent="0.15">
      <c r="G544" s="11">
        <v>543</v>
      </c>
      <c r="H544" s="10" t="s">
        <v>451</v>
      </c>
      <c r="I544" t="s">
        <v>1106</v>
      </c>
      <c r="J544" t="s">
        <v>830</v>
      </c>
      <c r="K544" s="61">
        <v>-1E-3</v>
      </c>
      <c r="L544" s="57">
        <v>-4.7600000000000003E-2</v>
      </c>
      <c r="M544" s="57">
        <v>-8.1799999999999998E-2</v>
      </c>
      <c r="N544" s="61">
        <v>-2.7699999999999999E-2</v>
      </c>
      <c r="O544" s="57">
        <v>-0.21490000000000001</v>
      </c>
      <c r="P544" s="57">
        <v>-8.9999999999999998E-4</v>
      </c>
      <c r="Q544" s="57">
        <v>-0.2913</v>
      </c>
      <c r="R544" s="57">
        <v>5.4800000000000001E-2</v>
      </c>
      <c r="S544" s="57">
        <v>5.4800000000000001E-2</v>
      </c>
      <c r="T544">
        <v>24.72</v>
      </c>
      <c r="U544">
        <v>6.94</v>
      </c>
      <c r="V544">
        <v>64.31</v>
      </c>
      <c r="W544" s="20">
        <v>18512.6057</v>
      </c>
    </row>
    <row r="545" spans="7:23" x14ac:dyDescent="0.15">
      <c r="G545" s="11">
        <v>544</v>
      </c>
      <c r="H545" t="s">
        <v>1586</v>
      </c>
      <c r="I545" t="s">
        <v>1587</v>
      </c>
      <c r="J545" t="s">
        <v>1609</v>
      </c>
      <c r="K545" s="61">
        <v>1.1000000000000001E-3</v>
      </c>
      <c r="L545" s="57">
        <v>7.1999999999999998E-3</v>
      </c>
      <c r="M545" s="57">
        <v>1.24E-2</v>
      </c>
      <c r="N545" s="61">
        <v>2.12E-2</v>
      </c>
      <c r="O545" s="57">
        <v>-8.9300000000000004E-2</v>
      </c>
      <c r="P545" s="57">
        <v>-3.5000000000000001E-3</v>
      </c>
      <c r="Q545" s="57">
        <v>-0.2049</v>
      </c>
      <c r="R545" s="57">
        <v>-0.2049</v>
      </c>
      <c r="S545" s="57">
        <v>-0.2049</v>
      </c>
      <c r="T545">
        <v>24.58</v>
      </c>
      <c r="U545">
        <v>43.61</v>
      </c>
      <c r="V545">
        <v>27.36</v>
      </c>
      <c r="W545" s="20">
        <v>11156.149299999999</v>
      </c>
    </row>
    <row r="546" spans="7:23" x14ac:dyDescent="0.15">
      <c r="G546" s="11">
        <v>545</v>
      </c>
      <c r="H546" s="10" t="s">
        <v>599</v>
      </c>
      <c r="I546" t="s">
        <v>230</v>
      </c>
      <c r="J546" t="s">
        <v>830</v>
      </c>
      <c r="K546" s="61">
        <v>8.0000000000000004E-4</v>
      </c>
      <c r="L546" s="57">
        <v>3.2000000000000002E-3</v>
      </c>
      <c r="M546" s="57">
        <v>8.9999999999999993E-3</v>
      </c>
      <c r="N546" s="61">
        <v>1.5800000000000002E-2</v>
      </c>
      <c r="O546" s="57">
        <v>-8.2299999999999998E-2</v>
      </c>
      <c r="P546" s="57">
        <v>-1.8700000000000001E-2</v>
      </c>
      <c r="Q546" s="57">
        <v>-0.17910000000000001</v>
      </c>
      <c r="R546" s="57">
        <v>-7.2599999999999998E-2</v>
      </c>
      <c r="S546" s="57">
        <v>0.25619999999999998</v>
      </c>
      <c r="T546">
        <v>24.44</v>
      </c>
      <c r="U546">
        <v>37.92</v>
      </c>
      <c r="V546">
        <v>32.64</v>
      </c>
      <c r="W546" s="20">
        <v>10.8324</v>
      </c>
    </row>
    <row r="547" spans="7:23" x14ac:dyDescent="0.15">
      <c r="G547" s="11">
        <v>546</v>
      </c>
      <c r="H547" t="s">
        <v>1588</v>
      </c>
      <c r="I547" t="s">
        <v>1589</v>
      </c>
      <c r="J547" t="s">
        <v>1609</v>
      </c>
      <c r="K547" s="61">
        <v>3.5999999999999999E-3</v>
      </c>
      <c r="L547" s="57">
        <v>-4.4499999999999998E-2</v>
      </c>
      <c r="M547" s="57">
        <v>-5.3800000000000001E-2</v>
      </c>
      <c r="N547" s="61">
        <v>4.3700000000000003E-2</v>
      </c>
      <c r="O547" s="57">
        <v>4.4499999999999998E-2</v>
      </c>
      <c r="P547" s="57">
        <v>0.1173</v>
      </c>
      <c r="Q547" s="57">
        <v>-5.5999999999999999E-3</v>
      </c>
      <c r="R547" s="57">
        <v>-5.5999999999999999E-3</v>
      </c>
      <c r="S547" s="57">
        <v>-5.5999999999999999E-3</v>
      </c>
      <c r="T547">
        <v>24.31</v>
      </c>
      <c r="U547">
        <v>60.69</v>
      </c>
      <c r="V547">
        <v>9.58</v>
      </c>
      <c r="W547" s="20">
        <v>5315.5617000000002</v>
      </c>
    </row>
    <row r="548" spans="7:23" x14ac:dyDescent="0.15">
      <c r="G548" s="11">
        <v>547</v>
      </c>
      <c r="H548" s="10" t="s">
        <v>607</v>
      </c>
      <c r="I548" t="s">
        <v>239</v>
      </c>
      <c r="J548" t="s">
        <v>1166</v>
      </c>
      <c r="K548" s="61">
        <v>2.9999999999999997E-4</v>
      </c>
      <c r="L548" s="57">
        <v>1.4E-3</v>
      </c>
      <c r="M548" s="57">
        <v>1.5E-3</v>
      </c>
      <c r="N548" s="61">
        <v>4.7000000000000002E-3</v>
      </c>
      <c r="O548" s="57">
        <v>-2.1700000000000001E-2</v>
      </c>
      <c r="P548" s="57">
        <v>-2.9999999999999997E-4</v>
      </c>
      <c r="Q548" s="57">
        <v>-5.2600000000000001E-2</v>
      </c>
      <c r="R548" s="57">
        <v>-2.9399999999999999E-2</v>
      </c>
      <c r="S548" s="57">
        <v>0.09</v>
      </c>
      <c r="T548">
        <v>24.17</v>
      </c>
      <c r="U548">
        <v>28.19</v>
      </c>
      <c r="V548">
        <v>41.94</v>
      </c>
      <c r="W548" s="20">
        <v>284.65032719999999</v>
      </c>
    </row>
    <row r="549" spans="7:23" x14ac:dyDescent="0.15">
      <c r="G549" s="11">
        <v>548</v>
      </c>
      <c r="H549" t="s">
        <v>390</v>
      </c>
      <c r="I549" t="s">
        <v>1043</v>
      </c>
      <c r="J549" t="s">
        <v>830</v>
      </c>
      <c r="K549" s="61">
        <v>-5.9999999999999995E-4</v>
      </c>
      <c r="L549" s="57">
        <v>-5.7200000000000001E-2</v>
      </c>
      <c r="M549" s="57">
        <v>-7.3300000000000004E-2</v>
      </c>
      <c r="N549" s="61">
        <v>-1.5699999999999999E-2</v>
      </c>
      <c r="O549" s="57">
        <v>-0.21340000000000001</v>
      </c>
      <c r="P549" s="57">
        <v>-3.2500000000000001E-2</v>
      </c>
      <c r="Q549" s="57">
        <v>-0.33069999999999999</v>
      </c>
      <c r="R549" s="57">
        <v>0.1447</v>
      </c>
      <c r="S549" s="57">
        <v>0.1447</v>
      </c>
      <c r="T549">
        <v>24.03</v>
      </c>
      <c r="U549">
        <v>11.39</v>
      </c>
      <c r="V549">
        <v>58.33</v>
      </c>
      <c r="W549" s="20">
        <v>2633.2341999999999</v>
      </c>
    </row>
    <row r="550" spans="7:23" x14ac:dyDescent="0.15">
      <c r="G550" s="11">
        <v>549</v>
      </c>
      <c r="H550" s="10" t="s">
        <v>529</v>
      </c>
      <c r="I550" t="s">
        <v>956</v>
      </c>
      <c r="J550" t="s">
        <v>830</v>
      </c>
      <c r="K550" s="61">
        <v>-1.1999999999999999E-3</v>
      </c>
      <c r="L550" s="57">
        <v>-5.0000000000000001E-3</v>
      </c>
      <c r="M550" s="57">
        <v>5.8999999999999999E-3</v>
      </c>
      <c r="N550" s="61">
        <v>-3.8899999999999997E-2</v>
      </c>
      <c r="O550" s="57">
        <v>-4.7800000000000002E-2</v>
      </c>
      <c r="P550" s="57">
        <v>4.8899999999999999E-2</v>
      </c>
      <c r="Q550" s="57">
        <v>-6.93E-2</v>
      </c>
      <c r="R550" s="57">
        <v>-0.16600000000000001</v>
      </c>
      <c r="S550" s="57">
        <v>-0.16600000000000001</v>
      </c>
      <c r="T550">
        <v>23.89</v>
      </c>
      <c r="U550">
        <v>2.5</v>
      </c>
      <c r="V550">
        <v>67.22</v>
      </c>
      <c r="W550" s="20">
        <v>1059.7046</v>
      </c>
    </row>
    <row r="551" spans="7:23" x14ac:dyDescent="0.15">
      <c r="G551" s="11">
        <v>550</v>
      </c>
      <c r="H551" t="s">
        <v>481</v>
      </c>
      <c r="I551" t="s">
        <v>890</v>
      </c>
      <c r="J551" t="s">
        <v>830</v>
      </c>
      <c r="K551" s="61">
        <v>0</v>
      </c>
      <c r="L551" s="57">
        <v>-4.0800000000000003E-2</v>
      </c>
      <c r="M551" s="57">
        <v>-5.9700000000000003E-2</v>
      </c>
      <c r="N551" s="61">
        <v>0</v>
      </c>
      <c r="O551" s="57">
        <v>-0.20880000000000001</v>
      </c>
      <c r="P551" s="57">
        <v>-5.2200000000000003E-2</v>
      </c>
      <c r="Q551" s="57">
        <v>-0.34799999999999998</v>
      </c>
      <c r="R551" s="57">
        <v>-0.14019999999999999</v>
      </c>
      <c r="S551" s="57">
        <v>-0.14019999999999999</v>
      </c>
      <c r="T551">
        <v>23.75</v>
      </c>
      <c r="U551">
        <v>21.94</v>
      </c>
      <c r="V551">
        <v>47.78</v>
      </c>
      <c r="W551" s="20">
        <v>270.0829</v>
      </c>
    </row>
    <row r="552" spans="7:23" x14ac:dyDescent="0.15">
      <c r="G552" s="11">
        <v>551</v>
      </c>
      <c r="H552" t="s">
        <v>273</v>
      </c>
      <c r="I552" t="s">
        <v>795</v>
      </c>
      <c r="J552" t="s">
        <v>793</v>
      </c>
      <c r="K552" s="61">
        <v>-1.4E-3</v>
      </c>
      <c r="L552" s="57">
        <v>-5.3900000000000003E-2</v>
      </c>
      <c r="M552" s="57">
        <v>-0.1074</v>
      </c>
      <c r="N552" s="61">
        <v>-7.7700000000000005E-2</v>
      </c>
      <c r="O552" s="57">
        <v>-0.27239999999999998</v>
      </c>
      <c r="P552" s="57">
        <v>-0.1018</v>
      </c>
      <c r="Q552" s="57">
        <v>-0.2419</v>
      </c>
      <c r="R552" s="57">
        <v>-0.1099</v>
      </c>
      <c r="S552" s="57">
        <v>0.40500000000000003</v>
      </c>
      <c r="T552">
        <v>23.61</v>
      </c>
      <c r="U552">
        <v>0.28000000000000003</v>
      </c>
      <c r="V552">
        <v>69.17</v>
      </c>
      <c r="W552" s="20">
        <v>92.591700000000003</v>
      </c>
    </row>
    <row r="553" spans="7:23" x14ac:dyDescent="0.15">
      <c r="G553" s="11">
        <v>552</v>
      </c>
      <c r="H553" s="10" t="s">
        <v>305</v>
      </c>
      <c r="I553" t="s">
        <v>1104</v>
      </c>
      <c r="J553" t="s">
        <v>830</v>
      </c>
      <c r="K553" s="61">
        <v>-4.0000000000000002E-4</v>
      </c>
      <c r="L553" s="57">
        <v>-5.7999999999999996E-3</v>
      </c>
      <c r="M553" s="57">
        <v>-7.4999999999999997E-3</v>
      </c>
      <c r="N553" s="61">
        <v>-5.0000000000000001E-3</v>
      </c>
      <c r="O553" s="57">
        <v>-7.4999999999999997E-3</v>
      </c>
      <c r="P553" s="57">
        <v>9.2999999999999992E-3</v>
      </c>
      <c r="Q553" s="57">
        <v>3.2099999999999997E-2</v>
      </c>
      <c r="R553" s="57">
        <v>8.0799999999999997E-2</v>
      </c>
      <c r="S553" s="57">
        <v>0.1101</v>
      </c>
      <c r="T553">
        <v>23.47</v>
      </c>
      <c r="U553">
        <v>15.83</v>
      </c>
      <c r="V553">
        <v>53.61</v>
      </c>
      <c r="W553" s="20">
        <v>48936.258500000004</v>
      </c>
    </row>
    <row r="554" spans="7:23" x14ac:dyDescent="0.15">
      <c r="G554" s="11">
        <v>553</v>
      </c>
      <c r="H554" t="s">
        <v>618</v>
      </c>
      <c r="I554" t="s">
        <v>1048</v>
      </c>
      <c r="J554" t="s">
        <v>830</v>
      </c>
      <c r="K554" s="61">
        <v>2.5000000000000001E-3</v>
      </c>
      <c r="L554" s="57">
        <v>8.3999999999999995E-3</v>
      </c>
      <c r="M554" s="57">
        <v>9.1000000000000004E-3</v>
      </c>
      <c r="N554" s="61">
        <v>3.9E-2</v>
      </c>
      <c r="O554" s="57">
        <v>-4.2799999999999998E-2</v>
      </c>
      <c r="P554" s="57">
        <v>7.0800000000000002E-2</v>
      </c>
      <c r="Q554" s="57">
        <v>-0.1152</v>
      </c>
      <c r="R554" s="57">
        <v>2.4899999999999999E-2</v>
      </c>
      <c r="S554" s="57">
        <v>0.31690000000000002</v>
      </c>
      <c r="T554">
        <v>23.33</v>
      </c>
      <c r="U554">
        <v>56.25</v>
      </c>
      <c r="V554">
        <v>13.19</v>
      </c>
      <c r="W554" s="20">
        <v>6115.5266000000001</v>
      </c>
    </row>
    <row r="555" spans="7:23" x14ac:dyDescent="0.15">
      <c r="G555" s="11">
        <v>554</v>
      </c>
      <c r="H555" t="s">
        <v>1439</v>
      </c>
      <c r="I555" t="s">
        <v>1440</v>
      </c>
      <c r="J555" t="s">
        <v>1609</v>
      </c>
      <c r="K555" s="61">
        <v>1.5E-3</v>
      </c>
      <c r="L555" s="57">
        <v>8.3000000000000001E-3</v>
      </c>
      <c r="M555" s="57">
        <v>2.2499999999999999E-2</v>
      </c>
      <c r="N555" s="61">
        <v>2.6200000000000001E-2</v>
      </c>
      <c r="O555" s="57">
        <v>-6.4299999999999996E-2</v>
      </c>
      <c r="P555" s="57">
        <v>-3.6400000000000002E-2</v>
      </c>
      <c r="Q555" s="57">
        <v>-0.1716</v>
      </c>
      <c r="R555" s="57">
        <v>-0.19439999999999999</v>
      </c>
      <c r="S555" s="57">
        <v>-0.19439999999999999</v>
      </c>
      <c r="T555">
        <v>23.19</v>
      </c>
      <c r="U555">
        <v>48.19</v>
      </c>
      <c r="V555">
        <v>21.11</v>
      </c>
      <c r="W555" s="20">
        <v>157.7944</v>
      </c>
    </row>
    <row r="556" spans="7:23" x14ac:dyDescent="0.15">
      <c r="G556" s="11">
        <v>555</v>
      </c>
      <c r="H556" s="10" t="s">
        <v>442</v>
      </c>
      <c r="I556" t="s">
        <v>1001</v>
      </c>
      <c r="J556" t="s">
        <v>830</v>
      </c>
      <c r="K556" s="61">
        <v>-2.0000000000000001E-4</v>
      </c>
      <c r="L556" s="57">
        <v>-6.4999999999999997E-3</v>
      </c>
      <c r="M556" s="57">
        <v>-2.5000000000000001E-2</v>
      </c>
      <c r="N556" s="61">
        <v>-2.3E-3</v>
      </c>
      <c r="O556" s="57">
        <v>-0.13869999999999999</v>
      </c>
      <c r="P556" s="57">
        <v>3.0099999999999998E-2</v>
      </c>
      <c r="Q556" s="57">
        <v>-0.29630000000000001</v>
      </c>
      <c r="R556" s="57">
        <v>-0.10299999999999999</v>
      </c>
      <c r="S556" s="57">
        <v>0.48230000000000001</v>
      </c>
      <c r="T556">
        <v>23.06</v>
      </c>
      <c r="U556">
        <v>18.75</v>
      </c>
      <c r="V556">
        <v>50.28</v>
      </c>
      <c r="W556" s="20">
        <v>1508.72271</v>
      </c>
    </row>
    <row r="557" spans="7:23" x14ac:dyDescent="0.15">
      <c r="G557" s="11">
        <v>556</v>
      </c>
      <c r="H557" s="10" t="s">
        <v>628</v>
      </c>
      <c r="I557" t="s">
        <v>1134</v>
      </c>
      <c r="J557" t="s">
        <v>830</v>
      </c>
      <c r="K557" s="61">
        <v>2.9999999999999997E-4</v>
      </c>
      <c r="L557" s="57">
        <v>-3.7000000000000002E-3</v>
      </c>
      <c r="M557" s="57">
        <v>6.7999999999999996E-3</v>
      </c>
      <c r="N557" s="61">
        <v>3.0999999999999999E-3</v>
      </c>
      <c r="O557" s="57">
        <v>-0.1032</v>
      </c>
      <c r="P557" s="57">
        <v>-3.7999999999999999E-2</v>
      </c>
      <c r="Q557" s="57">
        <v>-0.21060000000000001</v>
      </c>
      <c r="R557" s="57">
        <v>-0.21829999999999999</v>
      </c>
      <c r="S557" s="57">
        <v>-0.21829999999999999</v>
      </c>
      <c r="T557">
        <v>22.92</v>
      </c>
      <c r="U557">
        <v>26.94</v>
      </c>
      <c r="V557">
        <v>42.08</v>
      </c>
      <c r="W557" s="20">
        <v>17929.5612</v>
      </c>
    </row>
    <row r="558" spans="7:23" x14ac:dyDescent="0.15">
      <c r="G558" s="11">
        <v>557</v>
      </c>
      <c r="H558" t="s">
        <v>668</v>
      </c>
      <c r="I558" t="s">
        <v>1036</v>
      </c>
      <c r="J558" t="s">
        <v>830</v>
      </c>
      <c r="K558" s="61">
        <v>1.5E-3</v>
      </c>
      <c r="L558" s="57">
        <v>1.11E-2</v>
      </c>
      <c r="M558" s="57">
        <v>3.1600000000000003E-2</v>
      </c>
      <c r="N558" s="61">
        <v>2.4E-2</v>
      </c>
      <c r="O558" s="57">
        <v>-7.2999999999999995E-2</v>
      </c>
      <c r="P558" s="57">
        <v>-4.4499999999999998E-2</v>
      </c>
      <c r="Q558" s="57">
        <v>-0.17710000000000001</v>
      </c>
      <c r="R558" s="57">
        <v>-0.16309999999999999</v>
      </c>
      <c r="S558" s="57">
        <v>4.2799999999999998E-2</v>
      </c>
      <c r="T558">
        <v>22.78</v>
      </c>
      <c r="U558">
        <v>46.39</v>
      </c>
      <c r="V558">
        <v>22.36</v>
      </c>
      <c r="W558" s="20">
        <v>3498.6738999999998</v>
      </c>
    </row>
    <row r="559" spans="7:23" x14ac:dyDescent="0.15">
      <c r="G559" s="11">
        <v>558</v>
      </c>
      <c r="H559" s="10" t="s">
        <v>431</v>
      </c>
      <c r="I559" t="s">
        <v>899</v>
      </c>
      <c r="J559" t="s">
        <v>830</v>
      </c>
      <c r="K559" s="61">
        <v>0</v>
      </c>
      <c r="L559" s="57">
        <v>-5.5999999999999999E-3</v>
      </c>
      <c r="M559" s="57">
        <v>-2.6200000000000001E-2</v>
      </c>
      <c r="N559" s="61">
        <v>-4.0000000000000002E-4</v>
      </c>
      <c r="O559" s="57">
        <v>-0.13289999999999999</v>
      </c>
      <c r="P559" s="57">
        <v>2.7699999999999999E-2</v>
      </c>
      <c r="Q559" s="57">
        <v>-0.29859999999999998</v>
      </c>
      <c r="R559" s="57">
        <v>-0.106</v>
      </c>
      <c r="S559" s="57">
        <v>-5.3999999999999999E-2</v>
      </c>
      <c r="T559">
        <v>22.64</v>
      </c>
      <c r="U559">
        <v>21.81</v>
      </c>
      <c r="V559">
        <v>46.53</v>
      </c>
      <c r="W559" s="20">
        <v>202.60979</v>
      </c>
    </row>
    <row r="560" spans="7:23" x14ac:dyDescent="0.15">
      <c r="G560" s="11">
        <v>559</v>
      </c>
      <c r="H560" t="s">
        <v>592</v>
      </c>
      <c r="I560" t="s">
        <v>871</v>
      </c>
      <c r="J560" t="s">
        <v>830</v>
      </c>
      <c r="K560" s="61">
        <v>1.6000000000000001E-3</v>
      </c>
      <c r="L560" s="57">
        <v>-5.0000000000000001E-3</v>
      </c>
      <c r="M560" s="57">
        <v>6.7000000000000002E-3</v>
      </c>
      <c r="N560" s="61">
        <v>2.58E-2</v>
      </c>
      <c r="O560" s="57">
        <v>-3.2300000000000002E-2</v>
      </c>
      <c r="P560" s="57">
        <v>-3.0099999999999998E-2</v>
      </c>
      <c r="Q560" s="57">
        <v>-0.1133</v>
      </c>
      <c r="R560" s="57">
        <v>-0.15429999999999999</v>
      </c>
      <c r="S560" s="57">
        <v>-0.15690000000000001</v>
      </c>
      <c r="T560">
        <v>22.5</v>
      </c>
      <c r="U560">
        <v>47.78</v>
      </c>
      <c r="V560">
        <v>20.56</v>
      </c>
      <c r="W560" s="20">
        <v>444.0059</v>
      </c>
    </row>
    <row r="561" spans="7:23" x14ac:dyDescent="0.15">
      <c r="G561" s="11">
        <v>560</v>
      </c>
      <c r="H561" t="s">
        <v>430</v>
      </c>
      <c r="I561" t="s">
        <v>898</v>
      </c>
      <c r="J561" t="s">
        <v>830</v>
      </c>
      <c r="K561" s="61">
        <v>-1E-3</v>
      </c>
      <c r="L561" s="57">
        <v>-1.8800000000000001E-2</v>
      </c>
      <c r="M561" s="57">
        <v>-1.83E-2</v>
      </c>
      <c r="N561" s="61">
        <v>-3.61E-2</v>
      </c>
      <c r="O561" s="57">
        <v>-0.10730000000000001</v>
      </c>
      <c r="P561" s="57">
        <v>-6.5600000000000006E-2</v>
      </c>
      <c r="Q561" s="57">
        <v>-0.15679999999999999</v>
      </c>
      <c r="R561" s="57">
        <v>-0.1041</v>
      </c>
      <c r="S561" s="57">
        <v>-0.1041</v>
      </c>
      <c r="T561">
        <v>22.36</v>
      </c>
      <c r="U561">
        <v>3.61</v>
      </c>
      <c r="V561">
        <v>64.72</v>
      </c>
      <c r="W561" s="20">
        <v>212.9212</v>
      </c>
    </row>
    <row r="562" spans="7:23" x14ac:dyDescent="0.15">
      <c r="G562" s="11">
        <v>561</v>
      </c>
      <c r="H562" s="10" t="s">
        <v>645</v>
      </c>
      <c r="I562" t="s">
        <v>1030</v>
      </c>
      <c r="J562" t="s">
        <v>830</v>
      </c>
      <c r="K562" s="61">
        <v>1.5E-3</v>
      </c>
      <c r="L562" s="57">
        <v>1.11E-2</v>
      </c>
      <c r="M562" s="57">
        <v>3.1099999999999999E-2</v>
      </c>
      <c r="N562" s="61">
        <v>2.3699999999999999E-2</v>
      </c>
      <c r="O562" s="57">
        <v>-7.4200000000000002E-2</v>
      </c>
      <c r="P562" s="57">
        <v>-4.4499999999999998E-2</v>
      </c>
      <c r="Q562" s="57">
        <v>-0.17799999999999999</v>
      </c>
      <c r="R562" s="57">
        <v>-0.17749999999999999</v>
      </c>
      <c r="S562" s="57">
        <v>1.3899999999999999E-2</v>
      </c>
      <c r="T562">
        <v>22.22</v>
      </c>
      <c r="U562">
        <v>45.97</v>
      </c>
      <c r="V562">
        <v>22.22</v>
      </c>
      <c r="W562" s="20">
        <v>935.16179999999997</v>
      </c>
    </row>
    <row r="563" spans="7:23" x14ac:dyDescent="0.15">
      <c r="G563" s="11">
        <v>562</v>
      </c>
      <c r="H563" t="s">
        <v>365</v>
      </c>
      <c r="I563" t="s">
        <v>990</v>
      </c>
      <c r="J563" t="s">
        <v>830</v>
      </c>
      <c r="K563" s="61">
        <v>-5.9999999999999995E-4</v>
      </c>
      <c r="L563" s="57">
        <v>-5.6899999999999999E-2</v>
      </c>
      <c r="M563" s="57">
        <v>-7.4300000000000005E-2</v>
      </c>
      <c r="N563" s="61">
        <v>-1.67E-2</v>
      </c>
      <c r="O563" s="57">
        <v>-0.21440000000000001</v>
      </c>
      <c r="P563" s="57">
        <v>-3.5799999999999998E-2</v>
      </c>
      <c r="Q563" s="57">
        <v>-0.3362</v>
      </c>
      <c r="R563" s="57">
        <v>-5.04E-2</v>
      </c>
      <c r="S563" s="57">
        <v>-5.04E-2</v>
      </c>
      <c r="T563">
        <v>22.08</v>
      </c>
      <c r="U563">
        <v>10.56</v>
      </c>
      <c r="V563">
        <v>57.36</v>
      </c>
      <c r="W563" s="20">
        <v>2422.9605000000001</v>
      </c>
    </row>
    <row r="564" spans="7:23" x14ac:dyDescent="0.15">
      <c r="G564" s="11">
        <v>563</v>
      </c>
      <c r="H564" s="10" t="s">
        <v>421</v>
      </c>
      <c r="I564" t="s">
        <v>1129</v>
      </c>
      <c r="J564" t="s">
        <v>830</v>
      </c>
      <c r="K564" s="61">
        <v>-5.0000000000000001E-4</v>
      </c>
      <c r="L564" s="57">
        <v>-5.7700000000000001E-2</v>
      </c>
      <c r="M564" s="57">
        <v>-7.4300000000000005E-2</v>
      </c>
      <c r="N564" s="61">
        <v>-1.5699999999999999E-2</v>
      </c>
      <c r="O564" s="57">
        <v>-0.2157</v>
      </c>
      <c r="P564" s="57">
        <v>-3.6799999999999999E-2</v>
      </c>
      <c r="Q564" s="57">
        <v>-0.34039999999999998</v>
      </c>
      <c r="R564" s="57">
        <v>0.41930000000000001</v>
      </c>
      <c r="S564" s="57">
        <v>0.77480000000000004</v>
      </c>
      <c r="T564">
        <v>21.94</v>
      </c>
      <c r="U564">
        <v>11.67</v>
      </c>
      <c r="V564">
        <v>56.25</v>
      </c>
      <c r="W564" s="20">
        <v>31933.019199999999</v>
      </c>
    </row>
    <row r="565" spans="7:23" x14ac:dyDescent="0.15">
      <c r="G565" s="11">
        <v>564</v>
      </c>
      <c r="H565" s="10" t="s">
        <v>443</v>
      </c>
      <c r="I565" t="s">
        <v>884</v>
      </c>
      <c r="J565" t="s">
        <v>830</v>
      </c>
      <c r="K565" s="61">
        <v>8.0000000000000004E-4</v>
      </c>
      <c r="L565" s="57">
        <v>5.1999999999999998E-3</v>
      </c>
      <c r="M565" s="57">
        <v>1.2500000000000001E-2</v>
      </c>
      <c r="N565" s="61">
        <v>1.54E-2</v>
      </c>
      <c r="O565" s="57">
        <v>-8.77E-2</v>
      </c>
      <c r="P565" s="57">
        <v>-3.15E-2</v>
      </c>
      <c r="Q565" s="57">
        <v>-0.2006</v>
      </c>
      <c r="R565" s="57">
        <v>-0.25</v>
      </c>
      <c r="S565" s="57">
        <v>-0.25</v>
      </c>
      <c r="T565">
        <v>21.81</v>
      </c>
      <c r="U565">
        <v>37.22</v>
      </c>
      <c r="V565">
        <v>30.69</v>
      </c>
      <c r="W565" s="20">
        <v>1247.4548</v>
      </c>
    </row>
    <row r="566" spans="7:23" x14ac:dyDescent="0.15">
      <c r="G566" s="11">
        <v>565</v>
      </c>
      <c r="H566" t="s">
        <v>703</v>
      </c>
      <c r="I566" t="s">
        <v>932</v>
      </c>
      <c r="J566" t="s">
        <v>830</v>
      </c>
      <c r="K566" s="61">
        <v>5.9999999999999995E-4</v>
      </c>
      <c r="L566" s="57">
        <v>8.6999999999999994E-3</v>
      </c>
      <c r="M566" s="57">
        <v>4.5400000000000003E-2</v>
      </c>
      <c r="N566" s="61">
        <v>8.8000000000000005E-3</v>
      </c>
      <c r="O566" s="57">
        <v>-1.5299999999999999E-2</v>
      </c>
      <c r="P566" s="57">
        <v>-4.2299999999999997E-2</v>
      </c>
      <c r="Q566" s="57">
        <v>-3.5799999999999998E-2</v>
      </c>
      <c r="R566" s="57">
        <v>-6.9500000000000006E-2</v>
      </c>
      <c r="S566" s="57">
        <v>-3.1300000000000001E-2</v>
      </c>
      <c r="T566">
        <v>21.67</v>
      </c>
      <c r="U566">
        <v>32.22</v>
      </c>
      <c r="V566">
        <v>35.14</v>
      </c>
      <c r="W566" s="20">
        <v>469.89150000000001</v>
      </c>
    </row>
    <row r="567" spans="7:23" x14ac:dyDescent="0.15">
      <c r="G567" s="11">
        <v>566</v>
      </c>
      <c r="H567" s="10" t="s">
        <v>590</v>
      </c>
      <c r="I567" t="s">
        <v>1156</v>
      </c>
      <c r="J567" t="s">
        <v>1146</v>
      </c>
      <c r="K567" s="61">
        <v>1.2500000000000001E-2</v>
      </c>
      <c r="L567" s="57">
        <v>-1.6400000000000001E-2</v>
      </c>
      <c r="M567" s="57">
        <v>6.6100000000000006E-2</v>
      </c>
      <c r="N567" s="61">
        <v>4.9500000000000002E-2</v>
      </c>
      <c r="O567" s="57">
        <v>-9.9299999999999999E-2</v>
      </c>
      <c r="P567" s="57">
        <v>4.87E-2</v>
      </c>
      <c r="Q567" s="57">
        <v>-0.21809999999999999</v>
      </c>
      <c r="R567" s="57">
        <v>8.8599999999999998E-2</v>
      </c>
      <c r="S567" s="57">
        <v>0.42170000000000002</v>
      </c>
      <c r="T567">
        <v>21.53</v>
      </c>
      <c r="U567">
        <v>65.28</v>
      </c>
      <c r="V567">
        <v>2.08</v>
      </c>
      <c r="W567" s="20">
        <v>38837.620560000003</v>
      </c>
    </row>
    <row r="568" spans="7:23" x14ac:dyDescent="0.15">
      <c r="G568" s="11">
        <v>567</v>
      </c>
      <c r="H568" s="10" t="s">
        <v>513</v>
      </c>
      <c r="I568" t="s">
        <v>930</v>
      </c>
      <c r="J568" t="s">
        <v>830</v>
      </c>
      <c r="K568" s="61">
        <v>5.0000000000000001E-4</v>
      </c>
      <c r="L568" s="57">
        <v>-2.1100000000000001E-2</v>
      </c>
      <c r="M568" s="57">
        <v>-1.1599999999999999E-2</v>
      </c>
      <c r="N568" s="61">
        <v>5.7999999999999996E-3</v>
      </c>
      <c r="O568" s="57">
        <v>-0.14680000000000001</v>
      </c>
      <c r="P568" s="57">
        <v>-7.4300000000000005E-2</v>
      </c>
      <c r="Q568" s="57">
        <v>-0.2465</v>
      </c>
      <c r="R568" s="57">
        <v>-0.2084</v>
      </c>
      <c r="S568" s="57">
        <v>-0.2084</v>
      </c>
      <c r="T568">
        <v>21.39</v>
      </c>
      <c r="U568">
        <v>29.17</v>
      </c>
      <c r="V568">
        <v>37.92</v>
      </c>
      <c r="W568" s="20">
        <v>1909.5623000000001</v>
      </c>
    </row>
    <row r="569" spans="7:23" x14ac:dyDescent="0.15">
      <c r="G569" s="11">
        <v>568</v>
      </c>
      <c r="H569" s="10" t="s">
        <v>675</v>
      </c>
      <c r="I569" t="s">
        <v>1156</v>
      </c>
      <c r="J569" t="s">
        <v>1146</v>
      </c>
      <c r="K569" s="61">
        <v>1.55E-2</v>
      </c>
      <c r="L569" s="57">
        <v>-1.6400000000000001E-2</v>
      </c>
      <c r="M569" s="57">
        <v>6.7299999999999999E-2</v>
      </c>
      <c r="N569" s="61">
        <v>0.05</v>
      </c>
      <c r="O569" s="57">
        <v>-9.7699999999999995E-2</v>
      </c>
      <c r="P569" s="57">
        <v>5.1299999999999998E-2</v>
      </c>
      <c r="Q569" s="57">
        <v>-0.216</v>
      </c>
      <c r="R569" s="57">
        <v>8.9800000000000005E-2</v>
      </c>
      <c r="S569" s="57">
        <v>0.45479999999999998</v>
      </c>
      <c r="T569">
        <v>21.25</v>
      </c>
      <c r="U569">
        <v>65.69</v>
      </c>
      <c r="V569">
        <v>1.1100000000000001</v>
      </c>
      <c r="W569" s="20">
        <v>25064.9539</v>
      </c>
    </row>
    <row r="570" spans="7:23" x14ac:dyDescent="0.15">
      <c r="G570" s="11">
        <v>569</v>
      </c>
      <c r="H570" t="s">
        <v>612</v>
      </c>
      <c r="I570" t="s">
        <v>840</v>
      </c>
      <c r="J570" t="s">
        <v>830</v>
      </c>
      <c r="K570" s="61">
        <v>8.0000000000000004E-4</v>
      </c>
      <c r="L570" s="57">
        <v>1.8E-3</v>
      </c>
      <c r="M570" s="57">
        <v>5.1000000000000004E-3</v>
      </c>
      <c r="N570" s="61">
        <v>1.38E-2</v>
      </c>
      <c r="O570" s="57">
        <v>-6.0199999999999997E-2</v>
      </c>
      <c r="P570" s="57">
        <v>4.4000000000000003E-3</v>
      </c>
      <c r="Q570" s="57">
        <v>-0.15579999999999999</v>
      </c>
      <c r="R570" s="57">
        <v>-3.7900000000000003E-2</v>
      </c>
      <c r="S570" s="57">
        <v>0.35399999999999998</v>
      </c>
      <c r="T570">
        <v>21.11</v>
      </c>
      <c r="U570">
        <v>35.28</v>
      </c>
      <c r="V570">
        <v>31.39</v>
      </c>
      <c r="W570" s="20">
        <v>324.86829999999998</v>
      </c>
    </row>
    <row r="571" spans="7:23" x14ac:dyDescent="0.15">
      <c r="G571" s="11">
        <v>570</v>
      </c>
      <c r="H571" s="10" t="s">
        <v>593</v>
      </c>
      <c r="I571" t="s">
        <v>1092</v>
      </c>
      <c r="J571" t="s">
        <v>830</v>
      </c>
      <c r="K571" s="61">
        <v>1.1000000000000001E-3</v>
      </c>
      <c r="L571" s="57">
        <v>2E-3</v>
      </c>
      <c r="M571" s="57">
        <v>9.9000000000000008E-3</v>
      </c>
      <c r="N571" s="61">
        <v>1.6E-2</v>
      </c>
      <c r="O571" s="57">
        <v>-6.0299999999999999E-2</v>
      </c>
      <c r="P571" s="57">
        <v>2E-3</v>
      </c>
      <c r="Q571" s="57">
        <v>-8.8800000000000004E-2</v>
      </c>
      <c r="R571" s="57">
        <v>-1.29E-2</v>
      </c>
      <c r="S571" s="57">
        <v>0.1956</v>
      </c>
      <c r="T571">
        <v>20.97</v>
      </c>
      <c r="U571">
        <v>38.47</v>
      </c>
      <c r="V571">
        <v>27.78</v>
      </c>
      <c r="W571" s="20">
        <v>5775.0029000000004</v>
      </c>
    </row>
    <row r="572" spans="7:23" x14ac:dyDescent="0.15">
      <c r="G572" s="11">
        <v>571</v>
      </c>
      <c r="H572" s="10" t="s">
        <v>2010</v>
      </c>
      <c r="I572" t="s">
        <v>2011</v>
      </c>
      <c r="J572" t="s">
        <v>1946</v>
      </c>
      <c r="K572" s="61">
        <v>2.0000000000000001E-4</v>
      </c>
      <c r="L572" s="57">
        <v>-2.6800000000000001E-2</v>
      </c>
      <c r="M572" s="57">
        <v>-2.5600000000000001E-2</v>
      </c>
      <c r="N572" s="61">
        <v>1.1000000000000001E-3</v>
      </c>
      <c r="O572" s="57">
        <v>-0.1588</v>
      </c>
      <c r="P572" s="57">
        <v>-0.16619999999999999</v>
      </c>
      <c r="Q572" s="57">
        <v>-0.16619999999999999</v>
      </c>
      <c r="R572" s="57">
        <v>-0.16619999999999999</v>
      </c>
      <c r="S572" s="57">
        <v>-0.16619999999999999</v>
      </c>
      <c r="T572">
        <v>20.83</v>
      </c>
      <c r="U572">
        <v>22.92</v>
      </c>
      <c r="V572">
        <v>43.06</v>
      </c>
      <c r="W572" s="20">
        <v>1574.06548</v>
      </c>
    </row>
    <row r="573" spans="7:23" x14ac:dyDescent="0.15">
      <c r="G573" s="11">
        <v>572</v>
      </c>
      <c r="H573" s="10" t="s">
        <v>732</v>
      </c>
      <c r="I573" t="s">
        <v>1157</v>
      </c>
      <c r="J573" t="s">
        <v>1146</v>
      </c>
      <c r="K573" s="61">
        <v>8.9999999999999993E-3</v>
      </c>
      <c r="L573" s="57">
        <v>-1.7000000000000001E-2</v>
      </c>
      <c r="M573" s="57">
        <v>6.0999999999999999E-2</v>
      </c>
      <c r="N573" s="61">
        <v>4.5999999999999999E-2</v>
      </c>
      <c r="O573" s="57">
        <v>-9.2100000000000001E-2</v>
      </c>
      <c r="P573" s="57">
        <v>5.0799999999999998E-2</v>
      </c>
      <c r="Q573" s="57">
        <v>-0.20349999999999999</v>
      </c>
      <c r="R573" s="57">
        <v>9.01E-2</v>
      </c>
      <c r="S573" s="57">
        <v>0.42549999999999999</v>
      </c>
      <c r="T573">
        <v>20.69</v>
      </c>
      <c r="U573">
        <v>62.78</v>
      </c>
      <c r="V573">
        <v>3.19</v>
      </c>
      <c r="W573" s="20">
        <v>316.95538440000001</v>
      </c>
    </row>
    <row r="574" spans="7:23" x14ac:dyDescent="0.15">
      <c r="G574" s="11">
        <v>573</v>
      </c>
      <c r="H574" t="s">
        <v>372</v>
      </c>
      <c r="I574" t="s">
        <v>905</v>
      </c>
      <c r="J574" t="s">
        <v>830</v>
      </c>
      <c r="K574" s="61">
        <v>0</v>
      </c>
      <c r="L574" s="57">
        <v>-2.4E-2</v>
      </c>
      <c r="M574" s="57">
        <v>-3.8800000000000001E-2</v>
      </c>
      <c r="N574" s="61">
        <v>-2.0999999999999999E-3</v>
      </c>
      <c r="O574" s="57">
        <v>-0.20250000000000001</v>
      </c>
      <c r="P574" s="57">
        <v>-5.8000000000000003E-2</v>
      </c>
      <c r="Q574" s="57">
        <v>-0.29649999999999999</v>
      </c>
      <c r="R574" s="57">
        <v>-0.11700000000000001</v>
      </c>
      <c r="S574" s="57">
        <v>-0.11700000000000001</v>
      </c>
      <c r="T574">
        <v>20.56</v>
      </c>
      <c r="U574">
        <v>19.309999999999999</v>
      </c>
      <c r="V574">
        <v>46.39</v>
      </c>
      <c r="W574" s="20">
        <v>6.0103999999999997</v>
      </c>
    </row>
    <row r="575" spans="7:23" x14ac:dyDescent="0.15">
      <c r="G575" s="11">
        <v>574</v>
      </c>
      <c r="H575" s="10" t="s">
        <v>530</v>
      </c>
      <c r="I575" t="s">
        <v>1069</v>
      </c>
      <c r="J575" t="s">
        <v>830</v>
      </c>
      <c r="K575" s="61">
        <v>-8.9999999999999998E-4</v>
      </c>
      <c r="L575" s="57">
        <v>-4.5999999999999999E-3</v>
      </c>
      <c r="M575" s="57">
        <v>6.7000000000000002E-3</v>
      </c>
      <c r="N575" s="61">
        <v>-3.6700000000000003E-2</v>
      </c>
      <c r="O575" s="57">
        <v>-4.41E-2</v>
      </c>
      <c r="P575" s="57">
        <v>5.7200000000000001E-2</v>
      </c>
      <c r="Q575" s="57">
        <v>-5.8400000000000001E-2</v>
      </c>
      <c r="R575" s="57">
        <v>-0.20530000000000001</v>
      </c>
      <c r="S575" s="57">
        <v>-0.20530000000000001</v>
      </c>
      <c r="T575">
        <v>20.420000000000002</v>
      </c>
      <c r="U575">
        <v>3.06</v>
      </c>
      <c r="V575">
        <v>62.64</v>
      </c>
      <c r="W575" s="20">
        <v>3299.7783399999998</v>
      </c>
    </row>
    <row r="576" spans="7:23" x14ac:dyDescent="0.15">
      <c r="G576" s="11">
        <v>575</v>
      </c>
      <c r="H576" s="10" t="s">
        <v>1405</v>
      </c>
      <c r="I576" t="s">
        <v>1406</v>
      </c>
      <c r="J576" t="s">
        <v>1609</v>
      </c>
      <c r="K576" s="61">
        <v>6.9999999999999999E-4</v>
      </c>
      <c r="L576" s="57">
        <v>-2.0899999999999998E-2</v>
      </c>
      <c r="M576" s="57">
        <v>-1.06E-2</v>
      </c>
      <c r="N576" s="61">
        <v>7.7000000000000002E-3</v>
      </c>
      <c r="O576" s="57">
        <v>-0.14219999999999999</v>
      </c>
      <c r="P576" s="57">
        <v>-6.7500000000000004E-2</v>
      </c>
      <c r="Q576" s="57">
        <v>-0.2402</v>
      </c>
      <c r="R576" s="57">
        <v>-0.1996</v>
      </c>
      <c r="S576" s="57">
        <v>-0.1996</v>
      </c>
      <c r="T576">
        <v>20.28</v>
      </c>
      <c r="U576">
        <v>31.11</v>
      </c>
      <c r="V576">
        <v>34.58</v>
      </c>
      <c r="W576" s="20">
        <v>2049.3823000000002</v>
      </c>
    </row>
    <row r="577" spans="7:23" x14ac:dyDescent="0.15">
      <c r="G577" s="11">
        <v>576</v>
      </c>
      <c r="H577" t="s">
        <v>660</v>
      </c>
      <c r="I577" t="s">
        <v>1139</v>
      </c>
      <c r="J577" t="s">
        <v>830</v>
      </c>
      <c r="K577" s="61">
        <v>8.0000000000000004E-4</v>
      </c>
      <c r="L577" s="57">
        <v>2.5000000000000001E-3</v>
      </c>
      <c r="M577" s="57">
        <v>7.4999999999999997E-3</v>
      </c>
      <c r="N577" s="61">
        <v>1.26E-2</v>
      </c>
      <c r="O577" s="57">
        <v>-7.9399999999999998E-2</v>
      </c>
      <c r="P577" s="57">
        <v>-2.6499999999999999E-2</v>
      </c>
      <c r="Q577" s="57">
        <v>-0.18329999999999999</v>
      </c>
      <c r="R577" s="57">
        <v>-0.1588</v>
      </c>
      <c r="S577" s="57">
        <v>2.9499999999999998E-2</v>
      </c>
      <c r="T577">
        <v>20.14</v>
      </c>
      <c r="U577">
        <v>34.31</v>
      </c>
      <c r="V577">
        <v>31.11</v>
      </c>
      <c r="W577" s="20">
        <v>251638.6318</v>
      </c>
    </row>
    <row r="578" spans="7:23" x14ac:dyDescent="0.15">
      <c r="G578" s="11">
        <v>577</v>
      </c>
      <c r="H578" t="s">
        <v>1264</v>
      </c>
      <c r="I578" t="s">
        <v>1265</v>
      </c>
      <c r="J578" t="s">
        <v>1609</v>
      </c>
      <c r="K578" s="61">
        <v>5.0000000000000001E-4</v>
      </c>
      <c r="L578" s="57">
        <v>-3.2099999999999997E-2</v>
      </c>
      <c r="M578" s="57">
        <v>-4.6199999999999998E-2</v>
      </c>
      <c r="N578" s="61">
        <v>4.4000000000000003E-3</v>
      </c>
      <c r="O578" s="57">
        <v>-0.17960000000000001</v>
      </c>
      <c r="P578" s="57">
        <v>-3.0999999999999999E-3</v>
      </c>
      <c r="Q578" s="57">
        <v>-0.1875</v>
      </c>
      <c r="R578" s="57">
        <v>-0.1847</v>
      </c>
      <c r="S578" s="57">
        <v>-0.1847</v>
      </c>
      <c r="T578">
        <v>20</v>
      </c>
      <c r="U578">
        <v>27.92</v>
      </c>
      <c r="V578">
        <v>37.36</v>
      </c>
      <c r="W578" s="20">
        <v>3706.9090447999997</v>
      </c>
    </row>
    <row r="579" spans="7:23" x14ac:dyDescent="0.15">
      <c r="G579" s="11">
        <v>578</v>
      </c>
      <c r="H579" t="s">
        <v>1413</v>
      </c>
      <c r="I579" t="s">
        <v>1414</v>
      </c>
      <c r="J579" t="s">
        <v>1609</v>
      </c>
      <c r="K579" s="61">
        <v>-1E-3</v>
      </c>
      <c r="L579" s="57">
        <v>-5.8000000000000003E-2</v>
      </c>
      <c r="M579" s="57">
        <v>-9.0999999999999998E-2</v>
      </c>
      <c r="N579" s="61">
        <v>-5.5800000000000002E-2</v>
      </c>
      <c r="O579" s="57">
        <v>-0.2475</v>
      </c>
      <c r="P579" s="57">
        <v>3.3300000000000003E-2</v>
      </c>
      <c r="Q579" s="57">
        <v>-9.9099999999999994E-2</v>
      </c>
      <c r="R579" s="57">
        <v>-9.9099999999999994E-2</v>
      </c>
      <c r="S579" s="57">
        <v>-9.9099999999999994E-2</v>
      </c>
      <c r="T579">
        <v>19.86</v>
      </c>
      <c r="U579">
        <v>1.25</v>
      </c>
      <c r="V579">
        <v>64.03</v>
      </c>
      <c r="W579" s="20">
        <v>1120.5435199999999</v>
      </c>
    </row>
    <row r="580" spans="7:23" x14ac:dyDescent="0.15">
      <c r="G580" s="11">
        <v>579</v>
      </c>
      <c r="H580" t="s">
        <v>2027</v>
      </c>
      <c r="I580" t="s">
        <v>2028</v>
      </c>
      <c r="J580" t="s">
        <v>1946</v>
      </c>
      <c r="K580" s="61">
        <v>9.2999999999999992E-3</v>
      </c>
      <c r="L580" s="57">
        <v>-1.9099999999999999E-2</v>
      </c>
      <c r="M580" s="57">
        <v>6.2199999999999998E-2</v>
      </c>
      <c r="N580" s="61">
        <v>4.5100000000000001E-2</v>
      </c>
      <c r="O580" s="57">
        <v>-0.1012</v>
      </c>
      <c r="P580" s="57">
        <v>-4.0899999999999999E-2</v>
      </c>
      <c r="Q580" s="57">
        <v>-4.0899999999999999E-2</v>
      </c>
      <c r="R580" s="57">
        <v>-4.0899999999999999E-2</v>
      </c>
      <c r="S580" s="57">
        <v>-4.0899999999999999E-2</v>
      </c>
      <c r="T580">
        <v>19.72</v>
      </c>
      <c r="U580">
        <v>62.22</v>
      </c>
      <c r="V580">
        <v>2.92</v>
      </c>
      <c r="W580" s="20">
        <v>2650.0409500000001</v>
      </c>
    </row>
    <row r="581" spans="7:23" x14ac:dyDescent="0.15">
      <c r="G581" s="11">
        <v>580</v>
      </c>
      <c r="H581" t="s">
        <v>1361</v>
      </c>
      <c r="I581" t="s">
        <v>1362</v>
      </c>
      <c r="J581" t="s">
        <v>1609</v>
      </c>
      <c r="K581" s="61">
        <v>0</v>
      </c>
      <c r="L581" s="57">
        <v>-2.8199999999999999E-2</v>
      </c>
      <c r="M581" s="57">
        <v>-4.2599999999999999E-2</v>
      </c>
      <c r="N581" s="61">
        <v>-2.3E-3</v>
      </c>
      <c r="O581" s="57">
        <v>-0.20100000000000001</v>
      </c>
      <c r="P581" s="57">
        <v>-4.53E-2</v>
      </c>
      <c r="Q581" s="57">
        <v>-0.27700000000000002</v>
      </c>
      <c r="R581" s="57">
        <v>-0.27700000000000002</v>
      </c>
      <c r="S581" s="57">
        <v>-0.27700000000000002</v>
      </c>
      <c r="T581">
        <v>19.579999999999998</v>
      </c>
      <c r="U581">
        <v>18.89</v>
      </c>
      <c r="V581">
        <v>45.97</v>
      </c>
      <c r="W581" s="20">
        <v>1920.6575899999998</v>
      </c>
    </row>
    <row r="582" spans="7:23" x14ac:dyDescent="0.15">
      <c r="G582" s="11">
        <v>581</v>
      </c>
      <c r="H582" s="10" t="s">
        <v>427</v>
      </c>
      <c r="I582" t="s">
        <v>948</v>
      </c>
      <c r="J582" t="s">
        <v>830</v>
      </c>
      <c r="K582" s="61">
        <v>1.1999999999999999E-3</v>
      </c>
      <c r="L582" s="57">
        <v>8.0999999999999996E-3</v>
      </c>
      <c r="M582" s="57">
        <v>2.2200000000000001E-2</v>
      </c>
      <c r="N582" s="61">
        <v>1.6400000000000001E-2</v>
      </c>
      <c r="O582" s="57">
        <v>-8.0299999999999996E-2</v>
      </c>
      <c r="P582" s="57">
        <v>-1.4500000000000001E-2</v>
      </c>
      <c r="Q582" s="57">
        <v>-0.21709999999999999</v>
      </c>
      <c r="R582" s="57">
        <v>-0.13980000000000001</v>
      </c>
      <c r="S582" s="57">
        <v>0.52170000000000005</v>
      </c>
      <c r="T582">
        <v>19.440000000000001</v>
      </c>
      <c r="U582">
        <v>39.86</v>
      </c>
      <c r="V582">
        <v>25</v>
      </c>
      <c r="W582" s="20">
        <v>477.97669999999999</v>
      </c>
    </row>
    <row r="583" spans="7:23" x14ac:dyDescent="0.15">
      <c r="G583" s="11">
        <v>582</v>
      </c>
      <c r="H583" t="s">
        <v>583</v>
      </c>
      <c r="I583" t="s">
        <v>1088</v>
      </c>
      <c r="J583" t="s">
        <v>830</v>
      </c>
      <c r="K583" s="61">
        <v>8.0000000000000004E-4</v>
      </c>
      <c r="L583" s="57">
        <v>1E-4</v>
      </c>
      <c r="M583" s="57">
        <v>-4.5999999999999999E-3</v>
      </c>
      <c r="N583" s="61">
        <v>7.7000000000000002E-3</v>
      </c>
      <c r="O583" s="57">
        <v>-0.1237</v>
      </c>
      <c r="P583" s="57">
        <v>-2.3199999999999998E-2</v>
      </c>
      <c r="Q583" s="57">
        <v>-0.25640000000000002</v>
      </c>
      <c r="R583" s="57">
        <v>-0.189</v>
      </c>
      <c r="S583" s="57">
        <v>0.2001</v>
      </c>
      <c r="T583">
        <v>19.309999999999999</v>
      </c>
      <c r="U583">
        <v>31.25</v>
      </c>
      <c r="V583">
        <v>33.06</v>
      </c>
      <c r="W583" s="20">
        <v>8767.5363464000002</v>
      </c>
    </row>
    <row r="584" spans="7:23" x14ac:dyDescent="0.15">
      <c r="G584" s="11">
        <v>583</v>
      </c>
      <c r="H584" t="s">
        <v>517</v>
      </c>
      <c r="I584" t="s">
        <v>986</v>
      </c>
      <c r="J584" t="s">
        <v>830</v>
      </c>
      <c r="K584" s="61">
        <v>5.0000000000000001E-4</v>
      </c>
      <c r="L584" s="57">
        <v>3.5000000000000001E-3</v>
      </c>
      <c r="M584" s="57">
        <v>3.7600000000000001E-2</v>
      </c>
      <c r="N584" s="61">
        <v>3.2000000000000002E-3</v>
      </c>
      <c r="O584" s="57">
        <v>-3.5999999999999997E-2</v>
      </c>
      <c r="P584" s="57">
        <v>-7.5700000000000003E-2</v>
      </c>
      <c r="Q584" s="57">
        <v>-0.1174</v>
      </c>
      <c r="R584" s="57">
        <v>-7.6600000000000001E-2</v>
      </c>
      <c r="S584" s="57">
        <v>3.7199999999999997E-2</v>
      </c>
      <c r="T584">
        <v>19.170000000000002</v>
      </c>
      <c r="U584">
        <v>27.08</v>
      </c>
      <c r="V584">
        <v>36.81</v>
      </c>
      <c r="W584" s="20">
        <v>1824.6106</v>
      </c>
    </row>
    <row r="585" spans="7:23" x14ac:dyDescent="0.15">
      <c r="G585" s="11">
        <v>584</v>
      </c>
      <c r="H585" t="s">
        <v>626</v>
      </c>
      <c r="I585" t="s">
        <v>1130</v>
      </c>
      <c r="J585" t="s">
        <v>830</v>
      </c>
      <c r="K585" s="61">
        <v>5.0000000000000001E-4</v>
      </c>
      <c r="L585" s="57">
        <v>-3.8E-3</v>
      </c>
      <c r="M585" s="57">
        <v>6.7000000000000002E-3</v>
      </c>
      <c r="N585" s="61">
        <v>2.8E-3</v>
      </c>
      <c r="O585" s="57">
        <v>-0.1041</v>
      </c>
      <c r="P585" s="57">
        <v>-3.9699999999999999E-2</v>
      </c>
      <c r="Q585" s="57">
        <v>-0.21240000000000001</v>
      </c>
      <c r="R585" s="57">
        <v>-0.2205</v>
      </c>
      <c r="S585" s="57">
        <v>-0.2205</v>
      </c>
      <c r="T585">
        <v>19.03</v>
      </c>
      <c r="U585">
        <v>25.56</v>
      </c>
      <c r="V585">
        <v>37.78</v>
      </c>
      <c r="W585" s="20">
        <v>48705.005100000002</v>
      </c>
    </row>
    <row r="586" spans="7:23" x14ac:dyDescent="0.15">
      <c r="G586" s="11">
        <v>585</v>
      </c>
      <c r="H586" s="10" t="s">
        <v>512</v>
      </c>
      <c r="I586" t="s">
        <v>863</v>
      </c>
      <c r="J586" t="s">
        <v>830</v>
      </c>
      <c r="K586" s="61">
        <v>7.7000000000000002E-3</v>
      </c>
      <c r="L586" s="57">
        <v>2.0299999999999999E-2</v>
      </c>
      <c r="M586" s="57">
        <v>-8.0000000000000004E-4</v>
      </c>
      <c r="N586" s="61">
        <v>4.1099999999999998E-2</v>
      </c>
      <c r="O586" s="57">
        <v>-6.88E-2</v>
      </c>
      <c r="P586" s="57">
        <v>4.9599999999999998E-2</v>
      </c>
      <c r="Q586" s="57">
        <v>-0.24640000000000001</v>
      </c>
      <c r="R586" s="57">
        <v>-7.3000000000000001E-3</v>
      </c>
      <c r="S586" s="57">
        <v>0.65449999999999997</v>
      </c>
      <c r="T586">
        <v>18.89</v>
      </c>
      <c r="U586">
        <v>59.03</v>
      </c>
      <c r="V586">
        <v>4.17</v>
      </c>
      <c r="W586" s="20">
        <v>541.01649999999995</v>
      </c>
    </row>
    <row r="587" spans="7:23" x14ac:dyDescent="0.15">
      <c r="G587" s="11">
        <v>586</v>
      </c>
      <c r="H587" s="10" t="s">
        <v>379</v>
      </c>
      <c r="I587" t="s">
        <v>1091</v>
      </c>
      <c r="J587" t="s">
        <v>830</v>
      </c>
      <c r="K587" s="61">
        <v>-5.9999999999999995E-4</v>
      </c>
      <c r="L587" s="57">
        <v>-5.9299999999999999E-2</v>
      </c>
      <c r="M587" s="57">
        <v>-7.5399999999999995E-2</v>
      </c>
      <c r="N587" s="61">
        <v>-3.1600000000000003E-2</v>
      </c>
      <c r="O587" s="57">
        <v>-0.2429</v>
      </c>
      <c r="P587" s="57">
        <v>-5.5300000000000002E-2</v>
      </c>
      <c r="Q587" s="57">
        <v>-0.35749999999999998</v>
      </c>
      <c r="R587" s="57">
        <v>-7.6399999999999996E-2</v>
      </c>
      <c r="S587" s="57">
        <v>-7.6399999999999996E-2</v>
      </c>
      <c r="T587">
        <v>18.75</v>
      </c>
      <c r="U587">
        <v>4.72</v>
      </c>
      <c r="V587">
        <v>57.22</v>
      </c>
      <c r="W587" s="20">
        <v>12493.241392200001</v>
      </c>
    </row>
    <row r="588" spans="7:23" x14ac:dyDescent="0.15">
      <c r="G588" s="11">
        <v>587</v>
      </c>
      <c r="H588" s="10" t="s">
        <v>728</v>
      </c>
      <c r="I588" t="s">
        <v>1155</v>
      </c>
      <c r="J588" t="s">
        <v>1146</v>
      </c>
      <c r="K588" s="61">
        <v>1.09E-2</v>
      </c>
      <c r="L588" s="57">
        <v>-1.1299999999999999E-2</v>
      </c>
      <c r="M588" s="57">
        <v>6.4299999999999996E-2</v>
      </c>
      <c r="N588" s="61">
        <v>4.1599999999999998E-2</v>
      </c>
      <c r="O588" s="57">
        <v>-8.9300000000000004E-2</v>
      </c>
      <c r="P588" s="57">
        <v>5.8900000000000001E-2</v>
      </c>
      <c r="Q588" s="57">
        <v>-0.2082</v>
      </c>
      <c r="R588" s="57">
        <v>4.7600000000000003E-2</v>
      </c>
      <c r="S588" s="57">
        <v>4.7600000000000003E-2</v>
      </c>
      <c r="T588">
        <v>18.61</v>
      </c>
      <c r="U588">
        <v>59.44</v>
      </c>
      <c r="V588">
        <v>2.5</v>
      </c>
      <c r="W588" s="20">
        <v>7333.7745999999997</v>
      </c>
    </row>
    <row r="589" spans="7:23" x14ac:dyDescent="0.15">
      <c r="G589" s="11">
        <v>588</v>
      </c>
      <c r="H589" t="s">
        <v>527</v>
      </c>
      <c r="I589" t="s">
        <v>970</v>
      </c>
      <c r="J589" t="s">
        <v>830</v>
      </c>
      <c r="K589" s="61">
        <v>2.9999999999999997E-4</v>
      </c>
      <c r="L589" s="57">
        <v>-7.7000000000000002E-3</v>
      </c>
      <c r="M589" s="57">
        <v>-5.5999999999999999E-3</v>
      </c>
      <c r="N589" s="61">
        <v>-2.0999999999999999E-3</v>
      </c>
      <c r="O589" s="57">
        <v>-9.6799999999999997E-2</v>
      </c>
      <c r="P589" s="57">
        <v>-4.5600000000000002E-2</v>
      </c>
      <c r="Q589" s="57">
        <v>-0.18529999999999999</v>
      </c>
      <c r="R589" s="57">
        <v>-0.23019999999999999</v>
      </c>
      <c r="S589" s="57">
        <v>-0.23019999999999999</v>
      </c>
      <c r="T589">
        <v>18.47</v>
      </c>
      <c r="U589">
        <v>19.03</v>
      </c>
      <c r="V589">
        <v>42.64</v>
      </c>
      <c r="W589" s="20">
        <v>1317.8144</v>
      </c>
    </row>
    <row r="590" spans="7:23" x14ac:dyDescent="0.15">
      <c r="G590" s="11">
        <v>589</v>
      </c>
      <c r="H590" s="10" t="s">
        <v>573</v>
      </c>
      <c r="I590" t="s">
        <v>979</v>
      </c>
      <c r="J590" t="s">
        <v>830</v>
      </c>
      <c r="K590" s="61">
        <v>1.1000000000000001E-3</v>
      </c>
      <c r="L590" s="57">
        <v>4.8999999999999998E-3</v>
      </c>
      <c r="M590" s="57">
        <v>1.0800000000000001E-2</v>
      </c>
      <c r="N590" s="61">
        <v>1.26E-2</v>
      </c>
      <c r="O590" s="57">
        <v>-0.1021</v>
      </c>
      <c r="P590" s="57">
        <v>-4.2900000000000001E-2</v>
      </c>
      <c r="Q590" s="57">
        <v>-0.1991</v>
      </c>
      <c r="R590" s="57">
        <v>-0.1903</v>
      </c>
      <c r="S590" s="57">
        <v>3.8899999999999997E-2</v>
      </c>
      <c r="T590">
        <v>18.329999999999998</v>
      </c>
      <c r="U590">
        <v>34.44</v>
      </c>
      <c r="V590">
        <v>27.22</v>
      </c>
      <c r="W590" s="20">
        <v>1546.8137999999999</v>
      </c>
    </row>
    <row r="591" spans="7:23" x14ac:dyDescent="0.15">
      <c r="G591" s="11">
        <v>590</v>
      </c>
      <c r="H591" t="s">
        <v>538</v>
      </c>
      <c r="I591" t="s">
        <v>1096</v>
      </c>
      <c r="J591" t="s">
        <v>830</v>
      </c>
      <c r="K591" s="61">
        <v>-1E-4</v>
      </c>
      <c r="L591" s="57">
        <v>-1.0999999999999999E-2</v>
      </c>
      <c r="M591" s="57">
        <v>-4.65E-2</v>
      </c>
      <c r="N591" s="61">
        <v>-1.03E-2</v>
      </c>
      <c r="O591" s="57">
        <v>-8.1100000000000005E-2</v>
      </c>
      <c r="P591" s="57">
        <v>9.5000000000000001E-2</v>
      </c>
      <c r="Q591" s="57">
        <v>-0.20530000000000001</v>
      </c>
      <c r="R591" s="57">
        <v>8.5900000000000004E-2</v>
      </c>
      <c r="S591" s="57">
        <v>0.58840000000000003</v>
      </c>
      <c r="T591">
        <v>18.190000000000001</v>
      </c>
      <c r="U591">
        <v>12.92</v>
      </c>
      <c r="V591">
        <v>48.61</v>
      </c>
      <c r="W591" s="20">
        <v>12785.093199999999</v>
      </c>
    </row>
    <row r="592" spans="7:23" x14ac:dyDescent="0.15">
      <c r="G592" s="11">
        <v>591</v>
      </c>
      <c r="H592" s="10" t="s">
        <v>597</v>
      </c>
      <c r="I592" t="s">
        <v>1037</v>
      </c>
      <c r="J592" t="s">
        <v>830</v>
      </c>
      <c r="K592" s="61">
        <v>2.8999999999999998E-3</v>
      </c>
      <c r="L592" s="57">
        <v>1.7000000000000001E-2</v>
      </c>
      <c r="M592" s="57">
        <v>1.6999999999999999E-3</v>
      </c>
      <c r="N592" s="61">
        <v>2.9000000000000001E-2</v>
      </c>
      <c r="O592" s="57">
        <v>-0.1061</v>
      </c>
      <c r="P592" s="57">
        <v>9.4500000000000001E-2</v>
      </c>
      <c r="Q592" s="57">
        <v>-0.15310000000000001</v>
      </c>
      <c r="R592" s="57">
        <v>-0.20019999999999999</v>
      </c>
      <c r="S592" s="57">
        <v>-0.1062</v>
      </c>
      <c r="T592">
        <v>18.059999999999999</v>
      </c>
      <c r="U592">
        <v>50.14</v>
      </c>
      <c r="V592">
        <v>11.39</v>
      </c>
      <c r="W592" s="20">
        <v>3175.2222000000002</v>
      </c>
    </row>
    <row r="593" spans="7:23" x14ac:dyDescent="0.15">
      <c r="G593" s="11">
        <v>592</v>
      </c>
      <c r="H593" s="10" t="s">
        <v>519</v>
      </c>
      <c r="I593" t="s">
        <v>1087</v>
      </c>
      <c r="J593" t="s">
        <v>830</v>
      </c>
      <c r="K593" s="61">
        <v>1.1999999999999999E-3</v>
      </c>
      <c r="L593" s="57">
        <v>1.5599999999999999E-2</v>
      </c>
      <c r="M593" s="57">
        <v>2.8199999999999999E-2</v>
      </c>
      <c r="N593" s="61">
        <v>1.41E-2</v>
      </c>
      <c r="O593" s="57">
        <v>-0.1023</v>
      </c>
      <c r="P593" s="57">
        <v>-2.63E-2</v>
      </c>
      <c r="Q593" s="57">
        <v>-0.2029</v>
      </c>
      <c r="R593" s="57">
        <v>-0.32179999999999997</v>
      </c>
      <c r="S593" s="57">
        <v>-0.32179999999999997</v>
      </c>
      <c r="T593">
        <v>17.920000000000002</v>
      </c>
      <c r="U593">
        <v>35.83</v>
      </c>
      <c r="V593">
        <v>25.56</v>
      </c>
      <c r="W593" s="20">
        <v>8586.7752</v>
      </c>
    </row>
    <row r="594" spans="7:23" x14ac:dyDescent="0.15">
      <c r="G594" s="11">
        <v>593</v>
      </c>
      <c r="H594" t="s">
        <v>1949</v>
      </c>
      <c r="I594" t="s">
        <v>1950</v>
      </c>
      <c r="J594" t="s">
        <v>1946</v>
      </c>
      <c r="K594" s="61">
        <v>-2.0000000000000001E-4</v>
      </c>
      <c r="L594" s="57">
        <v>-1.9199999999999998E-2</v>
      </c>
      <c r="M594" s="57">
        <v>-1.5900000000000001E-2</v>
      </c>
      <c r="N594" s="61">
        <v>-1.7299999999999999E-2</v>
      </c>
      <c r="O594" s="57">
        <v>-9.2200000000000004E-2</v>
      </c>
      <c r="P594" s="57">
        <v>-9.6799999999999997E-2</v>
      </c>
      <c r="Q594" s="57">
        <v>-9.6799999999999997E-2</v>
      </c>
      <c r="R594" s="57">
        <v>-9.6799999999999997E-2</v>
      </c>
      <c r="S594" s="57">
        <v>-9.6799999999999997E-2</v>
      </c>
      <c r="T594">
        <v>17.78</v>
      </c>
      <c r="U594">
        <v>10.42</v>
      </c>
      <c r="V594">
        <v>50.97</v>
      </c>
      <c r="W594" s="20">
        <v>153.7262403</v>
      </c>
    </row>
    <row r="595" spans="7:23" x14ac:dyDescent="0.15">
      <c r="G595" s="11">
        <v>594</v>
      </c>
      <c r="H595" t="s">
        <v>648</v>
      </c>
      <c r="I595" t="s">
        <v>917</v>
      </c>
      <c r="J595" t="s">
        <v>830</v>
      </c>
      <c r="K595" s="61">
        <v>1.6000000000000001E-3</v>
      </c>
      <c r="L595" s="57">
        <v>2.0999999999999999E-3</v>
      </c>
      <c r="M595" s="57">
        <v>6.7000000000000002E-3</v>
      </c>
      <c r="N595" s="61">
        <v>1.7100000000000001E-2</v>
      </c>
      <c r="O595" s="57">
        <v>-7.9500000000000001E-2</v>
      </c>
      <c r="P595" s="57">
        <v>-2.8E-3</v>
      </c>
      <c r="Q595" s="57">
        <v>-0.17680000000000001</v>
      </c>
      <c r="R595" s="57">
        <v>-5.79E-2</v>
      </c>
      <c r="S595" s="57">
        <v>0.28110000000000002</v>
      </c>
      <c r="T595">
        <v>17.64</v>
      </c>
      <c r="U595">
        <v>40.56</v>
      </c>
      <c r="V595">
        <v>20.69</v>
      </c>
      <c r="W595" s="20">
        <v>732.37300000000005</v>
      </c>
    </row>
    <row r="596" spans="7:23" x14ac:dyDescent="0.15">
      <c r="G596" s="11">
        <v>595</v>
      </c>
      <c r="H596" t="s">
        <v>448</v>
      </c>
      <c r="I596" t="s">
        <v>934</v>
      </c>
      <c r="J596" t="s">
        <v>830</v>
      </c>
      <c r="K596" s="61">
        <v>2E-3</v>
      </c>
      <c r="L596" s="57">
        <v>8.9999999999999993E-3</v>
      </c>
      <c r="M596" s="57">
        <v>1.46E-2</v>
      </c>
      <c r="N596" s="61">
        <v>0.02</v>
      </c>
      <c r="O596" s="57">
        <v>-2.5399999999999999E-2</v>
      </c>
      <c r="P596" s="57">
        <v>1.41E-2</v>
      </c>
      <c r="Q596" s="57">
        <v>-6.2100000000000002E-2</v>
      </c>
      <c r="R596" s="57">
        <v>0.25269999999999998</v>
      </c>
      <c r="S596" s="57">
        <v>0.28000000000000003</v>
      </c>
      <c r="T596">
        <v>17.5</v>
      </c>
      <c r="U596">
        <v>43.06</v>
      </c>
      <c r="V596">
        <v>17.64</v>
      </c>
      <c r="W596" s="20">
        <v>973.30528000000004</v>
      </c>
    </row>
    <row r="597" spans="7:23" x14ac:dyDescent="0.15">
      <c r="G597" s="11">
        <v>596</v>
      </c>
      <c r="H597" t="s">
        <v>1455</v>
      </c>
      <c r="I597" t="s">
        <v>1456</v>
      </c>
      <c r="J597" t="s">
        <v>1609</v>
      </c>
      <c r="K597" s="61">
        <v>1.9E-3</v>
      </c>
      <c r="L597" s="57">
        <v>8.8000000000000005E-3</v>
      </c>
      <c r="M597" s="57">
        <v>1.43E-2</v>
      </c>
      <c r="N597" s="61">
        <v>1.9E-2</v>
      </c>
      <c r="O597" s="57">
        <v>-2.5999999999999999E-2</v>
      </c>
      <c r="P597" s="57">
        <v>9.1999999999999998E-3</v>
      </c>
      <c r="Q597" s="57">
        <v>-6.6500000000000004E-2</v>
      </c>
      <c r="R597" s="57">
        <v>0.22159999999999999</v>
      </c>
      <c r="S597" s="57">
        <v>0.19</v>
      </c>
      <c r="T597">
        <v>17.36</v>
      </c>
      <c r="U597">
        <v>42.36</v>
      </c>
      <c r="V597">
        <v>18.190000000000001</v>
      </c>
      <c r="W597" s="20">
        <v>182.06870000000001</v>
      </c>
    </row>
    <row r="598" spans="7:23" x14ac:dyDescent="0.15">
      <c r="G598" s="11">
        <v>597</v>
      </c>
      <c r="H598" s="10" t="s">
        <v>635</v>
      </c>
      <c r="I598" t="s">
        <v>845</v>
      </c>
      <c r="J598" t="s">
        <v>830</v>
      </c>
      <c r="K598" s="61">
        <v>2.3E-3</v>
      </c>
      <c r="L598" s="57">
        <v>1.06E-2</v>
      </c>
      <c r="M598" s="57">
        <v>3.0599999999999999E-2</v>
      </c>
      <c r="N598" s="61">
        <v>2.2700000000000001E-2</v>
      </c>
      <c r="O598" s="57">
        <v>-7.4399999999999994E-2</v>
      </c>
      <c r="P598" s="57">
        <v>-5.11E-2</v>
      </c>
      <c r="Q598" s="57">
        <v>-0.17960000000000001</v>
      </c>
      <c r="R598" s="57">
        <v>-0.16700000000000001</v>
      </c>
      <c r="S598" s="57">
        <v>8.9999999999999993E-3</v>
      </c>
      <c r="T598">
        <v>17.22</v>
      </c>
      <c r="U598">
        <v>44.86</v>
      </c>
      <c r="V598">
        <v>15.14</v>
      </c>
      <c r="W598" s="20">
        <v>315.77850000000001</v>
      </c>
    </row>
    <row r="599" spans="7:23" x14ac:dyDescent="0.15">
      <c r="G599" s="11">
        <v>598</v>
      </c>
      <c r="H599" s="10" t="s">
        <v>666</v>
      </c>
      <c r="I599" t="s">
        <v>943</v>
      </c>
      <c r="J599" t="s">
        <v>830</v>
      </c>
      <c r="K599" s="61">
        <v>1.4E-3</v>
      </c>
      <c r="L599" s="57">
        <v>3.0000000000000001E-3</v>
      </c>
      <c r="M599" s="57">
        <v>8.3000000000000001E-3</v>
      </c>
      <c r="N599" s="61">
        <v>1.5100000000000001E-2</v>
      </c>
      <c r="O599" s="57">
        <v>-7.7200000000000005E-2</v>
      </c>
      <c r="P599" s="57">
        <v>-2.01E-2</v>
      </c>
      <c r="Q599" s="57">
        <v>-0.1764</v>
      </c>
      <c r="R599" s="57">
        <v>-0.13300000000000001</v>
      </c>
      <c r="S599" s="57">
        <v>0.1075</v>
      </c>
      <c r="T599">
        <v>17.079999999999998</v>
      </c>
      <c r="U599">
        <v>36.67</v>
      </c>
      <c r="V599">
        <v>23.19</v>
      </c>
      <c r="W599" s="20">
        <v>1194.3235</v>
      </c>
    </row>
    <row r="600" spans="7:23" x14ac:dyDescent="0.15">
      <c r="G600" s="11">
        <v>599</v>
      </c>
      <c r="H600" t="s">
        <v>691</v>
      </c>
      <c r="I600" t="s">
        <v>991</v>
      </c>
      <c r="J600" t="s">
        <v>830</v>
      </c>
      <c r="K600" s="61">
        <v>8.0000000000000004E-4</v>
      </c>
      <c r="L600" s="57">
        <v>3.3999999999999998E-3</v>
      </c>
      <c r="M600" s="57">
        <v>3.7900000000000003E-2</v>
      </c>
      <c r="N600" s="61">
        <v>3.0999999999999999E-3</v>
      </c>
      <c r="O600" s="57">
        <v>-3.5900000000000001E-2</v>
      </c>
      <c r="P600" s="57">
        <v>-7.6100000000000001E-2</v>
      </c>
      <c r="Q600" s="57">
        <v>-0.11700000000000001</v>
      </c>
      <c r="R600" s="57">
        <v>-8.0699999999999994E-2</v>
      </c>
      <c r="S600" s="57">
        <v>-0.1201</v>
      </c>
      <c r="T600">
        <v>16.940000000000001</v>
      </c>
      <c r="U600">
        <v>26.81</v>
      </c>
      <c r="V600">
        <v>32.92</v>
      </c>
      <c r="W600" s="20">
        <v>1243.9164000000001</v>
      </c>
    </row>
    <row r="601" spans="7:23" x14ac:dyDescent="0.15">
      <c r="G601" s="11">
        <v>600</v>
      </c>
      <c r="H601" t="s">
        <v>659</v>
      </c>
      <c r="I601" t="s">
        <v>1102</v>
      </c>
      <c r="J601" t="s">
        <v>830</v>
      </c>
      <c r="K601" s="61">
        <v>6.9999999999999999E-4</v>
      </c>
      <c r="L601" s="57">
        <v>3.3E-3</v>
      </c>
      <c r="M601" s="57">
        <v>3.4799999999999998E-2</v>
      </c>
      <c r="N601" s="61">
        <v>2.8999999999999998E-3</v>
      </c>
      <c r="O601" s="57">
        <v>-3.2099999999999997E-2</v>
      </c>
      <c r="P601" s="57">
        <v>-6.8699999999999997E-2</v>
      </c>
      <c r="Q601" s="57">
        <v>-0.1047</v>
      </c>
      <c r="R601" s="57">
        <v>-0.06</v>
      </c>
      <c r="S601" s="57">
        <v>-3.9199999999999999E-2</v>
      </c>
      <c r="T601">
        <v>16.809999999999999</v>
      </c>
      <c r="U601">
        <v>25.83</v>
      </c>
      <c r="V601">
        <v>33.89</v>
      </c>
      <c r="W601" s="20">
        <v>7285.4169000000002</v>
      </c>
    </row>
    <row r="602" spans="7:23" x14ac:dyDescent="0.15">
      <c r="G602" s="11">
        <v>601</v>
      </c>
      <c r="H602" t="s">
        <v>412</v>
      </c>
      <c r="I602" t="s">
        <v>977</v>
      </c>
      <c r="J602" t="s">
        <v>830</v>
      </c>
      <c r="K602" s="61">
        <v>0</v>
      </c>
      <c r="L602" s="57">
        <v>-3.49E-2</v>
      </c>
      <c r="M602" s="57">
        <v>-6.25E-2</v>
      </c>
      <c r="N602" s="61">
        <v>-1.38E-2</v>
      </c>
      <c r="O602" s="57">
        <v>-0.18679999999999999</v>
      </c>
      <c r="P602" s="57">
        <v>1.3899999999999999E-2</v>
      </c>
      <c r="Q602" s="57">
        <v>-0.2732</v>
      </c>
      <c r="R602" s="57">
        <v>4.8000000000000001E-2</v>
      </c>
      <c r="S602" s="57">
        <v>4.8000000000000001E-2</v>
      </c>
      <c r="T602">
        <v>16.670000000000002</v>
      </c>
      <c r="U602">
        <v>12.08</v>
      </c>
      <c r="V602">
        <v>47.22</v>
      </c>
      <c r="W602" s="20">
        <v>2642.0004800000002</v>
      </c>
    </row>
    <row r="603" spans="7:23" x14ac:dyDescent="0.15">
      <c r="G603" s="11">
        <v>602</v>
      </c>
      <c r="H603" t="s">
        <v>397</v>
      </c>
      <c r="I603" t="s">
        <v>911</v>
      </c>
      <c r="J603" t="s">
        <v>830</v>
      </c>
      <c r="K603" s="61">
        <v>1E-4</v>
      </c>
      <c r="L603" s="57">
        <v>4.2500000000000003E-2</v>
      </c>
      <c r="M603" s="57">
        <v>6.4999999999999997E-3</v>
      </c>
      <c r="N603" s="61">
        <v>-7.1000000000000004E-3</v>
      </c>
      <c r="O603" s="57">
        <v>6.6500000000000004E-2</v>
      </c>
      <c r="P603" s="57">
        <v>0.1134</v>
      </c>
      <c r="Q603" s="57">
        <v>-9.06E-2</v>
      </c>
      <c r="R603" s="57">
        <v>-0.30109999999999998</v>
      </c>
      <c r="S603" s="57">
        <v>-0.30109999999999998</v>
      </c>
      <c r="T603">
        <v>16.53</v>
      </c>
      <c r="U603">
        <v>14.31</v>
      </c>
      <c r="V603">
        <v>44.86</v>
      </c>
      <c r="W603" s="20">
        <v>3431.7434459999999</v>
      </c>
    </row>
    <row r="604" spans="7:23" x14ac:dyDescent="0.15">
      <c r="G604" s="11">
        <v>603</v>
      </c>
      <c r="H604" s="10" t="s">
        <v>410</v>
      </c>
      <c r="I604" t="s">
        <v>872</v>
      </c>
      <c r="J604" t="s">
        <v>830</v>
      </c>
      <c r="K604" s="61">
        <v>4.0000000000000002E-4</v>
      </c>
      <c r="L604" s="57">
        <v>-6.3E-3</v>
      </c>
      <c r="M604" s="57">
        <v>-2.4500000000000001E-2</v>
      </c>
      <c r="N604" s="61">
        <v>-1.8E-3</v>
      </c>
      <c r="O604" s="57">
        <v>-0.13780000000000001</v>
      </c>
      <c r="P604" s="57">
        <v>3.2099999999999997E-2</v>
      </c>
      <c r="Q604" s="57">
        <v>-0.29110000000000003</v>
      </c>
      <c r="R604" s="57">
        <v>-7.4499999999999997E-2</v>
      </c>
      <c r="S604" s="57">
        <v>0.54910000000000003</v>
      </c>
      <c r="T604">
        <v>16.39</v>
      </c>
      <c r="U604">
        <v>19.86</v>
      </c>
      <c r="V604">
        <v>39.31</v>
      </c>
      <c r="W604" s="20">
        <v>72.493759999999995</v>
      </c>
    </row>
    <row r="605" spans="7:23" x14ac:dyDescent="0.15">
      <c r="G605" s="11">
        <v>604</v>
      </c>
      <c r="H605" s="10" t="s">
        <v>2012</v>
      </c>
      <c r="I605" t="s">
        <v>2013</v>
      </c>
      <c r="J605" t="s">
        <v>1946</v>
      </c>
      <c r="K605" s="61">
        <v>5.9999999999999995E-4</v>
      </c>
      <c r="L605" s="57">
        <v>-2.7199999999999998E-2</v>
      </c>
      <c r="M605" s="57">
        <v>-2.58E-2</v>
      </c>
      <c r="N605" s="61">
        <v>1.6999999999999999E-3</v>
      </c>
      <c r="O605" s="57">
        <v>-0.1588</v>
      </c>
      <c r="P605" s="57">
        <v>-0.17269999999999999</v>
      </c>
      <c r="Q605" s="57">
        <v>-0.17269999999999999</v>
      </c>
      <c r="R605" s="57">
        <v>-0.17269999999999999</v>
      </c>
      <c r="S605" s="57">
        <v>-0.17269999999999999</v>
      </c>
      <c r="T605">
        <v>16.25</v>
      </c>
      <c r="U605">
        <v>24.17</v>
      </c>
      <c r="V605">
        <v>35</v>
      </c>
      <c r="W605" s="20">
        <v>10115.145699999999</v>
      </c>
    </row>
    <row r="606" spans="7:23" x14ac:dyDescent="0.15">
      <c r="G606" s="11">
        <v>605</v>
      </c>
      <c r="H606" t="s">
        <v>309</v>
      </c>
      <c r="I606" t="s">
        <v>908</v>
      </c>
      <c r="J606" t="s">
        <v>830</v>
      </c>
      <c r="K606" s="61">
        <v>1E-4</v>
      </c>
      <c r="L606" s="57">
        <v>4.1200000000000001E-2</v>
      </c>
      <c r="M606" s="57">
        <v>1.14E-2</v>
      </c>
      <c r="N606" s="61">
        <v>-6.8999999999999999E-3</v>
      </c>
      <c r="O606" s="57">
        <v>5.2999999999999999E-2</v>
      </c>
      <c r="P606" s="57">
        <v>9.8299999999999998E-2</v>
      </c>
      <c r="Q606" s="57">
        <v>-0.14799999999999999</v>
      </c>
      <c r="R606" s="57">
        <v>-0.29809999999999998</v>
      </c>
      <c r="S606" s="57">
        <v>-0.29809999999999998</v>
      </c>
      <c r="T606">
        <v>16.11</v>
      </c>
      <c r="U606">
        <v>14.58</v>
      </c>
      <c r="V606">
        <v>44.31</v>
      </c>
      <c r="W606" s="20">
        <v>1084.675</v>
      </c>
    </row>
    <row r="607" spans="7:23" x14ac:dyDescent="0.15">
      <c r="G607" s="11">
        <v>606</v>
      </c>
      <c r="H607" t="s">
        <v>1959</v>
      </c>
      <c r="I607" t="s">
        <v>1960</v>
      </c>
      <c r="J607" t="s">
        <v>1946</v>
      </c>
      <c r="K607" s="61">
        <v>3.0999999999999999E-3</v>
      </c>
      <c r="L607" s="57">
        <v>9.7999999999999997E-3</v>
      </c>
      <c r="M607" s="57">
        <v>1.6400000000000001E-2</v>
      </c>
      <c r="N607" s="61">
        <v>2.6200000000000001E-2</v>
      </c>
      <c r="O607" s="57">
        <v>-3.0499999999999999E-2</v>
      </c>
      <c r="P607" s="57">
        <v>2.2200000000000001E-2</v>
      </c>
      <c r="Q607" s="57">
        <v>-9.1899999999999996E-2</v>
      </c>
      <c r="R607" s="57">
        <v>0.12759999999999999</v>
      </c>
      <c r="S607" s="57">
        <v>0.2152</v>
      </c>
      <c r="T607">
        <v>15.97</v>
      </c>
      <c r="U607">
        <v>48.06</v>
      </c>
      <c r="V607">
        <v>10.69</v>
      </c>
      <c r="W607" s="20">
        <v>246.46894</v>
      </c>
    </row>
    <row r="608" spans="7:23" x14ac:dyDescent="0.15">
      <c r="G608" s="11">
        <v>607</v>
      </c>
      <c r="H608" s="10" t="s">
        <v>543</v>
      </c>
      <c r="I608" t="s">
        <v>974</v>
      </c>
      <c r="J608" t="s">
        <v>830</v>
      </c>
      <c r="K608" s="61">
        <v>8.0000000000000004E-4</v>
      </c>
      <c r="L608" s="57">
        <v>-4.1999999999999997E-3</v>
      </c>
      <c r="M608" s="57">
        <v>-2.0899999999999998E-2</v>
      </c>
      <c r="N608" s="61">
        <v>2.8999999999999998E-3</v>
      </c>
      <c r="O608" s="57">
        <v>-0.124</v>
      </c>
      <c r="P608" s="57">
        <v>3.9100000000000003E-2</v>
      </c>
      <c r="Q608" s="57">
        <v>-0.2923</v>
      </c>
      <c r="R608" s="57">
        <v>-1.14E-2</v>
      </c>
      <c r="S608" s="57">
        <v>0.43869999999999998</v>
      </c>
      <c r="T608">
        <v>15.83</v>
      </c>
      <c r="U608">
        <v>25.97</v>
      </c>
      <c r="V608">
        <v>32.78</v>
      </c>
      <c r="W608" s="20">
        <v>765.54870000000005</v>
      </c>
    </row>
    <row r="609" spans="7:23" x14ac:dyDescent="0.15">
      <c r="G609" s="11">
        <v>608</v>
      </c>
      <c r="H609" t="s">
        <v>438</v>
      </c>
      <c r="I609" t="s">
        <v>1076</v>
      </c>
      <c r="J609" t="s">
        <v>830</v>
      </c>
      <c r="K609" s="61">
        <v>8.9999999999999998E-4</v>
      </c>
      <c r="L609" s="57">
        <v>-3.1899999999999998E-2</v>
      </c>
      <c r="M609" s="57">
        <v>-4.58E-2</v>
      </c>
      <c r="N609" s="61">
        <v>5.0000000000000001E-3</v>
      </c>
      <c r="O609" s="57">
        <v>-0.17860000000000001</v>
      </c>
      <c r="P609" s="57">
        <v>-1.6999999999999999E-3</v>
      </c>
      <c r="Q609" s="57">
        <v>-0.1845</v>
      </c>
      <c r="R609" s="57">
        <v>0.106</v>
      </c>
      <c r="S609" s="57">
        <v>0.106</v>
      </c>
      <c r="T609">
        <v>15.69</v>
      </c>
      <c r="U609">
        <v>28.89</v>
      </c>
      <c r="V609">
        <v>29.72</v>
      </c>
      <c r="W609" s="20">
        <v>5720.78</v>
      </c>
    </row>
    <row r="610" spans="7:23" x14ac:dyDescent="0.15">
      <c r="G610" s="11">
        <v>609</v>
      </c>
      <c r="H610" t="s">
        <v>540</v>
      </c>
      <c r="I610" t="s">
        <v>999</v>
      </c>
      <c r="J610" t="s">
        <v>830</v>
      </c>
      <c r="K610" s="61">
        <v>5.9999999999999995E-4</v>
      </c>
      <c r="L610" s="57">
        <v>-4.7000000000000002E-3</v>
      </c>
      <c r="M610" s="57">
        <v>-2.2100000000000002E-2</v>
      </c>
      <c r="N610" s="61">
        <v>4.0000000000000002E-4</v>
      </c>
      <c r="O610" s="57">
        <v>-0.1288</v>
      </c>
      <c r="P610" s="57">
        <v>2.41E-2</v>
      </c>
      <c r="Q610" s="57">
        <v>-0.31240000000000001</v>
      </c>
      <c r="R610" s="57">
        <v>-9.8000000000000004E-2</v>
      </c>
      <c r="S610" s="57">
        <v>-4.53E-2</v>
      </c>
      <c r="T610">
        <v>15.56</v>
      </c>
      <c r="U610">
        <v>22.36</v>
      </c>
      <c r="V610">
        <v>36.11</v>
      </c>
      <c r="W610" s="20">
        <v>1800.6187899999998</v>
      </c>
    </row>
    <row r="611" spans="7:23" x14ac:dyDescent="0.15">
      <c r="G611" s="11">
        <v>610</v>
      </c>
      <c r="H611" t="s">
        <v>311</v>
      </c>
      <c r="I611" t="s">
        <v>1045</v>
      </c>
      <c r="J611" t="s">
        <v>830</v>
      </c>
      <c r="K611" s="61">
        <v>-5.0000000000000001E-4</v>
      </c>
      <c r="L611" s="57">
        <v>-3.95E-2</v>
      </c>
      <c r="M611" s="57">
        <v>-6.9699999999999998E-2</v>
      </c>
      <c r="N611" s="61">
        <v>-3.49E-2</v>
      </c>
      <c r="O611" s="57">
        <v>-0.2044</v>
      </c>
      <c r="P611" s="57">
        <v>-6.4000000000000003E-3</v>
      </c>
      <c r="Q611" s="57">
        <v>-0.25290000000000001</v>
      </c>
      <c r="R611" s="57">
        <v>0.21659999999999999</v>
      </c>
      <c r="S611" s="57">
        <v>0.21659999999999999</v>
      </c>
      <c r="T611">
        <v>15.42</v>
      </c>
      <c r="U611">
        <v>4.17</v>
      </c>
      <c r="V611">
        <v>54.17</v>
      </c>
      <c r="W611" s="20">
        <v>2512.5416</v>
      </c>
    </row>
    <row r="612" spans="7:23" x14ac:dyDescent="0.15">
      <c r="G612" s="11">
        <v>611</v>
      </c>
      <c r="H612" t="s">
        <v>428</v>
      </c>
      <c r="I612" t="s">
        <v>1135</v>
      </c>
      <c r="J612" t="s">
        <v>830</v>
      </c>
      <c r="K612" s="61">
        <v>5.9999999999999995E-4</v>
      </c>
      <c r="L612" s="57">
        <v>-8.8999999999999999E-3</v>
      </c>
      <c r="M612" s="57">
        <v>-2.4899999999999999E-2</v>
      </c>
      <c r="N612" s="61">
        <v>-5.0000000000000001E-4</v>
      </c>
      <c r="O612" s="57">
        <v>-0.1507</v>
      </c>
      <c r="P612" s="57">
        <v>2.81E-2</v>
      </c>
      <c r="Q612" s="57">
        <v>-0.31409999999999999</v>
      </c>
      <c r="R612" s="57">
        <v>-5.0099999999999999E-2</v>
      </c>
      <c r="S612" s="57">
        <v>0.80820000000000003</v>
      </c>
      <c r="T612">
        <v>15.28</v>
      </c>
      <c r="U612">
        <v>21.67</v>
      </c>
      <c r="V612">
        <v>36.53</v>
      </c>
      <c r="W612" s="20">
        <v>81821.799746000004</v>
      </c>
    </row>
    <row r="613" spans="7:23" x14ac:dyDescent="0.15">
      <c r="G613" s="11">
        <v>612</v>
      </c>
      <c r="H613" t="s">
        <v>1580</v>
      </c>
      <c r="I613" t="s">
        <v>1581</v>
      </c>
      <c r="J613" t="s">
        <v>1609</v>
      </c>
      <c r="K613" s="61">
        <v>2.7000000000000001E-3</v>
      </c>
      <c r="L613" s="57">
        <v>4.0000000000000001E-3</v>
      </c>
      <c r="M613" s="57">
        <v>-1.9699999999999999E-2</v>
      </c>
      <c r="N613" s="61">
        <v>2.3300000000000001E-2</v>
      </c>
      <c r="O613" s="57">
        <v>-0.14460000000000001</v>
      </c>
      <c r="P613" s="57">
        <v>7.9200000000000007E-2</v>
      </c>
      <c r="Q613" s="57">
        <v>-0.25309999999999999</v>
      </c>
      <c r="R613" s="57">
        <v>-0.25309999999999999</v>
      </c>
      <c r="S613" s="57">
        <v>-0.25309999999999999</v>
      </c>
      <c r="T613">
        <v>15.14</v>
      </c>
      <c r="U613">
        <v>45.28</v>
      </c>
      <c r="V613">
        <v>12.78</v>
      </c>
      <c r="W613" s="20">
        <v>3104.9241000000002</v>
      </c>
    </row>
    <row r="614" spans="7:23" x14ac:dyDescent="0.15">
      <c r="G614" s="11">
        <v>613</v>
      </c>
      <c r="H614" t="s">
        <v>284</v>
      </c>
      <c r="I614" t="s">
        <v>813</v>
      </c>
      <c r="J614" t="s">
        <v>793</v>
      </c>
      <c r="K614" s="61">
        <v>1E-4</v>
      </c>
      <c r="L614" s="57">
        <v>1.7100000000000001E-2</v>
      </c>
      <c r="M614" s="57">
        <v>-3.5000000000000003E-2</v>
      </c>
      <c r="N614" s="61">
        <v>-9.1000000000000004E-3</v>
      </c>
      <c r="O614" s="57">
        <v>-0.1681</v>
      </c>
      <c r="P614" s="57">
        <v>9.0300000000000005E-2</v>
      </c>
      <c r="Q614" s="57">
        <v>-0.2064</v>
      </c>
      <c r="R614" s="57">
        <v>5.67E-2</v>
      </c>
      <c r="S614" s="57">
        <v>0.78890000000000005</v>
      </c>
      <c r="T614">
        <v>15</v>
      </c>
      <c r="U614">
        <v>13.33</v>
      </c>
      <c r="V614">
        <v>44.58</v>
      </c>
      <c r="W614" s="20">
        <v>106.8535</v>
      </c>
    </row>
    <row r="615" spans="7:23" x14ac:dyDescent="0.15">
      <c r="G615" s="11">
        <v>614</v>
      </c>
      <c r="H615" s="10" t="s">
        <v>1564</v>
      </c>
      <c r="I615" t="s">
        <v>1565</v>
      </c>
      <c r="J615" t="s">
        <v>1609</v>
      </c>
      <c r="K615" s="61">
        <v>2.3999999999999998E-3</v>
      </c>
      <c r="L615" s="57">
        <v>3.8999999999999998E-3</v>
      </c>
      <c r="M615" s="57">
        <v>-2.0299999999999999E-2</v>
      </c>
      <c r="N615" s="61">
        <v>2.1899999999999999E-2</v>
      </c>
      <c r="O615" s="57">
        <v>-0.1426</v>
      </c>
      <c r="P615" s="57">
        <v>7.7200000000000005E-2</v>
      </c>
      <c r="Q615" s="57">
        <v>-0.2465</v>
      </c>
      <c r="R615" s="57">
        <v>-0.16800000000000001</v>
      </c>
      <c r="S615" s="57">
        <v>-0.16800000000000001</v>
      </c>
      <c r="T615">
        <v>14.86</v>
      </c>
      <c r="U615">
        <v>44.03</v>
      </c>
      <c r="V615">
        <v>13.75</v>
      </c>
      <c r="W615" s="20">
        <v>985.61369999999999</v>
      </c>
    </row>
    <row r="616" spans="7:23" x14ac:dyDescent="0.15">
      <c r="G616" s="11">
        <v>615</v>
      </c>
      <c r="H616" t="s">
        <v>1558</v>
      </c>
      <c r="I616" t="s">
        <v>1559</v>
      </c>
      <c r="J616" t="s">
        <v>1609</v>
      </c>
      <c r="K616" s="61">
        <v>-4.0000000000000002E-4</v>
      </c>
      <c r="L616" s="57">
        <v>-3.9399999999999998E-2</v>
      </c>
      <c r="M616" s="57">
        <v>-7.0199999999999999E-2</v>
      </c>
      <c r="N616" s="61">
        <v>-3.5999999999999997E-2</v>
      </c>
      <c r="O616" s="57">
        <v>-0.20830000000000001</v>
      </c>
      <c r="P616" s="57">
        <v>-1.7100000000000001E-2</v>
      </c>
      <c r="Q616" s="57">
        <v>-0.27100000000000002</v>
      </c>
      <c r="R616" s="57">
        <v>-0.2011</v>
      </c>
      <c r="S616" s="57">
        <v>-0.2011</v>
      </c>
      <c r="T616">
        <v>14.72</v>
      </c>
      <c r="U616">
        <v>3.75</v>
      </c>
      <c r="V616">
        <v>53.75</v>
      </c>
      <c r="W616" s="20">
        <v>462.49130000000002</v>
      </c>
    </row>
    <row r="617" spans="7:23" x14ac:dyDescent="0.15">
      <c r="G617" s="11">
        <v>616</v>
      </c>
      <c r="H617" t="s">
        <v>655</v>
      </c>
      <c r="I617" t="s">
        <v>1075</v>
      </c>
      <c r="J617" t="s">
        <v>830</v>
      </c>
      <c r="K617" s="61">
        <v>2.5999999999999999E-3</v>
      </c>
      <c r="L617" s="57">
        <v>0.02</v>
      </c>
      <c r="M617" s="57">
        <v>5.0799999999999998E-2</v>
      </c>
      <c r="N617" s="61">
        <v>2.23E-2</v>
      </c>
      <c r="O617" s="57">
        <v>-6.7000000000000004E-2</v>
      </c>
      <c r="P617" s="57">
        <v>-3.6499999999999998E-2</v>
      </c>
      <c r="Q617" s="57">
        <v>-0.20399999999999999</v>
      </c>
      <c r="R617" s="57">
        <v>-0.25950000000000001</v>
      </c>
      <c r="S617" s="57">
        <v>-5.9700000000000003E-2</v>
      </c>
      <c r="T617">
        <v>14.58</v>
      </c>
      <c r="U617">
        <v>44.31</v>
      </c>
      <c r="V617">
        <v>13.06</v>
      </c>
      <c r="W617" s="20">
        <v>7091.3092799999995</v>
      </c>
    </row>
    <row r="618" spans="7:23" x14ac:dyDescent="0.15">
      <c r="G618" s="11">
        <v>617</v>
      </c>
      <c r="H618" t="s">
        <v>377</v>
      </c>
      <c r="I618" t="s">
        <v>1049</v>
      </c>
      <c r="J618" t="s">
        <v>830</v>
      </c>
      <c r="K618" s="61">
        <v>0</v>
      </c>
      <c r="L618" s="57">
        <v>-5.8500000000000003E-2</v>
      </c>
      <c r="M618" s="57">
        <v>-7.4800000000000005E-2</v>
      </c>
      <c r="N618" s="61">
        <v>-1.5699999999999999E-2</v>
      </c>
      <c r="O618" s="57">
        <v>-0.21659999999999999</v>
      </c>
      <c r="P618" s="57">
        <v>-3.6400000000000002E-2</v>
      </c>
      <c r="Q618" s="57">
        <v>-0.34160000000000001</v>
      </c>
      <c r="R618" s="57">
        <v>0.43240000000000001</v>
      </c>
      <c r="S618" s="57">
        <v>1.2769999999999999</v>
      </c>
      <c r="T618">
        <v>14.44</v>
      </c>
      <c r="U618">
        <v>11.53</v>
      </c>
      <c r="V618">
        <v>45.83</v>
      </c>
      <c r="W618" s="20">
        <v>4738.4598362000006</v>
      </c>
    </row>
    <row r="619" spans="7:23" x14ac:dyDescent="0.15">
      <c r="G619" s="11">
        <v>618</v>
      </c>
      <c r="H619" t="s">
        <v>502</v>
      </c>
      <c r="I619" t="s">
        <v>1032</v>
      </c>
      <c r="J619" t="s">
        <v>830</v>
      </c>
      <c r="K619" s="61">
        <v>4.0000000000000002E-4</v>
      </c>
      <c r="L619" s="57">
        <v>-6.4999999999999997E-3</v>
      </c>
      <c r="M619" s="57">
        <v>-2.5100000000000001E-2</v>
      </c>
      <c r="N619" s="61">
        <v>-2.3E-3</v>
      </c>
      <c r="O619" s="57">
        <v>-0.13919999999999999</v>
      </c>
      <c r="P619" s="57">
        <v>2.9600000000000001E-2</v>
      </c>
      <c r="Q619" s="57">
        <v>-0.2969</v>
      </c>
      <c r="R619" s="57">
        <v>-0.1061</v>
      </c>
      <c r="S619" s="57">
        <v>0.4718</v>
      </c>
      <c r="T619">
        <v>14.31</v>
      </c>
      <c r="U619">
        <v>18.61</v>
      </c>
      <c r="V619">
        <v>38.75</v>
      </c>
      <c r="W619" s="20">
        <v>2268.82341</v>
      </c>
    </row>
    <row r="620" spans="7:23" x14ac:dyDescent="0.15">
      <c r="G620" s="11">
        <v>619</v>
      </c>
      <c r="H620" t="s">
        <v>1485</v>
      </c>
      <c r="I620" t="s">
        <v>1486</v>
      </c>
      <c r="J620" t="s">
        <v>1609</v>
      </c>
      <c r="K620" s="61">
        <v>-4.0000000000000002E-4</v>
      </c>
      <c r="L620" s="57">
        <v>-5.0000000000000001E-3</v>
      </c>
      <c r="M620" s="57">
        <v>3.8E-3</v>
      </c>
      <c r="N620" s="61">
        <v>-3.44E-2</v>
      </c>
      <c r="O620" s="57">
        <v>-6.08E-2</v>
      </c>
      <c r="P620" s="57">
        <v>-3.0499999999999999E-2</v>
      </c>
      <c r="Q620" s="57">
        <v>-0.1096</v>
      </c>
      <c r="R620" s="57">
        <v>-0.1096</v>
      </c>
      <c r="S620" s="57">
        <v>-0.1096</v>
      </c>
      <c r="T620">
        <v>14.17</v>
      </c>
      <c r="U620">
        <v>4.3099999999999996</v>
      </c>
      <c r="V620">
        <v>52.64</v>
      </c>
      <c r="W620" s="20">
        <v>570.84169999999995</v>
      </c>
    </row>
    <row r="621" spans="7:23" x14ac:dyDescent="0.15">
      <c r="G621" s="11">
        <v>620</v>
      </c>
      <c r="H621" t="s">
        <v>589</v>
      </c>
      <c r="I621" t="s">
        <v>1006</v>
      </c>
      <c r="J621" t="s">
        <v>830</v>
      </c>
      <c r="K621" s="61">
        <v>-4.0000000000000002E-4</v>
      </c>
      <c r="L621" s="57">
        <v>-5.1999999999999998E-3</v>
      </c>
      <c r="M621" s="57">
        <v>6.3E-3</v>
      </c>
      <c r="N621" s="61">
        <v>-3.7199999999999997E-2</v>
      </c>
      <c r="O621" s="57">
        <v>-4.24E-2</v>
      </c>
      <c r="P621" s="57">
        <v>6.1400000000000003E-2</v>
      </c>
      <c r="Q621" s="57">
        <v>-5.3999999999999999E-2</v>
      </c>
      <c r="R621" s="57">
        <v>-0.1507</v>
      </c>
      <c r="S621" s="57">
        <v>-0.1507</v>
      </c>
      <c r="T621">
        <v>14.03</v>
      </c>
      <c r="U621">
        <v>2.64</v>
      </c>
      <c r="V621">
        <v>54.03</v>
      </c>
      <c r="W621" s="20">
        <v>3051.9767000000002</v>
      </c>
    </row>
    <row r="622" spans="7:23" x14ac:dyDescent="0.15">
      <c r="G622" s="11">
        <v>621</v>
      </c>
      <c r="H622" t="s">
        <v>737</v>
      </c>
      <c r="I622" t="s">
        <v>1149</v>
      </c>
      <c r="J622" t="s">
        <v>1146</v>
      </c>
      <c r="K622" s="61">
        <v>2.4E-2</v>
      </c>
      <c r="L622" s="57">
        <v>-5.3699999999999998E-2</v>
      </c>
      <c r="M622" s="57">
        <v>-2.6100000000000002E-2</v>
      </c>
      <c r="N622" s="61">
        <v>3.8199999999999998E-2</v>
      </c>
      <c r="O622" s="57">
        <v>-5.9799999999999999E-2</v>
      </c>
      <c r="P622" s="57">
        <v>0.23980000000000001</v>
      </c>
      <c r="Q622" s="57">
        <v>-0.30669999999999997</v>
      </c>
      <c r="R622" s="57">
        <v>-0.25280000000000002</v>
      </c>
      <c r="S622" s="57">
        <v>-1.09E-2</v>
      </c>
      <c r="T622">
        <v>13.89</v>
      </c>
      <c r="U622">
        <v>55.83</v>
      </c>
      <c r="V622">
        <v>0.69</v>
      </c>
      <c r="W622" s="20">
        <v>417.31111830000003</v>
      </c>
    </row>
    <row r="623" spans="7:23" x14ac:dyDescent="0.15">
      <c r="G623" s="11">
        <v>622</v>
      </c>
      <c r="H623" s="10" t="s">
        <v>423</v>
      </c>
      <c r="I623" t="s">
        <v>883</v>
      </c>
      <c r="J623" t="s">
        <v>830</v>
      </c>
      <c r="K623" s="61">
        <v>-2.0000000000000001E-4</v>
      </c>
      <c r="L623" s="57">
        <v>-4.7600000000000003E-2</v>
      </c>
      <c r="M623" s="57">
        <v>-8.2100000000000006E-2</v>
      </c>
      <c r="N623" s="61">
        <v>-2.86E-2</v>
      </c>
      <c r="O623" s="57">
        <v>-0.2152</v>
      </c>
      <c r="P623" s="57">
        <v>-2.5000000000000001E-3</v>
      </c>
      <c r="Q623" s="57">
        <v>-0.28810000000000002</v>
      </c>
      <c r="R623" s="57">
        <v>0.25530000000000003</v>
      </c>
      <c r="S623" s="57">
        <v>0.25530000000000003</v>
      </c>
      <c r="T623">
        <v>13.75</v>
      </c>
      <c r="U623">
        <v>6.67</v>
      </c>
      <c r="V623">
        <v>49.72</v>
      </c>
      <c r="W623" s="20">
        <v>240.93969999999999</v>
      </c>
    </row>
    <row r="624" spans="7:23" x14ac:dyDescent="0.15">
      <c r="G624" s="11">
        <v>623</v>
      </c>
      <c r="H624" t="s">
        <v>602</v>
      </c>
      <c r="I624" t="s">
        <v>967</v>
      </c>
      <c r="J624" t="s">
        <v>830</v>
      </c>
      <c r="K624" s="61">
        <v>1.6999999999999999E-3</v>
      </c>
      <c r="L624" s="57">
        <v>1.5E-3</v>
      </c>
      <c r="M624" s="57">
        <v>5.1000000000000004E-3</v>
      </c>
      <c r="N624" s="61">
        <v>1.3899999999999999E-2</v>
      </c>
      <c r="O624" s="57">
        <v>-8.1600000000000006E-2</v>
      </c>
      <c r="P624" s="57">
        <v>-1.1599999999999999E-2</v>
      </c>
      <c r="Q624" s="57">
        <v>-0.18410000000000001</v>
      </c>
      <c r="R624" s="57">
        <v>-6.7699999999999996E-2</v>
      </c>
      <c r="S624" s="57">
        <v>0.1361</v>
      </c>
      <c r="T624">
        <v>13.61</v>
      </c>
      <c r="U624">
        <v>35.69</v>
      </c>
      <c r="V624">
        <v>20.14</v>
      </c>
      <c r="W624" s="20">
        <v>1508.9555</v>
      </c>
    </row>
    <row r="625" spans="7:23" x14ac:dyDescent="0.15">
      <c r="G625" s="11">
        <v>624</v>
      </c>
      <c r="H625" t="s">
        <v>1947</v>
      </c>
      <c r="I625" t="s">
        <v>1948</v>
      </c>
      <c r="J625" t="s">
        <v>1946</v>
      </c>
      <c r="K625" s="61">
        <v>-2.0000000000000001E-4</v>
      </c>
      <c r="L625" s="57">
        <v>9.4000000000000004E-3</v>
      </c>
      <c r="M625" s="57">
        <v>1.1900000000000001E-2</v>
      </c>
      <c r="N625" s="61">
        <v>-3.0200000000000001E-2</v>
      </c>
      <c r="O625" s="57">
        <v>-5.5399999999999998E-2</v>
      </c>
      <c r="P625" s="57">
        <v>-6.9900000000000004E-2</v>
      </c>
      <c r="Q625" s="57">
        <v>-6.9900000000000004E-2</v>
      </c>
      <c r="R625" s="57">
        <v>-6.9900000000000004E-2</v>
      </c>
      <c r="S625" s="57">
        <v>-6.9900000000000004E-2</v>
      </c>
      <c r="T625">
        <v>13.47</v>
      </c>
      <c r="U625">
        <v>5.69</v>
      </c>
      <c r="V625">
        <v>49.86</v>
      </c>
      <c r="W625" s="20">
        <v>983.21789999999999</v>
      </c>
    </row>
    <row r="626" spans="7:23" x14ac:dyDescent="0.15">
      <c r="G626" s="11">
        <v>625</v>
      </c>
      <c r="H626" t="s">
        <v>1467</v>
      </c>
      <c r="I626" t="s">
        <v>1468</v>
      </c>
      <c r="J626" t="s">
        <v>1609</v>
      </c>
      <c r="K626" s="61">
        <v>2.9999999999999997E-4</v>
      </c>
      <c r="L626" s="57">
        <v>4.0000000000000002E-4</v>
      </c>
      <c r="M626" s="57">
        <v>1.5100000000000001E-2</v>
      </c>
      <c r="N626" s="61">
        <v>-5.1000000000000004E-3</v>
      </c>
      <c r="O626" s="57">
        <v>-9.7900000000000001E-2</v>
      </c>
      <c r="P626" s="57">
        <v>-4.6800000000000001E-2</v>
      </c>
      <c r="Q626" s="57">
        <v>-0.1883</v>
      </c>
      <c r="R626" s="57">
        <v>-0.18190000000000001</v>
      </c>
      <c r="S626" s="57">
        <v>4.4299999999999999E-2</v>
      </c>
      <c r="T626">
        <v>13.33</v>
      </c>
      <c r="U626">
        <v>15.56</v>
      </c>
      <c r="V626">
        <v>39.86</v>
      </c>
      <c r="W626" s="20">
        <v>839.42790000000002</v>
      </c>
    </row>
    <row r="627" spans="7:23" x14ac:dyDescent="0.15">
      <c r="G627" s="11">
        <v>626</v>
      </c>
      <c r="H627" s="10" t="s">
        <v>511</v>
      </c>
      <c r="I627" t="s">
        <v>938</v>
      </c>
      <c r="J627" t="s">
        <v>830</v>
      </c>
      <c r="K627" s="61">
        <v>1.4E-3</v>
      </c>
      <c r="L627" s="57">
        <v>4.0000000000000002E-4</v>
      </c>
      <c r="M627" s="57">
        <v>-3.5999999999999999E-3</v>
      </c>
      <c r="N627" s="61">
        <v>9.4999999999999998E-3</v>
      </c>
      <c r="O627" s="57">
        <v>-0.12189999999999999</v>
      </c>
      <c r="P627" s="57">
        <v>-1.49E-2</v>
      </c>
      <c r="Q627" s="57">
        <v>-0.2437</v>
      </c>
      <c r="R627" s="57">
        <v>-0.1198</v>
      </c>
      <c r="S627" s="57">
        <v>0.31209999999999999</v>
      </c>
      <c r="T627">
        <v>13.19</v>
      </c>
      <c r="U627">
        <v>32.64</v>
      </c>
      <c r="V627">
        <v>22.64</v>
      </c>
      <c r="W627" s="20">
        <v>1833.4447500000001</v>
      </c>
    </row>
    <row r="628" spans="7:23" x14ac:dyDescent="0.15">
      <c r="G628" s="11">
        <v>627</v>
      </c>
      <c r="H628" t="s">
        <v>1421</v>
      </c>
      <c r="I628" t="s">
        <v>1422</v>
      </c>
      <c r="J628" t="s">
        <v>1609</v>
      </c>
      <c r="K628" s="61">
        <v>1.8E-3</v>
      </c>
      <c r="L628" s="57">
        <v>1.55E-2</v>
      </c>
      <c r="M628" s="57">
        <v>2.8000000000000001E-2</v>
      </c>
      <c r="N628" s="61">
        <v>1.3899999999999999E-2</v>
      </c>
      <c r="O628" s="57">
        <v>-9.9900000000000003E-2</v>
      </c>
      <c r="P628" s="57">
        <v>-2.46E-2</v>
      </c>
      <c r="Q628" s="57">
        <v>-0.19700000000000001</v>
      </c>
      <c r="R628" s="57">
        <v>-0.20039999999999999</v>
      </c>
      <c r="S628" s="57">
        <v>-0.20039999999999999</v>
      </c>
      <c r="T628">
        <v>13.06</v>
      </c>
      <c r="U628">
        <v>35.56</v>
      </c>
      <c r="V628">
        <v>19.309999999999999</v>
      </c>
      <c r="W628" s="20">
        <v>104.60339</v>
      </c>
    </row>
    <row r="629" spans="7:23" x14ac:dyDescent="0.15">
      <c r="G629" s="11">
        <v>628</v>
      </c>
      <c r="H629" t="s">
        <v>1596</v>
      </c>
      <c r="I629" t="s">
        <v>1597</v>
      </c>
      <c r="J629" t="s">
        <v>1609</v>
      </c>
      <c r="K629" s="61">
        <v>1.6000000000000001E-3</v>
      </c>
      <c r="L629" s="57">
        <v>4.8999999999999998E-3</v>
      </c>
      <c r="M629" s="57">
        <v>-2.0000000000000001E-4</v>
      </c>
      <c r="N629" s="61">
        <v>1.11E-2</v>
      </c>
      <c r="O629" s="57">
        <v>-6.25E-2</v>
      </c>
      <c r="P629" s="57">
        <v>5.4100000000000002E-2</v>
      </c>
      <c r="Q629" s="57">
        <v>-5.2499999999999998E-2</v>
      </c>
      <c r="R629" s="57">
        <v>-5.2499999999999998E-2</v>
      </c>
      <c r="S629" s="57">
        <v>-5.2499999999999998E-2</v>
      </c>
      <c r="T629">
        <v>12.92</v>
      </c>
      <c r="U629">
        <v>33.61</v>
      </c>
      <c r="V629">
        <v>20.97</v>
      </c>
      <c r="W629" s="20">
        <v>1337.2107000000001</v>
      </c>
    </row>
    <row r="630" spans="7:23" x14ac:dyDescent="0.15">
      <c r="G630" s="11">
        <v>629</v>
      </c>
      <c r="H630" t="s">
        <v>1293</v>
      </c>
      <c r="I630" t="s">
        <v>1294</v>
      </c>
      <c r="J630" t="s">
        <v>1609</v>
      </c>
      <c r="K630" s="61">
        <v>2.5999999999999999E-3</v>
      </c>
      <c r="L630" s="57">
        <v>-5.8900000000000001E-2</v>
      </c>
      <c r="M630" s="57">
        <v>-7.0400000000000004E-2</v>
      </c>
      <c r="N630" s="61">
        <v>1.8200000000000001E-2</v>
      </c>
      <c r="O630" s="57">
        <v>-0.1613</v>
      </c>
      <c r="P630" s="57">
        <v>-5.1200000000000002E-2</v>
      </c>
      <c r="Q630" s="57">
        <v>-0.18410000000000001</v>
      </c>
      <c r="R630" s="57">
        <v>-0.18410000000000001</v>
      </c>
      <c r="S630" s="57">
        <v>-0.18410000000000001</v>
      </c>
      <c r="T630">
        <v>12.78</v>
      </c>
      <c r="U630">
        <v>41.25</v>
      </c>
      <c r="V630">
        <v>12.92</v>
      </c>
      <c r="W630" s="20">
        <v>1366.93283</v>
      </c>
    </row>
    <row r="631" spans="7:23" x14ac:dyDescent="0.15">
      <c r="G631" s="11">
        <v>630</v>
      </c>
      <c r="H631" t="s">
        <v>323</v>
      </c>
      <c r="I631" t="s">
        <v>1192</v>
      </c>
      <c r="J631" t="s">
        <v>1175</v>
      </c>
      <c r="K631" s="61">
        <v>8.9999999999999998E-4</v>
      </c>
      <c r="L631" s="57">
        <v>-5.9999999999999995E-4</v>
      </c>
      <c r="M631" s="57">
        <v>-1.01E-2</v>
      </c>
      <c r="N631" s="61">
        <v>1.6999999999999999E-3</v>
      </c>
      <c r="O631" s="57">
        <v>-1.66E-2</v>
      </c>
      <c r="P631" s="57">
        <v>2.7199999999999998E-2</v>
      </c>
      <c r="Q631" s="57">
        <v>-4.8300000000000003E-2</v>
      </c>
      <c r="R631" s="57">
        <v>2.5999999999999999E-2</v>
      </c>
      <c r="S631" s="57">
        <v>0.13070000000000001</v>
      </c>
      <c r="T631">
        <v>12.64</v>
      </c>
      <c r="U631">
        <v>23.75</v>
      </c>
      <c r="V631">
        <v>30.28</v>
      </c>
      <c r="W631" s="20">
        <v>123.0740468</v>
      </c>
    </row>
    <row r="632" spans="7:23" x14ac:dyDescent="0.15">
      <c r="G632" s="11">
        <v>631</v>
      </c>
      <c r="H632" t="s">
        <v>731</v>
      </c>
      <c r="I632" t="s">
        <v>1151</v>
      </c>
      <c r="J632" t="s">
        <v>1146</v>
      </c>
      <c r="K632" s="61">
        <v>1.12E-2</v>
      </c>
      <c r="L632" s="57">
        <v>-3.6900000000000002E-2</v>
      </c>
      <c r="M632" s="57">
        <v>-6.4999999999999997E-3</v>
      </c>
      <c r="N632" s="61">
        <v>3.1899999999999998E-2</v>
      </c>
      <c r="O632" s="57">
        <v>1.95E-2</v>
      </c>
      <c r="P632" s="57">
        <v>0.11360000000000001</v>
      </c>
      <c r="Q632" s="57">
        <v>-1.4200000000000001E-2</v>
      </c>
      <c r="R632" s="57">
        <v>0.38790000000000002</v>
      </c>
      <c r="S632" s="57">
        <v>0.30420000000000003</v>
      </c>
      <c r="T632">
        <v>12.5</v>
      </c>
      <c r="U632">
        <v>51.53</v>
      </c>
      <c r="V632">
        <v>2.36</v>
      </c>
      <c r="W632" s="20">
        <v>609.27542340000002</v>
      </c>
    </row>
    <row r="633" spans="7:23" x14ac:dyDescent="0.15">
      <c r="G633" s="11">
        <v>632</v>
      </c>
      <c r="H633" t="s">
        <v>1449</v>
      </c>
      <c r="I633" t="s">
        <v>1450</v>
      </c>
      <c r="J633" t="s">
        <v>1609</v>
      </c>
      <c r="K633" s="61">
        <v>1.8E-3</v>
      </c>
      <c r="L633" s="57">
        <v>5.4000000000000003E-3</v>
      </c>
      <c r="M633" s="57">
        <v>1.09E-2</v>
      </c>
      <c r="N633" s="61">
        <v>1.34E-2</v>
      </c>
      <c r="O633" s="57">
        <v>-9.9099999999999994E-2</v>
      </c>
      <c r="P633" s="57">
        <v>-4.5400000000000003E-2</v>
      </c>
      <c r="Q633" s="57">
        <v>-0.20119999999999999</v>
      </c>
      <c r="R633" s="57">
        <v>-0.21329999999999999</v>
      </c>
      <c r="S633" s="57">
        <v>-5.3999999999999999E-2</v>
      </c>
      <c r="T633">
        <v>12.36</v>
      </c>
      <c r="U633">
        <v>35.14</v>
      </c>
      <c r="V633">
        <v>18.61</v>
      </c>
      <c r="W633" s="20">
        <v>19.047689999999999</v>
      </c>
    </row>
    <row r="634" spans="7:23" x14ac:dyDescent="0.15">
      <c r="G634" s="11">
        <v>633</v>
      </c>
      <c r="H634" t="s">
        <v>2018</v>
      </c>
      <c r="I634" t="s">
        <v>2019</v>
      </c>
      <c r="J634" t="s">
        <v>1946</v>
      </c>
      <c r="K634" s="61">
        <v>1.6999999999999999E-3</v>
      </c>
      <c r="L634" s="57">
        <v>3.8E-3</v>
      </c>
      <c r="M634" s="57">
        <v>-2.9000000000000001E-2</v>
      </c>
      <c r="N634" s="61">
        <v>1.24E-2</v>
      </c>
      <c r="O634" s="57">
        <v>-0.1226</v>
      </c>
      <c r="P634" s="57">
        <v>-0.10059999999999999</v>
      </c>
      <c r="Q634" s="57">
        <v>-0.10059999999999999</v>
      </c>
      <c r="R634" s="57">
        <v>-0.10059999999999999</v>
      </c>
      <c r="S634" s="57">
        <v>-0.10059999999999999</v>
      </c>
      <c r="T634">
        <v>12.22</v>
      </c>
      <c r="U634">
        <v>34.17</v>
      </c>
      <c r="V634">
        <v>19.440000000000001</v>
      </c>
      <c r="W634" s="20">
        <v>1940.2782</v>
      </c>
    </row>
    <row r="635" spans="7:23" x14ac:dyDescent="0.15">
      <c r="G635" s="11">
        <v>634</v>
      </c>
      <c r="H635" s="10" t="s">
        <v>343</v>
      </c>
      <c r="I635" t="s">
        <v>982</v>
      </c>
      <c r="J635" t="s">
        <v>830</v>
      </c>
      <c r="K635" s="61">
        <v>-1E-4</v>
      </c>
      <c r="L635" s="57">
        <v>-3.9199999999999999E-2</v>
      </c>
      <c r="M635" s="57">
        <v>-6.9500000000000006E-2</v>
      </c>
      <c r="N635" s="61">
        <v>-3.5000000000000003E-2</v>
      </c>
      <c r="O635" s="57">
        <v>-0.20419999999999999</v>
      </c>
      <c r="P635" s="57">
        <v>-7.3000000000000001E-3</v>
      </c>
      <c r="Q635" s="57">
        <v>-0.25850000000000001</v>
      </c>
      <c r="R635" s="57">
        <v>0.25869999999999999</v>
      </c>
      <c r="S635" s="57">
        <v>0.25869999999999999</v>
      </c>
      <c r="T635">
        <v>12.08</v>
      </c>
      <c r="U635">
        <v>4.03</v>
      </c>
      <c r="V635">
        <v>49.58</v>
      </c>
      <c r="W635" s="20">
        <v>1058.08554</v>
      </c>
    </row>
    <row r="636" spans="7:23" x14ac:dyDescent="0.15">
      <c r="G636" s="11">
        <v>635</v>
      </c>
      <c r="H636" s="10" t="s">
        <v>470</v>
      </c>
      <c r="I636" t="s">
        <v>1082</v>
      </c>
      <c r="J636" t="s">
        <v>830</v>
      </c>
      <c r="K636" s="61">
        <v>1.6999999999999999E-3</v>
      </c>
      <c r="L636" s="57">
        <v>-2.5000000000000001E-3</v>
      </c>
      <c r="M636" s="57">
        <v>-3.7100000000000001E-2</v>
      </c>
      <c r="N636" s="61">
        <v>1.0699999999999999E-2</v>
      </c>
      <c r="O636" s="57">
        <v>-5.8599999999999999E-2</v>
      </c>
      <c r="P636" s="57">
        <v>0.1308</v>
      </c>
      <c r="Q636" s="57">
        <v>-0.1585</v>
      </c>
      <c r="R636" s="57">
        <v>0.1699</v>
      </c>
      <c r="S636" s="57">
        <v>0.7208</v>
      </c>
      <c r="T636">
        <v>11.94</v>
      </c>
      <c r="U636">
        <v>33.19</v>
      </c>
      <c r="V636">
        <v>20.28</v>
      </c>
      <c r="W636" s="20">
        <v>5174.6135000000004</v>
      </c>
    </row>
    <row r="637" spans="7:23" x14ac:dyDescent="0.15">
      <c r="G637" s="11">
        <v>636</v>
      </c>
      <c r="H637" s="10" t="s">
        <v>1266</v>
      </c>
      <c r="I637" t="s">
        <v>1267</v>
      </c>
      <c r="J637" t="s">
        <v>1609</v>
      </c>
      <c r="K637" s="61">
        <v>2.0000000000000001E-4</v>
      </c>
      <c r="L637" s="57">
        <v>-4.07E-2</v>
      </c>
      <c r="M637" s="57">
        <v>-9.7100000000000006E-2</v>
      </c>
      <c r="N637" s="61">
        <v>-1.78E-2</v>
      </c>
      <c r="O637" s="57">
        <v>-0.20280000000000001</v>
      </c>
      <c r="P637" s="57">
        <v>9.0300000000000005E-2</v>
      </c>
      <c r="Q637" s="57">
        <v>-0.1497</v>
      </c>
      <c r="R637" s="57">
        <v>-7.7200000000000005E-2</v>
      </c>
      <c r="S637" s="57">
        <v>-7.7200000000000005E-2</v>
      </c>
      <c r="T637">
        <v>11.81</v>
      </c>
      <c r="U637">
        <v>9.86</v>
      </c>
      <c r="V637">
        <v>42.92</v>
      </c>
      <c r="W637" s="20">
        <v>4711.2505099999998</v>
      </c>
    </row>
    <row r="638" spans="7:23" x14ac:dyDescent="0.15">
      <c r="G638" s="11">
        <v>637</v>
      </c>
      <c r="H638" s="10" t="s">
        <v>401</v>
      </c>
      <c r="I638" t="s">
        <v>843</v>
      </c>
      <c r="J638" t="s">
        <v>830</v>
      </c>
      <c r="K638" s="61">
        <v>5.0000000000000001E-3</v>
      </c>
      <c r="L638" s="57">
        <v>3.5999999999999999E-3</v>
      </c>
      <c r="M638" s="57">
        <v>-6.9999999999999999E-4</v>
      </c>
      <c r="N638" s="61">
        <v>2.3699999999999999E-2</v>
      </c>
      <c r="O638" s="57">
        <v>-0.1065</v>
      </c>
      <c r="P638" s="57">
        <v>1.06E-2</v>
      </c>
      <c r="Q638" s="57">
        <v>-0.22589999999999999</v>
      </c>
      <c r="R638" s="57">
        <v>-0.1429</v>
      </c>
      <c r="S638" s="57">
        <v>0.24260000000000001</v>
      </c>
      <c r="T638">
        <v>11.67</v>
      </c>
      <c r="U638">
        <v>45.69</v>
      </c>
      <c r="V638">
        <v>7.08</v>
      </c>
      <c r="W638" s="20">
        <v>501.22515999999996</v>
      </c>
    </row>
    <row r="639" spans="7:23" x14ac:dyDescent="0.15">
      <c r="G639" s="11">
        <v>638</v>
      </c>
      <c r="H639" t="s">
        <v>615</v>
      </c>
      <c r="I639" t="s">
        <v>1099</v>
      </c>
      <c r="J639" t="s">
        <v>830</v>
      </c>
      <c r="K639" s="61">
        <v>1.1999999999999999E-3</v>
      </c>
      <c r="L639" s="57">
        <v>3.5999999999999999E-3</v>
      </c>
      <c r="M639" s="57">
        <v>3.8199999999999998E-2</v>
      </c>
      <c r="N639" s="61">
        <v>3.3E-3</v>
      </c>
      <c r="O639" s="57">
        <v>-3.5299999999999998E-2</v>
      </c>
      <c r="P639" s="57">
        <v>-7.4300000000000005E-2</v>
      </c>
      <c r="Q639" s="57">
        <v>-0.1139</v>
      </c>
      <c r="R639" s="57">
        <v>-0.1081</v>
      </c>
      <c r="S639" s="57">
        <v>-0.1081</v>
      </c>
      <c r="T639">
        <v>11.53</v>
      </c>
      <c r="U639">
        <v>27.22</v>
      </c>
      <c r="V639">
        <v>25.42</v>
      </c>
      <c r="W639" s="20">
        <v>5362.8989000000001</v>
      </c>
    </row>
    <row r="640" spans="7:23" x14ac:dyDescent="0.15">
      <c r="G640" s="11">
        <v>639</v>
      </c>
      <c r="H640" t="s">
        <v>1377</v>
      </c>
      <c r="I640" t="s">
        <v>1378</v>
      </c>
      <c r="J640" t="s">
        <v>1609</v>
      </c>
      <c r="K640" s="61">
        <v>8.0000000000000004E-4</v>
      </c>
      <c r="L640" s="57">
        <v>-2.5100000000000001E-2</v>
      </c>
      <c r="M640" s="57">
        <v>-4.02E-2</v>
      </c>
      <c r="N640" s="61">
        <v>-1.5E-3</v>
      </c>
      <c r="O640" s="57">
        <v>-0.20250000000000001</v>
      </c>
      <c r="P640" s="57">
        <v>-4.8399999999999999E-2</v>
      </c>
      <c r="Q640" s="57">
        <v>-0.29849999999999999</v>
      </c>
      <c r="R640" s="57">
        <v>7.1000000000000004E-3</v>
      </c>
      <c r="S640" s="57">
        <v>7.1000000000000004E-3</v>
      </c>
      <c r="T640">
        <v>11.39</v>
      </c>
      <c r="U640">
        <v>20.28</v>
      </c>
      <c r="V640">
        <v>31.94</v>
      </c>
      <c r="W640" s="20">
        <v>524.48509999999999</v>
      </c>
    </row>
    <row r="641" spans="7:23" x14ac:dyDescent="0.15">
      <c r="G641" s="11">
        <v>640</v>
      </c>
      <c r="H641" s="10" t="s">
        <v>1330</v>
      </c>
      <c r="I641" t="s">
        <v>1331</v>
      </c>
      <c r="J641" t="s">
        <v>1609</v>
      </c>
      <c r="K641" s="61">
        <v>1.5E-3</v>
      </c>
      <c r="L641" s="57">
        <v>-3.1800000000000002E-2</v>
      </c>
      <c r="M641" s="57">
        <v>-4.5400000000000003E-2</v>
      </c>
      <c r="N641" s="61">
        <v>5.8999999999999999E-3</v>
      </c>
      <c r="O641" s="57">
        <v>-0.1764</v>
      </c>
      <c r="P641" s="57">
        <v>5.0000000000000001E-3</v>
      </c>
      <c r="Q641" s="57">
        <v>-0.17280000000000001</v>
      </c>
      <c r="R641" s="57">
        <v>-0.27810000000000001</v>
      </c>
      <c r="S641" s="57">
        <v>-0.27810000000000001</v>
      </c>
      <c r="T641">
        <v>11.25</v>
      </c>
      <c r="U641">
        <v>29.58</v>
      </c>
      <c r="V641">
        <v>21.94</v>
      </c>
      <c r="W641" s="20">
        <v>1769.93887</v>
      </c>
    </row>
    <row r="642" spans="7:23" x14ac:dyDescent="0.15">
      <c r="G642" s="11">
        <v>641</v>
      </c>
      <c r="H642" t="s">
        <v>1239</v>
      </c>
      <c r="I642" t="s">
        <v>1240</v>
      </c>
      <c r="J642" t="s">
        <v>830</v>
      </c>
      <c r="K642" s="61">
        <v>2E-3</v>
      </c>
      <c r="L642" s="57">
        <v>7.9000000000000008E-3</v>
      </c>
      <c r="M642" s="57">
        <v>2.7799999999999998E-2</v>
      </c>
      <c r="N642" s="61">
        <v>1.09E-2</v>
      </c>
      <c r="O642" s="57">
        <v>-9.4000000000000004E-3</v>
      </c>
      <c r="P642" s="57">
        <v>-1.3899999999999999E-2</v>
      </c>
      <c r="Q642" s="57">
        <v>7.0000000000000001E-3</v>
      </c>
      <c r="R642" s="57">
        <v>6.4199999999999993E-2</v>
      </c>
      <c r="S642" s="57">
        <v>0.10630000000000001</v>
      </c>
      <c r="T642">
        <v>11.11</v>
      </c>
      <c r="U642">
        <v>33.47</v>
      </c>
      <c r="V642">
        <v>17.78</v>
      </c>
      <c r="W642" s="20">
        <v>261.42079999999999</v>
      </c>
    </row>
    <row r="643" spans="7:23" x14ac:dyDescent="0.15">
      <c r="G643" s="11">
        <v>642</v>
      </c>
      <c r="H643" t="s">
        <v>1977</v>
      </c>
      <c r="I643" t="s">
        <v>1978</v>
      </c>
      <c r="J643" t="s">
        <v>1946</v>
      </c>
      <c r="K643" s="61">
        <v>2.2000000000000001E-3</v>
      </c>
      <c r="L643" s="57">
        <v>5.0000000000000001E-3</v>
      </c>
      <c r="M643" s="57">
        <v>1.09E-2</v>
      </c>
      <c r="N643" s="61">
        <v>1.2999999999999999E-2</v>
      </c>
      <c r="O643" s="57">
        <v>-0.1019</v>
      </c>
      <c r="P643" s="57">
        <v>-4.1599999999999998E-2</v>
      </c>
      <c r="Q643" s="57">
        <v>-0.20050000000000001</v>
      </c>
      <c r="R643" s="57">
        <v>-0.21859999999999999</v>
      </c>
      <c r="S643" s="57">
        <v>-3.61E-2</v>
      </c>
      <c r="T643">
        <v>10.97</v>
      </c>
      <c r="U643">
        <v>34.58</v>
      </c>
      <c r="V643">
        <v>16.25</v>
      </c>
      <c r="W643" s="20">
        <v>205.453</v>
      </c>
    </row>
    <row r="644" spans="7:23" x14ac:dyDescent="0.15">
      <c r="G644" s="11">
        <v>643</v>
      </c>
      <c r="H644" t="s">
        <v>506</v>
      </c>
      <c r="I644" t="s">
        <v>903</v>
      </c>
      <c r="J644" t="s">
        <v>830</v>
      </c>
      <c r="K644" s="61">
        <v>1.5E-3</v>
      </c>
      <c r="L644" s="57">
        <v>3.7000000000000002E-3</v>
      </c>
      <c r="M644" s="57">
        <v>3.8600000000000002E-2</v>
      </c>
      <c r="N644" s="61">
        <v>4.7999999999999996E-3</v>
      </c>
      <c r="O644" s="57">
        <v>-3.4200000000000001E-2</v>
      </c>
      <c r="P644" s="57">
        <v>-6.9000000000000006E-2</v>
      </c>
      <c r="Q644" s="57">
        <v>-0.1072</v>
      </c>
      <c r="R644" s="57">
        <v>-1.2500000000000001E-2</v>
      </c>
      <c r="S644" s="57">
        <v>4.6399999999999997E-2</v>
      </c>
      <c r="T644">
        <v>10.83</v>
      </c>
      <c r="U644">
        <v>28.47</v>
      </c>
      <c r="V644">
        <v>21.67</v>
      </c>
      <c r="W644" s="20">
        <v>694.01750000000004</v>
      </c>
    </row>
    <row r="645" spans="7:23" x14ac:dyDescent="0.15">
      <c r="G645" s="11">
        <v>644</v>
      </c>
      <c r="H645" t="s">
        <v>425</v>
      </c>
      <c r="I645" t="s">
        <v>918</v>
      </c>
      <c r="J645" t="s">
        <v>830</v>
      </c>
      <c r="K645" s="61">
        <v>0</v>
      </c>
      <c r="L645" s="57">
        <v>-5.04E-2</v>
      </c>
      <c r="M645" s="57">
        <v>-7.85E-2</v>
      </c>
      <c r="N645" s="61">
        <v>-3.1600000000000003E-2</v>
      </c>
      <c r="O645" s="57">
        <v>-0.2228</v>
      </c>
      <c r="P645" s="57">
        <v>-4.9799999999999997E-2</v>
      </c>
      <c r="Q645" s="57">
        <v>-0.32179999999999997</v>
      </c>
      <c r="R645" s="57">
        <v>-0.20899999999999999</v>
      </c>
      <c r="S645" s="57">
        <v>-0.20899999999999999</v>
      </c>
      <c r="T645">
        <v>10.69</v>
      </c>
      <c r="U645">
        <v>4.58</v>
      </c>
      <c r="V645">
        <v>45.42</v>
      </c>
      <c r="W645" s="20">
        <v>1289.6955</v>
      </c>
    </row>
    <row r="646" spans="7:23" x14ac:dyDescent="0.15">
      <c r="G646" s="11">
        <v>645</v>
      </c>
      <c r="H646" t="s">
        <v>400</v>
      </c>
      <c r="I646" t="s">
        <v>966</v>
      </c>
      <c r="J646" t="s">
        <v>830</v>
      </c>
      <c r="K646" s="61">
        <v>8.0000000000000004E-4</v>
      </c>
      <c r="L646" s="57">
        <v>-3.7400000000000003E-2</v>
      </c>
      <c r="M646" s="57">
        <v>-9.4000000000000004E-3</v>
      </c>
      <c r="N646" s="61">
        <v>-3.7000000000000002E-3</v>
      </c>
      <c r="O646" s="57">
        <v>-7.6200000000000004E-2</v>
      </c>
      <c r="P646" s="57">
        <v>-5.1000000000000004E-3</v>
      </c>
      <c r="Q646" s="57">
        <v>2.5999999999999999E-3</v>
      </c>
      <c r="R646" s="57">
        <v>0.67330000000000001</v>
      </c>
      <c r="S646" s="57">
        <v>0.82489999999999997</v>
      </c>
      <c r="T646">
        <v>10.56</v>
      </c>
      <c r="U646">
        <v>17.22</v>
      </c>
      <c r="V646">
        <v>32.08</v>
      </c>
      <c r="W646" s="20">
        <v>1828.4238</v>
      </c>
    </row>
    <row r="647" spans="7:23" x14ac:dyDescent="0.15">
      <c r="G647" s="11">
        <v>646</v>
      </c>
      <c r="H647" t="s">
        <v>639</v>
      </c>
      <c r="I647" t="s">
        <v>947</v>
      </c>
      <c r="J647" t="s">
        <v>830</v>
      </c>
      <c r="K647" s="61">
        <v>2.8E-3</v>
      </c>
      <c r="L647" s="57">
        <v>3.3999999999999998E-3</v>
      </c>
      <c r="M647" s="57">
        <v>8.9999999999999993E-3</v>
      </c>
      <c r="N647" s="61">
        <v>1.54E-2</v>
      </c>
      <c r="O647" s="57">
        <v>-8.8700000000000001E-2</v>
      </c>
      <c r="P647" s="57">
        <v>-2.9000000000000001E-2</v>
      </c>
      <c r="Q647" s="57">
        <v>-0.19839999999999999</v>
      </c>
      <c r="R647" s="57">
        <v>-0.16189999999999999</v>
      </c>
      <c r="S647" s="57">
        <v>5.8200000000000002E-2</v>
      </c>
      <c r="T647">
        <v>10.42</v>
      </c>
      <c r="U647">
        <v>37.36</v>
      </c>
      <c r="V647">
        <v>11.94</v>
      </c>
      <c r="W647" s="20">
        <v>1775.6203</v>
      </c>
    </row>
    <row r="648" spans="7:23" x14ac:dyDescent="0.15">
      <c r="G648" s="11">
        <v>647</v>
      </c>
      <c r="H648" s="10" t="s">
        <v>1955</v>
      </c>
      <c r="I648" t="s">
        <v>1956</v>
      </c>
      <c r="J648" t="s">
        <v>1946</v>
      </c>
      <c r="K648" s="61">
        <v>2.2000000000000001E-3</v>
      </c>
      <c r="L648" s="57">
        <v>-9.4000000000000004E-3</v>
      </c>
      <c r="M648" s="57">
        <v>1.5699999999999999E-2</v>
      </c>
      <c r="N648" s="61">
        <v>1.0699999999999999E-2</v>
      </c>
      <c r="O648" s="57">
        <v>-5.96E-2</v>
      </c>
      <c r="P648" s="57">
        <v>-8.8999999999999996E-2</v>
      </c>
      <c r="Q648" s="57">
        <v>-8.8999999999999996E-2</v>
      </c>
      <c r="R648" s="57">
        <v>-8.8999999999999996E-2</v>
      </c>
      <c r="S648" s="57">
        <v>-8.8999999999999996E-2</v>
      </c>
      <c r="T648">
        <v>10.28</v>
      </c>
      <c r="U648">
        <v>33.33</v>
      </c>
      <c r="V648">
        <v>15.97</v>
      </c>
      <c r="W648" s="20">
        <v>2229.9952666999998</v>
      </c>
    </row>
    <row r="649" spans="7:23" x14ac:dyDescent="0.15">
      <c r="G649" s="11">
        <v>648</v>
      </c>
      <c r="H649" t="s">
        <v>2022</v>
      </c>
      <c r="I649" t="s">
        <v>2023</v>
      </c>
      <c r="J649" t="s">
        <v>1946</v>
      </c>
      <c r="K649" s="61">
        <v>2.9999999999999997E-4</v>
      </c>
      <c r="L649" s="57">
        <v>-4.07E-2</v>
      </c>
      <c r="M649" s="57">
        <v>-9.69E-2</v>
      </c>
      <c r="N649" s="61">
        <v>-2.0199999999999999E-2</v>
      </c>
      <c r="O649" s="57">
        <v>-0.2036</v>
      </c>
      <c r="P649" s="57">
        <v>-0.13730000000000001</v>
      </c>
      <c r="Q649" s="57">
        <v>-0.13730000000000001</v>
      </c>
      <c r="R649" s="57">
        <v>-0.13730000000000001</v>
      </c>
      <c r="S649" s="57">
        <v>-0.13730000000000001</v>
      </c>
      <c r="T649">
        <v>10.14</v>
      </c>
      <c r="U649">
        <v>8.4700000000000006</v>
      </c>
      <c r="V649">
        <v>40.56</v>
      </c>
      <c r="W649" s="20">
        <v>4502.3339567000003</v>
      </c>
    </row>
    <row r="650" spans="7:23" x14ac:dyDescent="0.15">
      <c r="G650" s="11">
        <v>649</v>
      </c>
      <c r="H650" t="s">
        <v>1556</v>
      </c>
      <c r="I650" t="s">
        <v>1557</v>
      </c>
      <c r="J650" t="s">
        <v>1609</v>
      </c>
      <c r="K650" s="61">
        <v>5.0000000000000001E-3</v>
      </c>
      <c r="L650" s="57">
        <v>-5.96E-2</v>
      </c>
      <c r="M650" s="57">
        <v>-7.1300000000000002E-2</v>
      </c>
      <c r="N650" s="61">
        <v>1.8499999999999999E-2</v>
      </c>
      <c r="O650" s="57">
        <v>-0.1608</v>
      </c>
      <c r="P650" s="57">
        <v>-4.5600000000000002E-2</v>
      </c>
      <c r="Q650" s="57">
        <v>-0.1691</v>
      </c>
      <c r="R650" s="57">
        <v>-0.19600000000000001</v>
      </c>
      <c r="S650" s="57">
        <v>-0.19600000000000001</v>
      </c>
      <c r="T650">
        <v>10</v>
      </c>
      <c r="U650">
        <v>41.67</v>
      </c>
      <c r="V650">
        <v>6.94</v>
      </c>
      <c r="W650" s="20">
        <v>366.21859999999998</v>
      </c>
    </row>
    <row r="651" spans="7:23" x14ac:dyDescent="0.15">
      <c r="G651" s="11">
        <v>650</v>
      </c>
      <c r="H651" t="s">
        <v>364</v>
      </c>
      <c r="I651" t="s">
        <v>892</v>
      </c>
      <c r="J651" t="s">
        <v>830</v>
      </c>
      <c r="K651" s="61">
        <v>2.7000000000000001E-3</v>
      </c>
      <c r="L651" s="57">
        <v>6.7999999999999996E-3</v>
      </c>
      <c r="M651" s="57">
        <v>1.3299999999999999E-2</v>
      </c>
      <c r="N651" s="61">
        <v>1.49E-2</v>
      </c>
      <c r="O651" s="57">
        <v>-9.6299999999999997E-2</v>
      </c>
      <c r="P651" s="57">
        <v>-4.5400000000000003E-2</v>
      </c>
      <c r="Q651" s="57">
        <v>-0.19800000000000001</v>
      </c>
      <c r="R651" s="57">
        <v>-0.1089</v>
      </c>
      <c r="S651" s="57">
        <v>9.0999999999999998E-2</v>
      </c>
      <c r="T651">
        <v>9.86</v>
      </c>
      <c r="U651">
        <v>36.39</v>
      </c>
      <c r="V651">
        <v>12.08</v>
      </c>
      <c r="W651" s="20">
        <v>2.9597000000000002</v>
      </c>
    </row>
    <row r="652" spans="7:23" x14ac:dyDescent="0.15">
      <c r="G652" s="11">
        <v>651</v>
      </c>
      <c r="H652" t="s">
        <v>700</v>
      </c>
      <c r="I652" t="s">
        <v>838</v>
      </c>
      <c r="J652" t="s">
        <v>830</v>
      </c>
      <c r="K652" s="61">
        <v>7.3000000000000001E-3</v>
      </c>
      <c r="L652" s="57">
        <v>2.0500000000000001E-2</v>
      </c>
      <c r="M652" s="57">
        <v>3.3599999999999998E-2</v>
      </c>
      <c r="N652" s="61">
        <v>2.18E-2</v>
      </c>
      <c r="O652" s="57">
        <v>-4.5900000000000003E-2</v>
      </c>
      <c r="P652" s="57">
        <v>-1.14E-2</v>
      </c>
      <c r="Q652" s="57">
        <v>-0.1421</v>
      </c>
      <c r="R652" s="57">
        <v>-0.1298</v>
      </c>
      <c r="S652" s="57">
        <v>0.17399999999999999</v>
      </c>
      <c r="T652">
        <v>9.7200000000000006</v>
      </c>
      <c r="U652">
        <v>43.89</v>
      </c>
      <c r="V652">
        <v>4.3099999999999996</v>
      </c>
      <c r="W652" s="20">
        <v>48.146279999999997</v>
      </c>
    </row>
    <row r="653" spans="7:23" x14ac:dyDescent="0.15">
      <c r="G653" s="11">
        <v>652</v>
      </c>
      <c r="H653" s="10" t="s">
        <v>689</v>
      </c>
      <c r="I653" t="s">
        <v>1173</v>
      </c>
      <c r="J653" t="s">
        <v>1166</v>
      </c>
      <c r="K653" s="61">
        <v>2.0999999999999999E-3</v>
      </c>
      <c r="L653" s="57">
        <v>3.8E-3</v>
      </c>
      <c r="M653" s="57">
        <v>3.5999999999999999E-3</v>
      </c>
      <c r="N653" s="61">
        <v>7.0000000000000001E-3</v>
      </c>
      <c r="O653" s="57">
        <v>-4.7600000000000003E-2</v>
      </c>
      <c r="P653" s="57">
        <v>-6.3E-3</v>
      </c>
      <c r="Q653" s="57">
        <v>-0.1154</v>
      </c>
      <c r="R653" s="57">
        <v>-9.2399999999999996E-2</v>
      </c>
      <c r="S653" s="57">
        <v>0.13639999999999999</v>
      </c>
      <c r="T653">
        <v>9.58</v>
      </c>
      <c r="U653">
        <v>30.14</v>
      </c>
      <c r="V653">
        <v>16.39</v>
      </c>
      <c r="W653" s="20">
        <v>968.31143800000007</v>
      </c>
    </row>
    <row r="654" spans="7:23" x14ac:dyDescent="0.15">
      <c r="G654" s="11">
        <v>653</v>
      </c>
      <c r="H654" t="s">
        <v>1453</v>
      </c>
      <c r="I654" t="s">
        <v>1454</v>
      </c>
      <c r="J654" t="s">
        <v>1609</v>
      </c>
      <c r="K654" s="61">
        <v>1.5E-3</v>
      </c>
      <c r="L654" s="57">
        <v>-2.1000000000000001E-2</v>
      </c>
      <c r="M654" s="57">
        <v>-1.2200000000000001E-2</v>
      </c>
      <c r="N654" s="61">
        <v>2.5000000000000001E-3</v>
      </c>
      <c r="O654" s="57">
        <v>-0.1283</v>
      </c>
      <c r="P654" s="57">
        <v>-6.0400000000000002E-2</v>
      </c>
      <c r="Q654" s="57">
        <v>-0.22320000000000001</v>
      </c>
      <c r="R654" s="57">
        <v>-0.22320000000000001</v>
      </c>
      <c r="S654" s="57">
        <v>-0.22320000000000001</v>
      </c>
      <c r="T654">
        <v>9.44</v>
      </c>
      <c r="U654">
        <v>24.86</v>
      </c>
      <c r="V654">
        <v>21.39</v>
      </c>
      <c r="W654" s="20">
        <v>12.447189999999999</v>
      </c>
    </row>
    <row r="655" spans="7:23" x14ac:dyDescent="0.15">
      <c r="G655" s="11">
        <v>654</v>
      </c>
      <c r="H655" s="10" t="s">
        <v>1256</v>
      </c>
      <c r="I655" t="s">
        <v>1257</v>
      </c>
      <c r="J655" t="s">
        <v>1609</v>
      </c>
      <c r="K655" s="61">
        <v>5.5999999999999999E-3</v>
      </c>
      <c r="L655" s="57">
        <v>2.9999999999999997E-4</v>
      </c>
      <c r="M655" s="57">
        <v>2.8999999999999998E-3</v>
      </c>
      <c r="N655" s="61">
        <v>1.6500000000000001E-2</v>
      </c>
      <c r="O655" s="57">
        <v>-8.6599999999999996E-2</v>
      </c>
      <c r="P655" s="57">
        <v>-1.23E-2</v>
      </c>
      <c r="Q655" s="57">
        <v>-0.22850000000000001</v>
      </c>
      <c r="R655" s="57">
        <v>-0.22850000000000001</v>
      </c>
      <c r="S655" s="57">
        <v>-0.22850000000000001</v>
      </c>
      <c r="T655">
        <v>9.31</v>
      </c>
      <c r="U655">
        <v>40</v>
      </c>
      <c r="V655">
        <v>6.11</v>
      </c>
      <c r="W655" s="20">
        <v>56.946599999999997</v>
      </c>
    </row>
    <row r="656" spans="7:23" x14ac:dyDescent="0.15">
      <c r="G656" s="11">
        <v>655</v>
      </c>
      <c r="H656" s="10" t="s">
        <v>1443</v>
      </c>
      <c r="I656" t="s">
        <v>1444</v>
      </c>
      <c r="J656" t="s">
        <v>1609</v>
      </c>
      <c r="K656" s="61">
        <v>4.0000000000000002E-4</v>
      </c>
      <c r="L656" s="57">
        <v>-5.8599999999999999E-2</v>
      </c>
      <c r="M656" s="57">
        <v>-7.4099999999999999E-2</v>
      </c>
      <c r="N656" s="61">
        <v>-2.9399999999999999E-2</v>
      </c>
      <c r="O656" s="57">
        <v>-0.23810000000000001</v>
      </c>
      <c r="P656" s="57">
        <v>-4.24E-2</v>
      </c>
      <c r="Q656" s="57">
        <v>-0.3448</v>
      </c>
      <c r="R656" s="57">
        <v>-0.26429999999999998</v>
      </c>
      <c r="S656" s="57">
        <v>-0.26429999999999998</v>
      </c>
      <c r="T656">
        <v>9.17</v>
      </c>
      <c r="U656">
        <v>6.11</v>
      </c>
      <c r="V656">
        <v>39.44</v>
      </c>
      <c r="W656" s="20">
        <v>9156.7086856000005</v>
      </c>
    </row>
    <row r="657" spans="7:23" x14ac:dyDescent="0.15">
      <c r="G657" s="11">
        <v>656</v>
      </c>
      <c r="H657" t="s">
        <v>533</v>
      </c>
      <c r="I657" t="s">
        <v>891</v>
      </c>
      <c r="J657" t="s">
        <v>830</v>
      </c>
      <c r="K657" s="61">
        <v>2.5000000000000001E-3</v>
      </c>
      <c r="L657" s="57">
        <v>0</v>
      </c>
      <c r="M657" s="57">
        <v>-5.0000000000000001E-3</v>
      </c>
      <c r="N657" s="61">
        <v>6.8999999999999999E-3</v>
      </c>
      <c r="O657" s="57">
        <v>-0.124</v>
      </c>
      <c r="P657" s="57">
        <v>-2.7799999999999998E-2</v>
      </c>
      <c r="Q657" s="57">
        <v>-0.25979999999999998</v>
      </c>
      <c r="R657" s="57">
        <v>-0.19750000000000001</v>
      </c>
      <c r="S657" s="57">
        <v>0.17829999999999999</v>
      </c>
      <c r="T657">
        <v>9.0299999999999994</v>
      </c>
      <c r="U657">
        <v>30</v>
      </c>
      <c r="V657">
        <v>13.47</v>
      </c>
      <c r="W657" s="20">
        <v>114.32749</v>
      </c>
    </row>
    <row r="658" spans="7:23" x14ac:dyDescent="0.15">
      <c r="G658" s="11">
        <v>657</v>
      </c>
      <c r="H658" t="s">
        <v>429</v>
      </c>
      <c r="I658" t="s">
        <v>959</v>
      </c>
      <c r="J658" t="s">
        <v>830</v>
      </c>
      <c r="K658" s="61">
        <v>1.6999999999999999E-3</v>
      </c>
      <c r="L658" s="57">
        <v>-4.0800000000000003E-2</v>
      </c>
      <c r="M658" s="57">
        <v>-5.9200000000000003E-2</v>
      </c>
      <c r="N658" s="61">
        <v>1.2999999999999999E-3</v>
      </c>
      <c r="O658" s="57">
        <v>-0.20660000000000001</v>
      </c>
      <c r="P658" s="57">
        <v>-4.5900000000000003E-2</v>
      </c>
      <c r="Q658" s="57">
        <v>-0.33429999999999999</v>
      </c>
      <c r="R658" s="57">
        <v>6.1199999999999997E-2</v>
      </c>
      <c r="S658" s="57">
        <v>6.1199999999999997E-2</v>
      </c>
      <c r="T658">
        <v>8.89</v>
      </c>
      <c r="U658">
        <v>23.33</v>
      </c>
      <c r="V658">
        <v>20</v>
      </c>
      <c r="W658" s="20">
        <v>2315.2608</v>
      </c>
    </row>
    <row r="659" spans="7:23" x14ac:dyDescent="0.15">
      <c r="G659" s="11">
        <v>658</v>
      </c>
      <c r="H659" s="10" t="s">
        <v>617</v>
      </c>
      <c r="I659" t="s">
        <v>956</v>
      </c>
      <c r="J659" t="s">
        <v>830</v>
      </c>
      <c r="K659" s="61">
        <v>4.0000000000000002E-4</v>
      </c>
      <c r="L659" s="57">
        <v>-5.0000000000000001E-3</v>
      </c>
      <c r="M659" s="57">
        <v>6.8999999999999999E-3</v>
      </c>
      <c r="N659" s="61">
        <v>-3.6200000000000003E-2</v>
      </c>
      <c r="O659" s="57">
        <v>-4.1399999999999999E-2</v>
      </c>
      <c r="P659" s="57">
        <v>5.1799999999999999E-2</v>
      </c>
      <c r="Q659" s="57">
        <v>-6.93E-2</v>
      </c>
      <c r="R659" s="57">
        <v>-0.20030000000000001</v>
      </c>
      <c r="S659" s="57">
        <v>-0.20030000000000001</v>
      </c>
      <c r="T659">
        <v>8.75</v>
      </c>
      <c r="U659">
        <v>3.47</v>
      </c>
      <c r="V659">
        <v>39.58</v>
      </c>
      <c r="W659" s="20">
        <v>7530.2805709000004</v>
      </c>
    </row>
    <row r="660" spans="7:23" x14ac:dyDescent="0.15">
      <c r="G660" s="11">
        <v>659</v>
      </c>
      <c r="H660" t="s">
        <v>474</v>
      </c>
      <c r="I660" t="s">
        <v>1063</v>
      </c>
      <c r="J660" t="s">
        <v>830</v>
      </c>
      <c r="K660" s="61">
        <v>2.3E-3</v>
      </c>
      <c r="L660" s="57">
        <v>-1.2999999999999999E-3</v>
      </c>
      <c r="M660" s="57">
        <v>2.7300000000000001E-2</v>
      </c>
      <c r="N660" s="61">
        <v>4.0000000000000001E-3</v>
      </c>
      <c r="O660" s="57">
        <v>-1.06E-2</v>
      </c>
      <c r="P660" s="57">
        <v>1.9E-2</v>
      </c>
      <c r="Q660" s="57">
        <v>4.8300000000000003E-2</v>
      </c>
      <c r="R660" s="57">
        <v>0.248</v>
      </c>
      <c r="S660" s="57">
        <v>0.56579999999999997</v>
      </c>
      <c r="T660">
        <v>8.61</v>
      </c>
      <c r="U660">
        <v>27.64</v>
      </c>
      <c r="V660">
        <v>14.58</v>
      </c>
      <c r="W660" s="20">
        <v>8947.5481999999993</v>
      </c>
    </row>
    <row r="661" spans="7:23" x14ac:dyDescent="0.15">
      <c r="G661" s="11">
        <v>660</v>
      </c>
      <c r="H661" t="s">
        <v>296</v>
      </c>
      <c r="I661" t="s">
        <v>1115</v>
      </c>
      <c r="J661" t="s">
        <v>830</v>
      </c>
      <c r="K661" s="61">
        <v>2.9999999999999997E-4</v>
      </c>
      <c r="L661" s="57">
        <v>-5.6500000000000002E-2</v>
      </c>
      <c r="M661" s="57">
        <v>-4.02E-2</v>
      </c>
      <c r="N661" s="61">
        <v>-6.9500000000000006E-2</v>
      </c>
      <c r="O661" s="57">
        <v>-7.8E-2</v>
      </c>
      <c r="P661" s="57">
        <v>-2.1299999999999999E-2</v>
      </c>
      <c r="Q661" s="57">
        <v>0.26769999999999999</v>
      </c>
      <c r="R661" s="57">
        <v>1.1358999999999999</v>
      </c>
      <c r="S661" s="57">
        <v>1.3713</v>
      </c>
      <c r="T661">
        <v>8.4700000000000006</v>
      </c>
      <c r="U661">
        <v>0.69</v>
      </c>
      <c r="V661">
        <v>41.11</v>
      </c>
      <c r="W661" s="20">
        <v>24962.909199999998</v>
      </c>
    </row>
    <row r="662" spans="7:23" x14ac:dyDescent="0.15">
      <c r="G662" s="11">
        <v>661</v>
      </c>
      <c r="H662" t="s">
        <v>545</v>
      </c>
      <c r="I662" t="s">
        <v>1183</v>
      </c>
      <c r="J662" t="s">
        <v>1175</v>
      </c>
      <c r="K662" s="61">
        <v>1E-3</v>
      </c>
      <c r="L662" s="57">
        <v>-5.5399999999999998E-2</v>
      </c>
      <c r="M662" s="57">
        <v>-7.2400000000000006E-2</v>
      </c>
      <c r="N662" s="61">
        <v>-1.6299999999999999E-2</v>
      </c>
      <c r="O662" s="57">
        <v>-0.2069</v>
      </c>
      <c r="P662" s="57">
        <v>-3.49E-2</v>
      </c>
      <c r="Q662" s="57">
        <v>-0.32429999999999998</v>
      </c>
      <c r="R662" s="57">
        <v>0.42349999999999999</v>
      </c>
      <c r="S662" s="57">
        <v>1.7682</v>
      </c>
      <c r="T662">
        <v>8.33</v>
      </c>
      <c r="U662">
        <v>10.83</v>
      </c>
      <c r="V662">
        <v>29.17</v>
      </c>
      <c r="W662" s="20">
        <v>58.1248</v>
      </c>
    </row>
    <row r="663" spans="7:23" x14ac:dyDescent="0.15">
      <c r="G663" s="11">
        <v>662</v>
      </c>
      <c r="H663" s="10" t="s">
        <v>471</v>
      </c>
      <c r="I663" t="s">
        <v>1376</v>
      </c>
      <c r="J663" t="s">
        <v>1609</v>
      </c>
      <c r="K663" s="61">
        <v>8.9999999999999998E-4</v>
      </c>
      <c r="L663" s="57">
        <v>-1.9400000000000001E-2</v>
      </c>
      <c r="M663" s="57">
        <v>-1.78E-2</v>
      </c>
      <c r="N663" s="61">
        <v>-1.9199999999999998E-2</v>
      </c>
      <c r="O663" s="57">
        <v>-5.2499999999999998E-2</v>
      </c>
      <c r="P663" s="57">
        <v>-1.6799999999999999E-2</v>
      </c>
      <c r="Q663" s="57">
        <v>-3.7499999999999999E-2</v>
      </c>
      <c r="R663" s="57">
        <v>3.4700000000000002E-2</v>
      </c>
      <c r="S663" s="57">
        <v>4.0800000000000003E-2</v>
      </c>
      <c r="T663">
        <v>8.19</v>
      </c>
      <c r="U663">
        <v>9.44</v>
      </c>
      <c r="V663">
        <v>30.42</v>
      </c>
      <c r="W663" s="20">
        <v>9300.3502000000008</v>
      </c>
    </row>
    <row r="664" spans="7:23" x14ac:dyDescent="0.15">
      <c r="G664" s="11">
        <v>663</v>
      </c>
      <c r="H664" t="s">
        <v>1572</v>
      </c>
      <c r="I664" t="s">
        <v>1573</v>
      </c>
      <c r="J664" t="s">
        <v>1609</v>
      </c>
      <c r="K664" s="61">
        <v>1.1999999999999999E-3</v>
      </c>
      <c r="L664" s="57">
        <v>-2.9600000000000001E-2</v>
      </c>
      <c r="M664" s="57">
        <v>-5.79E-2</v>
      </c>
      <c r="N664" s="61">
        <v>-6.7999999999999996E-3</v>
      </c>
      <c r="O664" s="57">
        <v>-0.16600000000000001</v>
      </c>
      <c r="P664" s="57">
        <v>2.3900000000000001E-2</v>
      </c>
      <c r="Q664" s="57">
        <v>-0.17699999999999999</v>
      </c>
      <c r="R664" s="57">
        <v>-0.17699999999999999</v>
      </c>
      <c r="S664" s="57">
        <v>-0.17699999999999999</v>
      </c>
      <c r="T664">
        <v>8.06</v>
      </c>
      <c r="U664">
        <v>14.72</v>
      </c>
      <c r="V664">
        <v>24.44</v>
      </c>
      <c r="W664" s="20">
        <v>831.70770000000005</v>
      </c>
    </row>
    <row r="665" spans="7:23" x14ac:dyDescent="0.15">
      <c r="G665" s="11">
        <v>664</v>
      </c>
      <c r="H665" t="s">
        <v>652</v>
      </c>
      <c r="I665" t="s">
        <v>1061</v>
      </c>
      <c r="J665" t="s">
        <v>830</v>
      </c>
      <c r="K665" s="61">
        <v>2.7000000000000001E-3</v>
      </c>
      <c r="L665" s="57">
        <v>3.5000000000000001E-3</v>
      </c>
      <c r="M665" s="57">
        <v>3.7699999999999997E-2</v>
      </c>
      <c r="N665" s="61">
        <v>3.0999999999999999E-3</v>
      </c>
      <c r="O665" s="57">
        <v>-3.5299999999999998E-2</v>
      </c>
      <c r="P665" s="57">
        <v>-7.5499999999999998E-2</v>
      </c>
      <c r="Q665" s="57">
        <v>-0.1167</v>
      </c>
      <c r="R665" s="57">
        <v>-7.9600000000000004E-2</v>
      </c>
      <c r="S665" s="57">
        <v>-0.10150000000000001</v>
      </c>
      <c r="T665">
        <v>7.92</v>
      </c>
      <c r="U665">
        <v>26.25</v>
      </c>
      <c r="V665">
        <v>12.64</v>
      </c>
      <c r="W665" s="20">
        <v>15688.6677</v>
      </c>
    </row>
    <row r="666" spans="7:23" x14ac:dyDescent="0.15">
      <c r="G666" s="11">
        <v>665</v>
      </c>
      <c r="H666" t="s">
        <v>1415</v>
      </c>
      <c r="I666" t="s">
        <v>1416</v>
      </c>
      <c r="J666" t="s">
        <v>1609</v>
      </c>
      <c r="K666" s="61">
        <v>2E-3</v>
      </c>
      <c r="L666" s="57">
        <v>-4.1700000000000001E-2</v>
      </c>
      <c r="M666" s="57">
        <v>-6.0900000000000003E-2</v>
      </c>
      <c r="N666" s="61">
        <v>-6.9999999999999999E-4</v>
      </c>
      <c r="O666" s="57">
        <v>-0.2122</v>
      </c>
      <c r="P666" s="57">
        <v>-6.1699999999999998E-2</v>
      </c>
      <c r="Q666" s="57">
        <v>-0.3458</v>
      </c>
      <c r="R666" s="57">
        <v>-0.28339999999999999</v>
      </c>
      <c r="S666" s="57">
        <v>-0.28339999999999999</v>
      </c>
      <c r="T666">
        <v>7.78</v>
      </c>
      <c r="U666">
        <v>21.39</v>
      </c>
      <c r="V666">
        <v>17.36</v>
      </c>
      <c r="W666" s="20">
        <v>33.091760000000001</v>
      </c>
    </row>
    <row r="667" spans="7:23" x14ac:dyDescent="0.15">
      <c r="G667" s="11">
        <v>666</v>
      </c>
      <c r="H667" t="s">
        <v>437</v>
      </c>
      <c r="I667" t="s">
        <v>984</v>
      </c>
      <c r="J667" t="s">
        <v>830</v>
      </c>
      <c r="K667" s="61">
        <v>8.9999999999999998E-4</v>
      </c>
      <c r="L667" s="57">
        <v>-1.0200000000000001E-2</v>
      </c>
      <c r="M667" s="57">
        <v>2.0899999999999998E-2</v>
      </c>
      <c r="N667" s="61">
        <v>-2.1100000000000001E-2</v>
      </c>
      <c r="O667" s="57">
        <v>-7.1999999999999998E-3</v>
      </c>
      <c r="P667" s="57">
        <v>-2.0500000000000001E-2</v>
      </c>
      <c r="Q667" s="57">
        <v>0.10009999999999999</v>
      </c>
      <c r="R667" s="57">
        <v>0.23619999999999999</v>
      </c>
      <c r="S667" s="57">
        <v>0.42220000000000002</v>
      </c>
      <c r="T667">
        <v>7.64</v>
      </c>
      <c r="U667">
        <v>8.19</v>
      </c>
      <c r="V667">
        <v>29.86</v>
      </c>
      <c r="W667" s="20">
        <v>1384.1451999999999</v>
      </c>
    </row>
    <row r="668" spans="7:23" x14ac:dyDescent="0.15">
      <c r="G668" s="11">
        <v>667</v>
      </c>
      <c r="H668" s="10" t="s">
        <v>1308</v>
      </c>
      <c r="I668" t="s">
        <v>1309</v>
      </c>
      <c r="J668" t="s">
        <v>1609</v>
      </c>
      <c r="K668" s="61">
        <v>8.0000000000000004E-4</v>
      </c>
      <c r="L668" s="57">
        <v>9.5999999999999992E-3</v>
      </c>
      <c r="M668" s="57">
        <v>1.2200000000000001E-2</v>
      </c>
      <c r="N668" s="61">
        <v>-3.1199999999999999E-2</v>
      </c>
      <c r="O668" s="57">
        <v>-5.6599999999999998E-2</v>
      </c>
      <c r="P668" s="57">
        <v>5.7000000000000002E-3</v>
      </c>
      <c r="Q668" s="57">
        <v>-0.13569999999999999</v>
      </c>
      <c r="R668" s="57">
        <v>-0.13569999999999999</v>
      </c>
      <c r="S668" s="57">
        <v>-0.13569999999999999</v>
      </c>
      <c r="T668">
        <v>7.5</v>
      </c>
      <c r="U668">
        <v>5</v>
      </c>
      <c r="V668">
        <v>32.22</v>
      </c>
      <c r="W668" s="20">
        <v>10720.516325099999</v>
      </c>
    </row>
    <row r="669" spans="7:23" x14ac:dyDescent="0.15">
      <c r="G669" s="11">
        <v>668</v>
      </c>
      <c r="H669" t="s">
        <v>1594</v>
      </c>
      <c r="I669" t="s">
        <v>1595</v>
      </c>
      <c r="J669" t="s">
        <v>1609</v>
      </c>
      <c r="K669" s="61">
        <v>6.9999999999999999E-4</v>
      </c>
      <c r="L669" s="57">
        <v>-3.9199999999999999E-2</v>
      </c>
      <c r="M669" s="57">
        <v>-6.9699999999999998E-2</v>
      </c>
      <c r="N669" s="61">
        <v>-3.6400000000000002E-2</v>
      </c>
      <c r="O669" s="57">
        <v>-0.20480000000000001</v>
      </c>
      <c r="P669" s="57">
        <v>-1.49E-2</v>
      </c>
      <c r="Q669" s="57">
        <v>-0.19259999999999999</v>
      </c>
      <c r="R669" s="57">
        <v>-0.19259999999999999</v>
      </c>
      <c r="S669" s="57">
        <v>-0.19259999999999999</v>
      </c>
      <c r="T669">
        <v>7.36</v>
      </c>
      <c r="U669">
        <v>3.33</v>
      </c>
      <c r="V669">
        <v>33.75</v>
      </c>
      <c r="W669" s="20">
        <v>277.42020000000002</v>
      </c>
    </row>
    <row r="670" spans="7:23" x14ac:dyDescent="0.15">
      <c r="G670" s="11">
        <v>669</v>
      </c>
      <c r="H670" t="s">
        <v>342</v>
      </c>
      <c r="I670" t="s">
        <v>1086</v>
      </c>
      <c r="J670" t="s">
        <v>830</v>
      </c>
      <c r="K670" s="61">
        <v>1.1000000000000001E-3</v>
      </c>
      <c r="L670" s="57">
        <v>-4.0800000000000003E-2</v>
      </c>
      <c r="M670" s="57">
        <v>-9.74E-2</v>
      </c>
      <c r="N670" s="61">
        <v>-1.9599999999999999E-2</v>
      </c>
      <c r="O670" s="57">
        <v>-0.20669999999999999</v>
      </c>
      <c r="P670" s="57">
        <v>7.6799999999999993E-2</v>
      </c>
      <c r="Q670" s="57">
        <v>-0.18129999999999999</v>
      </c>
      <c r="R670" s="57">
        <v>0.48139999999999999</v>
      </c>
      <c r="S670" s="57">
        <v>0.48139999999999999</v>
      </c>
      <c r="T670">
        <v>7.22</v>
      </c>
      <c r="U670">
        <v>9.17</v>
      </c>
      <c r="V670">
        <v>27.5</v>
      </c>
      <c r="W670" s="20">
        <v>79112.987800000003</v>
      </c>
    </row>
    <row r="671" spans="7:23" x14ac:dyDescent="0.15">
      <c r="G671" s="11">
        <v>670</v>
      </c>
      <c r="H671" t="s">
        <v>1554</v>
      </c>
      <c r="I671" t="s">
        <v>1555</v>
      </c>
      <c r="J671" t="s">
        <v>1609</v>
      </c>
      <c r="K671" s="61">
        <v>2.2000000000000001E-3</v>
      </c>
      <c r="L671" s="57">
        <v>-1.32E-2</v>
      </c>
      <c r="M671" s="57">
        <v>-1.29E-2</v>
      </c>
      <c r="N671" s="61">
        <v>-8.0000000000000004E-4</v>
      </c>
      <c r="O671" s="57">
        <v>-7.9500000000000001E-2</v>
      </c>
      <c r="P671" s="57">
        <v>6.7000000000000002E-3</v>
      </c>
      <c r="Q671" s="57">
        <v>-6.5100000000000005E-2</v>
      </c>
      <c r="R671" s="57">
        <v>-7.0000000000000007E-2</v>
      </c>
      <c r="S671" s="57">
        <v>-7.0000000000000007E-2</v>
      </c>
      <c r="T671">
        <v>7.08</v>
      </c>
      <c r="U671">
        <v>20.97</v>
      </c>
      <c r="V671">
        <v>15.69</v>
      </c>
      <c r="W671" s="20">
        <v>13.722799999999999</v>
      </c>
    </row>
    <row r="672" spans="7:23" x14ac:dyDescent="0.15">
      <c r="G672" s="11">
        <v>671</v>
      </c>
      <c r="H672" s="10" t="s">
        <v>522</v>
      </c>
      <c r="I672" t="s">
        <v>1126</v>
      </c>
      <c r="J672" t="s">
        <v>830</v>
      </c>
      <c r="K672" s="61">
        <v>3.2000000000000002E-3</v>
      </c>
      <c r="L672" s="57">
        <v>-1.06E-2</v>
      </c>
      <c r="M672" s="57">
        <v>1.3599999999999999E-2</v>
      </c>
      <c r="N672" s="61">
        <v>2E-3</v>
      </c>
      <c r="O672" s="57">
        <v>-4.4900000000000002E-2</v>
      </c>
      <c r="P672" s="57">
        <v>-8.5300000000000001E-2</v>
      </c>
      <c r="Q672" s="57">
        <v>-3.5700000000000003E-2</v>
      </c>
      <c r="R672" s="57">
        <v>6.5600000000000006E-2</v>
      </c>
      <c r="S672" s="57">
        <v>6.5600000000000006E-2</v>
      </c>
      <c r="T672">
        <v>6.94</v>
      </c>
      <c r="U672">
        <v>24.58</v>
      </c>
      <c r="V672">
        <v>10.14</v>
      </c>
      <c r="W672" s="20">
        <v>5389.0555999999997</v>
      </c>
    </row>
    <row r="673" spans="7:23" x14ac:dyDescent="0.15">
      <c r="G673" s="11">
        <v>672</v>
      </c>
      <c r="H673" t="s">
        <v>462</v>
      </c>
      <c r="I673" t="s">
        <v>1154</v>
      </c>
      <c r="J673" t="s">
        <v>1146</v>
      </c>
      <c r="K673" s="61">
        <v>1.44E-2</v>
      </c>
      <c r="L673" s="57">
        <v>-2.9499999999999998E-2</v>
      </c>
      <c r="M673" s="57">
        <v>5.8999999999999999E-3</v>
      </c>
      <c r="N673" s="61">
        <v>8.6E-3</v>
      </c>
      <c r="O673" s="57">
        <v>-0.13450000000000001</v>
      </c>
      <c r="P673" s="57">
        <v>8.2000000000000003E-2</v>
      </c>
      <c r="Q673" s="57">
        <v>-0.23710000000000001</v>
      </c>
      <c r="R673" s="57">
        <v>2.9100000000000001E-2</v>
      </c>
      <c r="S673" s="57">
        <v>0.13450000000000001</v>
      </c>
      <c r="T673">
        <v>6.81</v>
      </c>
      <c r="U673">
        <v>32.08</v>
      </c>
      <c r="V673">
        <v>1.67</v>
      </c>
      <c r="W673" s="20">
        <v>60.2578356</v>
      </c>
    </row>
    <row r="674" spans="7:23" x14ac:dyDescent="0.15">
      <c r="G674" s="11">
        <v>673</v>
      </c>
      <c r="H674" t="s">
        <v>1334</v>
      </c>
      <c r="I674" t="s">
        <v>1335</v>
      </c>
      <c r="J674" t="s">
        <v>1609</v>
      </c>
      <c r="K674" s="61">
        <v>1E-3</v>
      </c>
      <c r="L674" s="57">
        <v>-5.0599999999999999E-2</v>
      </c>
      <c r="M674" s="57">
        <v>-7.8899999999999998E-2</v>
      </c>
      <c r="N674" s="61">
        <v>-3.15E-2</v>
      </c>
      <c r="O674" s="57">
        <v>-0.2228</v>
      </c>
      <c r="P674" s="57">
        <v>-4.6100000000000002E-2</v>
      </c>
      <c r="Q674" s="57">
        <v>-0.31569999999999998</v>
      </c>
      <c r="R674" s="57">
        <v>-0.1918</v>
      </c>
      <c r="S674" s="57">
        <v>-0.1918</v>
      </c>
      <c r="T674">
        <v>6.67</v>
      </c>
      <c r="U674">
        <v>4.8600000000000003</v>
      </c>
      <c r="V674">
        <v>28.75</v>
      </c>
      <c r="W674" s="20">
        <v>1033.1873499999999</v>
      </c>
    </row>
    <row r="675" spans="7:23" x14ac:dyDescent="0.15">
      <c r="G675" s="11">
        <v>674</v>
      </c>
      <c r="H675" t="s">
        <v>445</v>
      </c>
      <c r="I675" t="s">
        <v>904</v>
      </c>
      <c r="J675" t="s">
        <v>830</v>
      </c>
      <c r="K675" s="61">
        <v>1.9E-3</v>
      </c>
      <c r="L675" s="57">
        <v>-2.9899999999999999E-2</v>
      </c>
      <c r="M675" s="57">
        <v>-5.8400000000000001E-2</v>
      </c>
      <c r="N675" s="61">
        <v>-6.0000000000000001E-3</v>
      </c>
      <c r="O675" s="57">
        <v>-0.1656</v>
      </c>
      <c r="P675" s="57">
        <v>3.2599999999999997E-2</v>
      </c>
      <c r="Q675" s="57">
        <v>-0.24299999999999999</v>
      </c>
      <c r="R675" s="57">
        <v>-4.3799999999999999E-2</v>
      </c>
      <c r="S675" s="57">
        <v>-4.3799999999999999E-2</v>
      </c>
      <c r="T675">
        <v>6.53</v>
      </c>
      <c r="U675">
        <v>15.14</v>
      </c>
      <c r="V675">
        <v>18.329999999999998</v>
      </c>
      <c r="W675" s="20">
        <v>265.32310000000001</v>
      </c>
    </row>
    <row r="676" spans="7:23" x14ac:dyDescent="0.15">
      <c r="G676" s="11">
        <v>675</v>
      </c>
      <c r="H676" t="s">
        <v>335</v>
      </c>
      <c r="I676" t="s">
        <v>1193</v>
      </c>
      <c r="J676" t="s">
        <v>1175</v>
      </c>
      <c r="K676" s="61">
        <v>1.8E-3</v>
      </c>
      <c r="L676" s="57">
        <v>-2.7400000000000001E-2</v>
      </c>
      <c r="M676" s="57">
        <v>-3.6200000000000003E-2</v>
      </c>
      <c r="N676" s="61">
        <v>-7.1999999999999998E-3</v>
      </c>
      <c r="O676" s="57">
        <v>-0.114</v>
      </c>
      <c r="P676" s="57">
        <v>-1.78E-2</v>
      </c>
      <c r="Q676" s="57">
        <v>-0.19259999999999999</v>
      </c>
      <c r="R676" s="57">
        <v>0.22070000000000001</v>
      </c>
      <c r="S676" s="57">
        <v>1.1212</v>
      </c>
      <c r="T676">
        <v>6.39</v>
      </c>
      <c r="U676">
        <v>14.17</v>
      </c>
      <c r="V676">
        <v>18.89</v>
      </c>
      <c r="W676" s="20">
        <v>220.81194169999998</v>
      </c>
    </row>
    <row r="677" spans="7:23" x14ac:dyDescent="0.15">
      <c r="G677" s="11">
        <v>676</v>
      </c>
      <c r="H677" t="s">
        <v>339</v>
      </c>
      <c r="I677" t="s">
        <v>1029</v>
      </c>
      <c r="J677" t="s">
        <v>830</v>
      </c>
      <c r="K677" s="61">
        <v>1.1000000000000001E-3</v>
      </c>
      <c r="L677" s="57">
        <v>-5.4000000000000003E-3</v>
      </c>
      <c r="M677" s="57">
        <v>3.7000000000000002E-3</v>
      </c>
      <c r="N677" s="61">
        <v>-3.5099999999999999E-2</v>
      </c>
      <c r="O677" s="57">
        <v>-6.2300000000000001E-2</v>
      </c>
      <c r="P677" s="57">
        <v>-3.2300000000000002E-2</v>
      </c>
      <c r="Q677" s="57">
        <v>-1.0699999999999999E-2</v>
      </c>
      <c r="R677" s="57">
        <v>3.09E-2</v>
      </c>
      <c r="S677" s="57">
        <v>3.09E-2</v>
      </c>
      <c r="T677">
        <v>6.25</v>
      </c>
      <c r="U677">
        <v>3.89</v>
      </c>
      <c r="V677">
        <v>27.64</v>
      </c>
      <c r="W677" s="20">
        <v>2595.6430999999998</v>
      </c>
    </row>
    <row r="678" spans="7:23" x14ac:dyDescent="0.15">
      <c r="G678" s="11">
        <v>677</v>
      </c>
      <c r="H678" s="10" t="s">
        <v>386</v>
      </c>
      <c r="I678" t="s">
        <v>842</v>
      </c>
      <c r="J678" t="s">
        <v>830</v>
      </c>
      <c r="K678" s="61">
        <v>3.0999999999999999E-3</v>
      </c>
      <c r="L678" s="57">
        <v>-6.4000000000000003E-3</v>
      </c>
      <c r="M678" s="57">
        <v>-2.5000000000000001E-2</v>
      </c>
      <c r="N678" s="61">
        <v>-3.0999999999999999E-3</v>
      </c>
      <c r="O678" s="57">
        <v>-0.13919999999999999</v>
      </c>
      <c r="P678" s="57">
        <v>2.81E-2</v>
      </c>
      <c r="Q678" s="57">
        <v>-0.29930000000000001</v>
      </c>
      <c r="R678" s="57">
        <v>-0.1198</v>
      </c>
      <c r="S678" s="57">
        <v>0.45290000000000002</v>
      </c>
      <c r="T678">
        <v>6.11</v>
      </c>
      <c r="U678">
        <v>17.5</v>
      </c>
      <c r="V678">
        <v>10.83</v>
      </c>
      <c r="W678" s="20">
        <v>15.56831</v>
      </c>
    </row>
    <row r="679" spans="7:23" x14ac:dyDescent="0.15">
      <c r="G679" s="11">
        <v>678</v>
      </c>
      <c r="H679" t="s">
        <v>1944</v>
      </c>
      <c r="I679" t="s">
        <v>1945</v>
      </c>
      <c r="J679" t="s">
        <v>1946</v>
      </c>
      <c r="K679" s="61">
        <v>1.5E-3</v>
      </c>
      <c r="L679" s="57">
        <v>9.5999999999999992E-3</v>
      </c>
      <c r="M679" s="57">
        <v>1.21E-2</v>
      </c>
      <c r="N679" s="61">
        <v>-3.0700000000000002E-2</v>
      </c>
      <c r="O679" s="57">
        <v>-5.7200000000000001E-2</v>
      </c>
      <c r="P679" s="57">
        <v>-8.1600000000000006E-2</v>
      </c>
      <c r="Q679" s="57">
        <v>-8.1600000000000006E-2</v>
      </c>
      <c r="R679" s="57">
        <v>-8.1600000000000006E-2</v>
      </c>
      <c r="S679" s="57">
        <v>-8.1600000000000006E-2</v>
      </c>
      <c r="T679">
        <v>5.97</v>
      </c>
      <c r="U679">
        <v>5.28</v>
      </c>
      <c r="V679">
        <v>21.81</v>
      </c>
      <c r="W679" s="20">
        <v>919.98450000000003</v>
      </c>
    </row>
    <row r="680" spans="7:23" x14ac:dyDescent="0.15">
      <c r="G680" s="11">
        <v>679</v>
      </c>
      <c r="H680" t="s">
        <v>387</v>
      </c>
      <c r="I680" t="s">
        <v>945</v>
      </c>
      <c r="J680" t="s">
        <v>830</v>
      </c>
      <c r="K680" s="61">
        <v>2E-3</v>
      </c>
      <c r="L680" s="57">
        <v>-1.37E-2</v>
      </c>
      <c r="M680" s="57">
        <v>9.7999999999999997E-3</v>
      </c>
      <c r="N680" s="61">
        <v>-1.9199999999999998E-2</v>
      </c>
      <c r="O680" s="57">
        <v>-1.32E-2</v>
      </c>
      <c r="P680" s="57">
        <v>1.1000000000000001E-3</v>
      </c>
      <c r="Q680" s="57">
        <v>4.9700000000000001E-2</v>
      </c>
      <c r="R680" s="57">
        <v>0.11360000000000001</v>
      </c>
      <c r="S680" s="57">
        <v>0.12640000000000001</v>
      </c>
      <c r="T680">
        <v>5.83</v>
      </c>
      <c r="U680">
        <v>9.31</v>
      </c>
      <c r="V680">
        <v>17.22</v>
      </c>
      <c r="W680" s="20">
        <v>15412.317999999999</v>
      </c>
    </row>
    <row r="681" spans="7:23" x14ac:dyDescent="0.15">
      <c r="G681" s="11">
        <v>680</v>
      </c>
      <c r="H681" t="s">
        <v>369</v>
      </c>
      <c r="I681" t="s">
        <v>879</v>
      </c>
      <c r="J681" t="s">
        <v>830</v>
      </c>
      <c r="K681" s="61">
        <v>1.2999999999999999E-3</v>
      </c>
      <c r="L681" s="57">
        <v>-4.2700000000000002E-2</v>
      </c>
      <c r="M681" s="57">
        <v>-2.9100000000000001E-2</v>
      </c>
      <c r="N681" s="61">
        <v>-5.4899999999999997E-2</v>
      </c>
      <c r="O681" s="57">
        <v>-5.3600000000000002E-2</v>
      </c>
      <c r="P681" s="57">
        <v>2.5000000000000001E-3</v>
      </c>
      <c r="Q681" s="57">
        <v>0.23</v>
      </c>
      <c r="R681" s="57">
        <v>0.7379</v>
      </c>
      <c r="S681" s="57">
        <v>0.54500000000000004</v>
      </c>
      <c r="T681">
        <v>5.69</v>
      </c>
      <c r="U681">
        <v>1.81</v>
      </c>
      <c r="V681">
        <v>24.17</v>
      </c>
      <c r="W681" s="20">
        <v>1491.3012800000001</v>
      </c>
    </row>
    <row r="682" spans="7:23" x14ac:dyDescent="0.15">
      <c r="G682" s="11">
        <v>681</v>
      </c>
      <c r="H682" t="s">
        <v>381</v>
      </c>
      <c r="I682" t="s">
        <v>912</v>
      </c>
      <c r="J682" t="s">
        <v>830</v>
      </c>
      <c r="K682" s="61">
        <v>4.1000000000000003E-3</v>
      </c>
      <c r="L682" s="57">
        <v>-6.4000000000000003E-3</v>
      </c>
      <c r="M682" s="57">
        <v>-2.4899999999999999E-2</v>
      </c>
      <c r="N682" s="61">
        <v>-2.7000000000000001E-3</v>
      </c>
      <c r="O682" s="57">
        <v>-0.14019999999999999</v>
      </c>
      <c r="P682" s="57">
        <v>2.5899999999999999E-2</v>
      </c>
      <c r="Q682" s="57">
        <v>-0.29949999999999999</v>
      </c>
      <c r="R682" s="57">
        <v>-0.1153</v>
      </c>
      <c r="S682" s="57">
        <v>-0.1047</v>
      </c>
      <c r="T682">
        <v>5.56</v>
      </c>
      <c r="U682">
        <v>17.78</v>
      </c>
      <c r="V682">
        <v>8.19</v>
      </c>
      <c r="W682" s="20">
        <v>498.77570999999995</v>
      </c>
    </row>
    <row r="683" spans="7:23" x14ac:dyDescent="0.15">
      <c r="G683" s="11">
        <v>682</v>
      </c>
      <c r="H683" t="s">
        <v>378</v>
      </c>
      <c r="I683" t="s">
        <v>240</v>
      </c>
      <c r="J683" t="s">
        <v>1166</v>
      </c>
      <c r="K683" s="61">
        <v>4.3E-3</v>
      </c>
      <c r="L683" s="57">
        <v>-5.0000000000000001E-4</v>
      </c>
      <c r="M683" s="57">
        <v>-3.7000000000000002E-3</v>
      </c>
      <c r="N683" s="61">
        <v>-3.8999999999999998E-3</v>
      </c>
      <c r="O683" s="57">
        <v>-2.4500000000000001E-2</v>
      </c>
      <c r="P683" s="57">
        <v>-4.8999999999999998E-3</v>
      </c>
      <c r="Q683" s="57">
        <v>-5.7000000000000002E-2</v>
      </c>
      <c r="R683" s="57">
        <v>-1.78E-2</v>
      </c>
      <c r="S683" s="57">
        <v>6.3100000000000003E-2</v>
      </c>
      <c r="T683">
        <v>5.42</v>
      </c>
      <c r="U683">
        <v>16.670000000000002</v>
      </c>
      <c r="V683">
        <v>7.78</v>
      </c>
      <c r="W683" s="20">
        <v>73.194050399999995</v>
      </c>
    </row>
    <row r="684" spans="7:23" x14ac:dyDescent="0.15">
      <c r="G684" s="11">
        <v>683</v>
      </c>
      <c r="H684" t="s">
        <v>1254</v>
      </c>
      <c r="I684" t="s">
        <v>1255</v>
      </c>
      <c r="J684" t="s">
        <v>1609</v>
      </c>
      <c r="K684" s="61">
        <v>2.3E-3</v>
      </c>
      <c r="L684" s="57">
        <v>-4.0500000000000001E-2</v>
      </c>
      <c r="M684" s="57">
        <v>-9.6600000000000005E-2</v>
      </c>
      <c r="N684" s="61">
        <v>-1.9900000000000001E-2</v>
      </c>
      <c r="O684" s="57">
        <v>-0.20419999999999999</v>
      </c>
      <c r="P684" s="57">
        <v>6.4399999999999999E-2</v>
      </c>
      <c r="Q684" s="57">
        <v>0.1893</v>
      </c>
      <c r="R684" s="57">
        <v>0.1893</v>
      </c>
      <c r="S684" s="57">
        <v>0.1893</v>
      </c>
      <c r="T684">
        <v>5.28</v>
      </c>
      <c r="U684">
        <v>8.89</v>
      </c>
      <c r="V684">
        <v>15.42</v>
      </c>
      <c r="W684" s="20">
        <v>2502.96432</v>
      </c>
    </row>
    <row r="685" spans="7:23" x14ac:dyDescent="0.15">
      <c r="G685" s="11">
        <v>684</v>
      </c>
      <c r="H685" t="s">
        <v>271</v>
      </c>
      <c r="I685" t="s">
        <v>808</v>
      </c>
      <c r="J685" t="s">
        <v>793</v>
      </c>
      <c r="K685" s="61">
        <v>4.1999999999999997E-3</v>
      </c>
      <c r="L685" s="57">
        <v>-4.87E-2</v>
      </c>
      <c r="M685" s="57">
        <v>-7.9799999999999996E-2</v>
      </c>
      <c r="N685" s="61">
        <v>-4.3E-3</v>
      </c>
      <c r="O685" s="57">
        <v>-0.15620000000000001</v>
      </c>
      <c r="P685" s="57">
        <v>2.53E-2</v>
      </c>
      <c r="Q685" s="57">
        <v>-0.1273</v>
      </c>
      <c r="R685" s="57">
        <v>0.2056</v>
      </c>
      <c r="S685" s="57">
        <v>0.85170000000000001</v>
      </c>
      <c r="T685">
        <v>5.14</v>
      </c>
      <c r="U685">
        <v>16.39</v>
      </c>
      <c r="V685">
        <v>7.92</v>
      </c>
      <c r="W685" s="20">
        <v>81.185699999999997</v>
      </c>
    </row>
    <row r="686" spans="7:23" x14ac:dyDescent="0.15">
      <c r="G686" s="11">
        <v>685</v>
      </c>
      <c r="H686" t="s">
        <v>1328</v>
      </c>
      <c r="I686" t="s">
        <v>1329</v>
      </c>
      <c r="J686" t="s">
        <v>1609</v>
      </c>
      <c r="K686" s="61">
        <v>7.1999999999999998E-3</v>
      </c>
      <c r="L686" s="57">
        <v>-2.52E-2</v>
      </c>
      <c r="M686" s="57">
        <v>-4.0300000000000002E-2</v>
      </c>
      <c r="N686" s="61">
        <v>-2.0999999999999999E-3</v>
      </c>
      <c r="O686" s="57">
        <v>-0.20399999999999999</v>
      </c>
      <c r="P686" s="57">
        <v>-5.8799999999999998E-2</v>
      </c>
      <c r="Q686" s="57">
        <v>-0.30420000000000003</v>
      </c>
      <c r="R686" s="57">
        <v>-0.28120000000000001</v>
      </c>
      <c r="S686" s="57">
        <v>-0.28120000000000001</v>
      </c>
      <c r="T686">
        <v>5</v>
      </c>
      <c r="U686">
        <v>19.440000000000001</v>
      </c>
      <c r="V686">
        <v>4.58</v>
      </c>
      <c r="W686" s="20">
        <v>15.7916363</v>
      </c>
    </row>
    <row r="687" spans="7:23" x14ac:dyDescent="0.15">
      <c r="G687" s="11">
        <v>686</v>
      </c>
      <c r="H687" t="s">
        <v>1356</v>
      </c>
      <c r="I687" t="s">
        <v>1357</v>
      </c>
      <c r="J687" t="s">
        <v>1609</v>
      </c>
      <c r="K687" s="61">
        <v>1.6999999999999999E-3</v>
      </c>
      <c r="L687" s="57">
        <v>-1.9099999999999999E-2</v>
      </c>
      <c r="M687" s="57">
        <v>-1.8700000000000001E-2</v>
      </c>
      <c r="N687" s="61">
        <v>-3.6600000000000001E-2</v>
      </c>
      <c r="O687" s="57">
        <v>-0.1096</v>
      </c>
      <c r="P687" s="57">
        <v>-6.2100000000000002E-2</v>
      </c>
      <c r="Q687" s="57">
        <v>-0.16339999999999999</v>
      </c>
      <c r="R687" s="57">
        <v>-0.16339999999999999</v>
      </c>
      <c r="S687" s="57">
        <v>-0.16339999999999999</v>
      </c>
      <c r="T687">
        <v>4.8600000000000003</v>
      </c>
      <c r="U687">
        <v>3.19</v>
      </c>
      <c r="V687">
        <v>20.420000000000002</v>
      </c>
      <c r="W687" s="20">
        <v>879.03679999999997</v>
      </c>
    </row>
    <row r="688" spans="7:23" x14ac:dyDescent="0.15">
      <c r="G688" s="11">
        <v>687</v>
      </c>
      <c r="H688" t="s">
        <v>1435</v>
      </c>
      <c r="I688" t="s">
        <v>1436</v>
      </c>
      <c r="J688" t="s">
        <v>1609</v>
      </c>
      <c r="K688" s="61">
        <v>1.9E-3</v>
      </c>
      <c r="L688" s="57">
        <v>-5.8799999999999998E-2</v>
      </c>
      <c r="M688" s="57">
        <v>-7.4499999999999997E-2</v>
      </c>
      <c r="N688" s="61">
        <v>-3.0700000000000002E-2</v>
      </c>
      <c r="O688" s="57">
        <v>-0.2369</v>
      </c>
      <c r="P688" s="57">
        <v>-4.3499999999999997E-2</v>
      </c>
      <c r="Q688" s="57">
        <v>-0.34100000000000003</v>
      </c>
      <c r="R688" s="57">
        <v>-0.25440000000000002</v>
      </c>
      <c r="S688" s="57">
        <v>-0.25440000000000002</v>
      </c>
      <c r="T688">
        <v>4.72</v>
      </c>
      <c r="U688">
        <v>5.42</v>
      </c>
      <c r="V688">
        <v>18.059999999999999</v>
      </c>
      <c r="W688" s="20">
        <v>445.73998</v>
      </c>
    </row>
    <row r="689" spans="7:23" x14ac:dyDescent="0.15">
      <c r="G689" s="11">
        <v>688</v>
      </c>
      <c r="H689" t="s">
        <v>1304</v>
      </c>
      <c r="I689" t="s">
        <v>1305</v>
      </c>
      <c r="J689" t="s">
        <v>1609</v>
      </c>
      <c r="K689" s="61">
        <v>2.3999999999999998E-3</v>
      </c>
      <c r="L689" s="57">
        <v>-4.07E-2</v>
      </c>
      <c r="M689" s="57">
        <v>-9.7100000000000006E-2</v>
      </c>
      <c r="N689" s="61">
        <v>-1.9800000000000002E-2</v>
      </c>
      <c r="O689" s="57">
        <v>-0.2051</v>
      </c>
      <c r="P689" s="57">
        <v>7.9100000000000004E-2</v>
      </c>
      <c r="Q689" s="57">
        <v>-0.1782</v>
      </c>
      <c r="R689" s="57">
        <v>-8.9200000000000002E-2</v>
      </c>
      <c r="S689" s="57">
        <v>-8.9200000000000002E-2</v>
      </c>
      <c r="T689">
        <v>4.58</v>
      </c>
      <c r="U689">
        <v>9.0299999999999994</v>
      </c>
      <c r="V689">
        <v>14.17</v>
      </c>
      <c r="W689" s="20">
        <v>1580.4896000000001</v>
      </c>
    </row>
    <row r="690" spans="7:23" x14ac:dyDescent="0.15">
      <c r="G690" s="11">
        <v>689</v>
      </c>
      <c r="H690" s="10" t="s">
        <v>393</v>
      </c>
      <c r="I690" t="s">
        <v>1022</v>
      </c>
      <c r="J690" t="s">
        <v>830</v>
      </c>
      <c r="K690" s="61">
        <v>2.5000000000000001E-3</v>
      </c>
      <c r="L690" s="57">
        <v>-4.0399999999999998E-2</v>
      </c>
      <c r="M690" s="57">
        <v>-9.6100000000000005E-2</v>
      </c>
      <c r="N690" s="61">
        <v>-1.8499999999999999E-2</v>
      </c>
      <c r="O690" s="57">
        <v>-0.2034</v>
      </c>
      <c r="P690" s="57">
        <v>7.4200000000000002E-2</v>
      </c>
      <c r="Q690" s="57">
        <v>-0.1827</v>
      </c>
      <c r="R690" s="57">
        <v>0.223</v>
      </c>
      <c r="S690" s="57">
        <v>0.223</v>
      </c>
      <c r="T690">
        <v>4.4400000000000004</v>
      </c>
      <c r="U690">
        <v>9.7200000000000006</v>
      </c>
      <c r="V690">
        <v>13.33</v>
      </c>
      <c r="W690" s="20">
        <v>4284.6683999999996</v>
      </c>
    </row>
    <row r="691" spans="7:23" x14ac:dyDescent="0.15">
      <c r="G691" s="11">
        <v>690</v>
      </c>
      <c r="H691" s="10" t="s">
        <v>255</v>
      </c>
      <c r="I691" t="s">
        <v>26</v>
      </c>
      <c r="J691" t="s">
        <v>1161</v>
      </c>
      <c r="K691" s="61">
        <v>1.55E-2</v>
      </c>
      <c r="L691" s="57">
        <v>-4.4600000000000001E-2</v>
      </c>
      <c r="M691" s="57">
        <v>-4.2999999999999997E-2</v>
      </c>
      <c r="N691" s="61">
        <v>0</v>
      </c>
      <c r="O691" s="57">
        <v>1.0500000000000001E-2</v>
      </c>
      <c r="P691" s="57">
        <v>-7.0599999999999996E-2</v>
      </c>
      <c r="Q691" s="57">
        <v>0.26700000000000002</v>
      </c>
      <c r="R691" s="57">
        <v>1.3068</v>
      </c>
      <c r="S691" s="57">
        <v>0.48080000000000001</v>
      </c>
      <c r="T691">
        <v>4.3099999999999996</v>
      </c>
      <c r="U691">
        <v>22.08</v>
      </c>
      <c r="V691">
        <v>0.97</v>
      </c>
      <c r="W691" s="20">
        <v>11.72064</v>
      </c>
    </row>
    <row r="692" spans="7:23" x14ac:dyDescent="0.15">
      <c r="G692" s="11">
        <v>691</v>
      </c>
      <c r="H692" t="s">
        <v>306</v>
      </c>
      <c r="I692" t="s">
        <v>1182</v>
      </c>
      <c r="J692" t="s">
        <v>1175</v>
      </c>
      <c r="K692" s="61">
        <v>4.8999999999999998E-3</v>
      </c>
      <c r="L692" s="57">
        <v>-5.3E-3</v>
      </c>
      <c r="M692" s="57">
        <v>-1.9599999999999999E-2</v>
      </c>
      <c r="N692" s="61">
        <v>-7.6E-3</v>
      </c>
      <c r="O692" s="57">
        <v>-2.4E-2</v>
      </c>
      <c r="P692" s="57">
        <v>3.5799999999999998E-2</v>
      </c>
      <c r="Q692" s="57">
        <v>-6.93E-2</v>
      </c>
      <c r="R692" s="57">
        <v>4.3299999999999998E-2</v>
      </c>
      <c r="S692" s="57">
        <v>0.1709</v>
      </c>
      <c r="T692">
        <v>4.17</v>
      </c>
      <c r="U692">
        <v>13.89</v>
      </c>
      <c r="V692">
        <v>7.22</v>
      </c>
      <c r="W692" s="20">
        <v>66.049451500000004</v>
      </c>
    </row>
    <row r="693" spans="7:23" x14ac:dyDescent="0.15">
      <c r="G693" s="11">
        <v>692</v>
      </c>
      <c r="H693" t="s">
        <v>1604</v>
      </c>
      <c r="I693" t="s">
        <v>1605</v>
      </c>
      <c r="J693" t="s">
        <v>1609</v>
      </c>
      <c r="K693" s="61">
        <v>2.3E-3</v>
      </c>
      <c r="L693" s="57">
        <v>9.7000000000000003E-3</v>
      </c>
      <c r="M693" s="57">
        <v>1.29E-2</v>
      </c>
      <c r="N693" s="61">
        <v>-2.87E-2</v>
      </c>
      <c r="O693" s="57">
        <v>-5.2900000000000003E-2</v>
      </c>
      <c r="P693" s="57">
        <v>6.7999999999999996E-3</v>
      </c>
      <c r="Q693" s="57">
        <v>3.2599999999999997E-2</v>
      </c>
      <c r="R693" s="57">
        <v>3.2599999999999997E-2</v>
      </c>
      <c r="S693" s="57">
        <v>3.2599999999999997E-2</v>
      </c>
      <c r="T693">
        <v>4.03</v>
      </c>
      <c r="U693">
        <v>6.53</v>
      </c>
      <c r="V693">
        <v>14.31</v>
      </c>
      <c r="W693" s="20">
        <v>2266.8710999999998</v>
      </c>
    </row>
    <row r="694" spans="7:23" x14ac:dyDescent="0.15">
      <c r="G694" s="11">
        <v>693</v>
      </c>
      <c r="H694" s="10" t="s">
        <v>262</v>
      </c>
      <c r="I694" t="s">
        <v>228</v>
      </c>
      <c r="J694" t="s">
        <v>1175</v>
      </c>
      <c r="K694" s="61">
        <v>1.6999999999999999E-3</v>
      </c>
      <c r="L694" s="57">
        <v>-5.3800000000000001E-2</v>
      </c>
      <c r="M694" s="57">
        <v>-3.8300000000000001E-2</v>
      </c>
      <c r="N694" s="61">
        <v>-6.5799999999999997E-2</v>
      </c>
      <c r="O694" s="57">
        <v>-7.4700000000000003E-2</v>
      </c>
      <c r="P694" s="57">
        <v>-1.46E-2</v>
      </c>
      <c r="Q694" s="57">
        <v>0.27629999999999999</v>
      </c>
      <c r="R694" s="57">
        <v>1.7629999999999999</v>
      </c>
      <c r="S694" s="57">
        <v>1.7891999999999999</v>
      </c>
      <c r="T694">
        <v>3.89</v>
      </c>
      <c r="U694">
        <v>0.97</v>
      </c>
      <c r="V694">
        <v>19.86</v>
      </c>
      <c r="W694" s="20">
        <v>46.853424599999997</v>
      </c>
    </row>
    <row r="695" spans="7:23" x14ac:dyDescent="0.15">
      <c r="G695" s="11">
        <v>694</v>
      </c>
      <c r="H695" t="s">
        <v>454</v>
      </c>
      <c r="I695" t="s">
        <v>1086</v>
      </c>
      <c r="J695" t="s">
        <v>830</v>
      </c>
      <c r="K695" s="61">
        <v>2.8999999999999998E-3</v>
      </c>
      <c r="L695" s="57">
        <v>-4.07E-2</v>
      </c>
      <c r="M695" s="57">
        <v>-9.7199999999999995E-2</v>
      </c>
      <c r="N695" s="61">
        <v>-1.8800000000000001E-2</v>
      </c>
      <c r="O695" s="57">
        <v>-0.20499999999999999</v>
      </c>
      <c r="P695" s="57">
        <v>8.2699999999999996E-2</v>
      </c>
      <c r="Q695" s="57">
        <v>-0.17119999999999999</v>
      </c>
      <c r="R695" s="57">
        <v>0.24440000000000001</v>
      </c>
      <c r="S695" s="57">
        <v>0.24440000000000001</v>
      </c>
      <c r="T695">
        <v>3.75</v>
      </c>
      <c r="U695">
        <v>9.58</v>
      </c>
      <c r="V695">
        <v>11.25</v>
      </c>
      <c r="W695" s="20">
        <v>16647.551320300001</v>
      </c>
    </row>
    <row r="696" spans="7:23" x14ac:dyDescent="0.15">
      <c r="G696" s="11">
        <v>695</v>
      </c>
      <c r="H696" t="s">
        <v>501</v>
      </c>
      <c r="I696" t="s">
        <v>17</v>
      </c>
      <c r="J696" t="s">
        <v>1609</v>
      </c>
      <c r="K696" s="61">
        <v>2.7000000000000001E-3</v>
      </c>
      <c r="L696" s="57">
        <v>-2.35E-2</v>
      </c>
      <c r="M696" s="57">
        <v>-2.41E-2</v>
      </c>
      <c r="N696" s="61">
        <v>-2.2200000000000001E-2</v>
      </c>
      <c r="O696" s="57">
        <v>-6.88E-2</v>
      </c>
      <c r="P696" s="57">
        <v>-8.6999999999999994E-3</v>
      </c>
      <c r="Q696" s="57">
        <v>-4.24E-2</v>
      </c>
      <c r="R696" s="57">
        <v>7.3599999999999999E-2</v>
      </c>
      <c r="S696" s="57">
        <v>0.1111</v>
      </c>
      <c r="T696">
        <v>3.61</v>
      </c>
      <c r="U696">
        <v>8.06</v>
      </c>
      <c r="V696">
        <v>12.5</v>
      </c>
      <c r="W696" s="20">
        <v>26327.874100000001</v>
      </c>
    </row>
    <row r="697" spans="7:23" x14ac:dyDescent="0.15">
      <c r="G697" s="11">
        <v>696</v>
      </c>
      <c r="H697" t="s">
        <v>1350</v>
      </c>
      <c r="I697" t="s">
        <v>1351</v>
      </c>
      <c r="J697" t="s">
        <v>1609</v>
      </c>
      <c r="K697" s="61">
        <v>2.7000000000000001E-3</v>
      </c>
      <c r="L697" s="57">
        <v>-5.9999999999999995E-4</v>
      </c>
      <c r="M697" s="57">
        <v>-1.6000000000000001E-3</v>
      </c>
      <c r="N697" s="61">
        <v>-2.5399999999999999E-2</v>
      </c>
      <c r="O697" s="57">
        <v>-8.5999999999999993E-2</v>
      </c>
      <c r="P697" s="57">
        <v>-1.35E-2</v>
      </c>
      <c r="Q697" s="57">
        <v>5.91E-2</v>
      </c>
      <c r="R697" s="57">
        <v>5.91E-2</v>
      </c>
      <c r="S697" s="57">
        <v>5.91E-2</v>
      </c>
      <c r="T697">
        <v>3.47</v>
      </c>
      <c r="U697">
        <v>7.64</v>
      </c>
      <c r="V697">
        <v>12.22</v>
      </c>
      <c r="W697" s="20">
        <v>3895.4744229999997</v>
      </c>
    </row>
    <row r="698" spans="7:23" x14ac:dyDescent="0.15">
      <c r="G698" s="11">
        <v>697</v>
      </c>
      <c r="H698" t="s">
        <v>1344</v>
      </c>
      <c r="I698" t="s">
        <v>1345</v>
      </c>
      <c r="J698" t="s">
        <v>1609</v>
      </c>
      <c r="K698" s="61">
        <v>2.0999999999999999E-3</v>
      </c>
      <c r="L698" s="57">
        <v>-4.0099999999999997E-2</v>
      </c>
      <c r="M698" s="57">
        <v>-7.1300000000000002E-2</v>
      </c>
      <c r="N698" s="61">
        <v>-3.6999999999999998E-2</v>
      </c>
      <c r="O698" s="57">
        <v>-0.21010000000000001</v>
      </c>
      <c r="P698" s="57">
        <v>-1.6299999999999999E-2</v>
      </c>
      <c r="Q698" s="57">
        <v>-0.27179999999999999</v>
      </c>
      <c r="R698" s="57">
        <v>-0.1837</v>
      </c>
      <c r="S698" s="57">
        <v>-0.1837</v>
      </c>
      <c r="T698">
        <v>3.33</v>
      </c>
      <c r="U698">
        <v>2.78</v>
      </c>
      <c r="V698">
        <v>16.940000000000001</v>
      </c>
      <c r="W698" s="20">
        <v>12537.13543</v>
      </c>
    </row>
    <row r="699" spans="7:23" x14ac:dyDescent="0.15">
      <c r="G699" s="11">
        <v>698</v>
      </c>
      <c r="H699" t="s">
        <v>1451</v>
      </c>
      <c r="I699" t="s">
        <v>1452</v>
      </c>
      <c r="J699" t="s">
        <v>1609</v>
      </c>
      <c r="K699" s="61">
        <v>8.6E-3</v>
      </c>
      <c r="L699" s="57">
        <v>-1E-4</v>
      </c>
      <c r="M699" s="57">
        <v>2.6499999999999999E-2</v>
      </c>
      <c r="N699" s="61">
        <v>-5.7000000000000002E-3</v>
      </c>
      <c r="O699" s="57">
        <v>1.5699999999999999E-2</v>
      </c>
      <c r="P699" s="57">
        <v>-1.2699999999999999E-2</v>
      </c>
      <c r="Q699" s="57">
        <v>3.2599999999999997E-2</v>
      </c>
      <c r="R699" s="57">
        <v>3.2599999999999997E-2</v>
      </c>
      <c r="S699" s="57">
        <v>3.2599999999999997E-2</v>
      </c>
      <c r="T699">
        <v>3.19</v>
      </c>
      <c r="U699">
        <v>15.42</v>
      </c>
      <c r="V699">
        <v>3.47</v>
      </c>
      <c r="W699" s="20">
        <v>469.64449999999999</v>
      </c>
    </row>
    <row r="700" spans="7:23" x14ac:dyDescent="0.15">
      <c r="G700" s="11">
        <v>699</v>
      </c>
      <c r="H700" t="s">
        <v>1483</v>
      </c>
      <c r="I700" t="s">
        <v>1484</v>
      </c>
      <c r="J700" t="s">
        <v>1609</v>
      </c>
      <c r="K700" s="61">
        <v>6.8999999999999999E-3</v>
      </c>
      <c r="L700" s="57">
        <v>6.0000000000000001E-3</v>
      </c>
      <c r="M700" s="57">
        <v>3.5099999999999999E-2</v>
      </c>
      <c r="N700" s="61">
        <v>-8.3000000000000001E-3</v>
      </c>
      <c r="O700" s="57">
        <v>1.26E-2</v>
      </c>
      <c r="P700" s="57">
        <v>-1.83E-2</v>
      </c>
      <c r="Q700" s="57">
        <v>2.7199999999999998E-2</v>
      </c>
      <c r="R700" s="57">
        <v>2.7199999999999998E-2</v>
      </c>
      <c r="S700" s="57">
        <v>2.7199999999999998E-2</v>
      </c>
      <c r="T700">
        <v>3.06</v>
      </c>
      <c r="U700">
        <v>13.61</v>
      </c>
      <c r="V700">
        <v>4.72</v>
      </c>
      <c r="W700" s="20">
        <v>87.190899999999999</v>
      </c>
    </row>
    <row r="701" spans="7:23" x14ac:dyDescent="0.15">
      <c r="G701" s="11">
        <v>700</v>
      </c>
      <c r="H701" t="s">
        <v>312</v>
      </c>
      <c r="I701" t="s">
        <v>962</v>
      </c>
      <c r="J701" t="s">
        <v>830</v>
      </c>
      <c r="K701" s="61">
        <v>4.7000000000000002E-3</v>
      </c>
      <c r="L701" s="57">
        <v>-4.0099999999999997E-2</v>
      </c>
      <c r="M701" s="57">
        <v>-9.5500000000000002E-2</v>
      </c>
      <c r="N701" s="61">
        <v>-1.7299999999999999E-2</v>
      </c>
      <c r="O701" s="57">
        <v>-0.1991</v>
      </c>
      <c r="P701" s="57">
        <v>8.9700000000000002E-2</v>
      </c>
      <c r="Q701" s="57">
        <v>-0.16139999999999999</v>
      </c>
      <c r="R701" s="57">
        <v>0.45710000000000001</v>
      </c>
      <c r="S701" s="57">
        <v>0.45710000000000001</v>
      </c>
      <c r="T701">
        <v>2.92</v>
      </c>
      <c r="U701">
        <v>10.28</v>
      </c>
      <c r="V701">
        <v>7.36</v>
      </c>
      <c r="W701" s="20">
        <v>2179.3013999999998</v>
      </c>
    </row>
    <row r="702" spans="7:23" x14ac:dyDescent="0.15">
      <c r="G702" s="11">
        <v>701</v>
      </c>
      <c r="H702" t="s">
        <v>1318</v>
      </c>
      <c r="I702" t="s">
        <v>1319</v>
      </c>
      <c r="J702" t="s">
        <v>1609</v>
      </c>
      <c r="K702" s="61">
        <v>3.2000000000000002E-3</v>
      </c>
      <c r="L702" s="57">
        <v>-4.7199999999999999E-2</v>
      </c>
      <c r="M702" s="57">
        <v>-8.09E-2</v>
      </c>
      <c r="N702" s="61">
        <v>-2.7E-2</v>
      </c>
      <c r="O702" s="57">
        <v>-0.21249999999999999</v>
      </c>
      <c r="P702" s="57">
        <v>5.7999999999999996E-3</v>
      </c>
      <c r="Q702" s="57">
        <v>-0.28339999999999999</v>
      </c>
      <c r="R702" s="57">
        <v>-0.19059999999999999</v>
      </c>
      <c r="S702" s="57">
        <v>-0.19059999999999999</v>
      </c>
      <c r="T702">
        <v>2.78</v>
      </c>
      <c r="U702">
        <v>7.22</v>
      </c>
      <c r="V702">
        <v>10.28</v>
      </c>
      <c r="W702" s="20">
        <v>6194.3053099999997</v>
      </c>
    </row>
    <row r="703" spans="7:23" x14ac:dyDescent="0.15">
      <c r="G703" s="11">
        <v>702</v>
      </c>
      <c r="H703" t="s">
        <v>278</v>
      </c>
      <c r="I703" t="s">
        <v>1039</v>
      </c>
      <c r="J703" t="s">
        <v>830</v>
      </c>
      <c r="K703" s="61">
        <v>3.7000000000000002E-3</v>
      </c>
      <c r="L703" s="57">
        <v>-4.6800000000000001E-2</v>
      </c>
      <c r="M703" s="57">
        <v>-8.0199999999999994E-2</v>
      </c>
      <c r="N703" s="61">
        <v>-2.5999999999999999E-2</v>
      </c>
      <c r="O703" s="57">
        <v>-0.21010000000000001</v>
      </c>
      <c r="P703" s="57">
        <v>8.3000000000000001E-3</v>
      </c>
      <c r="Q703" s="57">
        <v>-0.27589999999999998</v>
      </c>
      <c r="R703" s="57">
        <v>0.28720000000000001</v>
      </c>
      <c r="S703" s="57">
        <v>0.28720000000000001</v>
      </c>
      <c r="T703">
        <v>2.64</v>
      </c>
      <c r="U703">
        <v>7.5</v>
      </c>
      <c r="V703">
        <v>9.44</v>
      </c>
      <c r="W703" s="20">
        <v>2570.643</v>
      </c>
    </row>
    <row r="704" spans="7:23" x14ac:dyDescent="0.15">
      <c r="G704" s="11">
        <v>703</v>
      </c>
      <c r="H704" s="10" t="s">
        <v>334</v>
      </c>
      <c r="I704" t="s">
        <v>1193</v>
      </c>
      <c r="J704" t="s">
        <v>1175</v>
      </c>
      <c r="K704" s="61">
        <v>6.1999999999999998E-3</v>
      </c>
      <c r="L704" s="57">
        <v>-5.5399999999999998E-2</v>
      </c>
      <c r="M704" s="57">
        <v>-7.2300000000000003E-2</v>
      </c>
      <c r="N704" s="61">
        <v>-1.61E-2</v>
      </c>
      <c r="O704" s="57">
        <v>-0.20649999999999999</v>
      </c>
      <c r="P704" s="57">
        <v>-3.3700000000000001E-2</v>
      </c>
      <c r="Q704" s="57">
        <v>-0.3226</v>
      </c>
      <c r="R704" s="57">
        <v>0.43080000000000002</v>
      </c>
      <c r="S704" s="57">
        <v>1.7896000000000001</v>
      </c>
      <c r="T704">
        <v>2.5</v>
      </c>
      <c r="U704">
        <v>11.11</v>
      </c>
      <c r="V704">
        <v>5.28</v>
      </c>
      <c r="W704" s="20">
        <v>344.6952</v>
      </c>
    </row>
    <row r="705" spans="7:23" x14ac:dyDescent="0.15">
      <c r="G705" s="11">
        <v>704</v>
      </c>
      <c r="H705" t="s">
        <v>2024</v>
      </c>
      <c r="I705" t="s">
        <v>2025</v>
      </c>
      <c r="J705" t="s">
        <v>1946</v>
      </c>
      <c r="K705" s="61">
        <v>2.5000000000000001E-3</v>
      </c>
      <c r="L705" s="57">
        <v>-5.7500000000000002E-2</v>
      </c>
      <c r="M705" s="57">
        <v>-8.9899999999999994E-2</v>
      </c>
      <c r="N705" s="61">
        <v>-5.4399999999999997E-2</v>
      </c>
      <c r="O705" s="57">
        <v>-0.24440000000000001</v>
      </c>
      <c r="P705" s="57">
        <v>-0.24410000000000001</v>
      </c>
      <c r="Q705" s="57">
        <v>-0.24410000000000001</v>
      </c>
      <c r="R705" s="57">
        <v>-0.24410000000000001</v>
      </c>
      <c r="S705" s="57">
        <v>-0.24410000000000001</v>
      </c>
      <c r="T705">
        <v>2.36</v>
      </c>
      <c r="U705">
        <v>1.94</v>
      </c>
      <c r="V705">
        <v>13.61</v>
      </c>
      <c r="W705" s="20">
        <v>4082.6604000000002</v>
      </c>
    </row>
    <row r="706" spans="7:23" x14ac:dyDescent="0.15">
      <c r="G706" s="11">
        <v>705</v>
      </c>
      <c r="H706" t="s">
        <v>256</v>
      </c>
      <c r="I706" t="s">
        <v>20</v>
      </c>
      <c r="J706" t="s">
        <v>1161</v>
      </c>
      <c r="K706" s="61">
        <v>1.5100000000000001E-2</v>
      </c>
      <c r="L706" s="57">
        <v>-4.9500000000000002E-2</v>
      </c>
      <c r="M706" s="57">
        <v>-5.9299999999999999E-2</v>
      </c>
      <c r="N706" s="61">
        <v>-1.0800000000000001E-2</v>
      </c>
      <c r="O706" s="57">
        <v>2.53E-2</v>
      </c>
      <c r="P706" s="57">
        <v>-8.2900000000000001E-2</v>
      </c>
      <c r="Q706" s="57">
        <v>0.1948</v>
      </c>
      <c r="R706" s="57">
        <v>0.80689999999999995</v>
      </c>
      <c r="S706" s="57">
        <v>0.53680000000000005</v>
      </c>
      <c r="T706">
        <v>2.2200000000000002</v>
      </c>
      <c r="U706">
        <v>12.78</v>
      </c>
      <c r="V706">
        <v>1.25</v>
      </c>
      <c r="W706" s="20">
        <v>19.977820000000001</v>
      </c>
    </row>
    <row r="707" spans="7:23" x14ac:dyDescent="0.15">
      <c r="G707" s="11">
        <v>706</v>
      </c>
      <c r="H707" t="s">
        <v>307</v>
      </c>
      <c r="I707" t="s">
        <v>957</v>
      </c>
      <c r="J707" t="s">
        <v>830</v>
      </c>
      <c r="K707" s="61">
        <v>8.2000000000000007E-3</v>
      </c>
      <c r="L707" s="57">
        <v>-4.0500000000000001E-2</v>
      </c>
      <c r="M707" s="57">
        <v>-9.6600000000000005E-2</v>
      </c>
      <c r="N707" s="61">
        <v>-0.02</v>
      </c>
      <c r="O707" s="57">
        <v>-0.20480000000000001</v>
      </c>
      <c r="P707" s="57">
        <v>7.4700000000000003E-2</v>
      </c>
      <c r="Q707" s="57">
        <v>-0.1671</v>
      </c>
      <c r="R707" s="57">
        <v>0.22</v>
      </c>
      <c r="S707" s="57">
        <v>0.22</v>
      </c>
      <c r="T707">
        <v>2.08</v>
      </c>
      <c r="U707">
        <v>8.75</v>
      </c>
      <c r="V707">
        <v>3.89</v>
      </c>
      <c r="W707" s="20">
        <v>914.50540000000001</v>
      </c>
    </row>
    <row r="708" spans="7:23" x14ac:dyDescent="0.15">
      <c r="G708" s="11">
        <v>707</v>
      </c>
      <c r="H708" t="s">
        <v>327</v>
      </c>
      <c r="I708" t="s">
        <v>1180</v>
      </c>
      <c r="J708" t="s">
        <v>1175</v>
      </c>
      <c r="K708" s="61">
        <v>1.0800000000000001E-2</v>
      </c>
      <c r="L708" s="57">
        <v>-0.05</v>
      </c>
      <c r="M708" s="57">
        <v>-6.54E-2</v>
      </c>
      <c r="N708" s="61">
        <v>-1.77E-2</v>
      </c>
      <c r="O708" s="57">
        <v>-0.20899999999999999</v>
      </c>
      <c r="P708" s="57">
        <v>-3.1600000000000003E-2</v>
      </c>
      <c r="Q708" s="57">
        <v>-0.30830000000000002</v>
      </c>
      <c r="R708" s="57">
        <v>0.28079999999999999</v>
      </c>
      <c r="S708" s="57">
        <v>1.3375999999999999</v>
      </c>
      <c r="T708">
        <v>1.94</v>
      </c>
      <c r="U708">
        <v>10</v>
      </c>
      <c r="V708">
        <v>2.64</v>
      </c>
      <c r="W708" s="20">
        <v>34.198993999999999</v>
      </c>
    </row>
    <row r="709" spans="7:23" x14ac:dyDescent="0.15">
      <c r="G709" s="11">
        <v>708</v>
      </c>
      <c r="H709" t="s">
        <v>446</v>
      </c>
      <c r="I709" t="s">
        <v>1041</v>
      </c>
      <c r="J709" t="s">
        <v>830</v>
      </c>
      <c r="K709" s="61">
        <v>3.2000000000000002E-3</v>
      </c>
      <c r="L709" s="57">
        <v>-3.7400000000000003E-2</v>
      </c>
      <c r="M709" s="57">
        <v>-7.1300000000000002E-2</v>
      </c>
      <c r="N709" s="61">
        <v>-3.9699999999999999E-2</v>
      </c>
      <c r="O709" s="57">
        <v>-0.21</v>
      </c>
      <c r="P709" s="57">
        <v>-4.7000000000000002E-3</v>
      </c>
      <c r="Q709" s="57">
        <v>-0.25769999999999998</v>
      </c>
      <c r="R709" s="57">
        <v>0.36890000000000001</v>
      </c>
      <c r="S709" s="57">
        <v>1.0047999999999999</v>
      </c>
      <c r="T709">
        <v>1.81</v>
      </c>
      <c r="U709">
        <v>2.36</v>
      </c>
      <c r="V709">
        <v>10</v>
      </c>
      <c r="W709" s="20">
        <v>3990.4373999999998</v>
      </c>
    </row>
    <row r="710" spans="7:23" x14ac:dyDescent="0.15">
      <c r="G710" s="11">
        <v>709</v>
      </c>
      <c r="H710" t="s">
        <v>738</v>
      </c>
      <c r="I710" t="s">
        <v>1160</v>
      </c>
      <c r="J710" t="s">
        <v>1161</v>
      </c>
      <c r="K710" s="61">
        <v>2.8000000000000001E-2</v>
      </c>
      <c r="L710" s="57">
        <v>-5.5E-2</v>
      </c>
      <c r="M710" s="57">
        <v>-6.9400000000000003E-2</v>
      </c>
      <c r="N710" s="61">
        <v>-1.49E-2</v>
      </c>
      <c r="O710" s="57">
        <v>2.0199999999999999E-2</v>
      </c>
      <c r="P710" s="57">
        <v>-7.1499999999999994E-2</v>
      </c>
      <c r="Q710" s="57">
        <v>0.31369999999999998</v>
      </c>
      <c r="R710" s="57">
        <v>1.5452999999999999</v>
      </c>
      <c r="S710" s="57">
        <v>0.16889999999999999</v>
      </c>
      <c r="T710">
        <v>1.67</v>
      </c>
      <c r="U710">
        <v>11.81</v>
      </c>
      <c r="V710">
        <v>0.42</v>
      </c>
      <c r="W710" s="20">
        <v>303.26119999999997</v>
      </c>
    </row>
    <row r="711" spans="7:23" x14ac:dyDescent="0.15">
      <c r="G711" s="11">
        <v>710</v>
      </c>
      <c r="H711" t="s">
        <v>328</v>
      </c>
      <c r="I711" t="s">
        <v>1013</v>
      </c>
      <c r="J711" t="s">
        <v>830</v>
      </c>
      <c r="K711" s="61">
        <v>2.8999999999999998E-3</v>
      </c>
      <c r="L711" s="57">
        <v>-5.0099999999999999E-2</v>
      </c>
      <c r="M711" s="57">
        <v>-3.7100000000000001E-2</v>
      </c>
      <c r="N711" s="61">
        <v>-7.0800000000000002E-2</v>
      </c>
      <c r="O711" s="57">
        <v>-4.1799999999999997E-2</v>
      </c>
      <c r="P711" s="57">
        <v>2.1100000000000001E-2</v>
      </c>
      <c r="Q711" s="57">
        <v>0.29480000000000001</v>
      </c>
      <c r="R711" s="57">
        <v>0.83699999999999997</v>
      </c>
      <c r="S711" s="57">
        <v>0.60760000000000003</v>
      </c>
      <c r="T711">
        <v>1.53</v>
      </c>
      <c r="U711">
        <v>0.56000000000000005</v>
      </c>
      <c r="V711">
        <v>11.53</v>
      </c>
      <c r="W711" s="20">
        <v>1775.9945399999999</v>
      </c>
    </row>
    <row r="712" spans="7:23" x14ac:dyDescent="0.15">
      <c r="G712" s="11">
        <v>711</v>
      </c>
      <c r="H712" t="s">
        <v>733</v>
      </c>
      <c r="I712" t="s">
        <v>16</v>
      </c>
      <c r="J712" t="s">
        <v>1161</v>
      </c>
      <c r="K712" s="61">
        <v>1.4800000000000001E-2</v>
      </c>
      <c r="L712" s="57">
        <v>-4.6699999999999998E-2</v>
      </c>
      <c r="M712" s="57">
        <v>-6.9900000000000004E-2</v>
      </c>
      <c r="N712" s="61">
        <v>-1.7399999999999999E-2</v>
      </c>
      <c r="O712" s="57">
        <v>2.5100000000000001E-2</v>
      </c>
      <c r="P712" s="57">
        <v>-7.2800000000000004E-2</v>
      </c>
      <c r="Q712" s="57">
        <v>0.34089999999999998</v>
      </c>
      <c r="R712" s="57">
        <v>1.6114999999999999</v>
      </c>
      <c r="S712" s="57">
        <v>0.31990000000000002</v>
      </c>
      <c r="T712">
        <v>1.39</v>
      </c>
      <c r="U712">
        <v>10.14</v>
      </c>
      <c r="V712">
        <v>1.53</v>
      </c>
      <c r="W712" s="20">
        <v>227.90788420000001</v>
      </c>
    </row>
    <row r="713" spans="7:23" x14ac:dyDescent="0.15">
      <c r="G713" s="11">
        <v>712</v>
      </c>
      <c r="H713" t="s">
        <v>735</v>
      </c>
      <c r="I713" t="s">
        <v>1164</v>
      </c>
      <c r="J713" t="s">
        <v>1161</v>
      </c>
      <c r="K713" s="61">
        <v>2.4400000000000002E-2</v>
      </c>
      <c r="L713" s="57">
        <v>-5.3400000000000003E-2</v>
      </c>
      <c r="M713" s="57">
        <v>-7.0199999999999999E-2</v>
      </c>
      <c r="N713" s="61">
        <v>-1.66E-2</v>
      </c>
      <c r="O713" s="57">
        <v>1.6500000000000001E-2</v>
      </c>
      <c r="P713" s="57">
        <v>-7.9699999999999993E-2</v>
      </c>
      <c r="Q713" s="57">
        <v>0.30109999999999998</v>
      </c>
      <c r="R713" s="57">
        <v>1.5563</v>
      </c>
      <c r="S713" s="57">
        <v>0.15129999999999999</v>
      </c>
      <c r="T713">
        <v>1.25</v>
      </c>
      <c r="U713">
        <v>10.69</v>
      </c>
      <c r="V713">
        <v>0.56000000000000005</v>
      </c>
      <c r="W713" s="20">
        <v>336.20579300000003</v>
      </c>
    </row>
    <row r="714" spans="7:23" x14ac:dyDescent="0.15">
      <c r="G714" s="11">
        <v>713</v>
      </c>
      <c r="H714" t="s">
        <v>270</v>
      </c>
      <c r="I714" t="s">
        <v>1191</v>
      </c>
      <c r="J714" t="s">
        <v>1175</v>
      </c>
      <c r="K714" s="61">
        <v>3.7000000000000002E-3</v>
      </c>
      <c r="L714" s="57">
        <v>-5.5199999999999999E-2</v>
      </c>
      <c r="M714" s="57">
        <v>-0.04</v>
      </c>
      <c r="N714" s="61">
        <v>-6.8500000000000005E-2</v>
      </c>
      <c r="O714" s="57">
        <v>-7.6300000000000007E-2</v>
      </c>
      <c r="P714" s="57">
        <v>-1.0500000000000001E-2</v>
      </c>
      <c r="Q714" s="57">
        <v>0.30980000000000002</v>
      </c>
      <c r="R714" s="57">
        <v>1.0936999999999999</v>
      </c>
      <c r="S714" s="57">
        <v>1.1447000000000001</v>
      </c>
      <c r="T714">
        <v>1.1100000000000001</v>
      </c>
      <c r="U714">
        <v>0.83</v>
      </c>
      <c r="V714">
        <v>9.31</v>
      </c>
      <c r="W714" s="20">
        <v>108.4992175</v>
      </c>
    </row>
    <row r="715" spans="7:23" x14ac:dyDescent="0.15">
      <c r="G715" s="11">
        <v>714</v>
      </c>
      <c r="H715" t="s">
        <v>345</v>
      </c>
      <c r="I715" t="s">
        <v>997</v>
      </c>
      <c r="J715" t="s">
        <v>830</v>
      </c>
      <c r="K715" s="61">
        <v>7.1999999999999998E-3</v>
      </c>
      <c r="L715" s="57">
        <v>-4.3700000000000003E-2</v>
      </c>
      <c r="M715" s="57">
        <v>-7.5899999999999995E-2</v>
      </c>
      <c r="N715" s="61">
        <v>-3.0499999999999999E-2</v>
      </c>
      <c r="O715" s="57">
        <v>-0.19470000000000001</v>
      </c>
      <c r="P715" s="57">
        <v>4.7000000000000002E-3</v>
      </c>
      <c r="Q715" s="57">
        <v>-0.23980000000000001</v>
      </c>
      <c r="R715" s="57">
        <v>0.2858</v>
      </c>
      <c r="S715" s="57">
        <v>0.2858</v>
      </c>
      <c r="T715">
        <v>0.97</v>
      </c>
      <c r="U715">
        <v>5.56</v>
      </c>
      <c r="V715">
        <v>4.4400000000000004</v>
      </c>
      <c r="W715" s="20">
        <v>2201.2212399999999</v>
      </c>
    </row>
    <row r="716" spans="7:23" x14ac:dyDescent="0.15">
      <c r="G716" s="11">
        <v>715</v>
      </c>
      <c r="H716" t="s">
        <v>1548</v>
      </c>
      <c r="I716" t="s">
        <v>1549</v>
      </c>
      <c r="J716" t="s">
        <v>1609</v>
      </c>
      <c r="K716" s="61">
        <v>4.1000000000000003E-3</v>
      </c>
      <c r="L716" s="57">
        <v>-5.7700000000000001E-2</v>
      </c>
      <c r="M716" s="57">
        <v>-9.01E-2</v>
      </c>
      <c r="N716" s="61">
        <v>-5.5300000000000002E-2</v>
      </c>
      <c r="O716" s="57">
        <v>-0.24640000000000001</v>
      </c>
      <c r="P716" s="57">
        <v>3.8399999999999997E-2</v>
      </c>
      <c r="Q716" s="57">
        <v>-0.3377</v>
      </c>
      <c r="R716" s="57">
        <v>-0.26400000000000001</v>
      </c>
      <c r="S716" s="57">
        <v>-0.26400000000000001</v>
      </c>
      <c r="T716">
        <v>0.83</v>
      </c>
      <c r="U716">
        <v>1.53</v>
      </c>
      <c r="V716">
        <v>8.33</v>
      </c>
      <c r="W716" s="20">
        <v>2945.8769000000002</v>
      </c>
    </row>
    <row r="717" spans="7:23" x14ac:dyDescent="0.15">
      <c r="G717" s="11">
        <v>716</v>
      </c>
      <c r="H717" t="s">
        <v>1320</v>
      </c>
      <c r="I717" t="s">
        <v>1321</v>
      </c>
      <c r="J717" t="s">
        <v>1609</v>
      </c>
      <c r="K717" s="61">
        <v>8.8000000000000005E-3</v>
      </c>
      <c r="L717" s="57">
        <v>-4.7500000000000001E-2</v>
      </c>
      <c r="M717" s="57">
        <v>-8.1600000000000006E-2</v>
      </c>
      <c r="N717" s="61">
        <v>-2.8899999999999999E-2</v>
      </c>
      <c r="O717" s="57">
        <v>-0.216</v>
      </c>
      <c r="P717" s="57">
        <v>-8.3999999999999995E-3</v>
      </c>
      <c r="Q717" s="57">
        <v>-0.29570000000000002</v>
      </c>
      <c r="R717" s="57">
        <v>-0.1832</v>
      </c>
      <c r="S717" s="57">
        <v>-0.1832</v>
      </c>
      <c r="T717">
        <v>0.69</v>
      </c>
      <c r="U717">
        <v>6.39</v>
      </c>
      <c r="V717">
        <v>3.33</v>
      </c>
      <c r="W717" s="20">
        <v>700.82190000000003</v>
      </c>
    </row>
    <row r="718" spans="7:23" x14ac:dyDescent="0.15">
      <c r="G718" s="11">
        <v>717</v>
      </c>
      <c r="H718" t="s">
        <v>354</v>
      </c>
      <c r="I718" t="s">
        <v>992</v>
      </c>
      <c r="J718" t="s">
        <v>830</v>
      </c>
      <c r="K718" s="61">
        <v>4.4999999999999997E-3</v>
      </c>
      <c r="L718" s="57">
        <v>-5.7500000000000002E-2</v>
      </c>
      <c r="M718" s="57">
        <v>-8.9800000000000005E-2</v>
      </c>
      <c r="N718" s="61">
        <v>-5.5E-2</v>
      </c>
      <c r="O718" s="57">
        <v>-0.2447</v>
      </c>
      <c r="P718" s="57">
        <v>4.1099999999999998E-2</v>
      </c>
      <c r="Q718" s="57">
        <v>-0.3417</v>
      </c>
      <c r="R718" s="57">
        <v>-0.2177</v>
      </c>
      <c r="S718" s="57">
        <v>-0.2177</v>
      </c>
      <c r="T718">
        <v>0.56000000000000005</v>
      </c>
      <c r="U718">
        <v>1.67</v>
      </c>
      <c r="V718">
        <v>7.64</v>
      </c>
      <c r="W718" s="20">
        <v>2637.5028000000002</v>
      </c>
    </row>
    <row r="719" spans="7:23" x14ac:dyDescent="0.15">
      <c r="G719" s="11">
        <v>718</v>
      </c>
      <c r="H719" t="s">
        <v>268</v>
      </c>
      <c r="I719" t="s">
        <v>773</v>
      </c>
      <c r="J719" t="s">
        <v>830</v>
      </c>
      <c r="K719" s="61">
        <v>8.0999999999999996E-3</v>
      </c>
      <c r="L719" s="57">
        <v>-4.0000000000000002E-4</v>
      </c>
      <c r="M719" s="57">
        <v>1E-4</v>
      </c>
      <c r="N719" s="61">
        <v>-3.1899999999999998E-2</v>
      </c>
      <c r="O719" s="57">
        <v>-4.3E-3</v>
      </c>
      <c r="P719" s="57">
        <v>-0.15079999999999999</v>
      </c>
      <c r="Q719" s="57">
        <v>-2.1700000000000001E-2</v>
      </c>
      <c r="R719" s="57">
        <v>0.66320000000000001</v>
      </c>
      <c r="S719" s="57">
        <v>0.44519999999999998</v>
      </c>
      <c r="T719">
        <v>0.42</v>
      </c>
      <c r="U719">
        <v>4.4400000000000004</v>
      </c>
      <c r="V719">
        <v>4.03</v>
      </c>
      <c r="W719" s="20">
        <v>2105.1983700000001</v>
      </c>
    </row>
    <row r="720" spans="7:23" x14ac:dyDescent="0.15">
      <c r="G720" s="11">
        <v>719</v>
      </c>
      <c r="H720" t="s">
        <v>467</v>
      </c>
      <c r="I720" t="s">
        <v>28</v>
      </c>
      <c r="J720" t="s">
        <v>1161</v>
      </c>
      <c r="K720" s="61">
        <v>2.18E-2</v>
      </c>
      <c r="L720" s="57">
        <v>-5.7500000000000002E-2</v>
      </c>
      <c r="M720" s="57">
        <v>-7.0900000000000005E-2</v>
      </c>
      <c r="N720" s="61">
        <v>-2.9600000000000001E-2</v>
      </c>
      <c r="O720" s="57">
        <v>1.32E-2</v>
      </c>
      <c r="P720" s="57">
        <v>-7.0900000000000005E-2</v>
      </c>
      <c r="Q720" s="57">
        <v>0.31140000000000001</v>
      </c>
      <c r="R720" s="57">
        <v>1.5642</v>
      </c>
      <c r="S720" s="57">
        <v>0.02</v>
      </c>
      <c r="T720">
        <v>0.28000000000000003</v>
      </c>
      <c r="U720">
        <v>5.97</v>
      </c>
      <c r="V720">
        <v>0.83</v>
      </c>
      <c r="W720" s="20">
        <v>325.26867279999999</v>
      </c>
    </row>
    <row r="721" spans="7:23" x14ac:dyDescent="0.15">
      <c r="G721" s="11">
        <v>720</v>
      </c>
      <c r="H721" t="s">
        <v>267</v>
      </c>
      <c r="I721" t="s">
        <v>1177</v>
      </c>
      <c r="J721" t="s">
        <v>1175</v>
      </c>
      <c r="K721" s="61">
        <v>1.3599999999999999E-2</v>
      </c>
      <c r="L721" s="57">
        <v>-4.0899999999999999E-2</v>
      </c>
      <c r="M721" s="57">
        <v>-2.06E-2</v>
      </c>
      <c r="N721" s="61">
        <v>-4.7E-2</v>
      </c>
      <c r="O721" s="57">
        <v>-8.2600000000000007E-2</v>
      </c>
      <c r="P721" s="57">
        <v>-2.1700000000000001E-2</v>
      </c>
      <c r="Q721" s="57">
        <v>0.20649999999999999</v>
      </c>
      <c r="R721" s="57">
        <v>0.92379999999999995</v>
      </c>
      <c r="S721" s="57">
        <v>1.0343</v>
      </c>
      <c r="T721">
        <v>0.14000000000000001</v>
      </c>
      <c r="U721">
        <v>2.2200000000000002</v>
      </c>
      <c r="V721">
        <v>1.81</v>
      </c>
      <c r="W721" s="20">
        <v>19.909880300000001</v>
      </c>
    </row>
  </sheetData>
  <autoFilter ref="G1:W721">
    <sortState ref="G2:W721">
      <sortCondition descending="1" ref="T1:T721"/>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24</xdr:col>
                    <xdr:colOff>123825</xdr:colOff>
                    <xdr:row>1</xdr:row>
                    <xdr:rowOff>123825</xdr:rowOff>
                  </from>
                  <to>
                    <xdr:col>25</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99"/>
  <sheetViews>
    <sheetView topLeftCell="E1" workbookViewId="0">
      <pane ySplit="1" topLeftCell="A2" activePane="bottomLeft" state="frozen"/>
      <selection pane="bottomLeft" activeCell="Y1" sqref="Y1"/>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9" width="9" style="57" customWidth="1"/>
    <col min="20" max="20" width="8.625" customWidth="1"/>
    <col min="21" max="21" width="9" customWidth="1"/>
    <col min="22" max="22" width="7.25" customWidth="1"/>
    <col min="23" max="23" width="12.375" style="20" customWidth="1"/>
  </cols>
  <sheetData>
    <row r="1" spans="1:26" s="21" customFormat="1" ht="50.25" customHeight="1" x14ac:dyDescent="0.15">
      <c r="A1" s="26" t="s">
        <v>253</v>
      </c>
      <c r="B1" s="22" t="s">
        <v>39</v>
      </c>
      <c r="C1" s="22" t="s">
        <v>38</v>
      </c>
      <c r="D1" s="22" t="s">
        <v>1611</v>
      </c>
      <c r="E1" s="25"/>
      <c r="F1" s="26" t="s">
        <v>1610</v>
      </c>
      <c r="G1" s="23"/>
      <c r="H1" s="22" t="s">
        <v>39</v>
      </c>
      <c r="I1" s="22" t="s">
        <v>38</v>
      </c>
      <c r="J1" s="22" t="s">
        <v>37</v>
      </c>
      <c r="K1" s="60" t="s">
        <v>35</v>
      </c>
      <c r="L1" s="59" t="s">
        <v>1824</v>
      </c>
      <c r="M1" s="59" t="s">
        <v>1825</v>
      </c>
      <c r="N1" s="60" t="s">
        <v>36</v>
      </c>
      <c r="O1" s="59" t="s">
        <v>1940</v>
      </c>
      <c r="P1" s="59" t="s">
        <v>1941</v>
      </c>
      <c r="Q1" s="59" t="s">
        <v>1942</v>
      </c>
      <c r="R1" s="59" t="s">
        <v>1943</v>
      </c>
      <c r="S1" s="59" t="s">
        <v>2102</v>
      </c>
      <c r="T1" s="22" t="s">
        <v>34</v>
      </c>
      <c r="U1" s="22" t="s">
        <v>1606</v>
      </c>
      <c r="V1" s="22" t="s">
        <v>1607</v>
      </c>
      <c r="W1" s="24" t="s">
        <v>1608</v>
      </c>
      <c r="Y1" s="50" t="s">
        <v>1817</v>
      </c>
    </row>
    <row r="2" spans="1:26" x14ac:dyDescent="0.15">
      <c r="A2">
        <v>1</v>
      </c>
      <c r="B2">
        <v>159980</v>
      </c>
      <c r="C2" t="s">
        <v>772</v>
      </c>
      <c r="D2">
        <f t="shared" ref="D2:D8" si="0">MATCH(IF(B2&lt;499999,"SZ"&amp;B2,"SH"&amp;B2),$H$2:$H$2976,0)</f>
        <v>23</v>
      </c>
      <c r="G2" s="11">
        <v>1</v>
      </c>
      <c r="H2" t="s">
        <v>595</v>
      </c>
      <c r="I2" t="s">
        <v>1631</v>
      </c>
      <c r="J2" t="s">
        <v>15</v>
      </c>
      <c r="K2" s="61">
        <v>-6.7999999999999996E-3</v>
      </c>
      <c r="L2" s="57">
        <v>6.2799999999999995E-2</v>
      </c>
      <c r="M2" s="57">
        <v>0.12709999999999999</v>
      </c>
      <c r="N2" s="61">
        <v>0.2059</v>
      </c>
      <c r="O2" s="57">
        <v>-6.7500000000000004E-2</v>
      </c>
      <c r="P2" s="57">
        <v>-1.3100000000000001E-2</v>
      </c>
      <c r="Q2" s="57">
        <v>-0.3367</v>
      </c>
      <c r="R2" s="57">
        <v>-0.48749999999999999</v>
      </c>
      <c r="S2" s="57">
        <v>-0.48749999999999999</v>
      </c>
      <c r="T2">
        <v>100</v>
      </c>
      <c r="U2">
        <v>94.9</v>
      </c>
      <c r="V2">
        <v>95.92</v>
      </c>
      <c r="W2" s="20">
        <v>27265.458200599998</v>
      </c>
      <c r="Y2" s="9"/>
      <c r="Z2" s="9"/>
    </row>
    <row r="3" spans="1:26" x14ac:dyDescent="0.15">
      <c r="A3">
        <v>2</v>
      </c>
      <c r="B3">
        <v>159981</v>
      </c>
      <c r="C3" t="s">
        <v>773</v>
      </c>
      <c r="D3">
        <f t="shared" si="0"/>
        <v>93</v>
      </c>
      <c r="G3" s="11">
        <v>2</v>
      </c>
      <c r="H3" t="s">
        <v>535</v>
      </c>
      <c r="I3" t="s">
        <v>1620</v>
      </c>
      <c r="J3" t="s">
        <v>15</v>
      </c>
      <c r="K3" s="61">
        <v>-6.4000000000000003E-3</v>
      </c>
      <c r="L3" s="57">
        <v>6.8900000000000003E-2</v>
      </c>
      <c r="M3" s="57">
        <v>9.8199999999999996E-2</v>
      </c>
      <c r="N3" s="61">
        <v>0.2014</v>
      </c>
      <c r="O3" s="57">
        <v>7.3800000000000004E-2</v>
      </c>
      <c r="P3" s="57">
        <v>0.2306</v>
      </c>
      <c r="Q3" s="57">
        <v>-0.25259999999999999</v>
      </c>
      <c r="R3" s="57">
        <v>-0.41830000000000001</v>
      </c>
      <c r="S3" s="57">
        <v>-0.41830000000000001</v>
      </c>
      <c r="T3">
        <v>98.98</v>
      </c>
      <c r="U3">
        <v>90.82</v>
      </c>
      <c r="V3">
        <v>94.9</v>
      </c>
      <c r="W3" s="20">
        <v>224565.20060000001</v>
      </c>
      <c r="Y3" s="9"/>
      <c r="Z3" s="9"/>
    </row>
    <row r="4" spans="1:26" x14ac:dyDescent="0.15">
      <c r="A4">
        <v>3</v>
      </c>
      <c r="B4">
        <v>160216</v>
      </c>
      <c r="C4" t="s">
        <v>28</v>
      </c>
      <c r="D4">
        <f t="shared" si="0"/>
        <v>98</v>
      </c>
      <c r="G4" s="11">
        <v>3</v>
      </c>
      <c r="H4" t="s">
        <v>559</v>
      </c>
      <c r="I4" t="s">
        <v>1617</v>
      </c>
      <c r="J4" t="s">
        <v>15</v>
      </c>
      <c r="K4" s="61">
        <v>-5.4999999999999997E-3</v>
      </c>
      <c r="L4" s="57">
        <v>6.0600000000000001E-2</v>
      </c>
      <c r="M4" s="57">
        <v>0.1235</v>
      </c>
      <c r="N4" s="61">
        <v>0.2006</v>
      </c>
      <c r="O4" s="57">
        <v>-7.1900000000000006E-2</v>
      </c>
      <c r="P4" s="57">
        <v>-2.0299999999999999E-2</v>
      </c>
      <c r="Q4" s="57">
        <v>-0.34160000000000001</v>
      </c>
      <c r="R4" s="57">
        <v>-0.49419999999999997</v>
      </c>
      <c r="S4" s="57">
        <v>-0.49419999999999997</v>
      </c>
      <c r="T4">
        <v>97.96</v>
      </c>
      <c r="U4">
        <v>87.76</v>
      </c>
      <c r="V4">
        <v>92.86</v>
      </c>
      <c r="W4" s="20">
        <v>70666.346212100005</v>
      </c>
      <c r="Y4" s="9"/>
      <c r="Z4" s="9"/>
    </row>
    <row r="5" spans="1:26" x14ac:dyDescent="0.15">
      <c r="A5">
        <v>4</v>
      </c>
      <c r="B5">
        <v>161815</v>
      </c>
      <c r="C5" t="s">
        <v>20</v>
      </c>
      <c r="D5">
        <f t="shared" si="0"/>
        <v>94</v>
      </c>
      <c r="G5" s="11">
        <v>4</v>
      </c>
      <c r="H5" t="s">
        <v>1936</v>
      </c>
      <c r="I5" t="s">
        <v>1937</v>
      </c>
      <c r="J5" t="s">
        <v>15</v>
      </c>
      <c r="K5" s="61">
        <v>-4.1999999999999997E-3</v>
      </c>
      <c r="L5" s="57">
        <v>6.93E-2</v>
      </c>
      <c r="M5" s="57">
        <v>9.7600000000000006E-2</v>
      </c>
      <c r="N5" s="61">
        <v>0.20130000000000001</v>
      </c>
      <c r="O5" s="57">
        <v>8.4400000000000003E-2</v>
      </c>
      <c r="P5" s="57">
        <v>3.2000000000000002E-3</v>
      </c>
      <c r="Q5" s="57">
        <v>3.2000000000000002E-3</v>
      </c>
      <c r="R5" s="57">
        <v>3.2000000000000002E-3</v>
      </c>
      <c r="S5" s="57">
        <v>3.2000000000000002E-3</v>
      </c>
      <c r="T5">
        <v>96.94</v>
      </c>
      <c r="U5">
        <v>88.78</v>
      </c>
      <c r="V5">
        <v>86.73</v>
      </c>
      <c r="W5" s="20">
        <v>14699.8939833</v>
      </c>
      <c r="Y5" s="9"/>
      <c r="Z5" s="9"/>
    </row>
    <row r="6" spans="1:26" x14ac:dyDescent="0.15">
      <c r="A6">
        <v>5</v>
      </c>
      <c r="B6">
        <v>163208</v>
      </c>
      <c r="C6" t="s">
        <v>24</v>
      </c>
      <c r="D6">
        <f t="shared" si="0"/>
        <v>33</v>
      </c>
      <c r="G6" s="11">
        <v>5</v>
      </c>
      <c r="H6" t="s">
        <v>1933</v>
      </c>
      <c r="I6" t="s">
        <v>1934</v>
      </c>
      <c r="J6" t="s">
        <v>15</v>
      </c>
      <c r="K6" s="61">
        <v>-4.1000000000000003E-3</v>
      </c>
      <c r="L6" s="57">
        <v>6.9199999999999998E-2</v>
      </c>
      <c r="M6" s="57">
        <v>9.6299999999999997E-2</v>
      </c>
      <c r="N6" s="61">
        <v>0.19320000000000001</v>
      </c>
      <c r="O6" s="57">
        <v>8.4099999999999994E-2</v>
      </c>
      <c r="P6" s="57">
        <v>-2.3E-2</v>
      </c>
      <c r="Q6" s="57">
        <v>-2.3E-2</v>
      </c>
      <c r="R6" s="57">
        <v>-2.3E-2</v>
      </c>
      <c r="S6" s="57">
        <v>-2.3E-2</v>
      </c>
      <c r="T6">
        <v>95.92</v>
      </c>
      <c r="U6">
        <v>85.71</v>
      </c>
      <c r="V6">
        <v>84.69</v>
      </c>
      <c r="W6" s="20">
        <v>2415.5545999999999</v>
      </c>
      <c r="Y6" t="s">
        <v>2109</v>
      </c>
    </row>
    <row r="7" spans="1:26" x14ac:dyDescent="0.15">
      <c r="A7">
        <v>6</v>
      </c>
      <c r="B7">
        <v>165513</v>
      </c>
      <c r="C7" t="s">
        <v>26</v>
      </c>
      <c r="D7">
        <f t="shared" si="0"/>
        <v>92</v>
      </c>
      <c r="G7" s="11">
        <v>6</v>
      </c>
      <c r="H7" t="s">
        <v>679</v>
      </c>
      <c r="I7" t="s">
        <v>31</v>
      </c>
      <c r="J7" t="s">
        <v>15</v>
      </c>
      <c r="K7" s="61">
        <v>-2.3E-3</v>
      </c>
      <c r="L7" s="57">
        <v>0.17799999999999999</v>
      </c>
      <c r="M7" s="57">
        <v>0.2167</v>
      </c>
      <c r="N7" s="61">
        <v>0.2084</v>
      </c>
      <c r="O7" s="57">
        <v>-1.77E-2</v>
      </c>
      <c r="P7" s="57">
        <v>9.9099999999999994E-2</v>
      </c>
      <c r="Q7" s="57">
        <v>-0.29880000000000001</v>
      </c>
      <c r="R7" s="57">
        <v>-0.53169999999999995</v>
      </c>
      <c r="S7" s="57">
        <v>-0.27</v>
      </c>
      <c r="T7">
        <v>94.9</v>
      </c>
      <c r="U7">
        <v>97.96</v>
      </c>
      <c r="V7">
        <v>71.430000000000007</v>
      </c>
      <c r="W7" s="20">
        <v>16353.5816072</v>
      </c>
    </row>
    <row r="8" spans="1:26" x14ac:dyDescent="0.15">
      <c r="A8">
        <v>7</v>
      </c>
      <c r="B8">
        <v>513130</v>
      </c>
      <c r="C8" t="s">
        <v>774</v>
      </c>
      <c r="D8">
        <f t="shared" si="0"/>
        <v>22</v>
      </c>
      <c r="G8" s="11">
        <v>7</v>
      </c>
      <c r="H8" t="s">
        <v>580</v>
      </c>
      <c r="I8" t="s">
        <v>1693</v>
      </c>
      <c r="J8" t="s">
        <v>15</v>
      </c>
      <c r="K8" s="61">
        <v>-2.3999999999999998E-3</v>
      </c>
      <c r="L8" s="57">
        <v>6.1899999999999997E-2</v>
      </c>
      <c r="M8" s="57">
        <v>0.12620000000000001</v>
      </c>
      <c r="N8" s="61">
        <v>0.20710000000000001</v>
      </c>
      <c r="O8" s="57">
        <v>-6.4199999999999993E-2</v>
      </c>
      <c r="P8" s="57">
        <v>-1.06E-2</v>
      </c>
      <c r="Q8" s="57">
        <v>-0.3367</v>
      </c>
      <c r="R8" s="57">
        <v>-0.49580000000000002</v>
      </c>
      <c r="S8" s="57">
        <v>-0.49580000000000002</v>
      </c>
      <c r="T8">
        <v>93.88</v>
      </c>
      <c r="U8">
        <v>95.92</v>
      </c>
      <c r="V8">
        <v>73.47</v>
      </c>
      <c r="W8" s="20">
        <v>14362.0596114</v>
      </c>
    </row>
    <row r="9" spans="1:26" x14ac:dyDescent="0.15">
      <c r="G9" s="11">
        <v>8</v>
      </c>
      <c r="H9" t="s">
        <v>722</v>
      </c>
      <c r="I9" t="s">
        <v>1646</v>
      </c>
      <c r="J9" t="s">
        <v>15</v>
      </c>
      <c r="K9" s="61">
        <v>-2.5999999999999999E-3</v>
      </c>
      <c r="L9" s="57">
        <v>6.0499999999999998E-2</v>
      </c>
      <c r="M9" s="57">
        <v>0.12540000000000001</v>
      </c>
      <c r="N9" s="61">
        <v>0.20580000000000001</v>
      </c>
      <c r="O9" s="57">
        <v>-6.7599999999999993E-2</v>
      </c>
      <c r="P9" s="57">
        <v>-1.67E-2</v>
      </c>
      <c r="Q9" s="57">
        <v>-0.34289999999999998</v>
      </c>
      <c r="R9" s="57">
        <v>-0.49370000000000003</v>
      </c>
      <c r="S9" s="57">
        <v>-0.49370000000000003</v>
      </c>
      <c r="T9">
        <v>92.86</v>
      </c>
      <c r="U9">
        <v>93.88</v>
      </c>
      <c r="V9">
        <v>74.489999999999995</v>
      </c>
      <c r="W9" s="20">
        <v>413204.93939999997</v>
      </c>
    </row>
    <row r="10" spans="1:26" x14ac:dyDescent="0.15">
      <c r="G10" s="11">
        <v>9</v>
      </c>
      <c r="H10" t="s">
        <v>1541</v>
      </c>
      <c r="I10" t="s">
        <v>1928</v>
      </c>
      <c r="J10" t="s">
        <v>15</v>
      </c>
      <c r="K10" s="61">
        <v>-2E-3</v>
      </c>
      <c r="L10" s="57">
        <v>6.1199999999999997E-2</v>
      </c>
      <c r="M10" s="57">
        <v>0.12590000000000001</v>
      </c>
      <c r="N10" s="61">
        <v>0.20319999999999999</v>
      </c>
      <c r="O10" s="57">
        <v>-8.6099999999999996E-2</v>
      </c>
      <c r="P10" s="57">
        <v>-4.7399999999999998E-2</v>
      </c>
      <c r="Q10" s="57">
        <v>-6.3100000000000003E-2</v>
      </c>
      <c r="R10" s="57">
        <v>-6.3100000000000003E-2</v>
      </c>
      <c r="S10" s="57">
        <v>-6.3100000000000003E-2</v>
      </c>
      <c r="T10">
        <v>91.84</v>
      </c>
      <c r="U10">
        <v>92.86</v>
      </c>
      <c r="V10">
        <v>69.39</v>
      </c>
      <c r="W10" s="20">
        <v>9806.3261999999995</v>
      </c>
    </row>
    <row r="11" spans="1:26" x14ac:dyDescent="0.15">
      <c r="G11" s="11">
        <v>10</v>
      </c>
      <c r="H11" t="s">
        <v>505</v>
      </c>
      <c r="I11" t="s">
        <v>1615</v>
      </c>
      <c r="J11" t="s">
        <v>15</v>
      </c>
      <c r="K11" s="61">
        <v>-3.0999999999999999E-3</v>
      </c>
      <c r="L11" s="57">
        <v>5.16E-2</v>
      </c>
      <c r="M11" s="57">
        <v>0.10680000000000001</v>
      </c>
      <c r="N11" s="61">
        <v>0.18099999999999999</v>
      </c>
      <c r="O11" s="57">
        <v>-0.1074</v>
      </c>
      <c r="P11" s="57">
        <v>-3.0499999999999999E-2</v>
      </c>
      <c r="Q11" s="57">
        <v>-0.2477</v>
      </c>
      <c r="R11" s="57">
        <v>-0.2477</v>
      </c>
      <c r="S11" s="57">
        <v>-0.2477</v>
      </c>
      <c r="T11">
        <v>90.82</v>
      </c>
      <c r="U11">
        <v>81.63</v>
      </c>
      <c r="V11">
        <v>78.569999999999993</v>
      </c>
      <c r="W11" s="20">
        <v>10843.164920000001</v>
      </c>
    </row>
    <row r="12" spans="1:26" x14ac:dyDescent="0.15">
      <c r="G12" s="11">
        <v>11</v>
      </c>
      <c r="H12" t="s">
        <v>678</v>
      </c>
      <c r="I12" t="s">
        <v>1640</v>
      </c>
      <c r="J12" t="s">
        <v>15</v>
      </c>
      <c r="K12" s="61">
        <v>-1.1999999999999999E-3</v>
      </c>
      <c r="L12" s="57">
        <v>6.2E-2</v>
      </c>
      <c r="M12" s="57">
        <v>0.12690000000000001</v>
      </c>
      <c r="N12" s="61">
        <v>0.2082</v>
      </c>
      <c r="O12" s="57">
        <v>-6.5500000000000003E-2</v>
      </c>
      <c r="P12" s="57">
        <v>-1.0800000000000001E-2</v>
      </c>
      <c r="Q12" s="57">
        <v>-0.33389999999999997</v>
      </c>
      <c r="R12" s="57">
        <v>-0.4894</v>
      </c>
      <c r="S12" s="57">
        <v>-0.4894</v>
      </c>
      <c r="T12">
        <v>89.8</v>
      </c>
      <c r="U12">
        <v>96.94</v>
      </c>
      <c r="V12">
        <v>62.24</v>
      </c>
      <c r="W12" s="20">
        <v>20983.074100000002</v>
      </c>
    </row>
    <row r="13" spans="1:26" x14ac:dyDescent="0.15">
      <c r="G13" s="11">
        <v>12</v>
      </c>
      <c r="H13" t="s">
        <v>1931</v>
      </c>
      <c r="I13" t="s">
        <v>1932</v>
      </c>
      <c r="J13" t="s">
        <v>15</v>
      </c>
      <c r="K13" s="61">
        <v>-1.6999999999999999E-3</v>
      </c>
      <c r="L13" s="57">
        <v>4.2599999999999999E-2</v>
      </c>
      <c r="M13" s="57">
        <v>7.5600000000000001E-2</v>
      </c>
      <c r="N13" s="61">
        <v>0.2014</v>
      </c>
      <c r="O13" s="57">
        <v>7.5800000000000006E-2</v>
      </c>
      <c r="P13" s="57">
        <v>-3.5499999999999997E-2</v>
      </c>
      <c r="Q13" s="57">
        <v>-3.5499999999999997E-2</v>
      </c>
      <c r="R13" s="57">
        <v>-3.5499999999999997E-2</v>
      </c>
      <c r="S13" s="57">
        <v>-3.5499999999999997E-2</v>
      </c>
      <c r="T13">
        <v>88.78</v>
      </c>
      <c r="U13">
        <v>89.8</v>
      </c>
      <c r="V13">
        <v>66.33</v>
      </c>
      <c r="W13" s="20">
        <v>14368.7534</v>
      </c>
    </row>
    <row r="14" spans="1:26" x14ac:dyDescent="0.15">
      <c r="G14" s="11">
        <v>13</v>
      </c>
      <c r="H14" t="s">
        <v>631</v>
      </c>
      <c r="I14" t="s">
        <v>1616</v>
      </c>
      <c r="J14" t="s">
        <v>15</v>
      </c>
      <c r="K14" s="61">
        <v>-2.3999999999999998E-3</v>
      </c>
      <c r="L14" s="57">
        <v>5.0900000000000001E-2</v>
      </c>
      <c r="M14" s="57">
        <v>0.1067</v>
      </c>
      <c r="N14" s="61">
        <v>0.18129999999999999</v>
      </c>
      <c r="O14" s="57">
        <v>-0.10009999999999999</v>
      </c>
      <c r="P14" s="57">
        <v>-2.1600000000000001E-2</v>
      </c>
      <c r="Q14" s="57">
        <v>-0.3795</v>
      </c>
      <c r="R14" s="57">
        <v>-0.49380000000000002</v>
      </c>
      <c r="S14" s="57">
        <v>-0.49380000000000002</v>
      </c>
      <c r="T14">
        <v>87.76</v>
      </c>
      <c r="U14">
        <v>82.65</v>
      </c>
      <c r="V14">
        <v>72.45</v>
      </c>
      <c r="W14" s="20">
        <v>9983.5939299999991</v>
      </c>
    </row>
    <row r="15" spans="1:26" x14ac:dyDescent="0.15">
      <c r="G15" s="11">
        <v>14</v>
      </c>
      <c r="H15" t="s">
        <v>694</v>
      </c>
      <c r="I15" t="s">
        <v>1639</v>
      </c>
      <c r="J15" t="s">
        <v>15</v>
      </c>
      <c r="K15" s="61">
        <v>-5.9999999999999995E-4</v>
      </c>
      <c r="L15" s="57">
        <v>5.8599999999999999E-2</v>
      </c>
      <c r="M15" s="57">
        <v>0.12620000000000001</v>
      </c>
      <c r="N15" s="61">
        <v>0.20979999999999999</v>
      </c>
      <c r="O15" s="57">
        <v>-6.08E-2</v>
      </c>
      <c r="P15" s="57">
        <v>-6.4000000000000003E-3</v>
      </c>
      <c r="Q15" s="57">
        <v>-0.33090000000000003</v>
      </c>
      <c r="R15" s="57">
        <v>-0.48670000000000002</v>
      </c>
      <c r="S15" s="57">
        <v>-0.48670000000000002</v>
      </c>
      <c r="T15">
        <v>86.73</v>
      </c>
      <c r="U15">
        <v>98.98</v>
      </c>
      <c r="V15">
        <v>54.08</v>
      </c>
      <c r="W15" s="20">
        <v>89430.605200000005</v>
      </c>
    </row>
    <row r="16" spans="1:26" x14ac:dyDescent="0.15">
      <c r="G16" s="11">
        <v>15</v>
      </c>
      <c r="H16" t="s">
        <v>661</v>
      </c>
      <c r="I16" t="s">
        <v>1619</v>
      </c>
      <c r="J16" t="s">
        <v>15</v>
      </c>
      <c r="K16" s="61">
        <v>-3.8E-3</v>
      </c>
      <c r="L16" s="57">
        <v>3.3500000000000002E-2</v>
      </c>
      <c r="M16" s="57">
        <v>9.6699999999999994E-2</v>
      </c>
      <c r="N16" s="61">
        <v>0.1024</v>
      </c>
      <c r="O16" s="57">
        <v>-4.2799999999999998E-2</v>
      </c>
      <c r="P16" s="57">
        <v>-3.3399999999999999E-2</v>
      </c>
      <c r="Q16" s="57">
        <v>-0.217</v>
      </c>
      <c r="R16" s="57">
        <v>-0.3468</v>
      </c>
      <c r="S16" s="57">
        <v>-0.34549999999999997</v>
      </c>
      <c r="T16">
        <v>85.71</v>
      </c>
      <c r="U16">
        <v>70.41</v>
      </c>
      <c r="V16">
        <v>81.63</v>
      </c>
      <c r="W16" s="20">
        <v>189.33158999999998</v>
      </c>
    </row>
    <row r="17" spans="7:23" x14ac:dyDescent="0.15">
      <c r="G17" s="11">
        <v>16</v>
      </c>
      <c r="H17" t="s">
        <v>258</v>
      </c>
      <c r="I17" t="s">
        <v>27</v>
      </c>
      <c r="J17" t="s">
        <v>15</v>
      </c>
      <c r="K17" s="61">
        <v>-4.7000000000000002E-3</v>
      </c>
      <c r="L17" s="57">
        <v>-1.6400000000000001E-2</v>
      </c>
      <c r="M17" s="57">
        <v>-5.1999999999999998E-3</v>
      </c>
      <c r="N17" s="61">
        <v>7.0499999999999993E-2</v>
      </c>
      <c r="O17" s="57">
        <v>0.1734</v>
      </c>
      <c r="P17" s="57">
        <v>0.1845</v>
      </c>
      <c r="Q17" s="57">
        <v>0.56130000000000002</v>
      </c>
      <c r="R17" s="57">
        <v>3.0539999999999998</v>
      </c>
      <c r="S17" s="57">
        <v>1.2599</v>
      </c>
      <c r="T17">
        <v>84.69</v>
      </c>
      <c r="U17">
        <v>59.18</v>
      </c>
      <c r="V17">
        <v>88.78</v>
      </c>
      <c r="W17" s="20">
        <v>3727.2400320000002</v>
      </c>
    </row>
    <row r="18" spans="7:23" x14ac:dyDescent="0.15">
      <c r="G18" s="11">
        <v>17</v>
      </c>
      <c r="H18" t="s">
        <v>329</v>
      </c>
      <c r="I18" t="s">
        <v>1649</v>
      </c>
      <c r="J18" t="s">
        <v>15</v>
      </c>
      <c r="K18" s="61">
        <v>-4.4000000000000003E-3</v>
      </c>
      <c r="L18" s="57">
        <v>-5.4999999999999997E-3</v>
      </c>
      <c r="M18" s="57">
        <v>-6.7000000000000002E-3</v>
      </c>
      <c r="N18" s="61">
        <v>6.9400000000000003E-2</v>
      </c>
      <c r="O18" s="57">
        <v>0.1789</v>
      </c>
      <c r="P18" s="57">
        <v>0.1663</v>
      </c>
      <c r="Q18" s="57">
        <v>0.38469999999999999</v>
      </c>
      <c r="R18" s="57">
        <v>1.4029</v>
      </c>
      <c r="S18" s="57">
        <v>0.6099</v>
      </c>
      <c r="T18">
        <v>83.67</v>
      </c>
      <c r="U18">
        <v>58.16</v>
      </c>
      <c r="V18">
        <v>87.76</v>
      </c>
      <c r="W18" s="20">
        <v>48.67483</v>
      </c>
    </row>
    <row r="19" spans="7:23" x14ac:dyDescent="0.15">
      <c r="G19" s="11">
        <v>18</v>
      </c>
      <c r="H19" t="s">
        <v>702</v>
      </c>
      <c r="I19" t="s">
        <v>1637</v>
      </c>
      <c r="J19" t="s">
        <v>15</v>
      </c>
      <c r="K19" s="61">
        <v>-3.2000000000000002E-3</v>
      </c>
      <c r="L19" s="57">
        <v>2.5999999999999999E-2</v>
      </c>
      <c r="M19" s="57">
        <v>8.7300000000000003E-2</v>
      </c>
      <c r="N19" s="61">
        <v>9.9299999999999999E-2</v>
      </c>
      <c r="O19" s="57">
        <v>-4.5600000000000002E-2</v>
      </c>
      <c r="P19" s="57">
        <v>-3.6799999999999999E-2</v>
      </c>
      <c r="Q19" s="57">
        <v>-0.1832</v>
      </c>
      <c r="R19" s="57">
        <v>-0.2094</v>
      </c>
      <c r="S19" s="57">
        <v>-0.28649999999999998</v>
      </c>
      <c r="T19">
        <v>82.65</v>
      </c>
      <c r="U19">
        <v>66.33</v>
      </c>
      <c r="V19">
        <v>79.59</v>
      </c>
      <c r="W19" s="20">
        <v>85802.714079999991</v>
      </c>
    </row>
    <row r="20" spans="7:23" x14ac:dyDescent="0.15">
      <c r="G20" s="11">
        <v>19</v>
      </c>
      <c r="H20" t="s">
        <v>711</v>
      </c>
      <c r="I20" t="s">
        <v>1641</v>
      </c>
      <c r="J20" t="s">
        <v>15</v>
      </c>
      <c r="K20" s="61">
        <v>-3.3E-3</v>
      </c>
      <c r="L20" s="57">
        <v>3.8E-3</v>
      </c>
      <c r="M20" s="57">
        <v>6.6600000000000006E-2</v>
      </c>
      <c r="N20" s="61">
        <v>9.6000000000000002E-2</v>
      </c>
      <c r="O20" s="57">
        <v>-1.49E-2</v>
      </c>
      <c r="P20" s="57">
        <v>1.9800000000000002E-2</v>
      </c>
      <c r="Q20" s="57">
        <v>-0.13150000000000001</v>
      </c>
      <c r="R20" s="57">
        <v>-3.5099999999999999E-2</v>
      </c>
      <c r="S20" s="57">
        <v>6.7999999999999996E-3</v>
      </c>
      <c r="T20">
        <v>81.63</v>
      </c>
      <c r="U20">
        <v>64.290000000000006</v>
      </c>
      <c r="V20">
        <v>80.61</v>
      </c>
      <c r="W20" s="20">
        <v>238.04150000000001</v>
      </c>
    </row>
    <row r="21" spans="7:23" x14ac:dyDescent="0.15">
      <c r="G21" s="11">
        <v>20</v>
      </c>
      <c r="H21" t="s">
        <v>1489</v>
      </c>
      <c r="I21" t="s">
        <v>1935</v>
      </c>
      <c r="J21" t="s">
        <v>15</v>
      </c>
      <c r="K21" s="61">
        <v>-3.8999999999999998E-3</v>
      </c>
      <c r="L21" s="57">
        <v>1.7100000000000001E-2</v>
      </c>
      <c r="M21" s="57">
        <v>0.1047</v>
      </c>
      <c r="N21" s="61">
        <v>7.6700000000000004E-2</v>
      </c>
      <c r="O21" s="57">
        <v>-2.64E-2</v>
      </c>
      <c r="P21" s="57">
        <v>-7.9899999999999999E-2</v>
      </c>
      <c r="Q21" s="57">
        <v>-5.5599999999999997E-2</v>
      </c>
      <c r="R21" s="57">
        <v>-5.5599999999999997E-2</v>
      </c>
      <c r="S21" s="57">
        <v>-5.5599999999999997E-2</v>
      </c>
      <c r="T21">
        <v>80.61</v>
      </c>
      <c r="U21">
        <v>61.22</v>
      </c>
      <c r="V21">
        <v>82.65</v>
      </c>
      <c r="W21" s="20">
        <v>4357.8473000000004</v>
      </c>
    </row>
    <row r="22" spans="7:23" x14ac:dyDescent="0.15">
      <c r="G22" s="11">
        <v>21</v>
      </c>
      <c r="H22" t="s">
        <v>734</v>
      </c>
      <c r="I22" t="s">
        <v>1650</v>
      </c>
      <c r="J22" t="s">
        <v>15</v>
      </c>
      <c r="K22" s="61">
        <v>-5.4000000000000003E-3</v>
      </c>
      <c r="L22" s="57">
        <v>-8.3999999999999995E-3</v>
      </c>
      <c r="M22" s="57">
        <v>-1.06E-2</v>
      </c>
      <c r="N22" s="61">
        <v>6.1699999999999998E-2</v>
      </c>
      <c r="O22" s="57">
        <v>0.23250000000000001</v>
      </c>
      <c r="P22" s="57">
        <v>0.22470000000000001</v>
      </c>
      <c r="Q22" s="57">
        <v>0.74619999999999997</v>
      </c>
      <c r="R22" s="57">
        <v>3.4054000000000002</v>
      </c>
      <c r="S22" s="57">
        <v>1.7806</v>
      </c>
      <c r="T22">
        <v>79.59</v>
      </c>
      <c r="U22">
        <v>51.02</v>
      </c>
      <c r="V22">
        <v>91.84</v>
      </c>
      <c r="W22" s="20">
        <v>976.32297750000009</v>
      </c>
    </row>
    <row r="23" spans="7:23" x14ac:dyDescent="0.15">
      <c r="G23" s="11">
        <v>22</v>
      </c>
      <c r="H23" t="s">
        <v>643</v>
      </c>
      <c r="I23" t="s">
        <v>1638</v>
      </c>
      <c r="J23" t="s">
        <v>15</v>
      </c>
      <c r="K23" s="61">
        <v>-5.9999999999999995E-4</v>
      </c>
      <c r="L23" s="57">
        <v>5.79E-2</v>
      </c>
      <c r="M23" s="57">
        <v>0.12889999999999999</v>
      </c>
      <c r="N23" s="61">
        <v>0.1973</v>
      </c>
      <c r="O23" s="57">
        <v>-7.5700000000000003E-2</v>
      </c>
      <c r="P23" s="57">
        <v>-2.23E-2</v>
      </c>
      <c r="Q23" s="57">
        <v>-0.34329999999999999</v>
      </c>
      <c r="R23" s="57">
        <v>-0.49569999999999997</v>
      </c>
      <c r="S23" s="57">
        <v>-0.49569999999999997</v>
      </c>
      <c r="T23">
        <v>78.569999999999993</v>
      </c>
      <c r="U23">
        <v>86.73</v>
      </c>
      <c r="V23">
        <v>55.1</v>
      </c>
      <c r="W23" s="20">
        <v>265275.48810000002</v>
      </c>
    </row>
    <row r="24" spans="7:23" x14ac:dyDescent="0.15">
      <c r="G24" s="11">
        <v>23</v>
      </c>
      <c r="H24" t="s">
        <v>272</v>
      </c>
      <c r="I24" t="s">
        <v>29</v>
      </c>
      <c r="J24" t="s">
        <v>1624</v>
      </c>
      <c r="K24" s="61">
        <v>-2.8999999999999998E-3</v>
      </c>
      <c r="L24" s="57">
        <v>-5.3E-3</v>
      </c>
      <c r="M24" s="57">
        <v>5.8799999999999998E-2</v>
      </c>
      <c r="N24" s="61">
        <v>5.8999999999999997E-2</v>
      </c>
      <c r="O24" s="57">
        <v>8.8999999999999996E-2</v>
      </c>
      <c r="P24" s="57">
        <v>-3.2199999999999999E-2</v>
      </c>
      <c r="Q24" s="57">
        <v>6.8699999999999997E-2</v>
      </c>
      <c r="R24" s="57">
        <v>0.4345</v>
      </c>
      <c r="S24" s="57">
        <v>0.53349999999999997</v>
      </c>
      <c r="T24">
        <v>77.55</v>
      </c>
      <c r="U24">
        <v>50</v>
      </c>
      <c r="V24">
        <v>76.53</v>
      </c>
      <c r="W24" s="20">
        <v>4647.2277799999993</v>
      </c>
    </row>
    <row r="25" spans="7:23" x14ac:dyDescent="0.15">
      <c r="G25" s="11">
        <v>24</v>
      </c>
      <c r="H25" t="s">
        <v>688</v>
      </c>
      <c r="I25" t="s">
        <v>2106</v>
      </c>
      <c r="J25" t="s">
        <v>15</v>
      </c>
      <c r="K25" s="61">
        <v>2.8E-3</v>
      </c>
      <c r="L25" s="57">
        <v>6.9400000000000003E-2</v>
      </c>
      <c r="M25" s="57">
        <v>9.8000000000000004E-2</v>
      </c>
      <c r="N25" s="61">
        <v>0.2019</v>
      </c>
      <c r="O25" s="57">
        <v>8.0399999999999999E-2</v>
      </c>
      <c r="P25" s="57">
        <v>0.25109999999999999</v>
      </c>
      <c r="Q25" s="57">
        <v>-0.2482</v>
      </c>
      <c r="R25" s="57">
        <v>-0.31890000000000002</v>
      </c>
      <c r="S25" s="57">
        <v>-0.31890000000000002</v>
      </c>
      <c r="T25">
        <v>76.53</v>
      </c>
      <c r="U25">
        <v>91.84</v>
      </c>
      <c r="V25">
        <v>32.65</v>
      </c>
      <c r="W25" s="20">
        <v>36060.350932300003</v>
      </c>
    </row>
    <row r="26" spans="7:23" x14ac:dyDescent="0.15">
      <c r="G26" s="11">
        <v>25</v>
      </c>
      <c r="H26" t="s">
        <v>289</v>
      </c>
      <c r="I26" t="s">
        <v>19</v>
      </c>
      <c r="J26" t="s">
        <v>1623</v>
      </c>
      <c r="K26" s="61">
        <v>-2.7799999999999998E-2</v>
      </c>
      <c r="L26" s="57">
        <v>-2.8E-3</v>
      </c>
      <c r="M26" s="57">
        <v>-3.8999999999999998E-3</v>
      </c>
      <c r="N26" s="61">
        <v>-3.7000000000000002E-3</v>
      </c>
      <c r="O26" s="57">
        <v>-2.5999999999999999E-3</v>
      </c>
      <c r="P26" s="57">
        <v>3.3999999999999998E-3</v>
      </c>
      <c r="Q26" s="57">
        <v>1.6400000000000001E-2</v>
      </c>
      <c r="R26" s="57">
        <v>4.4200000000000003E-2</v>
      </c>
      <c r="S26" s="57">
        <v>7.9899999999999999E-2</v>
      </c>
      <c r="T26">
        <v>75.510000000000005</v>
      </c>
      <c r="U26">
        <v>22.45</v>
      </c>
      <c r="V26">
        <v>100</v>
      </c>
      <c r="W26" s="20">
        <v>64.651308299999997</v>
      </c>
    </row>
    <row r="27" spans="7:23" x14ac:dyDescent="0.15">
      <c r="G27" s="11">
        <v>26</v>
      </c>
      <c r="H27" t="s">
        <v>294</v>
      </c>
      <c r="I27" t="s">
        <v>1627</v>
      </c>
      <c r="J27" t="s">
        <v>1623</v>
      </c>
      <c r="K27" s="61">
        <v>-9.2999999999999992E-3</v>
      </c>
      <c r="L27" s="57">
        <v>-3.5999999999999999E-3</v>
      </c>
      <c r="M27" s="57">
        <v>-4.3E-3</v>
      </c>
      <c r="N27" s="61">
        <v>-3.0000000000000001E-3</v>
      </c>
      <c r="O27" s="57">
        <v>-1.4E-3</v>
      </c>
      <c r="P27" s="57">
        <v>1.47E-2</v>
      </c>
      <c r="Q27" s="57">
        <v>4.6199999999999998E-2</v>
      </c>
      <c r="R27" s="57">
        <v>9.6299999999999997E-2</v>
      </c>
      <c r="S27" s="57">
        <v>0.13109999999999999</v>
      </c>
      <c r="T27">
        <v>74.489999999999995</v>
      </c>
      <c r="U27">
        <v>24.49</v>
      </c>
      <c r="V27">
        <v>97.96</v>
      </c>
      <c r="W27" s="20">
        <v>20320.374500000002</v>
      </c>
    </row>
    <row r="28" spans="7:23" x14ac:dyDescent="0.15">
      <c r="G28" s="11">
        <v>27</v>
      </c>
      <c r="H28" t="s">
        <v>792</v>
      </c>
      <c r="I28" t="s">
        <v>791</v>
      </c>
      <c r="J28" t="s">
        <v>1624</v>
      </c>
      <c r="K28" s="61">
        <v>-2.8999999999999998E-3</v>
      </c>
      <c r="L28" s="57">
        <v>-2.0000000000000001E-4</v>
      </c>
      <c r="M28" s="57">
        <v>3.8399999999999997E-2</v>
      </c>
      <c r="N28" s="61">
        <v>4.7600000000000003E-2</v>
      </c>
      <c r="O28" s="57">
        <v>4.9399999999999999E-2</v>
      </c>
      <c r="P28" s="57">
        <v>1.5800000000000002E-2</v>
      </c>
      <c r="Q28" s="57">
        <v>1.52E-2</v>
      </c>
      <c r="R28" s="57">
        <v>1.52E-2</v>
      </c>
      <c r="S28" s="57">
        <v>1.52E-2</v>
      </c>
      <c r="T28">
        <v>73.47</v>
      </c>
      <c r="U28">
        <v>44.9</v>
      </c>
      <c r="V28">
        <v>77.55</v>
      </c>
      <c r="W28" s="20">
        <v>294.04517999999996</v>
      </c>
    </row>
    <row r="29" spans="7:23" x14ac:dyDescent="0.15">
      <c r="G29" s="11">
        <v>28</v>
      </c>
      <c r="H29" t="s">
        <v>706</v>
      </c>
      <c r="I29" t="s">
        <v>1618</v>
      </c>
      <c r="J29" t="s">
        <v>15</v>
      </c>
      <c r="K29" s="61">
        <v>5.0000000000000001E-4</v>
      </c>
      <c r="L29" s="57">
        <v>3.2300000000000002E-2</v>
      </c>
      <c r="M29" s="57">
        <v>9.6500000000000002E-2</v>
      </c>
      <c r="N29" s="61">
        <v>0.1085</v>
      </c>
      <c r="O29" s="57">
        <v>-4.1099999999999998E-2</v>
      </c>
      <c r="P29" s="57">
        <v>-3.5000000000000003E-2</v>
      </c>
      <c r="Q29" s="57">
        <v>-0.2223</v>
      </c>
      <c r="R29" s="57">
        <v>-0.4093</v>
      </c>
      <c r="S29" s="57">
        <v>-0.4093</v>
      </c>
      <c r="T29">
        <v>72.45</v>
      </c>
      <c r="U29">
        <v>73.47</v>
      </c>
      <c r="V29">
        <v>47.96</v>
      </c>
      <c r="W29" s="20">
        <v>2497.6602024999997</v>
      </c>
    </row>
    <row r="30" spans="7:23" x14ac:dyDescent="0.15">
      <c r="G30" s="11">
        <v>29</v>
      </c>
      <c r="H30" t="s">
        <v>571</v>
      </c>
      <c r="I30" t="s">
        <v>1613</v>
      </c>
      <c r="J30" t="s">
        <v>15</v>
      </c>
      <c r="K30" s="61">
        <v>1.9E-3</v>
      </c>
      <c r="L30" s="57">
        <v>5.74E-2</v>
      </c>
      <c r="M30" s="57">
        <v>0.11550000000000001</v>
      </c>
      <c r="N30" s="61">
        <v>0.1925</v>
      </c>
      <c r="O30" s="57">
        <v>-5.4899999999999997E-2</v>
      </c>
      <c r="P30" s="57">
        <v>-1.6000000000000001E-3</v>
      </c>
      <c r="Q30" s="57">
        <v>-0.25359999999999999</v>
      </c>
      <c r="R30" s="57">
        <v>-0.25359999999999999</v>
      </c>
      <c r="S30" s="57">
        <v>-0.25359999999999999</v>
      </c>
      <c r="T30">
        <v>71.430000000000007</v>
      </c>
      <c r="U30">
        <v>84.69</v>
      </c>
      <c r="V30">
        <v>36.729999999999997</v>
      </c>
      <c r="W30" s="20">
        <v>10318.5579</v>
      </c>
    </row>
    <row r="31" spans="7:23" x14ac:dyDescent="0.15">
      <c r="G31" s="11">
        <v>30</v>
      </c>
      <c r="H31" t="s">
        <v>283</v>
      </c>
      <c r="I31" t="s">
        <v>1633</v>
      </c>
      <c r="J31" t="s">
        <v>1623</v>
      </c>
      <c r="K31" s="61">
        <v>-7.7000000000000002E-3</v>
      </c>
      <c r="L31" s="57">
        <v>-4.3E-3</v>
      </c>
      <c r="M31" s="57">
        <v>-4.7999999999999996E-3</v>
      </c>
      <c r="N31" s="61">
        <v>-3.8999999999999998E-3</v>
      </c>
      <c r="O31" s="57">
        <v>-1.1000000000000001E-3</v>
      </c>
      <c r="P31" s="57">
        <v>1.1900000000000001E-2</v>
      </c>
      <c r="Q31" s="57">
        <v>3.7499999999999999E-2</v>
      </c>
      <c r="R31" s="57">
        <v>8.5800000000000001E-2</v>
      </c>
      <c r="S31" s="57">
        <v>0.1265</v>
      </c>
      <c r="T31">
        <v>70.41</v>
      </c>
      <c r="U31">
        <v>21.43</v>
      </c>
      <c r="V31">
        <v>96.94</v>
      </c>
      <c r="W31" s="20">
        <v>2937.4827600000003</v>
      </c>
    </row>
    <row r="32" spans="7:23" x14ac:dyDescent="0.15">
      <c r="G32" s="11">
        <v>31</v>
      </c>
      <c r="H32" t="s">
        <v>1625</v>
      </c>
      <c r="I32" t="s">
        <v>1626</v>
      </c>
      <c r="J32" t="s">
        <v>15</v>
      </c>
      <c r="K32" s="61">
        <v>-6.1000000000000004E-3</v>
      </c>
      <c r="L32" s="57">
        <v>-1.3599999999999999E-2</v>
      </c>
      <c r="M32" s="57">
        <v>8.3999999999999995E-3</v>
      </c>
      <c r="N32" s="61">
        <v>-3.0999999999999999E-3</v>
      </c>
      <c r="O32" s="57">
        <v>2.8299999999999999E-2</v>
      </c>
      <c r="P32" s="57">
        <v>-4.5999999999999999E-3</v>
      </c>
      <c r="Q32" s="57">
        <v>1.2999999999999999E-2</v>
      </c>
      <c r="R32" s="57">
        <v>-0.12989999999999999</v>
      </c>
      <c r="S32" s="57">
        <v>-0.1462</v>
      </c>
      <c r="T32">
        <v>69.39</v>
      </c>
      <c r="U32">
        <v>23.47</v>
      </c>
      <c r="V32">
        <v>93.88</v>
      </c>
      <c r="W32" s="20">
        <v>13.0588</v>
      </c>
    </row>
    <row r="33" spans="7:23" x14ac:dyDescent="0.15">
      <c r="G33" s="11">
        <v>32</v>
      </c>
      <c r="H33" t="s">
        <v>718</v>
      </c>
      <c r="I33" t="s">
        <v>1652</v>
      </c>
      <c r="J33" t="s">
        <v>15</v>
      </c>
      <c r="K33" s="61">
        <v>8.9999999999999998E-4</v>
      </c>
      <c r="L33" s="57">
        <v>3.1E-2</v>
      </c>
      <c r="M33" s="57">
        <v>9.0399999999999994E-2</v>
      </c>
      <c r="N33" s="61">
        <v>0.1022</v>
      </c>
      <c r="O33" s="57">
        <v>-3.5900000000000001E-2</v>
      </c>
      <c r="P33" s="57">
        <v>-2.69E-2</v>
      </c>
      <c r="Q33" s="57">
        <v>-0.2029</v>
      </c>
      <c r="R33" s="57">
        <v>-0.31859999999999999</v>
      </c>
      <c r="S33" s="57">
        <v>-0.36649999999999999</v>
      </c>
      <c r="T33">
        <v>68.37</v>
      </c>
      <c r="U33">
        <v>69.39</v>
      </c>
      <c r="V33">
        <v>42.86</v>
      </c>
      <c r="W33" s="20">
        <v>62410.487000000001</v>
      </c>
    </row>
    <row r="34" spans="7:23" x14ac:dyDescent="0.15">
      <c r="G34" s="11">
        <v>33</v>
      </c>
      <c r="H34" t="s">
        <v>257</v>
      </c>
      <c r="I34" t="s">
        <v>24</v>
      </c>
      <c r="J34" t="s">
        <v>15</v>
      </c>
      <c r="K34" s="61">
        <v>-8.9999999999999998E-4</v>
      </c>
      <c r="L34" s="57">
        <v>-1.29E-2</v>
      </c>
      <c r="M34" s="57">
        <v>-1.12E-2</v>
      </c>
      <c r="N34" s="61">
        <v>6.1800000000000001E-2</v>
      </c>
      <c r="O34" s="57">
        <v>0.17069999999999999</v>
      </c>
      <c r="P34" s="57">
        <v>0.1206</v>
      </c>
      <c r="Q34" s="57">
        <v>0.55679999999999996</v>
      </c>
      <c r="R34" s="57">
        <v>1.9691000000000001</v>
      </c>
      <c r="S34" s="57">
        <v>0.52180000000000004</v>
      </c>
      <c r="T34">
        <v>67.349999999999994</v>
      </c>
      <c r="U34">
        <v>52.04</v>
      </c>
      <c r="V34">
        <v>60.2</v>
      </c>
      <c r="W34" s="20">
        <v>73.252409999999998</v>
      </c>
    </row>
    <row r="35" spans="7:23" x14ac:dyDescent="0.15">
      <c r="G35" s="11">
        <v>34</v>
      </c>
      <c r="H35" t="s">
        <v>384</v>
      </c>
      <c r="I35" t="s">
        <v>22</v>
      </c>
      <c r="J35" t="s">
        <v>1624</v>
      </c>
      <c r="K35" s="61">
        <v>-2E-3</v>
      </c>
      <c r="L35" s="57">
        <v>-4.0000000000000002E-4</v>
      </c>
      <c r="M35" s="57">
        <v>3.8300000000000001E-2</v>
      </c>
      <c r="N35" s="61">
        <v>4.7300000000000002E-2</v>
      </c>
      <c r="O35" s="57">
        <v>4.8500000000000001E-2</v>
      </c>
      <c r="P35" s="57">
        <v>1.44E-2</v>
      </c>
      <c r="Q35" s="57">
        <v>6.9500000000000006E-2</v>
      </c>
      <c r="R35" s="57">
        <v>-3.0999999999999999E-3</v>
      </c>
      <c r="S35" s="57">
        <v>-2.7799999999999998E-2</v>
      </c>
      <c r="T35">
        <v>66.33</v>
      </c>
      <c r="U35">
        <v>42.86</v>
      </c>
      <c r="V35">
        <v>68.37</v>
      </c>
      <c r="W35" s="20">
        <v>214.41069999999999</v>
      </c>
    </row>
    <row r="36" spans="7:23" x14ac:dyDescent="0.15">
      <c r="G36" s="11">
        <v>35</v>
      </c>
      <c r="H36" t="s">
        <v>285</v>
      </c>
      <c r="I36" t="s">
        <v>1635</v>
      </c>
      <c r="J36" t="s">
        <v>1623</v>
      </c>
      <c r="K36" s="61">
        <v>-4.1999999999999997E-3</v>
      </c>
      <c r="L36" s="57">
        <v>-2E-3</v>
      </c>
      <c r="M36" s="57">
        <v>-2.5000000000000001E-3</v>
      </c>
      <c r="N36" s="61">
        <v>-1.1999999999999999E-3</v>
      </c>
      <c r="O36" s="57">
        <v>1.6999999999999999E-3</v>
      </c>
      <c r="P36" s="57">
        <v>9.5999999999999992E-3</v>
      </c>
      <c r="Q36" s="57">
        <v>2.86E-2</v>
      </c>
      <c r="R36" s="57">
        <v>6.4600000000000005E-2</v>
      </c>
      <c r="S36" s="57">
        <v>6.4399999999999999E-2</v>
      </c>
      <c r="T36">
        <v>65.31</v>
      </c>
      <c r="U36">
        <v>25.51</v>
      </c>
      <c r="V36">
        <v>85.71</v>
      </c>
      <c r="W36" s="20">
        <v>8005.2088599999997</v>
      </c>
    </row>
    <row r="37" spans="7:23" x14ac:dyDescent="0.15">
      <c r="G37" s="11">
        <v>36</v>
      </c>
      <c r="H37" t="s">
        <v>710</v>
      </c>
      <c r="I37" t="s">
        <v>1656</v>
      </c>
      <c r="J37" t="s">
        <v>15</v>
      </c>
      <c r="K37" s="61">
        <v>1.2999999999999999E-3</v>
      </c>
      <c r="L37" s="57">
        <v>2.0400000000000001E-2</v>
      </c>
      <c r="M37" s="57">
        <v>8.8099999999999998E-2</v>
      </c>
      <c r="N37" s="61">
        <v>0.1062</v>
      </c>
      <c r="O37" s="57">
        <v>-3.49E-2</v>
      </c>
      <c r="P37" s="57">
        <v>-2.8000000000000001E-2</v>
      </c>
      <c r="Q37" s="57">
        <v>-0.16389999999999999</v>
      </c>
      <c r="R37" s="57">
        <v>-0.1668</v>
      </c>
      <c r="S37" s="57">
        <v>-0.24479999999999999</v>
      </c>
      <c r="T37">
        <v>64.290000000000006</v>
      </c>
      <c r="U37">
        <v>71.430000000000007</v>
      </c>
      <c r="V37">
        <v>38.78</v>
      </c>
      <c r="W37" s="20">
        <v>10199.659</v>
      </c>
    </row>
    <row r="38" spans="7:23" x14ac:dyDescent="0.15">
      <c r="G38" s="11">
        <v>37</v>
      </c>
      <c r="H38" t="s">
        <v>300</v>
      </c>
      <c r="I38" t="s">
        <v>1628</v>
      </c>
      <c r="J38" t="s">
        <v>1623</v>
      </c>
      <c r="K38" s="61">
        <v>-5.0000000000000001E-3</v>
      </c>
      <c r="L38" s="57">
        <v>-4.4000000000000003E-3</v>
      </c>
      <c r="M38" s="57">
        <v>-4.4000000000000003E-3</v>
      </c>
      <c r="N38" s="61">
        <v>-3.8999999999999998E-3</v>
      </c>
      <c r="O38" s="57">
        <v>6.9999999999999999E-4</v>
      </c>
      <c r="P38" s="57">
        <v>1.17E-2</v>
      </c>
      <c r="Q38" s="57">
        <v>3.7699999999999997E-2</v>
      </c>
      <c r="R38" s="57">
        <v>8.2100000000000006E-2</v>
      </c>
      <c r="S38" s="57">
        <v>0.1104</v>
      </c>
      <c r="T38">
        <v>63.27</v>
      </c>
      <c r="U38">
        <v>20.41</v>
      </c>
      <c r="V38">
        <v>89.8</v>
      </c>
      <c r="W38" s="20">
        <v>22684.884699999999</v>
      </c>
    </row>
    <row r="39" spans="7:23" x14ac:dyDescent="0.15">
      <c r="G39" s="11">
        <v>38</v>
      </c>
      <c r="H39" t="s">
        <v>723</v>
      </c>
      <c r="I39" t="s">
        <v>1651</v>
      </c>
      <c r="J39" t="s">
        <v>15</v>
      </c>
      <c r="K39" s="61">
        <v>1.4999999999999999E-2</v>
      </c>
      <c r="L39" s="57">
        <v>7.2499999999999995E-2</v>
      </c>
      <c r="M39" s="57">
        <v>0.14560000000000001</v>
      </c>
      <c r="N39" s="61">
        <v>0.21260000000000001</v>
      </c>
      <c r="O39" s="57">
        <v>-7.8600000000000003E-2</v>
      </c>
      <c r="P39" s="57">
        <v>-4.0599999999999997E-2</v>
      </c>
      <c r="Q39" s="57">
        <v>-0.3493</v>
      </c>
      <c r="R39" s="57">
        <v>-0.58130000000000004</v>
      </c>
      <c r="S39" s="57">
        <v>-0.58130000000000004</v>
      </c>
      <c r="T39">
        <v>62.24</v>
      </c>
      <c r="U39">
        <v>100</v>
      </c>
      <c r="V39">
        <v>10.199999999999999</v>
      </c>
      <c r="W39" s="20">
        <v>367296.77299999999</v>
      </c>
    </row>
    <row r="40" spans="7:23" x14ac:dyDescent="0.15">
      <c r="G40" s="11">
        <v>39</v>
      </c>
      <c r="H40" t="s">
        <v>696</v>
      </c>
      <c r="I40" t="s">
        <v>1632</v>
      </c>
      <c r="J40" t="s">
        <v>15</v>
      </c>
      <c r="K40" s="61">
        <v>1.1000000000000001E-3</v>
      </c>
      <c r="L40" s="57">
        <v>-1.37E-2</v>
      </c>
      <c r="M40" s="57">
        <v>5.7200000000000001E-2</v>
      </c>
      <c r="N40" s="61">
        <v>0.1021</v>
      </c>
      <c r="O40" s="57">
        <v>-2.07E-2</v>
      </c>
      <c r="P40" s="57">
        <v>1.2699999999999999E-2</v>
      </c>
      <c r="Q40" s="57">
        <v>-0.1321</v>
      </c>
      <c r="R40" s="57">
        <v>-4.7899999999999998E-2</v>
      </c>
      <c r="S40" s="57">
        <v>-3.5900000000000001E-2</v>
      </c>
      <c r="T40">
        <v>61.22</v>
      </c>
      <c r="U40">
        <v>68.37</v>
      </c>
      <c r="V40">
        <v>40.82</v>
      </c>
      <c r="W40" s="20">
        <v>257.68099999999998</v>
      </c>
    </row>
    <row r="41" spans="7:23" x14ac:dyDescent="0.15">
      <c r="G41" s="11">
        <v>40</v>
      </c>
      <c r="H41" t="s">
        <v>725</v>
      </c>
      <c r="I41" t="s">
        <v>1614</v>
      </c>
      <c r="J41" t="s">
        <v>15</v>
      </c>
      <c r="K41" s="61">
        <v>4.7000000000000002E-3</v>
      </c>
      <c r="L41" s="57">
        <v>0.1681</v>
      </c>
      <c r="M41" s="57">
        <v>0.21659999999999999</v>
      </c>
      <c r="N41" s="61">
        <v>0.18390000000000001</v>
      </c>
      <c r="O41" s="57">
        <v>-3.9699999999999999E-2</v>
      </c>
      <c r="P41" s="57">
        <v>5.8799999999999998E-2</v>
      </c>
      <c r="Q41" s="57">
        <v>-0.28339999999999999</v>
      </c>
      <c r="R41" s="57">
        <v>-0.28339999999999999</v>
      </c>
      <c r="S41" s="57">
        <v>-0.28339999999999999</v>
      </c>
      <c r="T41">
        <v>60.2</v>
      </c>
      <c r="U41">
        <v>83.67</v>
      </c>
      <c r="V41">
        <v>25.51</v>
      </c>
      <c r="W41" s="20">
        <v>303938.93099139998</v>
      </c>
    </row>
    <row r="42" spans="7:23" x14ac:dyDescent="0.15">
      <c r="G42" s="11">
        <v>41</v>
      </c>
      <c r="H42" t="s">
        <v>432</v>
      </c>
      <c r="I42" t="s">
        <v>1670</v>
      </c>
      <c r="J42" t="s">
        <v>1623</v>
      </c>
      <c r="K42" s="61">
        <v>-1.84E-2</v>
      </c>
      <c r="L42" s="57">
        <v>-4.8999999999999998E-3</v>
      </c>
      <c r="M42" s="57">
        <v>-7.4999999999999997E-3</v>
      </c>
      <c r="N42" s="61">
        <v>-1.32E-2</v>
      </c>
      <c r="O42" s="57">
        <v>-1.21E-2</v>
      </c>
      <c r="P42" s="57">
        <v>-1.09E-2</v>
      </c>
      <c r="Q42" s="57">
        <v>2.0000000000000001E-4</v>
      </c>
      <c r="R42" s="57">
        <v>3.9600000000000003E-2</v>
      </c>
      <c r="S42" s="57">
        <v>6.9800000000000001E-2</v>
      </c>
      <c r="T42">
        <v>59.18</v>
      </c>
      <c r="U42">
        <v>9.18</v>
      </c>
      <c r="V42">
        <v>98.98</v>
      </c>
      <c r="W42" s="20">
        <v>15695.3809</v>
      </c>
    </row>
    <row r="43" spans="7:23" x14ac:dyDescent="0.15">
      <c r="G43" s="11">
        <v>42</v>
      </c>
      <c r="H43" t="s">
        <v>459</v>
      </c>
      <c r="I43" t="s">
        <v>1653</v>
      </c>
      <c r="J43" t="s">
        <v>1623</v>
      </c>
      <c r="K43" s="61">
        <v>-5.0000000000000001E-3</v>
      </c>
      <c r="L43" s="57">
        <v>-6.1000000000000004E-3</v>
      </c>
      <c r="M43" s="57">
        <v>-7.4000000000000003E-3</v>
      </c>
      <c r="N43" s="61">
        <v>-7.1000000000000004E-3</v>
      </c>
      <c r="O43" s="57">
        <v>-4.7999999999999996E-3</v>
      </c>
      <c r="P43" s="57">
        <v>4.8999999999999998E-3</v>
      </c>
      <c r="Q43" s="57">
        <v>2.46E-2</v>
      </c>
      <c r="R43" s="57">
        <v>6.1199999999999997E-2</v>
      </c>
      <c r="S43" s="57">
        <v>9.0700000000000003E-2</v>
      </c>
      <c r="T43">
        <v>58.16</v>
      </c>
      <c r="U43">
        <v>16.329999999999998</v>
      </c>
      <c r="V43">
        <v>90.82</v>
      </c>
      <c r="W43" s="20">
        <v>10070.8169</v>
      </c>
    </row>
    <row r="44" spans="7:23" x14ac:dyDescent="0.15">
      <c r="G44" s="11">
        <v>43</v>
      </c>
      <c r="H44" t="s">
        <v>766</v>
      </c>
      <c r="I44" t="s">
        <v>765</v>
      </c>
      <c r="J44" t="s">
        <v>1624</v>
      </c>
      <c r="K44" s="61">
        <v>-8.9999999999999998E-4</v>
      </c>
      <c r="L44" s="57">
        <v>-2.9999999999999997E-4</v>
      </c>
      <c r="M44" s="57">
        <v>3.8899999999999997E-2</v>
      </c>
      <c r="N44" s="61">
        <v>4.8000000000000001E-2</v>
      </c>
      <c r="O44" s="57">
        <v>5.0200000000000002E-2</v>
      </c>
      <c r="P44" s="57">
        <v>1.6500000000000001E-2</v>
      </c>
      <c r="Q44" s="57">
        <v>1.46E-2</v>
      </c>
      <c r="R44" s="57">
        <v>1.46E-2</v>
      </c>
      <c r="S44" s="57">
        <v>1.46E-2</v>
      </c>
      <c r="T44">
        <v>57.14</v>
      </c>
      <c r="U44">
        <v>46.94</v>
      </c>
      <c r="V44">
        <v>59.18</v>
      </c>
      <c r="W44" s="20">
        <v>290.0964505</v>
      </c>
    </row>
    <row r="45" spans="7:23" x14ac:dyDescent="0.15">
      <c r="G45" s="11">
        <v>44</v>
      </c>
      <c r="H45" t="s">
        <v>1428</v>
      </c>
      <c r="I45" t="s">
        <v>1429</v>
      </c>
      <c r="J45" t="s">
        <v>1624</v>
      </c>
      <c r="K45" s="61">
        <v>-1.4E-3</v>
      </c>
      <c r="L45" s="57">
        <v>-2.9999999999999997E-4</v>
      </c>
      <c r="M45" s="57">
        <v>3.7499999999999999E-2</v>
      </c>
      <c r="N45" s="61">
        <v>4.6399999999999997E-2</v>
      </c>
      <c r="O45" s="57">
        <v>4.8300000000000003E-2</v>
      </c>
      <c r="P45" s="57">
        <v>1.35E-2</v>
      </c>
      <c r="Q45" s="57">
        <v>1.8100000000000002E-2</v>
      </c>
      <c r="R45" s="57">
        <v>1.8100000000000002E-2</v>
      </c>
      <c r="S45" s="57">
        <v>1.8100000000000002E-2</v>
      </c>
      <c r="T45">
        <v>56.12</v>
      </c>
      <c r="U45">
        <v>40.82</v>
      </c>
      <c r="V45">
        <v>64.290000000000006</v>
      </c>
      <c r="W45" s="20">
        <v>844.10901130000002</v>
      </c>
    </row>
    <row r="46" spans="7:23" x14ac:dyDescent="0.15">
      <c r="G46" s="11">
        <v>45</v>
      </c>
      <c r="H46" t="s">
        <v>337</v>
      </c>
      <c r="I46" t="s">
        <v>23</v>
      </c>
      <c r="J46" t="s">
        <v>1624</v>
      </c>
      <c r="K46" s="61">
        <v>-8.0000000000000004E-4</v>
      </c>
      <c r="L46" s="57">
        <v>-2.9999999999999997E-4</v>
      </c>
      <c r="M46" s="57">
        <v>3.8699999999999998E-2</v>
      </c>
      <c r="N46" s="61">
        <v>4.7899999999999998E-2</v>
      </c>
      <c r="O46" s="57">
        <v>4.9599999999999998E-2</v>
      </c>
      <c r="P46" s="57">
        <v>1.5699999999999999E-2</v>
      </c>
      <c r="Q46" s="57">
        <v>7.2300000000000003E-2</v>
      </c>
      <c r="R46" s="57">
        <v>1.1999999999999999E-3</v>
      </c>
      <c r="S46" s="57">
        <v>-3.5099999999999999E-2</v>
      </c>
      <c r="T46">
        <v>55.1</v>
      </c>
      <c r="U46">
        <v>45.92</v>
      </c>
      <c r="V46">
        <v>58.16</v>
      </c>
      <c r="W46" s="20">
        <v>574.02440000000001</v>
      </c>
    </row>
    <row r="47" spans="7:23" x14ac:dyDescent="0.15">
      <c r="G47" s="11">
        <v>46</v>
      </c>
      <c r="H47" t="s">
        <v>729</v>
      </c>
      <c r="I47" t="s">
        <v>1678</v>
      </c>
      <c r="J47" t="s">
        <v>15</v>
      </c>
      <c r="K47" s="61">
        <v>3.0000000000000001E-3</v>
      </c>
      <c r="L47" s="57">
        <v>0.11070000000000001</v>
      </c>
      <c r="M47" s="57">
        <v>0.152</v>
      </c>
      <c r="N47" s="61">
        <v>0.1074</v>
      </c>
      <c r="O47" s="57">
        <v>-6.4500000000000002E-2</v>
      </c>
      <c r="P47" s="57">
        <v>-4.48E-2</v>
      </c>
      <c r="Q47" s="57">
        <v>-0.31259999999999999</v>
      </c>
      <c r="R47" s="57">
        <v>-0.39679999999999999</v>
      </c>
      <c r="S47" s="57">
        <v>-0.39679999999999999</v>
      </c>
      <c r="T47">
        <v>54.08</v>
      </c>
      <c r="U47">
        <v>72.45</v>
      </c>
      <c r="V47">
        <v>30.61</v>
      </c>
      <c r="W47" s="20">
        <v>1478.3448599999999</v>
      </c>
    </row>
    <row r="48" spans="7:23" x14ac:dyDescent="0.15">
      <c r="G48" s="11">
        <v>47</v>
      </c>
      <c r="H48" t="s">
        <v>324</v>
      </c>
      <c r="I48" t="s">
        <v>21</v>
      </c>
      <c r="J48" t="s">
        <v>1624</v>
      </c>
      <c r="K48" s="61">
        <v>-1E-3</v>
      </c>
      <c r="L48" s="57">
        <v>-5.9999999999999995E-4</v>
      </c>
      <c r="M48" s="57">
        <v>3.8399999999999997E-2</v>
      </c>
      <c r="N48" s="61">
        <v>4.7199999999999999E-2</v>
      </c>
      <c r="O48" s="57">
        <v>4.7199999999999999E-2</v>
      </c>
      <c r="P48" s="57">
        <v>1.06E-2</v>
      </c>
      <c r="Q48" s="57">
        <v>5.8700000000000002E-2</v>
      </c>
      <c r="R48" s="57">
        <v>4.3499999999999997E-2</v>
      </c>
      <c r="S48" s="57">
        <v>4.3499999999999997E-2</v>
      </c>
      <c r="T48">
        <v>53.06</v>
      </c>
      <c r="U48">
        <v>41.84</v>
      </c>
      <c r="V48">
        <v>61.22</v>
      </c>
      <c r="W48" s="20">
        <v>241.65964</v>
      </c>
    </row>
    <row r="49" spans="7:23" x14ac:dyDescent="0.15">
      <c r="G49" s="11">
        <v>48</v>
      </c>
      <c r="H49" t="s">
        <v>1681</v>
      </c>
      <c r="I49" t="s">
        <v>1682</v>
      </c>
      <c r="J49" t="s">
        <v>1624</v>
      </c>
      <c r="K49" s="61">
        <v>1.5E-3</v>
      </c>
      <c r="L49" s="57">
        <v>-2.7400000000000001E-2</v>
      </c>
      <c r="M49" s="57">
        <v>5.2999999999999999E-2</v>
      </c>
      <c r="N49" s="61">
        <v>9.2200000000000004E-2</v>
      </c>
      <c r="O49" s="57">
        <v>8.6999999999999994E-2</v>
      </c>
      <c r="P49" s="57">
        <v>-1.7500000000000002E-2</v>
      </c>
      <c r="Q49" s="57">
        <v>-0.1234</v>
      </c>
      <c r="R49" s="57">
        <v>-0.22770000000000001</v>
      </c>
      <c r="S49" s="57">
        <v>-0.24829999999999999</v>
      </c>
      <c r="T49">
        <v>52.04</v>
      </c>
      <c r="U49">
        <v>63.27</v>
      </c>
      <c r="V49">
        <v>37.76</v>
      </c>
      <c r="W49" s="20">
        <v>721.93466960000001</v>
      </c>
    </row>
    <row r="50" spans="7:23" x14ac:dyDescent="0.15">
      <c r="G50" s="11">
        <v>49</v>
      </c>
      <c r="H50" t="s">
        <v>686</v>
      </c>
      <c r="I50" t="s">
        <v>1655</v>
      </c>
      <c r="J50" t="s">
        <v>15</v>
      </c>
      <c r="K50" s="61">
        <v>2.3E-3</v>
      </c>
      <c r="L50" s="57">
        <v>1.7100000000000001E-2</v>
      </c>
      <c r="M50" s="57">
        <v>8.2000000000000003E-2</v>
      </c>
      <c r="N50" s="61">
        <v>9.8500000000000004E-2</v>
      </c>
      <c r="O50" s="57">
        <v>-3.9100000000000003E-2</v>
      </c>
      <c r="P50" s="57">
        <v>-3.1899999999999998E-2</v>
      </c>
      <c r="Q50" s="57">
        <v>-0.15759999999999999</v>
      </c>
      <c r="R50" s="57">
        <v>-0.1578</v>
      </c>
      <c r="S50" s="57">
        <v>-0.21290000000000001</v>
      </c>
      <c r="T50">
        <v>51.02</v>
      </c>
      <c r="U50">
        <v>65.31</v>
      </c>
      <c r="V50">
        <v>35.71</v>
      </c>
      <c r="W50" s="20">
        <v>13134.015100000001</v>
      </c>
    </row>
    <row r="51" spans="7:23" x14ac:dyDescent="0.15">
      <c r="G51" s="11">
        <v>50</v>
      </c>
      <c r="H51" t="s">
        <v>719</v>
      </c>
      <c r="I51" t="s">
        <v>1677</v>
      </c>
      <c r="J51" t="s">
        <v>15</v>
      </c>
      <c r="K51" s="61">
        <v>5.7000000000000002E-3</v>
      </c>
      <c r="L51" s="57">
        <v>2.0400000000000001E-2</v>
      </c>
      <c r="M51" s="57">
        <v>0.1197</v>
      </c>
      <c r="N51" s="61">
        <v>0.16830000000000001</v>
      </c>
      <c r="O51" s="57">
        <v>0.1067</v>
      </c>
      <c r="P51" s="57">
        <v>4.7E-2</v>
      </c>
      <c r="Q51" s="57">
        <v>-0.14099999999999999</v>
      </c>
      <c r="R51" s="57">
        <v>8.5999999999999993E-2</v>
      </c>
      <c r="S51" s="57">
        <v>-3.0499999999999999E-2</v>
      </c>
      <c r="T51">
        <v>50</v>
      </c>
      <c r="U51">
        <v>77.55</v>
      </c>
      <c r="V51">
        <v>23.47</v>
      </c>
      <c r="W51" s="20">
        <v>1446.9158</v>
      </c>
    </row>
    <row r="52" spans="7:23" x14ac:dyDescent="0.15">
      <c r="G52" s="11">
        <v>51</v>
      </c>
      <c r="H52" t="s">
        <v>726</v>
      </c>
      <c r="I52" t="s">
        <v>1694</v>
      </c>
      <c r="J52" t="s">
        <v>15</v>
      </c>
      <c r="K52" s="61">
        <v>8.3000000000000001E-3</v>
      </c>
      <c r="L52" s="57">
        <v>0.1671</v>
      </c>
      <c r="M52" s="57">
        <v>0.21460000000000001</v>
      </c>
      <c r="N52" s="61">
        <v>0.17649999999999999</v>
      </c>
      <c r="O52" s="57">
        <v>-4.1700000000000001E-2</v>
      </c>
      <c r="P52" s="57">
        <v>5.8799999999999998E-2</v>
      </c>
      <c r="Q52" s="57">
        <v>-0.28000000000000003</v>
      </c>
      <c r="R52" s="57">
        <v>-0.28000000000000003</v>
      </c>
      <c r="S52" s="57">
        <v>-0.28000000000000003</v>
      </c>
      <c r="T52">
        <v>48.98</v>
      </c>
      <c r="U52">
        <v>79.59</v>
      </c>
      <c r="V52">
        <v>20.41</v>
      </c>
      <c r="W52" s="20">
        <v>104194.8398396</v>
      </c>
    </row>
    <row r="53" spans="7:23" x14ac:dyDescent="0.15">
      <c r="G53" s="11">
        <v>52</v>
      </c>
      <c r="H53" t="s">
        <v>332</v>
      </c>
      <c r="I53" t="s">
        <v>1657</v>
      </c>
      <c r="J53" t="s">
        <v>1624</v>
      </c>
      <c r="K53" s="61">
        <v>-5.9999999999999995E-4</v>
      </c>
      <c r="L53" s="57">
        <v>-2.9999999999999997E-4</v>
      </c>
      <c r="M53" s="57">
        <v>3.85E-2</v>
      </c>
      <c r="N53" s="61">
        <v>4.7500000000000001E-2</v>
      </c>
      <c r="O53" s="57">
        <v>4.9000000000000002E-2</v>
      </c>
      <c r="P53" s="57">
        <v>1.49E-2</v>
      </c>
      <c r="Q53" s="57">
        <v>6.9800000000000001E-2</v>
      </c>
      <c r="R53" s="57">
        <v>-3.2000000000000002E-3</v>
      </c>
      <c r="S53" s="57">
        <v>-9.5999999999999992E-3</v>
      </c>
      <c r="T53">
        <v>47.96</v>
      </c>
      <c r="U53">
        <v>43.88</v>
      </c>
      <c r="V53">
        <v>56.12</v>
      </c>
      <c r="W53" s="20">
        <v>885.47659999999996</v>
      </c>
    </row>
    <row r="54" spans="7:23" x14ac:dyDescent="0.15">
      <c r="G54" s="11">
        <v>53</v>
      </c>
      <c r="H54" t="s">
        <v>582</v>
      </c>
      <c r="I54" t="s">
        <v>1654</v>
      </c>
      <c r="J54" t="s">
        <v>15</v>
      </c>
      <c r="K54" s="61">
        <v>2.8999999999999998E-3</v>
      </c>
      <c r="L54" s="57">
        <v>-1.5299999999999999E-2</v>
      </c>
      <c r="M54" s="57">
        <v>5.6500000000000002E-2</v>
      </c>
      <c r="N54" s="61">
        <v>9.9599999999999994E-2</v>
      </c>
      <c r="O54" s="57">
        <v>-2.06E-2</v>
      </c>
      <c r="P54" s="57">
        <v>1.44E-2</v>
      </c>
      <c r="Q54" s="57">
        <v>-0.1283</v>
      </c>
      <c r="R54" s="57">
        <v>-3.4500000000000003E-2</v>
      </c>
      <c r="S54" s="57">
        <v>-0.01</v>
      </c>
      <c r="T54">
        <v>46.94</v>
      </c>
      <c r="U54">
        <v>67.349999999999994</v>
      </c>
      <c r="V54">
        <v>31.63</v>
      </c>
      <c r="W54" s="20">
        <v>108.3295</v>
      </c>
    </row>
    <row r="55" spans="7:23" x14ac:dyDescent="0.15">
      <c r="G55" s="11">
        <v>54</v>
      </c>
      <c r="H55" t="s">
        <v>376</v>
      </c>
      <c r="I55" t="s">
        <v>30</v>
      </c>
      <c r="J55" t="s">
        <v>1624</v>
      </c>
      <c r="K55" s="61">
        <v>-1.9E-3</v>
      </c>
      <c r="L55" s="57">
        <v>-2.9600000000000001E-2</v>
      </c>
      <c r="M55" s="57">
        <v>-1.5299999999999999E-2</v>
      </c>
      <c r="N55" s="61">
        <v>1.8800000000000001E-2</v>
      </c>
      <c r="O55" s="57">
        <v>0.13059999999999999</v>
      </c>
      <c r="P55" s="57">
        <v>0.10630000000000001</v>
      </c>
      <c r="Q55" s="57">
        <v>0.59250000000000003</v>
      </c>
      <c r="R55" s="57">
        <v>0.59789999999999999</v>
      </c>
      <c r="S55" s="57">
        <v>0.79039999999999999</v>
      </c>
      <c r="T55">
        <v>45.92</v>
      </c>
      <c r="U55">
        <v>29.59</v>
      </c>
      <c r="V55">
        <v>67.349999999999994</v>
      </c>
      <c r="W55" s="20">
        <v>3001.3332700000001</v>
      </c>
    </row>
    <row r="56" spans="7:23" x14ac:dyDescent="0.15">
      <c r="G56" s="11">
        <v>55</v>
      </c>
      <c r="H56" t="s">
        <v>1685</v>
      </c>
      <c r="I56" t="s">
        <v>1686</v>
      </c>
      <c r="J56" t="s">
        <v>15</v>
      </c>
      <c r="K56" s="61">
        <v>1E-3</v>
      </c>
      <c r="L56" s="57">
        <v>-5.3999999999999999E-2</v>
      </c>
      <c r="M56" s="57">
        <v>1.5299999999999999E-2</v>
      </c>
      <c r="N56" s="61">
        <v>6.6400000000000001E-2</v>
      </c>
      <c r="O56" s="57">
        <v>-0.1089</v>
      </c>
      <c r="P56" s="57">
        <v>-4.8000000000000001E-2</v>
      </c>
      <c r="Q56" s="57">
        <v>-0.1246</v>
      </c>
      <c r="R56" s="57">
        <v>0.26989999999999997</v>
      </c>
      <c r="S56" s="57">
        <v>-9.06E-2</v>
      </c>
      <c r="T56">
        <v>44.9</v>
      </c>
      <c r="U56">
        <v>55.1</v>
      </c>
      <c r="V56">
        <v>41.84</v>
      </c>
      <c r="W56" s="20">
        <v>9.9110600000000009</v>
      </c>
    </row>
    <row r="57" spans="7:23" x14ac:dyDescent="0.15">
      <c r="G57" s="11">
        <v>56</v>
      </c>
      <c r="H57" t="s">
        <v>1924</v>
      </c>
      <c r="I57" t="s">
        <v>2107</v>
      </c>
      <c r="J57" t="s">
        <v>15</v>
      </c>
      <c r="K57" s="61">
        <v>9.1999999999999998E-3</v>
      </c>
      <c r="L57" s="57">
        <v>-6.1999999999999998E-3</v>
      </c>
      <c r="M57" s="57">
        <v>6.1100000000000002E-2</v>
      </c>
      <c r="N57" s="61">
        <v>0.1105</v>
      </c>
      <c r="O57" s="57">
        <v>6.4000000000000003E-3</v>
      </c>
      <c r="P57" s="57">
        <v>1.7399999999999999E-2</v>
      </c>
      <c r="Q57" s="57">
        <v>-0.1096</v>
      </c>
      <c r="R57" s="57">
        <v>-9.4000000000000004E-3</v>
      </c>
      <c r="S57" s="57">
        <v>-1.6899999999999998E-2</v>
      </c>
      <c r="T57">
        <v>43.88</v>
      </c>
      <c r="U57">
        <v>74.489999999999995</v>
      </c>
      <c r="V57">
        <v>18.37</v>
      </c>
      <c r="W57" s="20">
        <v>5.5815000000000001</v>
      </c>
    </row>
    <row r="58" spans="7:23" x14ac:dyDescent="0.15">
      <c r="G58" s="11">
        <v>57</v>
      </c>
      <c r="H58" t="s">
        <v>730</v>
      </c>
      <c r="I58" t="s">
        <v>1676</v>
      </c>
      <c r="J58" t="s">
        <v>15</v>
      </c>
      <c r="K58" s="61">
        <v>1.2E-2</v>
      </c>
      <c r="L58" s="57">
        <v>1.54E-2</v>
      </c>
      <c r="M58" s="57">
        <v>8.7900000000000006E-2</v>
      </c>
      <c r="N58" s="61">
        <v>0.13370000000000001</v>
      </c>
      <c r="O58" s="57">
        <v>6.88E-2</v>
      </c>
      <c r="P58" s="57">
        <v>9.1899999999999996E-2</v>
      </c>
      <c r="Q58" s="57">
        <v>-5.5199999999999999E-2</v>
      </c>
      <c r="R58" s="57">
        <v>0.3448</v>
      </c>
      <c r="S58" s="57">
        <v>0.24959999999999999</v>
      </c>
      <c r="T58">
        <v>42.86</v>
      </c>
      <c r="U58">
        <v>76.53</v>
      </c>
      <c r="V58">
        <v>15.31</v>
      </c>
      <c r="W58" s="20">
        <v>199.95400000000001</v>
      </c>
    </row>
    <row r="59" spans="7:23" x14ac:dyDescent="0.15">
      <c r="G59" s="11">
        <v>58</v>
      </c>
      <c r="H59" t="s">
        <v>1938</v>
      </c>
      <c r="I59" t="s">
        <v>1939</v>
      </c>
      <c r="J59" t="s">
        <v>15</v>
      </c>
      <c r="K59" s="61">
        <v>1.35E-2</v>
      </c>
      <c r="L59" s="57">
        <v>0.1618</v>
      </c>
      <c r="M59" s="57">
        <v>0.2092</v>
      </c>
      <c r="N59" s="61">
        <v>0.16839999999999999</v>
      </c>
      <c r="O59" s="57">
        <v>-5.3800000000000001E-2</v>
      </c>
      <c r="P59" s="57">
        <v>-0.14849999999999999</v>
      </c>
      <c r="Q59" s="57">
        <v>-0.14849999999999999</v>
      </c>
      <c r="R59" s="57">
        <v>-0.14849999999999999</v>
      </c>
      <c r="S59" s="57">
        <v>-0.14849999999999999</v>
      </c>
      <c r="T59">
        <v>41.84</v>
      </c>
      <c r="U59">
        <v>78.569999999999993</v>
      </c>
      <c r="V59">
        <v>13.27</v>
      </c>
      <c r="W59" s="20">
        <v>6697.2341999999999</v>
      </c>
    </row>
    <row r="60" spans="7:23" x14ac:dyDescent="0.15">
      <c r="G60" s="11">
        <v>59</v>
      </c>
      <c r="H60" t="s">
        <v>1673</v>
      </c>
      <c r="I60" t="s">
        <v>1674</v>
      </c>
      <c r="J60" t="s">
        <v>1623</v>
      </c>
      <c r="K60" s="61">
        <v>-2.8E-3</v>
      </c>
      <c r="L60" s="57">
        <v>-6.8999999999999999E-3</v>
      </c>
      <c r="M60" s="57">
        <v>-8.6999999999999994E-3</v>
      </c>
      <c r="N60" s="61">
        <v>-7.4999999999999997E-3</v>
      </c>
      <c r="O60" s="57">
        <v>-3.8E-3</v>
      </c>
      <c r="P60" s="57">
        <v>7.6E-3</v>
      </c>
      <c r="Q60" s="57">
        <v>3.1899999999999998E-2</v>
      </c>
      <c r="R60" s="57">
        <v>8.2500000000000004E-2</v>
      </c>
      <c r="S60" s="57">
        <v>0.12709999999999999</v>
      </c>
      <c r="T60">
        <v>40.82</v>
      </c>
      <c r="U60">
        <v>14.29</v>
      </c>
      <c r="V60">
        <v>75.510000000000005</v>
      </c>
      <c r="W60" s="20">
        <v>3733.2978571999997</v>
      </c>
    </row>
    <row r="61" spans="7:23" x14ac:dyDescent="0.15">
      <c r="G61" s="11">
        <v>60</v>
      </c>
      <c r="H61" t="s">
        <v>1929</v>
      </c>
      <c r="I61" t="s">
        <v>1930</v>
      </c>
      <c r="J61" t="s">
        <v>15</v>
      </c>
      <c r="K61" s="61">
        <v>4.3E-3</v>
      </c>
      <c r="L61" s="57">
        <v>-3.8100000000000002E-2</v>
      </c>
      <c r="M61" s="57">
        <v>0.01</v>
      </c>
      <c r="N61" s="61">
        <v>7.6999999999999999E-2</v>
      </c>
      <c r="O61" s="57">
        <v>1.9800000000000002E-2</v>
      </c>
      <c r="P61" s="57">
        <v>6.0900000000000003E-2</v>
      </c>
      <c r="Q61" s="57">
        <v>8.3000000000000001E-3</v>
      </c>
      <c r="R61" s="57">
        <v>0.2329</v>
      </c>
      <c r="S61" s="57">
        <v>0.34560000000000002</v>
      </c>
      <c r="T61">
        <v>39.799999999999997</v>
      </c>
      <c r="U61">
        <v>62.24</v>
      </c>
      <c r="V61">
        <v>26.53</v>
      </c>
      <c r="W61" s="20">
        <v>6.791048</v>
      </c>
    </row>
    <row r="62" spans="7:23" x14ac:dyDescent="0.15">
      <c r="G62" s="11">
        <v>61</v>
      </c>
      <c r="H62" t="s">
        <v>1663</v>
      </c>
      <c r="I62" t="s">
        <v>1664</v>
      </c>
      <c r="J62" t="s">
        <v>1623</v>
      </c>
      <c r="K62" s="61">
        <v>-2.2000000000000001E-3</v>
      </c>
      <c r="L62" s="57">
        <v>-4.5999999999999999E-3</v>
      </c>
      <c r="M62" s="57">
        <v>-5.7999999999999996E-3</v>
      </c>
      <c r="N62" s="61">
        <v>-5.0000000000000001E-3</v>
      </c>
      <c r="O62" s="57">
        <v>-5.0000000000000001E-3</v>
      </c>
      <c r="P62" s="57">
        <v>6.3E-3</v>
      </c>
      <c r="Q62" s="57">
        <v>2.47E-2</v>
      </c>
      <c r="R62" s="57">
        <v>8.2699999999999996E-2</v>
      </c>
      <c r="S62" s="57">
        <v>0.18690000000000001</v>
      </c>
      <c r="T62">
        <v>38.78</v>
      </c>
      <c r="U62">
        <v>17.350000000000001</v>
      </c>
      <c r="V62">
        <v>70.41</v>
      </c>
      <c r="W62" s="20">
        <v>742.66523559999996</v>
      </c>
    </row>
    <row r="63" spans="7:23" x14ac:dyDescent="0.15">
      <c r="G63" s="11">
        <v>62</v>
      </c>
      <c r="H63" t="s">
        <v>1621</v>
      </c>
      <c r="I63" t="s">
        <v>1622</v>
      </c>
      <c r="J63" t="s">
        <v>1623</v>
      </c>
      <c r="K63" s="61">
        <v>-4.0000000000000001E-3</v>
      </c>
      <c r="L63" s="57">
        <v>-2.7799999999999998E-2</v>
      </c>
      <c r="M63" s="57">
        <v>-3.0599999999999999E-2</v>
      </c>
      <c r="N63" s="61">
        <v>-2.9499999999999998E-2</v>
      </c>
      <c r="O63" s="57">
        <v>-0.1069</v>
      </c>
      <c r="P63" s="57">
        <v>-7.3000000000000001E-3</v>
      </c>
      <c r="Q63" s="57">
        <v>-4.2299999999999997E-2</v>
      </c>
      <c r="R63" s="57">
        <v>0.1187</v>
      </c>
      <c r="S63" s="57">
        <v>0.25380000000000003</v>
      </c>
      <c r="T63">
        <v>37.76</v>
      </c>
      <c r="U63">
        <v>3.06</v>
      </c>
      <c r="V63">
        <v>83.67</v>
      </c>
      <c r="W63" s="20">
        <v>119.5126034</v>
      </c>
    </row>
    <row r="64" spans="7:23" x14ac:dyDescent="0.15">
      <c r="G64" s="11">
        <v>63</v>
      </c>
      <c r="H64" t="s">
        <v>356</v>
      </c>
      <c r="I64" t="s">
        <v>1645</v>
      </c>
      <c r="J64" t="s">
        <v>1644</v>
      </c>
      <c r="K64" s="61">
        <v>0</v>
      </c>
      <c r="L64" s="57">
        <v>-1.5E-3</v>
      </c>
      <c r="M64" s="57">
        <v>3.5200000000000002E-2</v>
      </c>
      <c r="N64" s="61">
        <v>4.4999999999999998E-2</v>
      </c>
      <c r="O64" s="57">
        <v>4.8800000000000003E-2</v>
      </c>
      <c r="P64" s="57">
        <v>1.5800000000000002E-2</v>
      </c>
      <c r="Q64" s="57">
        <v>7.5999999999999998E-2</v>
      </c>
      <c r="R64" s="57">
        <v>6.7999999999999996E-3</v>
      </c>
      <c r="S64" s="57">
        <v>0.17330000000000001</v>
      </c>
      <c r="T64">
        <v>36.729999999999997</v>
      </c>
      <c r="U64">
        <v>35.71</v>
      </c>
      <c r="V64">
        <v>51.02</v>
      </c>
      <c r="W64" s="20">
        <v>131853.7482</v>
      </c>
    </row>
    <row r="65" spans="7:23" x14ac:dyDescent="0.15">
      <c r="G65" s="11">
        <v>64</v>
      </c>
      <c r="H65" t="s">
        <v>1925</v>
      </c>
      <c r="I65" t="s">
        <v>1926</v>
      </c>
      <c r="J65" t="s">
        <v>15</v>
      </c>
      <c r="K65" s="61">
        <v>3.8E-3</v>
      </c>
      <c r="L65" s="57">
        <v>-0.02</v>
      </c>
      <c r="M65" s="57">
        <v>5.2400000000000002E-2</v>
      </c>
      <c r="N65" s="61">
        <v>6.8199999999999997E-2</v>
      </c>
      <c r="O65" s="57">
        <v>2.76E-2</v>
      </c>
      <c r="P65" s="57">
        <v>-1.01E-2</v>
      </c>
      <c r="Q65" s="57">
        <v>3.4299999999999997E-2</v>
      </c>
      <c r="R65" s="57">
        <v>-6.2300000000000001E-2</v>
      </c>
      <c r="S65" s="57">
        <v>9.6600000000000005E-2</v>
      </c>
      <c r="T65">
        <v>35.71</v>
      </c>
      <c r="U65">
        <v>56.12</v>
      </c>
      <c r="V65">
        <v>28.57</v>
      </c>
      <c r="W65" s="20">
        <v>3.6433389000000003</v>
      </c>
    </row>
    <row r="66" spans="7:23" x14ac:dyDescent="0.15">
      <c r="G66" s="11">
        <v>65</v>
      </c>
      <c r="H66" t="s">
        <v>736</v>
      </c>
      <c r="I66" t="s">
        <v>1690</v>
      </c>
      <c r="J66" t="s">
        <v>15</v>
      </c>
      <c r="K66" s="61">
        <v>5.1999999999999998E-3</v>
      </c>
      <c r="L66" s="57">
        <v>-1.72E-2</v>
      </c>
      <c r="M66" s="57">
        <v>7.4099999999999999E-2</v>
      </c>
      <c r="N66" s="61">
        <v>7.1999999999999995E-2</v>
      </c>
      <c r="O66" s="57">
        <v>-8.2400000000000001E-2</v>
      </c>
      <c r="P66" s="57">
        <v>5.7000000000000002E-2</v>
      </c>
      <c r="Q66" s="57">
        <v>-0.12790000000000001</v>
      </c>
      <c r="R66" s="57">
        <v>0.19189999999999999</v>
      </c>
      <c r="S66" s="57">
        <v>0.52980000000000005</v>
      </c>
      <c r="T66">
        <v>34.69</v>
      </c>
      <c r="U66">
        <v>60.2</v>
      </c>
      <c r="V66">
        <v>24.49</v>
      </c>
      <c r="W66" s="20">
        <v>68.193860700000002</v>
      </c>
    </row>
    <row r="67" spans="7:23" x14ac:dyDescent="0.15">
      <c r="G67" s="11">
        <v>66</v>
      </c>
      <c r="H67" t="s">
        <v>380</v>
      </c>
      <c r="I67" t="s">
        <v>1643</v>
      </c>
      <c r="J67" t="s">
        <v>1644</v>
      </c>
      <c r="K67" s="61">
        <v>5.9999999999999995E-4</v>
      </c>
      <c r="L67" s="57">
        <v>-1.6000000000000001E-3</v>
      </c>
      <c r="M67" s="57">
        <v>3.5299999999999998E-2</v>
      </c>
      <c r="N67" s="61">
        <v>4.4999999999999998E-2</v>
      </c>
      <c r="O67" s="57">
        <v>4.8500000000000001E-2</v>
      </c>
      <c r="P67" s="57">
        <v>1.5299999999999999E-2</v>
      </c>
      <c r="Q67" s="57">
        <v>7.51E-2</v>
      </c>
      <c r="R67" s="57">
        <v>5.1000000000000004E-3</v>
      </c>
      <c r="S67" s="57">
        <v>0.1711</v>
      </c>
      <c r="T67">
        <v>33.67</v>
      </c>
      <c r="U67">
        <v>38.78</v>
      </c>
      <c r="V67">
        <v>44.9</v>
      </c>
      <c r="W67" s="20">
        <v>15516.878031600001</v>
      </c>
    </row>
    <row r="68" spans="7:23" x14ac:dyDescent="0.15">
      <c r="G68" s="11">
        <v>67</v>
      </c>
      <c r="H68" t="s">
        <v>395</v>
      </c>
      <c r="I68" t="s">
        <v>1675</v>
      </c>
      <c r="J68" t="s">
        <v>1623</v>
      </c>
      <c r="K68" s="61">
        <v>-6.9999999999999999E-4</v>
      </c>
      <c r="L68" s="57">
        <v>-1E-3</v>
      </c>
      <c r="M68" s="57">
        <v>-1.2999999999999999E-3</v>
      </c>
      <c r="N68" s="61">
        <v>-8.0000000000000004E-4</v>
      </c>
      <c r="O68" s="57">
        <v>1.6000000000000001E-3</v>
      </c>
      <c r="P68" s="57">
        <v>7.0000000000000001E-3</v>
      </c>
      <c r="Q68" s="57">
        <v>2.23E-2</v>
      </c>
      <c r="R68" s="57">
        <v>5.2999999999999999E-2</v>
      </c>
      <c r="S68" s="57">
        <v>5.8299999999999998E-2</v>
      </c>
      <c r="T68">
        <v>32.65</v>
      </c>
      <c r="U68">
        <v>26.53</v>
      </c>
      <c r="V68">
        <v>57.14</v>
      </c>
      <c r="W68" s="20">
        <v>699492.09160000004</v>
      </c>
    </row>
    <row r="69" spans="7:23" x14ac:dyDescent="0.15">
      <c r="G69" s="11">
        <v>68</v>
      </c>
      <c r="H69" t="s">
        <v>375</v>
      </c>
      <c r="I69" t="s">
        <v>1647</v>
      </c>
      <c r="J69" t="s">
        <v>1644</v>
      </c>
      <c r="K69" s="61">
        <v>5.0000000000000001E-4</v>
      </c>
      <c r="L69" s="57">
        <v>-1.5E-3</v>
      </c>
      <c r="M69" s="57">
        <v>3.5200000000000002E-2</v>
      </c>
      <c r="N69" s="61">
        <v>4.4999999999999998E-2</v>
      </c>
      <c r="O69" s="57">
        <v>4.8899999999999999E-2</v>
      </c>
      <c r="P69" s="57">
        <v>1.55E-2</v>
      </c>
      <c r="Q69" s="57">
        <v>7.5800000000000006E-2</v>
      </c>
      <c r="R69" s="57">
        <v>6.4999999999999997E-3</v>
      </c>
      <c r="S69" s="57">
        <v>0.1724</v>
      </c>
      <c r="T69">
        <v>31.63</v>
      </c>
      <c r="U69">
        <v>36.729999999999997</v>
      </c>
      <c r="V69">
        <v>46.94</v>
      </c>
      <c r="W69" s="20">
        <v>19850.182199999999</v>
      </c>
    </row>
    <row r="70" spans="7:23" x14ac:dyDescent="0.15">
      <c r="G70" s="11">
        <v>69</v>
      </c>
      <c r="H70" t="s">
        <v>382</v>
      </c>
      <c r="I70" t="s">
        <v>1660</v>
      </c>
      <c r="J70" t="s">
        <v>1644</v>
      </c>
      <c r="K70" s="61">
        <v>4.0000000000000002E-4</v>
      </c>
      <c r="L70" s="57">
        <v>-1.6000000000000001E-3</v>
      </c>
      <c r="M70" s="57">
        <v>3.5200000000000002E-2</v>
      </c>
      <c r="N70" s="61">
        <v>4.48E-2</v>
      </c>
      <c r="O70" s="57">
        <v>4.8000000000000001E-2</v>
      </c>
      <c r="P70" s="57">
        <v>1.4200000000000001E-2</v>
      </c>
      <c r="Q70" s="57">
        <v>7.2900000000000006E-2</v>
      </c>
      <c r="R70" s="57">
        <v>1.1000000000000001E-3</v>
      </c>
      <c r="S70" s="57">
        <v>2.6200000000000001E-2</v>
      </c>
      <c r="T70">
        <v>30.61</v>
      </c>
      <c r="U70">
        <v>34.69</v>
      </c>
      <c r="V70">
        <v>48.98</v>
      </c>
      <c r="W70" s="20">
        <v>596.64819999999997</v>
      </c>
    </row>
    <row r="71" spans="7:23" x14ac:dyDescent="0.15">
      <c r="G71" s="11">
        <v>70</v>
      </c>
      <c r="H71" t="s">
        <v>351</v>
      </c>
      <c r="I71" t="s">
        <v>1642</v>
      </c>
      <c r="J71" t="s">
        <v>1623</v>
      </c>
      <c r="K71" s="61">
        <v>-1.2999999999999999E-3</v>
      </c>
      <c r="L71" s="57">
        <v>-4.5999999999999999E-3</v>
      </c>
      <c r="M71" s="57">
        <v>-6.1000000000000004E-3</v>
      </c>
      <c r="N71" s="61">
        <v>-4.5999999999999999E-3</v>
      </c>
      <c r="O71" s="57">
        <v>-6.1000000000000004E-3</v>
      </c>
      <c r="P71" s="57">
        <v>6.1999999999999998E-3</v>
      </c>
      <c r="Q71" s="57">
        <v>2.5999999999999999E-2</v>
      </c>
      <c r="R71" s="57">
        <v>6.1199999999999997E-2</v>
      </c>
      <c r="S71" s="57">
        <v>8.5999999999999993E-2</v>
      </c>
      <c r="T71">
        <v>29.59</v>
      </c>
      <c r="U71">
        <v>19.39</v>
      </c>
      <c r="V71">
        <v>63.27</v>
      </c>
      <c r="W71" s="20">
        <v>70451.115399999995</v>
      </c>
    </row>
    <row r="72" spans="7:23" x14ac:dyDescent="0.15">
      <c r="G72" s="11">
        <v>71</v>
      </c>
      <c r="H72" t="s">
        <v>1683</v>
      </c>
      <c r="I72" t="s">
        <v>1684</v>
      </c>
      <c r="J72" t="s">
        <v>15</v>
      </c>
      <c r="K72" s="61">
        <v>3.5000000000000001E-3</v>
      </c>
      <c r="L72" s="57">
        <v>-2.64E-2</v>
      </c>
      <c r="M72" s="57">
        <v>3.1600000000000003E-2</v>
      </c>
      <c r="N72" s="61">
        <v>6.3200000000000006E-2</v>
      </c>
      <c r="O72" s="57">
        <v>-3.5400000000000001E-2</v>
      </c>
      <c r="P72" s="57">
        <v>6.2399999999999997E-2</v>
      </c>
      <c r="Q72" s="57">
        <v>-6.2799999999999995E-2</v>
      </c>
      <c r="R72" s="57">
        <v>0.26700000000000002</v>
      </c>
      <c r="S72" s="57">
        <v>0.30199999999999999</v>
      </c>
      <c r="T72">
        <v>28.57</v>
      </c>
      <c r="U72">
        <v>53.06</v>
      </c>
      <c r="V72">
        <v>29.59</v>
      </c>
      <c r="W72" s="20">
        <v>16.623452199999999</v>
      </c>
    </row>
    <row r="73" spans="7:23" x14ac:dyDescent="0.15">
      <c r="G73" s="11">
        <v>72</v>
      </c>
      <c r="H73" t="s">
        <v>724</v>
      </c>
      <c r="I73" t="s">
        <v>1671</v>
      </c>
      <c r="J73" t="s">
        <v>15</v>
      </c>
      <c r="K73" s="61">
        <v>6.7199999999999996E-2</v>
      </c>
      <c r="L73" s="57">
        <v>0.18410000000000001</v>
      </c>
      <c r="M73" s="57">
        <v>0.22359999999999999</v>
      </c>
      <c r="N73" s="61">
        <v>0.18</v>
      </c>
      <c r="O73" s="57">
        <v>-4.5199999999999997E-2</v>
      </c>
      <c r="P73" s="57">
        <v>1.29E-2</v>
      </c>
      <c r="Q73" s="57">
        <v>-0.35189999999999999</v>
      </c>
      <c r="R73" s="57">
        <v>-0.57320000000000004</v>
      </c>
      <c r="S73" s="57">
        <v>-0.2477</v>
      </c>
      <c r="T73">
        <v>27.55</v>
      </c>
      <c r="U73">
        <v>80.61</v>
      </c>
      <c r="V73">
        <v>1.02</v>
      </c>
      <c r="W73" s="20">
        <v>211215.53839999999</v>
      </c>
    </row>
    <row r="74" spans="7:23" x14ac:dyDescent="0.15">
      <c r="G74" s="11">
        <v>73</v>
      </c>
      <c r="H74" t="s">
        <v>1602</v>
      </c>
      <c r="I74" t="s">
        <v>1927</v>
      </c>
      <c r="J74" t="s">
        <v>15</v>
      </c>
      <c r="K74" s="61">
        <v>4.0000000000000001E-3</v>
      </c>
      <c r="L74" s="57">
        <v>-2.7099999999999999E-2</v>
      </c>
      <c r="M74" s="57">
        <v>3.2000000000000001E-2</v>
      </c>
      <c r="N74" s="61">
        <v>6.5199999999999994E-2</v>
      </c>
      <c r="O74" s="57">
        <v>-3.8600000000000002E-2</v>
      </c>
      <c r="P74" s="57">
        <v>6.6400000000000001E-2</v>
      </c>
      <c r="Q74" s="57">
        <v>4.6800000000000001E-2</v>
      </c>
      <c r="R74" s="57">
        <v>4.6800000000000001E-2</v>
      </c>
      <c r="S74" s="57">
        <v>4.6800000000000001E-2</v>
      </c>
      <c r="T74">
        <v>26.53</v>
      </c>
      <c r="U74">
        <v>54.08</v>
      </c>
      <c r="V74">
        <v>27.55</v>
      </c>
      <c r="W74" s="20">
        <v>1288.0514499999999</v>
      </c>
    </row>
    <row r="75" spans="7:23" x14ac:dyDescent="0.15">
      <c r="G75" s="11">
        <v>74</v>
      </c>
      <c r="H75" t="s">
        <v>1661</v>
      </c>
      <c r="I75" t="s">
        <v>1662</v>
      </c>
      <c r="J75" t="s">
        <v>1623</v>
      </c>
      <c r="K75" s="61">
        <v>-1.5E-3</v>
      </c>
      <c r="L75" s="57">
        <v>-6.4000000000000003E-3</v>
      </c>
      <c r="M75" s="57">
        <v>-8.0000000000000002E-3</v>
      </c>
      <c r="N75" s="61">
        <v>-7.1000000000000004E-3</v>
      </c>
      <c r="O75" s="57">
        <v>-3.5999999999999999E-3</v>
      </c>
      <c r="P75" s="57">
        <v>1.0699999999999999E-2</v>
      </c>
      <c r="Q75" s="57">
        <v>3.6600000000000001E-2</v>
      </c>
      <c r="R75" s="57">
        <v>8.8400000000000006E-2</v>
      </c>
      <c r="S75" s="57">
        <v>0.1246</v>
      </c>
      <c r="T75">
        <v>25.51</v>
      </c>
      <c r="U75">
        <v>15.31</v>
      </c>
      <c r="V75">
        <v>65.31</v>
      </c>
      <c r="W75" s="20">
        <v>36.311238600000003</v>
      </c>
    </row>
    <row r="76" spans="7:23" x14ac:dyDescent="0.15">
      <c r="G76" s="11">
        <v>75</v>
      </c>
      <c r="H76" t="s">
        <v>629</v>
      </c>
      <c r="I76" t="s">
        <v>1680</v>
      </c>
      <c r="J76" t="s">
        <v>15</v>
      </c>
      <c r="K76" s="61">
        <v>6.6E-3</v>
      </c>
      <c r="L76" s="57">
        <v>-2.6200000000000001E-2</v>
      </c>
      <c r="M76" s="57">
        <v>3.5099999999999999E-2</v>
      </c>
      <c r="N76" s="61">
        <v>6.88E-2</v>
      </c>
      <c r="O76" s="57">
        <v>-3.9399999999999998E-2</v>
      </c>
      <c r="P76" s="57">
        <v>6.2199999999999998E-2</v>
      </c>
      <c r="Q76" s="57">
        <v>-5.8099999999999999E-2</v>
      </c>
      <c r="R76" s="57">
        <v>0.18060000000000001</v>
      </c>
      <c r="S76" s="57">
        <v>0.32229999999999998</v>
      </c>
      <c r="T76">
        <v>24.49</v>
      </c>
      <c r="U76">
        <v>57.14</v>
      </c>
      <c r="V76">
        <v>22.45</v>
      </c>
      <c r="W76" s="20">
        <v>17470.858800000002</v>
      </c>
    </row>
    <row r="77" spans="7:23" x14ac:dyDescent="0.15">
      <c r="G77" s="11">
        <v>76</v>
      </c>
      <c r="H77" t="s">
        <v>370</v>
      </c>
      <c r="I77" t="s">
        <v>1672</v>
      </c>
      <c r="J77" t="s">
        <v>1644</v>
      </c>
      <c r="K77" s="61">
        <v>5.0000000000000001E-4</v>
      </c>
      <c r="L77" s="57">
        <v>-1.6000000000000001E-3</v>
      </c>
      <c r="M77" s="57">
        <v>3.49E-2</v>
      </c>
      <c r="N77" s="61">
        <v>4.4400000000000002E-2</v>
      </c>
      <c r="O77" s="57">
        <v>4.7399999999999998E-2</v>
      </c>
      <c r="P77" s="57">
        <v>1.35E-2</v>
      </c>
      <c r="Q77" s="57">
        <v>7.0499999999999993E-2</v>
      </c>
      <c r="R77" s="57">
        <v>-1.2999999999999999E-3</v>
      </c>
      <c r="S77" s="57">
        <v>2.9600000000000001E-2</v>
      </c>
      <c r="T77">
        <v>23.47</v>
      </c>
      <c r="U77">
        <v>33.67</v>
      </c>
      <c r="V77">
        <v>45.92</v>
      </c>
      <c r="W77" s="20">
        <v>277.12099999999998</v>
      </c>
    </row>
    <row r="78" spans="7:23" x14ac:dyDescent="0.15">
      <c r="G78" s="11">
        <v>77</v>
      </c>
      <c r="H78" t="s">
        <v>344</v>
      </c>
      <c r="I78" t="s">
        <v>1648</v>
      </c>
      <c r="J78" t="s">
        <v>1644</v>
      </c>
      <c r="K78" s="61">
        <v>1.1999999999999999E-3</v>
      </c>
      <c r="L78" s="57">
        <v>-1.6000000000000001E-3</v>
      </c>
      <c r="M78" s="57">
        <v>3.5200000000000002E-2</v>
      </c>
      <c r="N78" s="61">
        <v>4.4999999999999998E-2</v>
      </c>
      <c r="O78" s="57">
        <v>4.87E-2</v>
      </c>
      <c r="P78" s="57">
        <v>1.54E-2</v>
      </c>
      <c r="Q78" s="57">
        <v>7.5200000000000003E-2</v>
      </c>
      <c r="R78" s="57">
        <v>5.1999999999999998E-3</v>
      </c>
      <c r="S78" s="57">
        <v>0.1701</v>
      </c>
      <c r="T78">
        <v>22.45</v>
      </c>
      <c r="U78">
        <v>37.76</v>
      </c>
      <c r="V78">
        <v>39.799999999999997</v>
      </c>
      <c r="W78" s="20">
        <v>17227.627899999999</v>
      </c>
    </row>
    <row r="79" spans="7:23" x14ac:dyDescent="0.15">
      <c r="G79" s="11">
        <v>78</v>
      </c>
      <c r="H79" t="s">
        <v>727</v>
      </c>
      <c r="I79" t="s">
        <v>1665</v>
      </c>
      <c r="J79" t="s">
        <v>15</v>
      </c>
      <c r="K79" s="61">
        <v>3.5499999999999997E-2</v>
      </c>
      <c r="L79" s="57">
        <v>4.5499999999999999E-2</v>
      </c>
      <c r="M79" s="57">
        <v>4.24E-2</v>
      </c>
      <c r="N79" s="61">
        <v>0.13239999999999999</v>
      </c>
      <c r="O79" s="57">
        <v>0.15</v>
      </c>
      <c r="P79" s="57">
        <v>0.51749999999999996</v>
      </c>
      <c r="Q79" s="57">
        <v>-2.58E-2</v>
      </c>
      <c r="R79" s="57">
        <v>-0.53549999999999998</v>
      </c>
      <c r="S79" s="57">
        <v>-0.53549999999999998</v>
      </c>
      <c r="T79">
        <v>21.43</v>
      </c>
      <c r="U79">
        <v>75.510000000000005</v>
      </c>
      <c r="V79">
        <v>2.04</v>
      </c>
      <c r="W79" s="20">
        <v>23778.141</v>
      </c>
    </row>
    <row r="80" spans="7:23" x14ac:dyDescent="0.15">
      <c r="G80" s="11">
        <v>79</v>
      </c>
      <c r="H80" t="s">
        <v>305</v>
      </c>
      <c r="I80" t="s">
        <v>1634</v>
      </c>
      <c r="J80" t="s">
        <v>1623</v>
      </c>
      <c r="K80" s="61">
        <v>-4.0000000000000002E-4</v>
      </c>
      <c r="L80" s="57">
        <v>-5.7999999999999996E-3</v>
      </c>
      <c r="M80" s="57">
        <v>-7.4999999999999997E-3</v>
      </c>
      <c r="N80" s="61">
        <v>-5.0000000000000001E-3</v>
      </c>
      <c r="O80" s="57">
        <v>-7.4999999999999997E-3</v>
      </c>
      <c r="P80" s="57">
        <v>9.2999999999999992E-3</v>
      </c>
      <c r="Q80" s="57">
        <v>3.2099999999999997E-2</v>
      </c>
      <c r="R80" s="57">
        <v>8.0799999999999997E-2</v>
      </c>
      <c r="S80" s="57">
        <v>0.1101</v>
      </c>
      <c r="T80">
        <v>20.41</v>
      </c>
      <c r="U80">
        <v>18.37</v>
      </c>
      <c r="V80">
        <v>53.06</v>
      </c>
      <c r="W80" s="20">
        <v>48936.258500000004</v>
      </c>
    </row>
    <row r="81" spans="7:23" x14ac:dyDescent="0.15">
      <c r="G81" s="11">
        <v>80</v>
      </c>
      <c r="H81" t="s">
        <v>1629</v>
      </c>
      <c r="I81" t="s">
        <v>1630</v>
      </c>
      <c r="J81" t="s">
        <v>1623</v>
      </c>
      <c r="K81" s="61">
        <v>-4.0000000000000002E-4</v>
      </c>
      <c r="L81" s="57">
        <v>-9.7000000000000003E-3</v>
      </c>
      <c r="M81" s="57">
        <v>-1.11E-2</v>
      </c>
      <c r="N81" s="61">
        <v>-8.6999999999999994E-3</v>
      </c>
      <c r="O81" s="57">
        <v>-2.3699999999999999E-2</v>
      </c>
      <c r="P81" s="57">
        <v>-8.9999999999999998E-4</v>
      </c>
      <c r="Q81" s="57">
        <v>-5.1000000000000004E-3</v>
      </c>
      <c r="R81" s="57">
        <v>6.4799999999999996E-2</v>
      </c>
      <c r="S81" s="57">
        <v>0.13780000000000001</v>
      </c>
      <c r="T81">
        <v>19.39</v>
      </c>
      <c r="U81">
        <v>12.24</v>
      </c>
      <c r="V81">
        <v>52.04</v>
      </c>
      <c r="W81" s="20">
        <v>28.472670000000001</v>
      </c>
    </row>
    <row r="82" spans="7:23" x14ac:dyDescent="0.15">
      <c r="G82" s="11">
        <v>81</v>
      </c>
      <c r="H82" t="s">
        <v>590</v>
      </c>
      <c r="I82" t="s">
        <v>1687</v>
      </c>
      <c r="J82" t="s">
        <v>15</v>
      </c>
      <c r="K82" s="61">
        <v>1.2500000000000001E-2</v>
      </c>
      <c r="L82" s="57">
        <v>-1.6400000000000001E-2</v>
      </c>
      <c r="M82" s="57">
        <v>6.6100000000000006E-2</v>
      </c>
      <c r="N82" s="61">
        <v>4.9500000000000002E-2</v>
      </c>
      <c r="O82" s="57">
        <v>-9.9299999999999999E-2</v>
      </c>
      <c r="P82" s="57">
        <v>4.87E-2</v>
      </c>
      <c r="Q82" s="57">
        <v>-0.21809999999999999</v>
      </c>
      <c r="R82" s="57">
        <v>8.8599999999999998E-2</v>
      </c>
      <c r="S82" s="57">
        <v>0.42170000000000002</v>
      </c>
      <c r="T82">
        <v>18.37</v>
      </c>
      <c r="U82">
        <v>47.96</v>
      </c>
      <c r="V82">
        <v>14.29</v>
      </c>
      <c r="W82" s="20">
        <v>38837.620560000003</v>
      </c>
    </row>
    <row r="83" spans="7:23" x14ac:dyDescent="0.15">
      <c r="G83" s="11">
        <v>82</v>
      </c>
      <c r="H83" t="s">
        <v>1668</v>
      </c>
      <c r="I83" t="s">
        <v>1669</v>
      </c>
      <c r="J83" t="s">
        <v>1623</v>
      </c>
      <c r="K83" s="61">
        <v>2.0000000000000001E-4</v>
      </c>
      <c r="L83" s="57">
        <v>-1.04E-2</v>
      </c>
      <c r="M83" s="57">
        <v>-1.26E-2</v>
      </c>
      <c r="N83" s="61">
        <v>-1.1900000000000001E-2</v>
      </c>
      <c r="O83" s="57">
        <v>-1.5100000000000001E-2</v>
      </c>
      <c r="P83" s="57">
        <v>-1.1999999999999999E-3</v>
      </c>
      <c r="Q83" s="57">
        <v>1.6799999999999999E-2</v>
      </c>
      <c r="R83" s="57">
        <v>0.10680000000000001</v>
      </c>
      <c r="S83" s="57">
        <v>0.2545</v>
      </c>
      <c r="T83">
        <v>17.350000000000001</v>
      </c>
      <c r="U83">
        <v>10.199999999999999</v>
      </c>
      <c r="V83">
        <v>50</v>
      </c>
      <c r="W83" s="20">
        <v>6.9436600000000004</v>
      </c>
    </row>
    <row r="84" spans="7:23" x14ac:dyDescent="0.15">
      <c r="G84" s="11">
        <v>83</v>
      </c>
      <c r="H84" t="s">
        <v>732</v>
      </c>
      <c r="I84" t="s">
        <v>1692</v>
      </c>
      <c r="J84" t="s">
        <v>15</v>
      </c>
      <c r="K84" s="61">
        <v>8.9999999999999993E-3</v>
      </c>
      <c r="L84" s="57">
        <v>-1.7000000000000001E-2</v>
      </c>
      <c r="M84" s="57">
        <v>6.0999999999999999E-2</v>
      </c>
      <c r="N84" s="61">
        <v>4.5999999999999999E-2</v>
      </c>
      <c r="O84" s="57">
        <v>-9.2100000000000001E-2</v>
      </c>
      <c r="P84" s="57">
        <v>5.0799999999999998E-2</v>
      </c>
      <c r="Q84" s="57">
        <v>-0.20349999999999999</v>
      </c>
      <c r="R84" s="57">
        <v>9.01E-2</v>
      </c>
      <c r="S84" s="57">
        <v>0.42549999999999999</v>
      </c>
      <c r="T84">
        <v>16.329999999999998</v>
      </c>
      <c r="U84">
        <v>39.799999999999997</v>
      </c>
      <c r="V84">
        <v>19.39</v>
      </c>
      <c r="W84" s="20">
        <v>316.95538440000001</v>
      </c>
    </row>
    <row r="85" spans="7:23" x14ac:dyDescent="0.15">
      <c r="G85" s="11">
        <v>84</v>
      </c>
      <c r="H85" t="s">
        <v>675</v>
      </c>
      <c r="I85" t="s">
        <v>1688</v>
      </c>
      <c r="J85" t="s">
        <v>15</v>
      </c>
      <c r="K85" s="61">
        <v>1.55E-2</v>
      </c>
      <c r="L85" s="57">
        <v>-1.6400000000000001E-2</v>
      </c>
      <c r="M85" s="57">
        <v>6.7299999999999999E-2</v>
      </c>
      <c r="N85" s="61">
        <v>0.05</v>
      </c>
      <c r="O85" s="57">
        <v>-9.7699999999999995E-2</v>
      </c>
      <c r="P85" s="57">
        <v>5.1299999999999998E-2</v>
      </c>
      <c r="Q85" s="57">
        <v>-0.216</v>
      </c>
      <c r="R85" s="57">
        <v>8.9800000000000005E-2</v>
      </c>
      <c r="S85" s="57">
        <v>0.45479999999999998</v>
      </c>
      <c r="T85">
        <v>15.31</v>
      </c>
      <c r="U85">
        <v>48.98</v>
      </c>
      <c r="V85">
        <v>7.14</v>
      </c>
      <c r="W85" s="20">
        <v>25064.9539</v>
      </c>
    </row>
    <row r="86" spans="7:23" x14ac:dyDescent="0.15">
      <c r="G86" s="11">
        <v>85</v>
      </c>
      <c r="H86" t="s">
        <v>728</v>
      </c>
      <c r="I86" t="s">
        <v>1679</v>
      </c>
      <c r="J86" t="s">
        <v>15</v>
      </c>
      <c r="K86" s="61">
        <v>1.09E-2</v>
      </c>
      <c r="L86" s="57">
        <v>-1.1299999999999999E-2</v>
      </c>
      <c r="M86" s="57">
        <v>6.4299999999999996E-2</v>
      </c>
      <c r="N86" s="61">
        <v>4.1599999999999998E-2</v>
      </c>
      <c r="O86" s="57">
        <v>-8.9300000000000004E-2</v>
      </c>
      <c r="P86" s="57">
        <v>5.8900000000000001E-2</v>
      </c>
      <c r="Q86" s="57">
        <v>-0.2082</v>
      </c>
      <c r="R86" s="57">
        <v>4.7600000000000003E-2</v>
      </c>
      <c r="S86" s="57">
        <v>4.7600000000000003E-2</v>
      </c>
      <c r="T86">
        <v>14.29</v>
      </c>
      <c r="U86">
        <v>32.65</v>
      </c>
      <c r="V86">
        <v>17.350000000000001</v>
      </c>
      <c r="W86" s="20">
        <v>7333.7745999999997</v>
      </c>
    </row>
    <row r="87" spans="7:23" x14ac:dyDescent="0.15">
      <c r="G87" s="11">
        <v>86</v>
      </c>
      <c r="H87" t="s">
        <v>471</v>
      </c>
      <c r="I87" t="s">
        <v>1636</v>
      </c>
      <c r="J87" t="s">
        <v>1623</v>
      </c>
      <c r="K87" s="61">
        <v>8.9999999999999998E-4</v>
      </c>
      <c r="L87" s="57">
        <v>-1.9400000000000001E-2</v>
      </c>
      <c r="M87" s="57">
        <v>-1.78E-2</v>
      </c>
      <c r="N87" s="61">
        <v>-1.9199999999999998E-2</v>
      </c>
      <c r="O87" s="57">
        <v>-5.2499999999999998E-2</v>
      </c>
      <c r="P87" s="57">
        <v>-1.6799999999999999E-2</v>
      </c>
      <c r="Q87" s="57">
        <v>-3.7499999999999999E-2</v>
      </c>
      <c r="R87" s="57">
        <v>3.4700000000000002E-2</v>
      </c>
      <c r="S87" s="57">
        <v>4.0800000000000003E-2</v>
      </c>
      <c r="T87">
        <v>13.27</v>
      </c>
      <c r="U87">
        <v>5.0999999999999996</v>
      </c>
      <c r="V87">
        <v>43.88</v>
      </c>
      <c r="W87" s="20">
        <v>9300.3502000000008</v>
      </c>
    </row>
    <row r="88" spans="7:23" x14ac:dyDescent="0.15">
      <c r="G88" s="11">
        <v>87</v>
      </c>
      <c r="H88" t="s">
        <v>731</v>
      </c>
      <c r="I88" t="s">
        <v>1689</v>
      </c>
      <c r="J88" t="s">
        <v>15</v>
      </c>
      <c r="K88" s="61">
        <v>1.12E-2</v>
      </c>
      <c r="L88" s="57">
        <v>-3.6900000000000002E-2</v>
      </c>
      <c r="M88" s="57">
        <v>-6.4999999999999997E-3</v>
      </c>
      <c r="N88" s="61">
        <v>3.1899999999999998E-2</v>
      </c>
      <c r="O88" s="57">
        <v>1.95E-2</v>
      </c>
      <c r="P88" s="57">
        <v>0.11360000000000001</v>
      </c>
      <c r="Q88" s="57">
        <v>-1.4200000000000001E-2</v>
      </c>
      <c r="R88" s="57">
        <v>0.38790000000000002</v>
      </c>
      <c r="S88" s="57">
        <v>0.30420000000000003</v>
      </c>
      <c r="T88">
        <v>12.24</v>
      </c>
      <c r="U88">
        <v>30.61</v>
      </c>
      <c r="V88">
        <v>16.329999999999998</v>
      </c>
      <c r="W88" s="20">
        <v>609.27542340000002</v>
      </c>
    </row>
    <row r="89" spans="7:23" x14ac:dyDescent="0.15">
      <c r="G89" s="11">
        <v>88</v>
      </c>
      <c r="H89" t="s">
        <v>1666</v>
      </c>
      <c r="I89" t="s">
        <v>1667</v>
      </c>
      <c r="J89" t="s">
        <v>1623</v>
      </c>
      <c r="K89" s="61">
        <v>2.8E-3</v>
      </c>
      <c r="L89" s="57">
        <v>-7.0000000000000001E-3</v>
      </c>
      <c r="M89" s="57">
        <v>-8.3999999999999995E-3</v>
      </c>
      <c r="N89" s="61">
        <v>-8.6E-3</v>
      </c>
      <c r="O89" s="57">
        <v>-1.0500000000000001E-2</v>
      </c>
      <c r="P89" s="57">
        <v>4.1999999999999997E-3</v>
      </c>
      <c r="Q89" s="57">
        <v>2.4500000000000001E-2</v>
      </c>
      <c r="R89" s="57">
        <v>5.62E-2</v>
      </c>
      <c r="S89" s="57">
        <v>8.1600000000000006E-2</v>
      </c>
      <c r="T89">
        <v>11.22</v>
      </c>
      <c r="U89">
        <v>13.27</v>
      </c>
      <c r="V89">
        <v>33.67</v>
      </c>
      <c r="W89" s="20">
        <v>0.71589999999999998</v>
      </c>
    </row>
    <row r="90" spans="7:23" x14ac:dyDescent="0.15">
      <c r="G90" s="11">
        <v>89</v>
      </c>
      <c r="H90" t="s">
        <v>462</v>
      </c>
      <c r="I90" t="s">
        <v>18</v>
      </c>
      <c r="J90" t="s">
        <v>15</v>
      </c>
      <c r="K90" s="61">
        <v>1.44E-2</v>
      </c>
      <c r="L90" s="57">
        <v>-2.9499999999999998E-2</v>
      </c>
      <c r="M90" s="57">
        <v>5.8999999999999999E-3</v>
      </c>
      <c r="N90" s="61">
        <v>8.6E-3</v>
      </c>
      <c r="O90" s="57">
        <v>-0.13450000000000001</v>
      </c>
      <c r="P90" s="57">
        <v>8.2000000000000003E-2</v>
      </c>
      <c r="Q90" s="57">
        <v>-0.23710000000000001</v>
      </c>
      <c r="R90" s="57">
        <v>2.9100000000000001E-2</v>
      </c>
      <c r="S90" s="57">
        <v>0.13450000000000001</v>
      </c>
      <c r="T90">
        <v>10.199999999999999</v>
      </c>
      <c r="U90">
        <v>28.57</v>
      </c>
      <c r="V90">
        <v>12.24</v>
      </c>
      <c r="W90" s="20">
        <v>60.2578356</v>
      </c>
    </row>
    <row r="91" spans="7:23" x14ac:dyDescent="0.15">
      <c r="G91" s="11">
        <v>90</v>
      </c>
      <c r="H91" t="s">
        <v>501</v>
      </c>
      <c r="I91" t="s">
        <v>17</v>
      </c>
      <c r="J91" t="s">
        <v>1623</v>
      </c>
      <c r="K91" s="61">
        <v>2.7000000000000001E-3</v>
      </c>
      <c r="L91" s="57">
        <v>-2.35E-2</v>
      </c>
      <c r="M91" s="57">
        <v>-2.41E-2</v>
      </c>
      <c r="N91" s="61">
        <v>-2.2200000000000001E-2</v>
      </c>
      <c r="O91" s="57">
        <v>-6.88E-2</v>
      </c>
      <c r="P91" s="57">
        <v>-8.6999999999999994E-3</v>
      </c>
      <c r="Q91" s="57">
        <v>-4.24E-2</v>
      </c>
      <c r="R91" s="57">
        <v>7.3599999999999999E-2</v>
      </c>
      <c r="S91" s="57">
        <v>0.1111</v>
      </c>
      <c r="T91">
        <v>9.18</v>
      </c>
      <c r="U91">
        <v>4.08</v>
      </c>
      <c r="V91">
        <v>34.69</v>
      </c>
      <c r="W91" s="20">
        <v>26327.874100000001</v>
      </c>
    </row>
    <row r="92" spans="7:23" x14ac:dyDescent="0.15">
      <c r="G92" s="11">
        <v>91</v>
      </c>
      <c r="H92" t="s">
        <v>737</v>
      </c>
      <c r="I92" t="s">
        <v>1691</v>
      </c>
      <c r="J92" t="s">
        <v>15</v>
      </c>
      <c r="K92" s="61">
        <v>2.4E-2</v>
      </c>
      <c r="L92" s="57">
        <v>-5.3699999999999998E-2</v>
      </c>
      <c r="M92" s="57">
        <v>-2.6100000000000002E-2</v>
      </c>
      <c r="N92" s="61">
        <v>3.8199999999999998E-2</v>
      </c>
      <c r="O92" s="57">
        <v>-5.9799999999999999E-2</v>
      </c>
      <c r="P92" s="57">
        <v>0.23980000000000001</v>
      </c>
      <c r="Q92" s="57">
        <v>-0.30669999999999997</v>
      </c>
      <c r="R92" s="57">
        <v>-0.25280000000000002</v>
      </c>
      <c r="S92" s="57">
        <v>-1.09E-2</v>
      </c>
      <c r="T92">
        <v>8.16</v>
      </c>
      <c r="U92">
        <v>31.63</v>
      </c>
      <c r="V92">
        <v>5.0999999999999996</v>
      </c>
      <c r="W92" s="20">
        <v>417.31111830000003</v>
      </c>
    </row>
    <row r="93" spans="7:23" x14ac:dyDescent="0.15">
      <c r="G93" s="11">
        <v>92</v>
      </c>
      <c r="H93" t="s">
        <v>255</v>
      </c>
      <c r="I93" t="s">
        <v>26</v>
      </c>
      <c r="J93" t="s">
        <v>15</v>
      </c>
      <c r="K93" s="61">
        <v>1.55E-2</v>
      </c>
      <c r="L93" s="57">
        <v>-4.4600000000000001E-2</v>
      </c>
      <c r="M93" s="57">
        <v>-4.2999999999999997E-2</v>
      </c>
      <c r="N93" s="61">
        <v>0</v>
      </c>
      <c r="O93" s="57">
        <v>1.0500000000000001E-2</v>
      </c>
      <c r="P93" s="57">
        <v>-7.0599999999999996E-2</v>
      </c>
      <c r="Q93" s="57">
        <v>0.26700000000000002</v>
      </c>
      <c r="R93" s="57">
        <v>1.3068</v>
      </c>
      <c r="S93" s="57">
        <v>0.48080000000000001</v>
      </c>
      <c r="T93">
        <v>7.14</v>
      </c>
      <c r="U93">
        <v>27.55</v>
      </c>
      <c r="V93">
        <v>8.16</v>
      </c>
      <c r="W93" s="20">
        <v>11.72064</v>
      </c>
    </row>
    <row r="94" spans="7:23" x14ac:dyDescent="0.15">
      <c r="G94" s="11">
        <v>93</v>
      </c>
      <c r="H94" t="s">
        <v>268</v>
      </c>
      <c r="I94" t="s">
        <v>33</v>
      </c>
      <c r="J94" t="s">
        <v>1624</v>
      </c>
      <c r="K94" s="61">
        <v>8.0999999999999996E-3</v>
      </c>
      <c r="L94" s="57">
        <v>-4.0000000000000002E-4</v>
      </c>
      <c r="M94" s="57">
        <v>1E-4</v>
      </c>
      <c r="N94" s="61">
        <v>-3.1899999999999998E-2</v>
      </c>
      <c r="O94" s="57">
        <v>-4.3E-3</v>
      </c>
      <c r="P94" s="57">
        <v>-0.15079999999999999</v>
      </c>
      <c r="Q94" s="57">
        <v>-2.1700000000000001E-2</v>
      </c>
      <c r="R94" s="57">
        <v>0.66320000000000001</v>
      </c>
      <c r="S94" s="57">
        <v>0.44519999999999998</v>
      </c>
      <c r="T94">
        <v>6.12</v>
      </c>
      <c r="U94">
        <v>1.02</v>
      </c>
      <c r="V94">
        <v>21.43</v>
      </c>
      <c r="W94" s="20">
        <v>2105.1983700000001</v>
      </c>
    </row>
    <row r="95" spans="7:23" x14ac:dyDescent="0.15">
      <c r="G95" s="11">
        <v>94</v>
      </c>
      <c r="H95" t="s">
        <v>256</v>
      </c>
      <c r="I95" t="s">
        <v>20</v>
      </c>
      <c r="J95" t="s">
        <v>15</v>
      </c>
      <c r="K95" s="61">
        <v>1.5100000000000001E-2</v>
      </c>
      <c r="L95" s="57">
        <v>-4.9500000000000002E-2</v>
      </c>
      <c r="M95" s="57">
        <v>-5.9299999999999999E-2</v>
      </c>
      <c r="N95" s="61">
        <v>-1.0800000000000001E-2</v>
      </c>
      <c r="O95" s="57">
        <v>2.53E-2</v>
      </c>
      <c r="P95" s="57">
        <v>-8.2900000000000001E-2</v>
      </c>
      <c r="Q95" s="57">
        <v>0.1948</v>
      </c>
      <c r="R95" s="57">
        <v>0.80689999999999995</v>
      </c>
      <c r="S95" s="57">
        <v>0.53680000000000005</v>
      </c>
      <c r="T95">
        <v>5.0999999999999996</v>
      </c>
      <c r="U95">
        <v>11.22</v>
      </c>
      <c r="V95">
        <v>9.18</v>
      </c>
      <c r="W95" s="20">
        <v>19.977820000000001</v>
      </c>
    </row>
    <row r="96" spans="7:23" x14ac:dyDescent="0.15">
      <c r="G96" s="11">
        <v>95</v>
      </c>
      <c r="H96" t="s">
        <v>733</v>
      </c>
      <c r="I96" t="s">
        <v>16</v>
      </c>
      <c r="J96" t="s">
        <v>15</v>
      </c>
      <c r="K96" s="61">
        <v>1.4800000000000001E-2</v>
      </c>
      <c r="L96" s="57">
        <v>-4.6699999999999998E-2</v>
      </c>
      <c r="M96" s="57">
        <v>-6.9900000000000004E-2</v>
      </c>
      <c r="N96" s="61">
        <v>-1.7399999999999999E-2</v>
      </c>
      <c r="O96" s="57">
        <v>2.5100000000000001E-2</v>
      </c>
      <c r="P96" s="57">
        <v>-7.2800000000000004E-2</v>
      </c>
      <c r="Q96" s="57">
        <v>0.34089999999999998</v>
      </c>
      <c r="R96" s="57">
        <v>1.6114999999999999</v>
      </c>
      <c r="S96" s="57">
        <v>0.31990000000000002</v>
      </c>
      <c r="T96">
        <v>4.08</v>
      </c>
      <c r="U96">
        <v>6.12</v>
      </c>
      <c r="V96">
        <v>11.22</v>
      </c>
      <c r="W96" s="20">
        <v>227.90788420000001</v>
      </c>
    </row>
    <row r="97" spans="7:23" x14ac:dyDescent="0.15">
      <c r="G97" s="11">
        <v>96</v>
      </c>
      <c r="H97" t="s">
        <v>738</v>
      </c>
      <c r="I97" t="s">
        <v>1659</v>
      </c>
      <c r="J97" t="s">
        <v>15</v>
      </c>
      <c r="K97" s="61">
        <v>2.8000000000000001E-2</v>
      </c>
      <c r="L97" s="57">
        <v>-5.5E-2</v>
      </c>
      <c r="M97" s="57">
        <v>-6.9400000000000003E-2</v>
      </c>
      <c r="N97" s="61">
        <v>-1.49E-2</v>
      </c>
      <c r="O97" s="57">
        <v>2.0199999999999999E-2</v>
      </c>
      <c r="P97" s="57">
        <v>-7.1499999999999994E-2</v>
      </c>
      <c r="Q97" s="57">
        <v>0.31369999999999998</v>
      </c>
      <c r="R97" s="57">
        <v>1.5452999999999999</v>
      </c>
      <c r="S97" s="57">
        <v>0.16889999999999999</v>
      </c>
      <c r="T97">
        <v>3.06</v>
      </c>
      <c r="U97">
        <v>8.16</v>
      </c>
      <c r="V97">
        <v>3.06</v>
      </c>
      <c r="W97" s="20">
        <v>303.26119999999997</v>
      </c>
    </row>
    <row r="98" spans="7:23" x14ac:dyDescent="0.15">
      <c r="G98" s="11">
        <v>97</v>
      </c>
      <c r="H98" t="s">
        <v>735</v>
      </c>
      <c r="I98" t="s">
        <v>1658</v>
      </c>
      <c r="J98" t="s">
        <v>15</v>
      </c>
      <c r="K98" s="61">
        <v>2.4400000000000002E-2</v>
      </c>
      <c r="L98" s="57">
        <v>-5.3400000000000003E-2</v>
      </c>
      <c r="M98" s="57">
        <v>-7.0199999999999999E-2</v>
      </c>
      <c r="N98" s="61">
        <v>-1.66E-2</v>
      </c>
      <c r="O98" s="57">
        <v>1.6500000000000001E-2</v>
      </c>
      <c r="P98" s="57">
        <v>-7.9699999999999993E-2</v>
      </c>
      <c r="Q98" s="57">
        <v>0.30109999999999998</v>
      </c>
      <c r="R98" s="57">
        <v>1.5563</v>
      </c>
      <c r="S98" s="57">
        <v>0.15129999999999999</v>
      </c>
      <c r="T98">
        <v>2.04</v>
      </c>
      <c r="U98">
        <v>7.14</v>
      </c>
      <c r="V98">
        <v>4.08</v>
      </c>
      <c r="W98" s="20">
        <v>336.20579300000003</v>
      </c>
    </row>
    <row r="99" spans="7:23" x14ac:dyDescent="0.15">
      <c r="G99" s="11">
        <v>98</v>
      </c>
      <c r="H99" t="s">
        <v>467</v>
      </c>
      <c r="I99" t="s">
        <v>28</v>
      </c>
      <c r="J99" t="s">
        <v>15</v>
      </c>
      <c r="K99" s="61">
        <v>2.18E-2</v>
      </c>
      <c r="L99" s="57">
        <v>-5.7500000000000002E-2</v>
      </c>
      <c r="M99" s="57">
        <v>-7.0900000000000005E-2</v>
      </c>
      <c r="N99" s="61">
        <v>-2.9600000000000001E-2</v>
      </c>
      <c r="O99" s="57">
        <v>1.32E-2</v>
      </c>
      <c r="P99" s="57">
        <v>-7.0900000000000005E-2</v>
      </c>
      <c r="Q99" s="57">
        <v>0.31140000000000001</v>
      </c>
      <c r="R99" s="57">
        <v>1.5642</v>
      </c>
      <c r="S99" s="57">
        <v>0.02</v>
      </c>
      <c r="T99">
        <v>1.02</v>
      </c>
      <c r="U99">
        <v>2.04</v>
      </c>
      <c r="V99">
        <v>6.12</v>
      </c>
      <c r="W99" s="20">
        <v>325.26867279999999</v>
      </c>
    </row>
  </sheetData>
  <autoFilter ref="G1:W99">
    <sortState ref="G2:W99">
      <sortCondition descending="1" ref="T1:T99"/>
    </sortState>
  </autoFilter>
  <phoneticPr fontId="2" type="noConversion"/>
  <hyperlinks>
    <hyperlink ref="Y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24</xdr:col>
                    <xdr:colOff>171450</xdr:colOff>
                    <xdr:row>1</xdr:row>
                    <xdr:rowOff>133350</xdr:rowOff>
                  </from>
                  <to>
                    <xdr:col>25</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abSelected="1" topLeftCell="G1" workbookViewId="0">
      <pane ySplit="1" topLeftCell="A2" activePane="bottomLeft" state="frozen"/>
      <selection pane="bottomLeft" activeCell="AD15" sqref="AD15"/>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64" customWidth="1"/>
    <col min="9" max="9" width="9.625" customWidth="1"/>
    <col min="10" max="10" width="12.375" style="20" customWidth="1"/>
    <col min="11" max="11" width="10.25" customWidth="1"/>
    <col min="14" max="14" width="9" style="57"/>
    <col min="16" max="16" width="9" style="57"/>
    <col min="18" max="18" width="9" style="57"/>
    <col min="21" max="21" width="9" style="57"/>
    <col min="23" max="23" width="9" style="57"/>
  </cols>
  <sheetData>
    <row r="1" spans="1:31" s="21" customFormat="1" ht="50.25" customHeight="1" x14ac:dyDescent="0.15">
      <c r="A1" s="26" t="s">
        <v>253</v>
      </c>
      <c r="B1" s="22" t="s">
        <v>2112</v>
      </c>
      <c r="C1" s="22" t="s">
        <v>2113</v>
      </c>
      <c r="D1" s="22" t="s">
        <v>1611</v>
      </c>
      <c r="E1" s="25"/>
      <c r="F1" s="26" t="s">
        <v>739</v>
      </c>
      <c r="G1" s="23"/>
      <c r="H1" s="65" t="s">
        <v>2111</v>
      </c>
      <c r="I1" s="22" t="s">
        <v>2114</v>
      </c>
      <c r="J1" s="21" t="s">
        <v>2115</v>
      </c>
      <c r="K1" s="21" t="s">
        <v>2116</v>
      </c>
      <c r="L1" s="21" t="s">
        <v>2117</v>
      </c>
      <c r="M1" s="21" t="s">
        <v>2118</v>
      </c>
      <c r="N1" s="66" t="s">
        <v>2119</v>
      </c>
      <c r="O1" s="21" t="s">
        <v>2120</v>
      </c>
      <c r="P1" s="66" t="s">
        <v>2121</v>
      </c>
      <c r="Q1" s="21" t="s">
        <v>2122</v>
      </c>
      <c r="R1" s="66" t="s">
        <v>2123</v>
      </c>
      <c r="S1" s="21" t="s">
        <v>2124</v>
      </c>
      <c r="T1" s="21" t="s">
        <v>2125</v>
      </c>
      <c r="U1" s="66" t="s">
        <v>2126</v>
      </c>
      <c r="V1" s="21" t="s">
        <v>2127</v>
      </c>
      <c r="W1" s="66" t="s">
        <v>2128</v>
      </c>
      <c r="X1" s="21" t="s">
        <v>34</v>
      </c>
      <c r="Y1" s="21" t="s">
        <v>2129</v>
      </c>
      <c r="Z1" s="21" t="s">
        <v>2130</v>
      </c>
      <c r="AA1" s="21" t="s">
        <v>2131</v>
      </c>
      <c r="AB1" s="21" t="s">
        <v>2132</v>
      </c>
      <c r="AC1" s="21" t="s">
        <v>2133</v>
      </c>
      <c r="AE1" s="50" t="s">
        <v>2295</v>
      </c>
    </row>
    <row r="2" spans="1:31" x14ac:dyDescent="0.15">
      <c r="A2">
        <v>1</v>
      </c>
      <c r="B2">
        <v>14</v>
      </c>
      <c r="C2" t="s">
        <v>2264</v>
      </c>
      <c r="D2">
        <f>MATCH(B2,$H$2:$H$4000,0)</f>
        <v>77</v>
      </c>
      <c r="G2" s="11">
        <v>1</v>
      </c>
      <c r="H2" s="64">
        <v>600455</v>
      </c>
      <c r="I2" t="s">
        <v>2134</v>
      </c>
      <c r="J2" s="20" t="s">
        <v>2135</v>
      </c>
      <c r="K2" t="s">
        <v>2136</v>
      </c>
      <c r="L2">
        <v>22.17</v>
      </c>
      <c r="M2">
        <v>177.21</v>
      </c>
      <c r="N2" s="57">
        <v>1.37E-2</v>
      </c>
      <c r="O2">
        <v>13.85</v>
      </c>
      <c r="P2" s="57">
        <v>3.4299999999999997E-2</v>
      </c>
      <c r="Q2">
        <v>1.9400000000000001E-2</v>
      </c>
      <c r="R2" s="57">
        <v>0.1216</v>
      </c>
      <c r="S2">
        <v>0</v>
      </c>
      <c r="T2">
        <v>0</v>
      </c>
      <c r="U2" s="57">
        <v>0.24723000000000001</v>
      </c>
      <c r="V2">
        <v>51.52</v>
      </c>
      <c r="W2" s="57">
        <v>0.51349999999999996</v>
      </c>
      <c r="X2">
        <v>100</v>
      </c>
      <c r="Y2">
        <v>100</v>
      </c>
      <c r="Z2">
        <v>96.65</v>
      </c>
      <c r="AA2">
        <v>35.619999999999997</v>
      </c>
      <c r="AB2">
        <v>91.69</v>
      </c>
      <c r="AC2">
        <v>1</v>
      </c>
    </row>
    <row r="3" spans="1:31" x14ac:dyDescent="0.15">
      <c r="A3">
        <v>2</v>
      </c>
      <c r="B3">
        <v>2836</v>
      </c>
      <c r="C3" t="s">
        <v>2294</v>
      </c>
      <c r="D3">
        <f t="shared" ref="D3:D13" si="0">MATCH(B3,$H$2:$H$4000,0)</f>
        <v>38</v>
      </c>
      <c r="G3" s="11">
        <v>2</v>
      </c>
      <c r="H3" s="64">
        <v>603860</v>
      </c>
      <c r="I3" t="s">
        <v>2137</v>
      </c>
      <c r="J3" s="20" t="s">
        <v>2138</v>
      </c>
      <c r="K3" t="s">
        <v>2139</v>
      </c>
      <c r="L3">
        <v>23.03</v>
      </c>
      <c r="M3">
        <v>417.93</v>
      </c>
      <c r="N3" s="57">
        <v>-7.2099999999999997E-2</v>
      </c>
      <c r="O3">
        <v>15.36</v>
      </c>
      <c r="P3" s="57">
        <v>9.2299999999999993E-2</v>
      </c>
      <c r="Q3">
        <v>2.81E-2</v>
      </c>
      <c r="R3" s="57">
        <v>5.79E-2</v>
      </c>
      <c r="S3">
        <v>0</v>
      </c>
      <c r="T3">
        <v>0</v>
      </c>
      <c r="U3" s="57">
        <v>0.16946</v>
      </c>
      <c r="V3">
        <v>35.65</v>
      </c>
      <c r="W3" s="57">
        <v>0.50319999999999998</v>
      </c>
      <c r="X3">
        <v>99.84</v>
      </c>
      <c r="Y3">
        <v>98.72</v>
      </c>
      <c r="Z3">
        <v>87.54</v>
      </c>
      <c r="AA3">
        <v>55.27</v>
      </c>
      <c r="AB3">
        <v>90.58</v>
      </c>
      <c r="AC3">
        <v>1</v>
      </c>
    </row>
    <row r="4" spans="1:31" x14ac:dyDescent="0.15">
      <c r="A4">
        <v>3</v>
      </c>
      <c r="B4">
        <v>300371</v>
      </c>
      <c r="C4" t="s">
        <v>2263</v>
      </c>
      <c r="D4">
        <f t="shared" si="0"/>
        <v>76</v>
      </c>
      <c r="G4" s="11">
        <v>3</v>
      </c>
      <c r="H4" s="64">
        <v>300789</v>
      </c>
      <c r="I4" t="s">
        <v>2140</v>
      </c>
      <c r="J4" s="20" t="s">
        <v>973</v>
      </c>
      <c r="K4" t="s">
        <v>2141</v>
      </c>
      <c r="L4">
        <v>19.809999999999999</v>
      </c>
      <c r="M4">
        <v>48.93</v>
      </c>
      <c r="N4" s="57">
        <v>-1.5900000000000001E-2</v>
      </c>
      <c r="O4">
        <v>16.53</v>
      </c>
      <c r="P4" s="57">
        <v>2.4799999999999999E-2</v>
      </c>
      <c r="Q4">
        <v>3.3300000000000003E-2</v>
      </c>
      <c r="R4" s="57">
        <v>6.2300000000000001E-2</v>
      </c>
      <c r="S4">
        <v>0</v>
      </c>
      <c r="T4">
        <v>0</v>
      </c>
      <c r="U4" s="57">
        <v>0.15603</v>
      </c>
      <c r="V4">
        <v>30</v>
      </c>
      <c r="W4" s="57">
        <v>0.48270000000000002</v>
      </c>
      <c r="X4">
        <v>99.68</v>
      </c>
      <c r="Y4">
        <v>97.12</v>
      </c>
      <c r="Z4">
        <v>82.43</v>
      </c>
      <c r="AA4">
        <v>63.58</v>
      </c>
      <c r="AB4">
        <v>89.62</v>
      </c>
      <c r="AC4">
        <v>1</v>
      </c>
    </row>
    <row r="5" spans="1:31" x14ac:dyDescent="0.15">
      <c r="A5">
        <v>4</v>
      </c>
      <c r="B5">
        <v>300564</v>
      </c>
      <c r="C5" t="s">
        <v>2235</v>
      </c>
      <c r="D5">
        <f t="shared" si="0"/>
        <v>56</v>
      </c>
      <c r="G5" s="11">
        <v>4</v>
      </c>
      <c r="H5" s="64">
        <v>300899</v>
      </c>
      <c r="I5" t="s">
        <v>2142</v>
      </c>
      <c r="J5" s="20" t="s">
        <v>2143</v>
      </c>
      <c r="K5" t="s">
        <v>2144</v>
      </c>
      <c r="L5">
        <v>22.58</v>
      </c>
      <c r="M5">
        <v>72.260000000000005</v>
      </c>
      <c r="N5" s="57">
        <v>3.0999999999999999E-3</v>
      </c>
      <c r="O5">
        <v>14.4</v>
      </c>
      <c r="P5" s="57">
        <v>1.9099999999999999E-2</v>
      </c>
      <c r="Q5">
        <v>2.29E-2</v>
      </c>
      <c r="R5" s="57">
        <v>2.9700000000000001E-2</v>
      </c>
      <c r="S5">
        <v>0</v>
      </c>
      <c r="T5">
        <v>0</v>
      </c>
      <c r="U5" s="57">
        <v>0.14496999999999999</v>
      </c>
      <c r="V5">
        <v>43.74</v>
      </c>
      <c r="W5" s="57">
        <v>0.37</v>
      </c>
      <c r="X5">
        <v>99.52</v>
      </c>
      <c r="Y5">
        <v>99.68</v>
      </c>
      <c r="Z5">
        <v>80.349999999999994</v>
      </c>
      <c r="AA5">
        <v>44.25</v>
      </c>
      <c r="AB5">
        <v>78.91</v>
      </c>
      <c r="AC5">
        <v>1</v>
      </c>
    </row>
    <row r="6" spans="1:31" x14ac:dyDescent="0.15">
      <c r="A6">
        <v>5</v>
      </c>
      <c r="B6">
        <v>300789</v>
      </c>
      <c r="C6" t="s">
        <v>2140</v>
      </c>
      <c r="D6">
        <f t="shared" si="0"/>
        <v>3</v>
      </c>
      <c r="G6" s="11">
        <v>5</v>
      </c>
      <c r="H6" s="64">
        <v>300929</v>
      </c>
      <c r="I6" t="s">
        <v>2145</v>
      </c>
      <c r="J6" s="20" t="s">
        <v>2143</v>
      </c>
      <c r="K6" t="s">
        <v>2146</v>
      </c>
      <c r="L6">
        <v>12.99</v>
      </c>
      <c r="M6">
        <v>837.45</v>
      </c>
      <c r="N6" s="57">
        <v>3.5099999999999999E-2</v>
      </c>
      <c r="O6">
        <v>17.16</v>
      </c>
      <c r="P6" s="57">
        <v>5.5800000000000002E-2</v>
      </c>
      <c r="Q6">
        <v>4.2900000000000001E-2</v>
      </c>
      <c r="R6" s="57">
        <v>7.0800000000000002E-2</v>
      </c>
      <c r="S6">
        <v>0</v>
      </c>
      <c r="T6">
        <v>0</v>
      </c>
      <c r="U6" s="57">
        <v>0.17233000000000001</v>
      </c>
      <c r="V6">
        <v>23.3</v>
      </c>
      <c r="W6" s="57">
        <v>0.30730000000000002</v>
      </c>
      <c r="X6">
        <v>99.36</v>
      </c>
      <c r="Y6">
        <v>95.53</v>
      </c>
      <c r="Z6">
        <v>88.34</v>
      </c>
      <c r="AA6">
        <v>75.88</v>
      </c>
      <c r="AB6">
        <v>67.25</v>
      </c>
      <c r="AC6">
        <v>1</v>
      </c>
    </row>
    <row r="7" spans="1:31" x14ac:dyDescent="0.15">
      <c r="A7">
        <v>6</v>
      </c>
      <c r="B7">
        <v>300972</v>
      </c>
      <c r="C7" t="s">
        <v>2164</v>
      </c>
      <c r="D7">
        <f t="shared" si="0"/>
        <v>13</v>
      </c>
      <c r="G7" s="11">
        <v>6</v>
      </c>
      <c r="H7" s="64">
        <v>603813</v>
      </c>
      <c r="I7" t="s">
        <v>2147</v>
      </c>
      <c r="J7" s="20" t="s">
        <v>2148</v>
      </c>
      <c r="K7" t="s">
        <v>2149</v>
      </c>
      <c r="L7">
        <v>15.23</v>
      </c>
      <c r="M7">
        <v>67.19</v>
      </c>
      <c r="N7" s="57">
        <v>-8.5000000000000006E-3</v>
      </c>
      <c r="O7">
        <v>16.190000000000001</v>
      </c>
      <c r="P7" s="57">
        <v>1.43E-2</v>
      </c>
      <c r="Q7">
        <v>3.0200000000000001E-2</v>
      </c>
      <c r="R7" s="57">
        <v>6.0600000000000001E-2</v>
      </c>
      <c r="S7">
        <v>0</v>
      </c>
      <c r="T7">
        <v>0</v>
      </c>
      <c r="U7" s="57">
        <v>0.15631</v>
      </c>
      <c r="V7">
        <v>33.15</v>
      </c>
      <c r="W7" s="57">
        <v>0.24</v>
      </c>
      <c r="X7">
        <v>99.2</v>
      </c>
      <c r="Y7">
        <v>97.6</v>
      </c>
      <c r="Z7">
        <v>82.59</v>
      </c>
      <c r="AA7">
        <v>59.74</v>
      </c>
      <c r="AB7">
        <v>50.64</v>
      </c>
      <c r="AC7">
        <v>1</v>
      </c>
    </row>
    <row r="8" spans="1:31" x14ac:dyDescent="0.15">
      <c r="A8">
        <v>8</v>
      </c>
      <c r="B8">
        <v>600083</v>
      </c>
      <c r="C8" t="s">
        <v>2178</v>
      </c>
      <c r="D8">
        <f t="shared" si="0"/>
        <v>18</v>
      </c>
      <c r="G8" s="11">
        <v>7</v>
      </c>
      <c r="H8" s="64">
        <v>603269</v>
      </c>
      <c r="I8" t="s">
        <v>2150</v>
      </c>
      <c r="J8" s="20" t="s">
        <v>2151</v>
      </c>
      <c r="K8" t="s">
        <v>2152</v>
      </c>
      <c r="L8">
        <v>13.78</v>
      </c>
      <c r="M8">
        <v>339.72</v>
      </c>
      <c r="N8" s="57">
        <v>1.6199999999999999E-2</v>
      </c>
      <c r="O8">
        <v>15.51</v>
      </c>
      <c r="P8" s="57">
        <v>2.6499999999999999E-2</v>
      </c>
      <c r="Q8">
        <v>3.7499999999999999E-2</v>
      </c>
      <c r="R8" s="57">
        <v>5.96E-2</v>
      </c>
      <c r="S8">
        <v>0</v>
      </c>
      <c r="T8">
        <v>0</v>
      </c>
      <c r="U8" s="57">
        <v>7.5270000000000004E-2</v>
      </c>
      <c r="V8">
        <v>26.68</v>
      </c>
      <c r="W8" s="57">
        <v>0.2671</v>
      </c>
      <c r="X8">
        <v>99.04</v>
      </c>
      <c r="Y8">
        <v>98.56</v>
      </c>
      <c r="Z8">
        <v>52.72</v>
      </c>
      <c r="AA8">
        <v>69.650000000000006</v>
      </c>
      <c r="AB8">
        <v>58.63</v>
      </c>
      <c r="AC8">
        <v>1</v>
      </c>
    </row>
    <row r="9" spans="1:31" x14ac:dyDescent="0.15">
      <c r="A9">
        <v>9</v>
      </c>
      <c r="B9">
        <v>600319</v>
      </c>
      <c r="C9" t="s">
        <v>2286</v>
      </c>
      <c r="D9">
        <f t="shared" si="0"/>
        <v>95</v>
      </c>
      <c r="G9" s="11">
        <v>8</v>
      </c>
      <c r="H9" s="64">
        <v>1211</v>
      </c>
      <c r="I9" t="s">
        <v>2153</v>
      </c>
      <c r="J9" s="20" t="s">
        <v>2154</v>
      </c>
      <c r="K9" t="s">
        <v>2155</v>
      </c>
      <c r="L9">
        <v>22.47</v>
      </c>
      <c r="M9">
        <v>76</v>
      </c>
      <c r="N9" s="57">
        <v>-1.01E-2</v>
      </c>
      <c r="O9">
        <v>16.18</v>
      </c>
      <c r="P9" s="57">
        <v>1.72E-2</v>
      </c>
      <c r="Q9">
        <v>2.7900000000000001E-2</v>
      </c>
      <c r="R9" s="57">
        <v>3.32E-2</v>
      </c>
      <c r="S9">
        <v>0</v>
      </c>
      <c r="T9">
        <v>0</v>
      </c>
      <c r="U9" s="57">
        <v>7.1540000000000006E-2</v>
      </c>
      <c r="V9">
        <v>35.79</v>
      </c>
      <c r="W9" s="57">
        <v>0.35620000000000002</v>
      </c>
      <c r="X9">
        <v>98.88</v>
      </c>
      <c r="Y9">
        <v>97.76</v>
      </c>
      <c r="Z9">
        <v>50.8</v>
      </c>
      <c r="AA9">
        <v>55.11</v>
      </c>
      <c r="AB9">
        <v>76.2</v>
      </c>
    </row>
    <row r="10" spans="1:31" x14ac:dyDescent="0.15">
      <c r="A10">
        <v>10</v>
      </c>
      <c r="B10">
        <v>600455</v>
      </c>
      <c r="C10" t="s">
        <v>2134</v>
      </c>
      <c r="D10">
        <f t="shared" si="0"/>
        <v>1</v>
      </c>
      <c r="G10" s="11">
        <v>9</v>
      </c>
      <c r="H10" s="64">
        <v>2830</v>
      </c>
      <c r="I10" t="s">
        <v>2156</v>
      </c>
      <c r="J10" s="20" t="s">
        <v>2138</v>
      </c>
      <c r="K10" t="s">
        <v>2157</v>
      </c>
      <c r="L10">
        <v>12.27</v>
      </c>
      <c r="M10">
        <v>134.47</v>
      </c>
      <c r="N10" s="57">
        <v>-2.3999999999999998E-3</v>
      </c>
      <c r="O10">
        <v>16.36</v>
      </c>
      <c r="P10" s="57">
        <v>1.7100000000000001E-2</v>
      </c>
      <c r="Q10">
        <v>1.72E-2</v>
      </c>
      <c r="R10" s="57">
        <v>4.3999999999999997E-2</v>
      </c>
      <c r="S10">
        <v>0</v>
      </c>
      <c r="T10">
        <v>0</v>
      </c>
      <c r="U10" s="57">
        <v>0.15412999999999999</v>
      </c>
      <c r="V10">
        <v>58.02</v>
      </c>
      <c r="W10" s="57">
        <v>0.31540000000000001</v>
      </c>
      <c r="X10">
        <v>98.72</v>
      </c>
      <c r="Y10">
        <v>97.28</v>
      </c>
      <c r="Z10">
        <v>81.47</v>
      </c>
      <c r="AA10">
        <v>30.03</v>
      </c>
      <c r="AB10">
        <v>69.489999999999995</v>
      </c>
      <c r="AC10">
        <v>1</v>
      </c>
    </row>
    <row r="11" spans="1:31" x14ac:dyDescent="0.15">
      <c r="A11">
        <v>11</v>
      </c>
      <c r="B11">
        <v>603037</v>
      </c>
      <c r="C11" t="s">
        <v>2158</v>
      </c>
      <c r="D11">
        <f t="shared" si="0"/>
        <v>10</v>
      </c>
      <c r="G11" s="11">
        <v>10</v>
      </c>
      <c r="H11" s="64">
        <v>603037</v>
      </c>
      <c r="I11" t="s">
        <v>2158</v>
      </c>
      <c r="J11" s="20" t="s">
        <v>2159</v>
      </c>
      <c r="K11" t="s">
        <v>2160</v>
      </c>
      <c r="L11">
        <v>16.96</v>
      </c>
      <c r="M11">
        <v>105.39</v>
      </c>
      <c r="N11" s="57">
        <v>1.01E-2</v>
      </c>
      <c r="O11">
        <v>17.79</v>
      </c>
      <c r="P11" s="57">
        <v>2.5600000000000001E-2</v>
      </c>
      <c r="Q11">
        <v>4.0099999999999997E-2</v>
      </c>
      <c r="R11" s="57">
        <v>7.7100000000000002E-2</v>
      </c>
      <c r="S11">
        <v>0</v>
      </c>
      <c r="T11">
        <v>0</v>
      </c>
      <c r="U11" s="57">
        <v>0.11952</v>
      </c>
      <c r="V11">
        <v>24.96</v>
      </c>
      <c r="W11" s="57">
        <v>0.34179999999999999</v>
      </c>
      <c r="X11">
        <v>98.56</v>
      </c>
      <c r="Y11">
        <v>93.45</v>
      </c>
      <c r="Z11">
        <v>72.2</v>
      </c>
      <c r="AA11">
        <v>73</v>
      </c>
      <c r="AB11">
        <v>74.28</v>
      </c>
    </row>
    <row r="12" spans="1:31" x14ac:dyDescent="0.15">
      <c r="G12" s="11">
        <v>11</v>
      </c>
      <c r="H12" s="64">
        <v>300823</v>
      </c>
      <c r="I12" t="s">
        <v>2161</v>
      </c>
      <c r="J12" s="20" t="s">
        <v>2151</v>
      </c>
      <c r="K12" t="s">
        <v>2162</v>
      </c>
      <c r="L12">
        <v>17.97</v>
      </c>
      <c r="M12">
        <v>90.9</v>
      </c>
      <c r="N12" s="57">
        <v>-2.4400000000000002E-2</v>
      </c>
      <c r="O12">
        <v>16.809999999999999</v>
      </c>
      <c r="P12" s="57">
        <v>3.5799999999999998E-2</v>
      </c>
      <c r="Q12">
        <v>3.0700000000000002E-2</v>
      </c>
      <c r="R12" s="57">
        <v>5.0799999999999998E-2</v>
      </c>
      <c r="S12">
        <v>0</v>
      </c>
      <c r="T12">
        <v>0</v>
      </c>
      <c r="U12" s="57">
        <v>6.1940000000000002E-2</v>
      </c>
      <c r="V12">
        <v>32.61</v>
      </c>
      <c r="W12" s="57">
        <v>0.39219999999999999</v>
      </c>
      <c r="X12">
        <v>98.4</v>
      </c>
      <c r="Y12">
        <v>96.49</v>
      </c>
      <c r="Z12">
        <v>44.25</v>
      </c>
      <c r="AA12">
        <v>60.38</v>
      </c>
      <c r="AB12">
        <v>81.790000000000006</v>
      </c>
    </row>
    <row r="13" spans="1:31" x14ac:dyDescent="0.15">
      <c r="G13" s="11">
        <v>12</v>
      </c>
      <c r="H13" s="64">
        <v>301079</v>
      </c>
      <c r="I13" t="s">
        <v>2163</v>
      </c>
      <c r="J13" s="20" t="s">
        <v>2151</v>
      </c>
      <c r="K13" t="s">
        <v>2152</v>
      </c>
      <c r="L13">
        <v>20.079999999999998</v>
      </c>
      <c r="M13">
        <v>82.36</v>
      </c>
      <c r="N13" s="57">
        <v>-1.2800000000000001E-2</v>
      </c>
      <c r="O13">
        <v>16.850000000000001</v>
      </c>
      <c r="P13" s="57">
        <v>3.15E-2</v>
      </c>
      <c r="Q13">
        <v>2.5899999999999999E-2</v>
      </c>
      <c r="R13" s="57">
        <v>7.1400000000000005E-2</v>
      </c>
      <c r="S13">
        <v>0</v>
      </c>
      <c r="T13">
        <v>0</v>
      </c>
      <c r="U13" s="57">
        <v>0.11638</v>
      </c>
      <c r="V13">
        <v>38.56</v>
      </c>
      <c r="W13" s="57">
        <v>0.26</v>
      </c>
      <c r="X13">
        <v>98.24</v>
      </c>
      <c r="Y13">
        <v>96.01</v>
      </c>
      <c r="Z13">
        <v>70.290000000000006</v>
      </c>
      <c r="AA13">
        <v>49.84</v>
      </c>
      <c r="AB13">
        <v>56.71</v>
      </c>
    </row>
    <row r="14" spans="1:31" x14ac:dyDescent="0.15">
      <c r="G14" s="11">
        <v>13</v>
      </c>
      <c r="H14" s="64">
        <v>300972</v>
      </c>
      <c r="I14" t="s">
        <v>2164</v>
      </c>
      <c r="J14" s="20" t="s">
        <v>2165</v>
      </c>
      <c r="K14" t="s">
        <v>2166</v>
      </c>
      <c r="L14">
        <v>12</v>
      </c>
      <c r="M14">
        <v>255.34</v>
      </c>
      <c r="N14" s="57">
        <v>-2.0400000000000001E-2</v>
      </c>
      <c r="O14">
        <v>18.420000000000002</v>
      </c>
      <c r="P14" s="57">
        <v>2.4500000000000001E-2</v>
      </c>
      <c r="Q14">
        <v>4.4900000000000002E-2</v>
      </c>
      <c r="R14" s="57">
        <v>0.1045</v>
      </c>
      <c r="S14">
        <v>0</v>
      </c>
      <c r="T14">
        <v>0</v>
      </c>
      <c r="U14" s="57">
        <v>0.26264999999999999</v>
      </c>
      <c r="V14">
        <v>22.29</v>
      </c>
      <c r="W14" s="57">
        <v>0.20349999999999999</v>
      </c>
      <c r="X14">
        <v>98.08</v>
      </c>
      <c r="Y14">
        <v>90.89</v>
      </c>
      <c r="Z14">
        <v>97.28</v>
      </c>
      <c r="AA14">
        <v>78.27</v>
      </c>
      <c r="AB14">
        <v>40.89</v>
      </c>
    </row>
    <row r="15" spans="1:31" x14ac:dyDescent="0.15">
      <c r="G15" s="11">
        <v>14</v>
      </c>
      <c r="H15" s="64">
        <v>600883</v>
      </c>
      <c r="I15" t="s">
        <v>2167</v>
      </c>
      <c r="J15" s="20" t="s">
        <v>2168</v>
      </c>
      <c r="K15" t="s">
        <v>2169</v>
      </c>
      <c r="L15">
        <v>7.6</v>
      </c>
      <c r="M15">
        <v>238.9</v>
      </c>
      <c r="N15" s="57">
        <v>-6.4999999999999997E-3</v>
      </c>
      <c r="O15">
        <v>17.940000000000001</v>
      </c>
      <c r="P15" s="57">
        <v>2.0899999999999998E-2</v>
      </c>
      <c r="Q15">
        <v>4.4299999999999999E-2</v>
      </c>
      <c r="R15" s="57">
        <v>0.1186</v>
      </c>
      <c r="S15">
        <v>0</v>
      </c>
      <c r="T15">
        <v>0</v>
      </c>
      <c r="U15" s="57">
        <v>0.22517999999999999</v>
      </c>
      <c r="V15">
        <v>22.58</v>
      </c>
      <c r="W15" s="57">
        <v>-2.47E-2</v>
      </c>
      <c r="X15">
        <v>97.92</v>
      </c>
      <c r="Y15">
        <v>93.13</v>
      </c>
      <c r="Z15">
        <v>95.37</v>
      </c>
      <c r="AA15">
        <v>77.8</v>
      </c>
      <c r="AB15">
        <v>0.32</v>
      </c>
    </row>
    <row r="16" spans="1:31" x14ac:dyDescent="0.15">
      <c r="G16" s="11">
        <v>15</v>
      </c>
      <c r="H16" s="64">
        <v>300923</v>
      </c>
      <c r="I16" t="s">
        <v>2170</v>
      </c>
      <c r="J16" s="20" t="s">
        <v>2151</v>
      </c>
      <c r="K16" t="s">
        <v>2171</v>
      </c>
      <c r="L16">
        <v>21.43</v>
      </c>
      <c r="M16">
        <v>45.11</v>
      </c>
      <c r="N16" s="57">
        <v>-1.06E-2</v>
      </c>
      <c r="O16">
        <v>16.84</v>
      </c>
      <c r="P16" s="57">
        <v>2.0299999999999999E-2</v>
      </c>
      <c r="Q16">
        <v>3.5499999999999997E-2</v>
      </c>
      <c r="R16" s="57">
        <v>3.5000000000000003E-2</v>
      </c>
      <c r="S16">
        <v>0</v>
      </c>
      <c r="T16">
        <v>0</v>
      </c>
      <c r="U16" s="57">
        <v>5.7149999999999999E-2</v>
      </c>
      <c r="V16">
        <v>28.16</v>
      </c>
      <c r="W16" s="57">
        <v>0.28339999999999999</v>
      </c>
      <c r="X16">
        <v>97.76</v>
      </c>
      <c r="Y16">
        <v>96.17</v>
      </c>
      <c r="Z16">
        <v>41.85</v>
      </c>
      <c r="AA16">
        <v>66.930000000000007</v>
      </c>
      <c r="AB16">
        <v>62.46</v>
      </c>
    </row>
    <row r="17" spans="7:28" x14ac:dyDescent="0.15">
      <c r="G17" s="11">
        <v>16</v>
      </c>
      <c r="H17" s="64">
        <v>586</v>
      </c>
      <c r="I17" t="s">
        <v>2172</v>
      </c>
      <c r="J17" s="20" t="s">
        <v>2173</v>
      </c>
      <c r="K17" t="s">
        <v>2174</v>
      </c>
      <c r="L17">
        <v>8.6199999999999992</v>
      </c>
      <c r="M17">
        <v>533.35</v>
      </c>
      <c r="N17" s="57">
        <v>-1.15E-2</v>
      </c>
      <c r="O17">
        <v>16.670000000000002</v>
      </c>
      <c r="P17" s="57">
        <v>2.75E-2</v>
      </c>
      <c r="Q17">
        <v>1.34E-2</v>
      </c>
      <c r="R17" s="57">
        <v>6.2399999999999997E-2</v>
      </c>
      <c r="S17">
        <v>0</v>
      </c>
      <c r="T17">
        <v>0</v>
      </c>
      <c r="U17" s="57">
        <v>0.16805999999999999</v>
      </c>
      <c r="V17">
        <v>74.38</v>
      </c>
      <c r="W17" s="57">
        <v>0.245</v>
      </c>
      <c r="X17">
        <v>97.6</v>
      </c>
      <c r="Y17">
        <v>96.65</v>
      </c>
      <c r="Z17">
        <v>86.9</v>
      </c>
      <c r="AA17">
        <v>21.57</v>
      </c>
      <c r="AB17">
        <v>52.24</v>
      </c>
    </row>
    <row r="18" spans="7:28" x14ac:dyDescent="0.15">
      <c r="G18" s="11">
        <v>17</v>
      </c>
      <c r="H18" s="64">
        <v>691</v>
      </c>
      <c r="I18" t="s">
        <v>2175</v>
      </c>
      <c r="J18" s="20" t="s">
        <v>2176</v>
      </c>
      <c r="K18" t="s">
        <v>2177</v>
      </c>
      <c r="L18">
        <v>4.7300000000000004</v>
      </c>
      <c r="M18">
        <v>692.15</v>
      </c>
      <c r="N18" s="57">
        <v>4.1999999999999997E-3</v>
      </c>
      <c r="O18">
        <v>15.29</v>
      </c>
      <c r="P18" s="57">
        <v>2.76E-2</v>
      </c>
      <c r="Q18">
        <v>1.8E-3</v>
      </c>
      <c r="R18" s="57">
        <v>3.3E-3</v>
      </c>
      <c r="S18">
        <v>0</v>
      </c>
      <c r="T18">
        <v>0</v>
      </c>
      <c r="U18" s="57">
        <v>0.22741</v>
      </c>
      <c r="V18">
        <v>552.25</v>
      </c>
      <c r="W18" s="57">
        <v>0.14879999999999999</v>
      </c>
      <c r="X18">
        <v>97.44</v>
      </c>
      <c r="Y18">
        <v>99.04</v>
      </c>
      <c r="Z18">
        <v>95.69</v>
      </c>
      <c r="AA18">
        <v>1.1200000000000001</v>
      </c>
      <c r="AB18">
        <v>26.36</v>
      </c>
    </row>
    <row r="19" spans="7:28" x14ac:dyDescent="0.15">
      <c r="G19" s="11">
        <v>18</v>
      </c>
      <c r="H19" s="64">
        <v>600083</v>
      </c>
      <c r="I19" t="s">
        <v>2178</v>
      </c>
      <c r="J19" s="20" t="s">
        <v>2179</v>
      </c>
      <c r="K19" t="s">
        <v>2179</v>
      </c>
      <c r="L19">
        <v>8.11</v>
      </c>
      <c r="M19">
        <v>300.77</v>
      </c>
      <c r="N19" s="57">
        <v>-1.7000000000000001E-2</v>
      </c>
      <c r="O19">
        <v>18.649999999999999</v>
      </c>
      <c r="P19" s="57">
        <v>3.5200000000000002E-2</v>
      </c>
      <c r="Q19">
        <v>4.0800000000000003E-2</v>
      </c>
      <c r="R19" s="57">
        <v>0.66290000000000004</v>
      </c>
      <c r="S19">
        <v>0</v>
      </c>
      <c r="T19">
        <v>0</v>
      </c>
      <c r="U19" s="57">
        <v>0.48842999999999998</v>
      </c>
      <c r="V19">
        <v>24.51</v>
      </c>
      <c r="W19" s="57">
        <v>0.25490000000000002</v>
      </c>
      <c r="X19">
        <v>97.28</v>
      </c>
      <c r="Y19">
        <v>89.78</v>
      </c>
      <c r="Z19">
        <v>99.52</v>
      </c>
      <c r="AA19">
        <v>73.48</v>
      </c>
      <c r="AB19">
        <v>54.95</v>
      </c>
    </row>
    <row r="20" spans="7:28" x14ac:dyDescent="0.15">
      <c r="G20" s="11">
        <v>19</v>
      </c>
      <c r="H20" s="64">
        <v>300826</v>
      </c>
      <c r="I20" t="s">
        <v>2180</v>
      </c>
      <c r="J20" s="20" t="s">
        <v>2138</v>
      </c>
      <c r="K20" t="s">
        <v>2181</v>
      </c>
      <c r="L20">
        <v>12.68</v>
      </c>
      <c r="M20">
        <v>90.73</v>
      </c>
      <c r="N20" s="57">
        <v>-3.8999999999999998E-3</v>
      </c>
      <c r="O20">
        <v>18.46</v>
      </c>
      <c r="P20" s="57">
        <v>1.5699999999999999E-2</v>
      </c>
      <c r="Q20">
        <v>3.7499999999999999E-2</v>
      </c>
      <c r="R20" s="57">
        <v>5.7700000000000001E-2</v>
      </c>
      <c r="S20">
        <v>0</v>
      </c>
      <c r="T20">
        <v>0</v>
      </c>
      <c r="U20" s="57">
        <v>0.16900999999999999</v>
      </c>
      <c r="V20">
        <v>26.7</v>
      </c>
      <c r="W20" s="57">
        <v>0.33600000000000002</v>
      </c>
      <c r="X20">
        <v>97.12</v>
      </c>
      <c r="Y20">
        <v>90.42</v>
      </c>
      <c r="Z20">
        <v>87.22</v>
      </c>
      <c r="AA20">
        <v>69.489999999999995</v>
      </c>
      <c r="AB20">
        <v>73</v>
      </c>
    </row>
    <row r="21" spans="7:28" x14ac:dyDescent="0.15">
      <c r="G21" s="11">
        <v>20</v>
      </c>
      <c r="H21" s="64">
        <v>600493</v>
      </c>
      <c r="I21" t="s">
        <v>2182</v>
      </c>
      <c r="J21" s="20" t="s">
        <v>2183</v>
      </c>
      <c r="K21" t="s">
        <v>2184</v>
      </c>
      <c r="L21">
        <v>5.62</v>
      </c>
      <c r="M21">
        <v>323.77</v>
      </c>
      <c r="N21" s="57">
        <v>-5.3E-3</v>
      </c>
      <c r="O21">
        <v>15.29</v>
      </c>
      <c r="P21" s="57">
        <v>1.4200000000000001E-2</v>
      </c>
      <c r="Q21">
        <v>1.78E-2</v>
      </c>
      <c r="R21" s="57">
        <v>1.4E-2</v>
      </c>
      <c r="S21">
        <v>0</v>
      </c>
      <c r="T21">
        <v>0</v>
      </c>
      <c r="U21" s="57">
        <v>9.4149999999999998E-2</v>
      </c>
      <c r="V21">
        <v>56.2</v>
      </c>
      <c r="W21" s="57">
        <v>0.13730000000000001</v>
      </c>
      <c r="X21">
        <v>96.96</v>
      </c>
      <c r="Y21">
        <v>99.2</v>
      </c>
      <c r="Z21">
        <v>60.86</v>
      </c>
      <c r="AA21">
        <v>31.95</v>
      </c>
      <c r="AB21">
        <v>23.64</v>
      </c>
    </row>
    <row r="22" spans="7:28" x14ac:dyDescent="0.15">
      <c r="G22" s="11">
        <v>21</v>
      </c>
      <c r="H22" s="64">
        <v>300854</v>
      </c>
      <c r="I22" t="s">
        <v>2185</v>
      </c>
      <c r="J22" s="20" t="s">
        <v>2143</v>
      </c>
      <c r="K22" t="s">
        <v>2144</v>
      </c>
      <c r="L22">
        <v>17.62</v>
      </c>
      <c r="M22">
        <v>69.62</v>
      </c>
      <c r="N22" s="57">
        <v>-2.3E-3</v>
      </c>
      <c r="O22">
        <v>17.46</v>
      </c>
      <c r="P22" s="57">
        <v>1.2500000000000001E-2</v>
      </c>
      <c r="Q22">
        <v>2.3900000000000001E-2</v>
      </c>
      <c r="R22" s="57">
        <v>5.7799999999999997E-2</v>
      </c>
      <c r="S22">
        <v>0</v>
      </c>
      <c r="T22">
        <v>0</v>
      </c>
      <c r="U22" s="57">
        <v>0.128</v>
      </c>
      <c r="V22">
        <v>41.76</v>
      </c>
      <c r="W22" s="57">
        <v>0.25929999999999997</v>
      </c>
      <c r="X22">
        <v>96.81</v>
      </c>
      <c r="Y22">
        <v>94.57</v>
      </c>
      <c r="Z22">
        <v>75.08</v>
      </c>
      <c r="AA22">
        <v>46.65</v>
      </c>
      <c r="AB22">
        <v>56.07</v>
      </c>
    </row>
    <row r="23" spans="7:28" x14ac:dyDescent="0.15">
      <c r="G23" s="11">
        <v>22</v>
      </c>
      <c r="H23" s="64">
        <v>300626</v>
      </c>
      <c r="I23" t="s">
        <v>2186</v>
      </c>
      <c r="J23" s="20" t="s">
        <v>2187</v>
      </c>
      <c r="K23" t="s">
        <v>2188</v>
      </c>
      <c r="L23">
        <v>8.75</v>
      </c>
      <c r="M23">
        <v>157.53</v>
      </c>
      <c r="N23" s="57">
        <v>-4.5999999999999999E-3</v>
      </c>
      <c r="O23">
        <v>15.75</v>
      </c>
      <c r="P23" s="57">
        <v>1.14E-2</v>
      </c>
      <c r="Q23">
        <v>2.1700000000000001E-2</v>
      </c>
      <c r="R23" s="57">
        <v>5.4199999999999998E-2</v>
      </c>
      <c r="S23">
        <v>0</v>
      </c>
      <c r="T23">
        <v>0</v>
      </c>
      <c r="U23" s="57">
        <v>8.3290000000000003E-2</v>
      </c>
      <c r="V23">
        <v>46.07</v>
      </c>
      <c r="W23" s="57">
        <v>0.17319999999999999</v>
      </c>
      <c r="X23">
        <v>96.65</v>
      </c>
      <c r="Y23">
        <v>98.24</v>
      </c>
      <c r="Z23">
        <v>55.27</v>
      </c>
      <c r="AA23">
        <v>40.58</v>
      </c>
      <c r="AB23">
        <v>33.229999999999997</v>
      </c>
    </row>
    <row r="24" spans="7:28" x14ac:dyDescent="0.15">
      <c r="G24" s="11">
        <v>23</v>
      </c>
      <c r="H24" s="64">
        <v>300717</v>
      </c>
      <c r="I24" t="s">
        <v>2189</v>
      </c>
      <c r="J24" s="20" t="s">
        <v>2190</v>
      </c>
      <c r="K24" t="s">
        <v>2191</v>
      </c>
      <c r="L24">
        <v>15.36</v>
      </c>
      <c r="M24">
        <v>205.75</v>
      </c>
      <c r="N24" s="57">
        <v>2E-3</v>
      </c>
      <c r="O24">
        <v>15.79</v>
      </c>
      <c r="P24" s="57">
        <v>3.3300000000000003E-2</v>
      </c>
      <c r="Q24">
        <v>2.53E-2</v>
      </c>
      <c r="R24" s="57">
        <v>6.1400000000000003E-2</v>
      </c>
      <c r="S24">
        <v>0</v>
      </c>
      <c r="T24">
        <v>0</v>
      </c>
      <c r="U24" s="57">
        <v>5.525E-2</v>
      </c>
      <c r="V24">
        <v>39.51</v>
      </c>
      <c r="W24" s="57">
        <v>0.21879999999999999</v>
      </c>
      <c r="X24">
        <v>96.49</v>
      </c>
      <c r="Y24">
        <v>98.08</v>
      </c>
      <c r="Z24">
        <v>40.729999999999997</v>
      </c>
      <c r="AA24">
        <v>49.2</v>
      </c>
      <c r="AB24">
        <v>44.73</v>
      </c>
    </row>
    <row r="25" spans="7:28" x14ac:dyDescent="0.15">
      <c r="G25" s="11">
        <v>24</v>
      </c>
      <c r="H25" s="64">
        <v>300669</v>
      </c>
      <c r="I25" t="s">
        <v>2192</v>
      </c>
      <c r="J25" s="20" t="s">
        <v>2151</v>
      </c>
      <c r="K25" t="s">
        <v>2162</v>
      </c>
      <c r="L25">
        <v>8.83</v>
      </c>
      <c r="M25">
        <v>305.54000000000002</v>
      </c>
      <c r="N25" s="57">
        <v>-2.1100000000000001E-2</v>
      </c>
      <c r="O25">
        <v>17.02</v>
      </c>
      <c r="P25" s="57">
        <v>3.9899999999999998E-2</v>
      </c>
      <c r="Q25">
        <v>2.98E-2</v>
      </c>
      <c r="R25" s="57">
        <v>5.6000000000000001E-2</v>
      </c>
      <c r="S25">
        <v>0</v>
      </c>
      <c r="T25">
        <v>0</v>
      </c>
      <c r="U25" s="57">
        <v>6.8779999999999994E-2</v>
      </c>
      <c r="V25">
        <v>33.57</v>
      </c>
      <c r="W25" s="57">
        <v>0.25509999999999999</v>
      </c>
      <c r="X25">
        <v>96.33</v>
      </c>
      <c r="Y25">
        <v>95.69</v>
      </c>
      <c r="Z25">
        <v>48.88</v>
      </c>
      <c r="AA25">
        <v>58.79</v>
      </c>
      <c r="AB25">
        <v>55.11</v>
      </c>
    </row>
    <row r="26" spans="7:28" x14ac:dyDescent="0.15">
      <c r="G26" s="11">
        <v>25</v>
      </c>
      <c r="H26" s="64">
        <v>603320</v>
      </c>
      <c r="I26" t="s">
        <v>2193</v>
      </c>
      <c r="J26" s="20" t="s">
        <v>2187</v>
      </c>
      <c r="K26" t="s">
        <v>2188</v>
      </c>
      <c r="L26">
        <v>12.77</v>
      </c>
      <c r="M26">
        <v>108.78</v>
      </c>
      <c r="N26" s="57">
        <v>-8.5000000000000006E-3</v>
      </c>
      <c r="O26">
        <v>16.600000000000001</v>
      </c>
      <c r="P26" s="57">
        <v>2.0199999999999999E-2</v>
      </c>
      <c r="Q26">
        <v>2.87E-2</v>
      </c>
      <c r="R26" s="57">
        <v>4.48E-2</v>
      </c>
      <c r="S26">
        <v>0</v>
      </c>
      <c r="T26">
        <v>0</v>
      </c>
      <c r="U26" s="57">
        <v>8.3599999999999994E-2</v>
      </c>
      <c r="V26">
        <v>34.79</v>
      </c>
      <c r="W26" s="57">
        <v>0.11849999999999999</v>
      </c>
      <c r="X26">
        <v>96.17</v>
      </c>
      <c r="Y26">
        <v>96.96</v>
      </c>
      <c r="Z26">
        <v>55.43</v>
      </c>
      <c r="AA26">
        <v>56.71</v>
      </c>
      <c r="AB26">
        <v>18.37</v>
      </c>
    </row>
    <row r="27" spans="7:28" x14ac:dyDescent="0.15">
      <c r="G27" s="11">
        <v>26</v>
      </c>
      <c r="H27" s="64">
        <v>603196</v>
      </c>
      <c r="I27" t="s">
        <v>2194</v>
      </c>
      <c r="J27" s="20" t="s">
        <v>2183</v>
      </c>
      <c r="K27" t="s">
        <v>2195</v>
      </c>
      <c r="L27">
        <v>7.6</v>
      </c>
      <c r="M27">
        <v>671.95</v>
      </c>
      <c r="N27" s="57">
        <v>-2.5600000000000001E-2</v>
      </c>
      <c r="O27">
        <v>18.23</v>
      </c>
      <c r="P27" s="57">
        <v>4.2299999999999997E-2</v>
      </c>
      <c r="Q27">
        <v>2.75E-2</v>
      </c>
      <c r="R27" s="57">
        <v>4.1500000000000002E-2</v>
      </c>
      <c r="S27">
        <v>0</v>
      </c>
      <c r="T27">
        <v>0</v>
      </c>
      <c r="U27" s="57">
        <v>0.11075</v>
      </c>
      <c r="V27">
        <v>36.4</v>
      </c>
      <c r="W27" s="57">
        <v>0.54669999999999996</v>
      </c>
      <c r="X27">
        <v>96.01</v>
      </c>
      <c r="Y27">
        <v>92.01</v>
      </c>
      <c r="Z27">
        <v>67.89</v>
      </c>
      <c r="AA27">
        <v>53.67</v>
      </c>
      <c r="AB27">
        <v>93.29</v>
      </c>
    </row>
    <row r="28" spans="7:28" x14ac:dyDescent="0.15">
      <c r="G28" s="11">
        <v>27</v>
      </c>
      <c r="H28" s="64">
        <v>2193</v>
      </c>
      <c r="I28" t="s">
        <v>2196</v>
      </c>
      <c r="J28" s="20" t="s">
        <v>2183</v>
      </c>
      <c r="K28" t="s">
        <v>2184</v>
      </c>
      <c r="L28">
        <v>6.78</v>
      </c>
      <c r="M28">
        <v>3950.2</v>
      </c>
      <c r="N28" s="57">
        <v>-6.7400000000000002E-2</v>
      </c>
      <c r="O28">
        <v>17.739999999999998</v>
      </c>
      <c r="P28" s="57">
        <v>0.15409999999999999</v>
      </c>
      <c r="Q28">
        <v>3.4700000000000002E-2</v>
      </c>
      <c r="R28" s="57">
        <v>1.9900000000000001E-2</v>
      </c>
      <c r="S28">
        <v>0</v>
      </c>
      <c r="T28">
        <v>0</v>
      </c>
      <c r="U28" s="57">
        <v>6.966E-2</v>
      </c>
      <c r="V28">
        <v>28.85</v>
      </c>
      <c r="W28" s="57">
        <v>0.28110000000000002</v>
      </c>
      <c r="X28">
        <v>95.85</v>
      </c>
      <c r="Y28">
        <v>93.61</v>
      </c>
      <c r="Z28">
        <v>49.52</v>
      </c>
      <c r="AA28">
        <v>65.5</v>
      </c>
      <c r="AB28">
        <v>61.82</v>
      </c>
    </row>
    <row r="29" spans="7:28" x14ac:dyDescent="0.15">
      <c r="G29" s="11">
        <v>28</v>
      </c>
      <c r="H29" s="64">
        <v>600137</v>
      </c>
      <c r="I29" t="s">
        <v>2197</v>
      </c>
      <c r="J29" s="20" t="s">
        <v>2183</v>
      </c>
      <c r="K29" t="s">
        <v>2195</v>
      </c>
      <c r="L29">
        <v>15.14</v>
      </c>
      <c r="M29">
        <v>113.03</v>
      </c>
      <c r="N29" s="57">
        <v>-1.0500000000000001E-2</v>
      </c>
      <c r="O29">
        <v>14.72</v>
      </c>
      <c r="P29" s="57">
        <v>1.83E-2</v>
      </c>
      <c r="Q29">
        <v>9.5999999999999992E-3</v>
      </c>
      <c r="R29" s="57">
        <v>1.8599999999999998E-2</v>
      </c>
      <c r="S29">
        <v>0</v>
      </c>
      <c r="T29">
        <v>0</v>
      </c>
      <c r="U29" s="57">
        <v>9.0660000000000004E-2</v>
      </c>
      <c r="V29">
        <v>104.51</v>
      </c>
      <c r="W29" s="57">
        <v>0.16520000000000001</v>
      </c>
      <c r="X29">
        <v>95.69</v>
      </c>
      <c r="Y29">
        <v>99.36</v>
      </c>
      <c r="Z29">
        <v>59.27</v>
      </c>
      <c r="AA29">
        <v>13.1</v>
      </c>
      <c r="AB29">
        <v>30.51</v>
      </c>
    </row>
    <row r="30" spans="7:28" x14ac:dyDescent="0.15">
      <c r="G30" s="11">
        <v>29</v>
      </c>
      <c r="H30" s="64">
        <v>603316</v>
      </c>
      <c r="I30" t="s">
        <v>2198</v>
      </c>
      <c r="J30" s="20" t="s">
        <v>2138</v>
      </c>
      <c r="K30" t="s">
        <v>2199</v>
      </c>
      <c r="L30">
        <v>5.94</v>
      </c>
      <c r="M30">
        <v>285.8</v>
      </c>
      <c r="N30" s="57">
        <v>-8.3000000000000001E-3</v>
      </c>
      <c r="O30">
        <v>15.7</v>
      </c>
      <c r="P30" s="57">
        <v>1.34E-2</v>
      </c>
      <c r="Q30">
        <v>6.7000000000000002E-3</v>
      </c>
      <c r="R30" s="57">
        <v>3.0999999999999999E-3</v>
      </c>
      <c r="S30">
        <v>0</v>
      </c>
      <c r="T30">
        <v>0</v>
      </c>
      <c r="U30" s="57">
        <v>0.11923</v>
      </c>
      <c r="V30">
        <v>149.46</v>
      </c>
      <c r="W30" s="57">
        <v>0.12540000000000001</v>
      </c>
      <c r="X30">
        <v>95.53</v>
      </c>
      <c r="Y30">
        <v>98.4</v>
      </c>
      <c r="Z30">
        <v>72.040000000000006</v>
      </c>
      <c r="AA30">
        <v>9.58</v>
      </c>
      <c r="AB30">
        <v>20.61</v>
      </c>
    </row>
    <row r="31" spans="7:28" x14ac:dyDescent="0.15">
      <c r="G31" s="11">
        <v>30</v>
      </c>
      <c r="H31" s="64">
        <v>300992</v>
      </c>
      <c r="I31" t="s">
        <v>2200</v>
      </c>
      <c r="J31" s="20" t="s">
        <v>2151</v>
      </c>
      <c r="K31" t="s">
        <v>2152</v>
      </c>
      <c r="L31">
        <v>19.89</v>
      </c>
      <c r="M31">
        <v>130.68</v>
      </c>
      <c r="N31" s="57">
        <v>-1.1900000000000001E-2</v>
      </c>
      <c r="O31">
        <v>18.059999999999999</v>
      </c>
      <c r="P31" s="57">
        <v>1.7399999999999999E-2</v>
      </c>
      <c r="Q31">
        <v>3.7699999999999997E-2</v>
      </c>
      <c r="R31" s="57">
        <v>8.1000000000000003E-2</v>
      </c>
      <c r="S31">
        <v>0</v>
      </c>
      <c r="T31">
        <v>0</v>
      </c>
      <c r="U31" s="57">
        <v>9.844E-2</v>
      </c>
      <c r="V31">
        <v>26.49</v>
      </c>
      <c r="W31" s="57">
        <v>0.18329999999999999</v>
      </c>
      <c r="X31">
        <v>95.37</v>
      </c>
      <c r="Y31">
        <v>92.49</v>
      </c>
      <c r="Z31">
        <v>62.14</v>
      </c>
      <c r="AA31">
        <v>69.97</v>
      </c>
      <c r="AB31">
        <v>35.78</v>
      </c>
    </row>
    <row r="32" spans="7:28" x14ac:dyDescent="0.15">
      <c r="G32" s="11">
        <v>31</v>
      </c>
      <c r="H32" s="64">
        <v>301156</v>
      </c>
      <c r="I32" t="s">
        <v>2201</v>
      </c>
      <c r="J32" s="20" t="s">
        <v>2165</v>
      </c>
      <c r="K32" t="s">
        <v>2202</v>
      </c>
      <c r="L32">
        <v>23.79</v>
      </c>
      <c r="M32">
        <v>88.95</v>
      </c>
      <c r="N32" s="57">
        <v>-1.2E-2</v>
      </c>
      <c r="O32">
        <v>19.03</v>
      </c>
      <c r="P32" s="57">
        <v>2.24E-2</v>
      </c>
      <c r="Q32">
        <v>2.7799999999999998E-2</v>
      </c>
      <c r="R32" s="57">
        <v>0.1176</v>
      </c>
      <c r="S32">
        <v>0</v>
      </c>
      <c r="T32">
        <v>0</v>
      </c>
      <c r="U32" s="57">
        <v>0.25563000000000002</v>
      </c>
      <c r="V32">
        <v>35.950000000000003</v>
      </c>
      <c r="W32" s="57">
        <v>0.27689999999999998</v>
      </c>
      <c r="X32">
        <v>95.21</v>
      </c>
      <c r="Y32">
        <v>88.98</v>
      </c>
      <c r="Z32">
        <v>96.81</v>
      </c>
      <c r="AA32">
        <v>54.63</v>
      </c>
      <c r="AB32">
        <v>60.86</v>
      </c>
    </row>
    <row r="33" spans="7:28" x14ac:dyDescent="0.15">
      <c r="G33" s="11">
        <v>32</v>
      </c>
      <c r="H33" s="64">
        <v>300535</v>
      </c>
      <c r="I33" t="s">
        <v>2203</v>
      </c>
      <c r="J33" s="20" t="s">
        <v>2190</v>
      </c>
      <c r="K33" t="s">
        <v>2204</v>
      </c>
      <c r="L33">
        <v>13.65</v>
      </c>
      <c r="M33">
        <v>85.67</v>
      </c>
      <c r="N33" s="57">
        <v>-4.4000000000000003E-3</v>
      </c>
      <c r="O33">
        <v>14.28</v>
      </c>
      <c r="P33" s="57">
        <v>1.5299999999999999E-2</v>
      </c>
      <c r="Q33">
        <v>1.24E-2</v>
      </c>
      <c r="R33" s="57">
        <v>1.1599999999999999E-2</v>
      </c>
      <c r="S33">
        <v>0</v>
      </c>
      <c r="T33">
        <v>0</v>
      </c>
      <c r="U33" s="57">
        <v>1.401E-2</v>
      </c>
      <c r="V33">
        <v>80.81</v>
      </c>
      <c r="W33" s="57">
        <v>0.32719999999999999</v>
      </c>
      <c r="X33">
        <v>95.05</v>
      </c>
      <c r="Y33">
        <v>99.84</v>
      </c>
      <c r="Z33">
        <v>17.09</v>
      </c>
      <c r="AA33">
        <v>18.53</v>
      </c>
      <c r="AB33">
        <v>72.2</v>
      </c>
    </row>
    <row r="34" spans="7:28" x14ac:dyDescent="0.15">
      <c r="G34" s="11">
        <v>33</v>
      </c>
      <c r="H34" s="64">
        <v>300106</v>
      </c>
      <c r="I34" t="s">
        <v>2205</v>
      </c>
      <c r="J34" s="20" t="s">
        <v>2165</v>
      </c>
      <c r="K34" t="s">
        <v>2206</v>
      </c>
      <c r="L34">
        <v>8.26</v>
      </c>
      <c r="M34">
        <v>280.83</v>
      </c>
      <c r="N34" s="57">
        <v>-1.0800000000000001E-2</v>
      </c>
      <c r="O34">
        <v>17.46</v>
      </c>
      <c r="P34" s="57">
        <v>1.6799999999999999E-2</v>
      </c>
      <c r="Q34">
        <v>8.3000000000000001E-3</v>
      </c>
      <c r="R34" s="57">
        <v>2.8899999999999999E-2</v>
      </c>
      <c r="S34">
        <v>0</v>
      </c>
      <c r="T34">
        <v>0</v>
      </c>
      <c r="U34" s="57">
        <v>0.2016</v>
      </c>
      <c r="V34">
        <v>120.03</v>
      </c>
      <c r="W34" s="57">
        <v>0.1714</v>
      </c>
      <c r="X34">
        <v>94.89</v>
      </c>
      <c r="Y34">
        <v>94.73</v>
      </c>
      <c r="Z34">
        <v>93.61</v>
      </c>
      <c r="AA34">
        <v>11.66</v>
      </c>
      <c r="AB34">
        <v>33.07</v>
      </c>
    </row>
    <row r="35" spans="7:28" x14ac:dyDescent="0.15">
      <c r="G35" s="11">
        <v>34</v>
      </c>
      <c r="H35" s="64">
        <v>600539</v>
      </c>
      <c r="I35" t="s">
        <v>2207</v>
      </c>
      <c r="J35" s="20" t="s">
        <v>2154</v>
      </c>
      <c r="K35" t="s">
        <v>2155</v>
      </c>
      <c r="L35">
        <v>6.92</v>
      </c>
      <c r="M35">
        <v>750.94</v>
      </c>
      <c r="N35" s="57">
        <v>-7.1999999999999998E-3</v>
      </c>
      <c r="O35">
        <v>15.92</v>
      </c>
      <c r="P35" s="57">
        <v>2.3E-2</v>
      </c>
      <c r="Q35">
        <v>3.8E-3</v>
      </c>
      <c r="R35" s="57">
        <v>-5.0000000000000001E-4</v>
      </c>
      <c r="S35">
        <v>0</v>
      </c>
      <c r="T35">
        <v>0</v>
      </c>
      <c r="U35" s="57">
        <v>7.0309999999999997E-2</v>
      </c>
      <c r="V35">
        <v>265.58</v>
      </c>
      <c r="W35" s="57">
        <v>0.2949</v>
      </c>
      <c r="X35">
        <v>94.73</v>
      </c>
      <c r="Y35">
        <v>97.92</v>
      </c>
      <c r="Z35">
        <v>50</v>
      </c>
      <c r="AA35">
        <v>4.1500000000000004</v>
      </c>
      <c r="AB35">
        <v>64.86</v>
      </c>
    </row>
    <row r="36" spans="7:28" x14ac:dyDescent="0.15">
      <c r="G36" s="11">
        <v>35</v>
      </c>
      <c r="H36" s="64">
        <v>300948</v>
      </c>
      <c r="I36" t="s">
        <v>2208</v>
      </c>
      <c r="J36" s="20" t="s">
        <v>2138</v>
      </c>
      <c r="K36" t="s">
        <v>2199</v>
      </c>
      <c r="L36">
        <v>13.85</v>
      </c>
      <c r="M36">
        <v>89.67</v>
      </c>
      <c r="N36" s="57">
        <v>-1.0699999999999999E-2</v>
      </c>
      <c r="O36">
        <v>19.39</v>
      </c>
      <c r="P36" s="57">
        <v>2.5000000000000001E-2</v>
      </c>
      <c r="Q36">
        <v>3.5700000000000003E-2</v>
      </c>
      <c r="R36" s="57">
        <v>8.1799999999999998E-2</v>
      </c>
      <c r="S36">
        <v>0</v>
      </c>
      <c r="T36">
        <v>0</v>
      </c>
      <c r="U36" s="57">
        <v>0.17845</v>
      </c>
      <c r="V36">
        <v>28</v>
      </c>
      <c r="W36" s="57">
        <v>0.33639999999999998</v>
      </c>
      <c r="X36">
        <v>94.57</v>
      </c>
      <c r="Y36">
        <v>87.06</v>
      </c>
      <c r="Z36">
        <v>90.58</v>
      </c>
      <c r="AA36">
        <v>67.41</v>
      </c>
      <c r="AB36">
        <v>73.16</v>
      </c>
    </row>
    <row r="37" spans="7:28" x14ac:dyDescent="0.15">
      <c r="G37" s="11">
        <v>36</v>
      </c>
      <c r="H37" s="64">
        <v>300606</v>
      </c>
      <c r="I37" t="s">
        <v>2209</v>
      </c>
      <c r="J37" s="20" t="s">
        <v>2151</v>
      </c>
      <c r="K37" t="s">
        <v>2152</v>
      </c>
      <c r="L37">
        <v>13.22</v>
      </c>
      <c r="M37">
        <v>323.64</v>
      </c>
      <c r="N37" s="57">
        <v>-1.78E-2</v>
      </c>
      <c r="O37">
        <v>18.53</v>
      </c>
      <c r="P37" s="57">
        <v>2.75E-2</v>
      </c>
      <c r="Q37">
        <v>3.2399999999999998E-2</v>
      </c>
      <c r="R37" s="57">
        <v>9.6699999999999994E-2</v>
      </c>
      <c r="S37">
        <v>0</v>
      </c>
      <c r="T37">
        <v>0</v>
      </c>
      <c r="U37" s="57">
        <v>0.10279000000000001</v>
      </c>
      <c r="V37">
        <v>30.84</v>
      </c>
      <c r="W37" s="57">
        <v>0.30809999999999998</v>
      </c>
      <c r="X37">
        <v>94.41</v>
      </c>
      <c r="Y37">
        <v>90.26</v>
      </c>
      <c r="Z37">
        <v>64.06</v>
      </c>
      <c r="AA37">
        <v>62.78</v>
      </c>
      <c r="AB37">
        <v>67.73</v>
      </c>
    </row>
    <row r="38" spans="7:28" x14ac:dyDescent="0.15">
      <c r="G38" s="11">
        <v>37</v>
      </c>
      <c r="H38" s="64">
        <v>301070</v>
      </c>
      <c r="I38" t="s">
        <v>2210</v>
      </c>
      <c r="J38" s="20" t="s">
        <v>2151</v>
      </c>
      <c r="K38" t="s">
        <v>2152</v>
      </c>
      <c r="L38">
        <v>26.98</v>
      </c>
      <c r="M38">
        <v>267.60000000000002</v>
      </c>
      <c r="N38" s="57">
        <v>3.9699999999999999E-2</v>
      </c>
      <c r="O38">
        <v>17.420000000000002</v>
      </c>
      <c r="P38" s="57">
        <v>9.1700000000000004E-2</v>
      </c>
      <c r="Q38">
        <v>1.9099999999999999E-2</v>
      </c>
      <c r="R38" s="57">
        <v>3.1099999999999999E-2</v>
      </c>
      <c r="S38">
        <v>0</v>
      </c>
      <c r="T38">
        <v>0</v>
      </c>
      <c r="U38" s="57">
        <v>4.727E-2</v>
      </c>
      <c r="V38">
        <v>52.32</v>
      </c>
      <c r="W38" s="57">
        <v>0.39860000000000001</v>
      </c>
      <c r="X38">
        <v>94.25</v>
      </c>
      <c r="Y38">
        <v>94.89</v>
      </c>
      <c r="Z38">
        <v>36.42</v>
      </c>
      <c r="AA38">
        <v>35.299999999999997</v>
      </c>
      <c r="AB38">
        <v>82.27</v>
      </c>
    </row>
    <row r="39" spans="7:28" x14ac:dyDescent="0.15">
      <c r="G39" s="11">
        <v>38</v>
      </c>
      <c r="H39" s="64">
        <v>2836</v>
      </c>
      <c r="I39" t="s">
        <v>2211</v>
      </c>
      <c r="J39" s="20" t="s">
        <v>2154</v>
      </c>
      <c r="K39" t="s">
        <v>2212</v>
      </c>
      <c r="L39">
        <v>10.35</v>
      </c>
      <c r="M39">
        <v>930.62</v>
      </c>
      <c r="N39" s="57">
        <v>-1.3299999999999999E-2</v>
      </c>
      <c r="O39">
        <v>19.87</v>
      </c>
      <c r="P39" s="57">
        <v>2.76E-2</v>
      </c>
      <c r="Q39">
        <v>4.7600000000000003E-2</v>
      </c>
      <c r="R39" s="57">
        <v>2.3400000000000001E-2</v>
      </c>
      <c r="S39">
        <v>0</v>
      </c>
      <c r="T39">
        <v>0</v>
      </c>
      <c r="U39" s="57">
        <v>0.27927000000000002</v>
      </c>
      <c r="V39">
        <v>20.99</v>
      </c>
      <c r="W39" s="57">
        <v>0.28660000000000002</v>
      </c>
      <c r="X39">
        <v>94.09</v>
      </c>
      <c r="Y39">
        <v>84.98</v>
      </c>
      <c r="Z39">
        <v>97.6</v>
      </c>
      <c r="AA39">
        <v>81.150000000000006</v>
      </c>
      <c r="AB39">
        <v>63.26</v>
      </c>
    </row>
    <row r="40" spans="7:28" x14ac:dyDescent="0.15">
      <c r="G40" s="11">
        <v>39</v>
      </c>
      <c r="H40" s="64">
        <v>300743</v>
      </c>
      <c r="I40" t="s">
        <v>2213</v>
      </c>
      <c r="J40" s="20" t="s">
        <v>2190</v>
      </c>
      <c r="K40" t="s">
        <v>2204</v>
      </c>
      <c r="L40">
        <v>12.75</v>
      </c>
      <c r="M40">
        <v>475.14</v>
      </c>
      <c r="N40" s="57">
        <v>-8.6E-3</v>
      </c>
      <c r="O40">
        <v>17.63</v>
      </c>
      <c r="P40" s="57">
        <v>3.5799999999999998E-2</v>
      </c>
      <c r="Q40">
        <v>2.2100000000000002E-2</v>
      </c>
      <c r="R40" s="57">
        <v>7.9699999999999993E-2</v>
      </c>
      <c r="S40">
        <v>0</v>
      </c>
      <c r="T40">
        <v>0</v>
      </c>
      <c r="U40" s="57">
        <v>7.9649999999999999E-2</v>
      </c>
      <c r="V40">
        <v>45.29</v>
      </c>
      <c r="W40" s="57">
        <v>0.2195</v>
      </c>
      <c r="X40">
        <v>93.93</v>
      </c>
      <c r="Y40">
        <v>93.93</v>
      </c>
      <c r="Z40">
        <v>53.99</v>
      </c>
      <c r="AA40">
        <v>41.69</v>
      </c>
      <c r="AB40">
        <v>45.21</v>
      </c>
    </row>
    <row r="41" spans="7:28" x14ac:dyDescent="0.15">
      <c r="G41" s="11">
        <v>40</v>
      </c>
      <c r="H41" s="64">
        <v>2357</v>
      </c>
      <c r="I41" t="s">
        <v>2214</v>
      </c>
      <c r="J41" s="20" t="s">
        <v>2148</v>
      </c>
      <c r="K41" t="s">
        <v>2215</v>
      </c>
      <c r="L41">
        <v>5.74</v>
      </c>
      <c r="M41">
        <v>505.65</v>
      </c>
      <c r="N41" s="57">
        <v>-1.2E-2</v>
      </c>
      <c r="O41">
        <v>17.989999999999998</v>
      </c>
      <c r="P41" s="57">
        <v>2.07E-2</v>
      </c>
      <c r="Q41">
        <v>2.6599999999999999E-2</v>
      </c>
      <c r="R41" s="57">
        <v>-3.0999999999999999E-3</v>
      </c>
      <c r="S41">
        <v>0</v>
      </c>
      <c r="T41">
        <v>0</v>
      </c>
      <c r="U41" s="57">
        <v>9.3119999999999994E-2</v>
      </c>
      <c r="V41">
        <v>37.6</v>
      </c>
      <c r="W41" s="57">
        <v>0.1603</v>
      </c>
      <c r="X41">
        <v>93.77</v>
      </c>
      <c r="Y41">
        <v>92.97</v>
      </c>
      <c r="Z41">
        <v>60.54</v>
      </c>
      <c r="AA41">
        <v>51.44</v>
      </c>
      <c r="AB41">
        <v>29.55</v>
      </c>
    </row>
    <row r="42" spans="7:28" x14ac:dyDescent="0.15">
      <c r="G42" s="11">
        <v>41</v>
      </c>
      <c r="H42" s="64">
        <v>605155</v>
      </c>
      <c r="I42" t="s">
        <v>2216</v>
      </c>
      <c r="J42" s="20" t="s">
        <v>2190</v>
      </c>
      <c r="K42" t="s">
        <v>2204</v>
      </c>
      <c r="L42">
        <v>13.85</v>
      </c>
      <c r="M42">
        <v>88.45</v>
      </c>
      <c r="N42" s="57">
        <v>-1.21E-2</v>
      </c>
      <c r="O42">
        <v>18.61</v>
      </c>
      <c r="P42" s="57">
        <v>2.2100000000000002E-2</v>
      </c>
      <c r="Q42">
        <v>4.4499999999999998E-2</v>
      </c>
      <c r="R42" s="57">
        <v>7.0900000000000005E-2</v>
      </c>
      <c r="S42">
        <v>0</v>
      </c>
      <c r="T42">
        <v>0</v>
      </c>
      <c r="U42" s="57">
        <v>5.7489999999999999E-2</v>
      </c>
      <c r="V42">
        <v>22.45</v>
      </c>
      <c r="W42" s="57">
        <v>0.33750000000000002</v>
      </c>
      <c r="X42">
        <v>93.61</v>
      </c>
      <c r="Y42">
        <v>89.94</v>
      </c>
      <c r="Z42">
        <v>42.17</v>
      </c>
      <c r="AA42">
        <v>77.959999999999994</v>
      </c>
      <c r="AB42">
        <v>73.48</v>
      </c>
    </row>
    <row r="43" spans="7:28" x14ac:dyDescent="0.15">
      <c r="G43" s="11">
        <v>42</v>
      </c>
      <c r="H43" s="64">
        <v>300984</v>
      </c>
      <c r="I43" t="s">
        <v>2217</v>
      </c>
      <c r="J43" s="20" t="s">
        <v>2151</v>
      </c>
      <c r="K43" t="s">
        <v>2152</v>
      </c>
      <c r="L43">
        <v>23.51</v>
      </c>
      <c r="M43">
        <v>114.59</v>
      </c>
      <c r="N43" s="57">
        <v>4.7000000000000002E-3</v>
      </c>
      <c r="O43">
        <v>18.059999999999999</v>
      </c>
      <c r="P43" s="57">
        <v>1.9199999999999998E-2</v>
      </c>
      <c r="Q43">
        <v>3.1399999999999997E-2</v>
      </c>
      <c r="R43" s="57">
        <v>6.5500000000000003E-2</v>
      </c>
      <c r="S43">
        <v>0</v>
      </c>
      <c r="T43">
        <v>0</v>
      </c>
      <c r="U43" s="57">
        <v>8.8080000000000006E-2</v>
      </c>
      <c r="V43">
        <v>31.89</v>
      </c>
      <c r="W43" s="57">
        <v>0.1195</v>
      </c>
      <c r="X43">
        <v>93.45</v>
      </c>
      <c r="Y43">
        <v>92.81</v>
      </c>
      <c r="Z43">
        <v>57.35</v>
      </c>
      <c r="AA43">
        <v>61.18</v>
      </c>
      <c r="AB43">
        <v>18.690000000000001</v>
      </c>
    </row>
    <row r="44" spans="7:28" x14ac:dyDescent="0.15">
      <c r="G44" s="11">
        <v>43</v>
      </c>
      <c r="H44" s="64">
        <v>300906</v>
      </c>
      <c r="I44" t="s">
        <v>2218</v>
      </c>
      <c r="J44" s="20" t="s">
        <v>2151</v>
      </c>
      <c r="K44" t="s">
        <v>2171</v>
      </c>
      <c r="L44">
        <v>22.86</v>
      </c>
      <c r="M44">
        <v>46.8</v>
      </c>
      <c r="N44" s="57">
        <v>-1.0800000000000001E-2</v>
      </c>
      <c r="O44">
        <v>18.29</v>
      </c>
      <c r="P44" s="57">
        <v>1.9900000000000001E-2</v>
      </c>
      <c r="Q44">
        <v>2.3099999999999999E-2</v>
      </c>
      <c r="R44" s="57">
        <v>4.2099999999999999E-2</v>
      </c>
      <c r="S44">
        <v>0</v>
      </c>
      <c r="T44">
        <v>0</v>
      </c>
      <c r="U44" s="57">
        <v>5.0909999999999997E-2</v>
      </c>
      <c r="V44">
        <v>43.27</v>
      </c>
      <c r="W44" s="57">
        <v>0.54310000000000003</v>
      </c>
      <c r="X44">
        <v>93.29</v>
      </c>
      <c r="Y44">
        <v>91.85</v>
      </c>
      <c r="Z44">
        <v>38.18</v>
      </c>
      <c r="AA44">
        <v>45.05</v>
      </c>
      <c r="AB44">
        <v>93.13</v>
      </c>
    </row>
    <row r="45" spans="7:28" x14ac:dyDescent="0.15">
      <c r="G45" s="11">
        <v>44</v>
      </c>
      <c r="H45" s="64">
        <v>300897</v>
      </c>
      <c r="I45" t="s">
        <v>2219</v>
      </c>
      <c r="J45" s="20" t="s">
        <v>2151</v>
      </c>
      <c r="K45" t="s">
        <v>2220</v>
      </c>
      <c r="L45">
        <v>28.86</v>
      </c>
      <c r="M45">
        <v>29.56</v>
      </c>
      <c r="N45" s="57">
        <v>2.8E-3</v>
      </c>
      <c r="O45">
        <v>19.62</v>
      </c>
      <c r="P45" s="57">
        <v>1.7399999999999999E-2</v>
      </c>
      <c r="Q45">
        <v>4.8000000000000001E-2</v>
      </c>
      <c r="R45" s="57">
        <v>9.2600000000000002E-2</v>
      </c>
      <c r="S45">
        <v>0</v>
      </c>
      <c r="T45">
        <v>0</v>
      </c>
      <c r="U45" s="57">
        <v>0.10153</v>
      </c>
      <c r="V45">
        <v>20.84</v>
      </c>
      <c r="W45" s="57">
        <v>0.41830000000000001</v>
      </c>
      <c r="X45">
        <v>93.13</v>
      </c>
      <c r="Y45">
        <v>86.1</v>
      </c>
      <c r="Z45">
        <v>63.1</v>
      </c>
      <c r="AA45">
        <v>81.47</v>
      </c>
      <c r="AB45">
        <v>84.66</v>
      </c>
    </row>
    <row r="46" spans="7:28" x14ac:dyDescent="0.15">
      <c r="G46" s="11">
        <v>45</v>
      </c>
      <c r="H46" s="64">
        <v>605081</v>
      </c>
      <c r="I46" t="s">
        <v>2221</v>
      </c>
      <c r="J46" s="20" t="s">
        <v>2138</v>
      </c>
      <c r="K46" t="s">
        <v>2199</v>
      </c>
      <c r="L46">
        <v>17.059999999999999</v>
      </c>
      <c r="M46">
        <v>76.17</v>
      </c>
      <c r="N46" s="57">
        <v>-1.1999999999999999E-3</v>
      </c>
      <c r="O46">
        <v>19.32</v>
      </c>
      <c r="P46" s="57">
        <v>1.11E-2</v>
      </c>
      <c r="Q46">
        <v>2.69E-2</v>
      </c>
      <c r="R46" s="57">
        <v>2.75E-2</v>
      </c>
      <c r="S46">
        <v>0</v>
      </c>
      <c r="T46">
        <v>0</v>
      </c>
      <c r="U46" s="57">
        <v>0.12315</v>
      </c>
      <c r="V46">
        <v>37.18</v>
      </c>
      <c r="W46" s="57">
        <v>0.62670000000000003</v>
      </c>
      <c r="X46">
        <v>92.97</v>
      </c>
      <c r="Y46">
        <v>87.38</v>
      </c>
      <c r="Z46">
        <v>73.48</v>
      </c>
      <c r="AA46">
        <v>52.4</v>
      </c>
      <c r="AB46">
        <v>96.01</v>
      </c>
    </row>
    <row r="47" spans="7:28" x14ac:dyDescent="0.15">
      <c r="G47" s="11">
        <v>46</v>
      </c>
      <c r="H47" s="64">
        <v>301098</v>
      </c>
      <c r="I47" t="s">
        <v>2222</v>
      </c>
      <c r="J47" s="20" t="s">
        <v>2138</v>
      </c>
      <c r="K47" t="s">
        <v>2199</v>
      </c>
      <c r="L47">
        <v>18.43</v>
      </c>
      <c r="M47">
        <v>266.16000000000003</v>
      </c>
      <c r="N47" s="57">
        <v>-2.3800000000000002E-2</v>
      </c>
      <c r="O47">
        <v>19.46</v>
      </c>
      <c r="P47" s="57">
        <v>3.39E-2</v>
      </c>
      <c r="Q47">
        <v>3.3000000000000002E-2</v>
      </c>
      <c r="R47" s="57">
        <v>6.4699999999999994E-2</v>
      </c>
      <c r="S47">
        <v>0</v>
      </c>
      <c r="T47">
        <v>0</v>
      </c>
      <c r="U47" s="57">
        <v>0.16059000000000001</v>
      </c>
      <c r="V47">
        <v>30.31</v>
      </c>
      <c r="W47" s="57">
        <v>0.30830000000000002</v>
      </c>
      <c r="X47">
        <v>92.81</v>
      </c>
      <c r="Y47">
        <v>86.42</v>
      </c>
      <c r="Z47">
        <v>84.03</v>
      </c>
      <c r="AA47">
        <v>63.42</v>
      </c>
      <c r="AB47">
        <v>67.89</v>
      </c>
    </row>
    <row r="48" spans="7:28" x14ac:dyDescent="0.15">
      <c r="G48" s="11">
        <v>47</v>
      </c>
      <c r="H48" s="64">
        <v>301125</v>
      </c>
      <c r="I48" t="s">
        <v>2223</v>
      </c>
      <c r="J48" s="20" t="s">
        <v>2151</v>
      </c>
      <c r="K48" t="s">
        <v>2152</v>
      </c>
      <c r="L48">
        <v>26.31</v>
      </c>
      <c r="M48">
        <v>128.57</v>
      </c>
      <c r="N48" s="57">
        <v>-2.3699999999999999E-2</v>
      </c>
      <c r="O48">
        <v>19.05</v>
      </c>
      <c r="P48" s="57">
        <v>4.4499999999999998E-2</v>
      </c>
      <c r="Q48">
        <v>2.7400000000000001E-2</v>
      </c>
      <c r="R48" s="57">
        <v>0.10589999999999999</v>
      </c>
      <c r="S48">
        <v>0</v>
      </c>
      <c r="T48">
        <v>0</v>
      </c>
      <c r="U48" s="57">
        <v>0.12642999999999999</v>
      </c>
      <c r="V48">
        <v>36.5</v>
      </c>
      <c r="W48" s="57">
        <v>0.26140000000000002</v>
      </c>
      <c r="X48">
        <v>92.65</v>
      </c>
      <c r="Y48">
        <v>88.82</v>
      </c>
      <c r="Z48">
        <v>74.599999999999994</v>
      </c>
      <c r="AA48">
        <v>53.51</v>
      </c>
      <c r="AB48">
        <v>57.51</v>
      </c>
    </row>
    <row r="49" spans="7:28" x14ac:dyDescent="0.15">
      <c r="G49" s="11">
        <v>48</v>
      </c>
      <c r="H49" s="64">
        <v>301178</v>
      </c>
      <c r="I49" t="s">
        <v>2224</v>
      </c>
      <c r="J49" s="20" t="s">
        <v>973</v>
      </c>
      <c r="K49" t="s">
        <v>2225</v>
      </c>
      <c r="L49">
        <v>28.67</v>
      </c>
      <c r="M49">
        <v>221.3</v>
      </c>
      <c r="N49" s="57">
        <v>-2.0199999999999999E-2</v>
      </c>
      <c r="O49">
        <v>18.91</v>
      </c>
      <c r="P49" s="57">
        <v>3.5499999999999997E-2</v>
      </c>
      <c r="Q49">
        <v>2.4799999999999999E-2</v>
      </c>
      <c r="R49" s="57">
        <v>5.2600000000000001E-2</v>
      </c>
      <c r="S49">
        <v>0</v>
      </c>
      <c r="T49">
        <v>0</v>
      </c>
      <c r="U49" s="57">
        <v>0.14985000000000001</v>
      </c>
      <c r="V49">
        <v>40.270000000000003</v>
      </c>
      <c r="W49" s="57">
        <v>0.21990000000000001</v>
      </c>
      <c r="X49">
        <v>92.49</v>
      </c>
      <c r="Y49">
        <v>89.3</v>
      </c>
      <c r="Z49">
        <v>81.150000000000006</v>
      </c>
      <c r="AA49">
        <v>48.08</v>
      </c>
      <c r="AB49">
        <v>45.53</v>
      </c>
    </row>
    <row r="50" spans="7:28" x14ac:dyDescent="0.15">
      <c r="G50" s="11">
        <v>49</v>
      </c>
      <c r="H50" s="64">
        <v>2899</v>
      </c>
      <c r="I50" t="s">
        <v>2226</v>
      </c>
      <c r="J50" s="20" t="s">
        <v>2154</v>
      </c>
      <c r="K50" t="s">
        <v>2155</v>
      </c>
      <c r="L50">
        <v>13.59</v>
      </c>
      <c r="M50">
        <v>172.21</v>
      </c>
      <c r="N50" s="57">
        <v>-6.9999999999999999E-4</v>
      </c>
      <c r="O50">
        <v>16.309999999999999</v>
      </c>
      <c r="P50" s="57">
        <v>1.54E-2</v>
      </c>
      <c r="Q50">
        <v>1.1599999999999999E-2</v>
      </c>
      <c r="R50" s="57">
        <v>2.7300000000000001E-2</v>
      </c>
      <c r="S50">
        <v>0</v>
      </c>
      <c r="T50">
        <v>0</v>
      </c>
      <c r="U50" s="57">
        <v>3.9469999999999998E-2</v>
      </c>
      <c r="V50">
        <v>86.29</v>
      </c>
      <c r="W50" s="57">
        <v>0.20119999999999999</v>
      </c>
      <c r="X50">
        <v>92.33</v>
      </c>
      <c r="Y50">
        <v>97.44</v>
      </c>
      <c r="Z50">
        <v>32.75</v>
      </c>
      <c r="AA50">
        <v>16.77</v>
      </c>
      <c r="AB50">
        <v>40.26</v>
      </c>
    </row>
    <row r="51" spans="7:28" x14ac:dyDescent="0.15">
      <c r="G51" s="11">
        <v>50</v>
      </c>
      <c r="H51" s="64">
        <v>301043</v>
      </c>
      <c r="I51" t="s">
        <v>2227</v>
      </c>
      <c r="J51" s="20" t="s">
        <v>2151</v>
      </c>
      <c r="K51" t="s">
        <v>2152</v>
      </c>
      <c r="L51">
        <v>26.73</v>
      </c>
      <c r="M51">
        <v>423.73</v>
      </c>
      <c r="N51" s="57">
        <v>6.6199999999999995E-2</v>
      </c>
      <c r="O51">
        <v>18.18</v>
      </c>
      <c r="P51" s="57">
        <v>0.11890000000000001</v>
      </c>
      <c r="Q51">
        <v>2.2599999999999999E-2</v>
      </c>
      <c r="R51" s="57">
        <v>4.2599999999999999E-2</v>
      </c>
      <c r="S51">
        <v>0</v>
      </c>
      <c r="T51">
        <v>0</v>
      </c>
      <c r="U51" s="57">
        <v>5.4829999999999997E-2</v>
      </c>
      <c r="V51">
        <v>44.22</v>
      </c>
      <c r="W51" s="57">
        <v>0.32029999999999997</v>
      </c>
      <c r="X51">
        <v>92.17</v>
      </c>
      <c r="Y51">
        <v>92.33</v>
      </c>
      <c r="Z51">
        <v>40.26</v>
      </c>
      <c r="AA51">
        <v>43.61</v>
      </c>
      <c r="AB51">
        <v>70.61</v>
      </c>
    </row>
    <row r="52" spans="7:28" x14ac:dyDescent="0.15">
      <c r="G52" s="11">
        <v>51</v>
      </c>
      <c r="H52" s="64">
        <v>1209</v>
      </c>
      <c r="I52" t="s">
        <v>2228</v>
      </c>
      <c r="J52" s="20" t="s">
        <v>2183</v>
      </c>
      <c r="K52" t="s">
        <v>2195</v>
      </c>
      <c r="L52">
        <v>13.93</v>
      </c>
      <c r="M52">
        <v>125.42</v>
      </c>
      <c r="N52" s="57">
        <v>-1.14E-2</v>
      </c>
      <c r="O52">
        <v>18.32</v>
      </c>
      <c r="P52" s="57">
        <v>2.1999999999999999E-2</v>
      </c>
      <c r="Q52">
        <v>1.7899999999999999E-2</v>
      </c>
      <c r="R52" s="57">
        <v>1.6899999999999998E-2</v>
      </c>
      <c r="S52">
        <v>0</v>
      </c>
      <c r="T52">
        <v>0</v>
      </c>
      <c r="U52" s="57">
        <v>7.7119999999999994E-2</v>
      </c>
      <c r="V52">
        <v>55.82</v>
      </c>
      <c r="W52" s="57">
        <v>0.36749999999999999</v>
      </c>
      <c r="X52">
        <v>92.01</v>
      </c>
      <c r="Y52">
        <v>91.69</v>
      </c>
      <c r="Z52">
        <v>53.35</v>
      </c>
      <c r="AA52">
        <v>32.909999999999997</v>
      </c>
      <c r="AB52">
        <v>78.12</v>
      </c>
    </row>
    <row r="53" spans="7:28" x14ac:dyDescent="0.15">
      <c r="G53" s="11">
        <v>52</v>
      </c>
      <c r="H53" s="64">
        <v>603829</v>
      </c>
      <c r="I53" t="s">
        <v>2229</v>
      </c>
      <c r="J53" s="20" t="s">
        <v>2187</v>
      </c>
      <c r="K53" t="s">
        <v>2230</v>
      </c>
      <c r="L53">
        <v>11.93</v>
      </c>
      <c r="M53">
        <v>273.67</v>
      </c>
      <c r="N53" s="57">
        <v>8.0000000000000004E-4</v>
      </c>
      <c r="O53">
        <v>19.09</v>
      </c>
      <c r="P53" s="57">
        <v>2.1000000000000001E-2</v>
      </c>
      <c r="Q53">
        <v>3.5299999999999998E-2</v>
      </c>
      <c r="R53" s="57">
        <v>7.3300000000000004E-2</v>
      </c>
      <c r="S53">
        <v>0</v>
      </c>
      <c r="T53">
        <v>0</v>
      </c>
      <c r="U53" s="57">
        <v>0.11787</v>
      </c>
      <c r="V53">
        <v>28.35</v>
      </c>
      <c r="W53" s="57">
        <v>0.2074</v>
      </c>
      <c r="X53">
        <v>91.85</v>
      </c>
      <c r="Y53">
        <v>88.18</v>
      </c>
      <c r="Z53">
        <v>70.930000000000007</v>
      </c>
      <c r="AA53">
        <v>66.290000000000006</v>
      </c>
      <c r="AB53">
        <v>42.01</v>
      </c>
    </row>
    <row r="54" spans="7:28" x14ac:dyDescent="0.15">
      <c r="G54" s="11">
        <v>53</v>
      </c>
      <c r="H54" s="64">
        <v>603580</v>
      </c>
      <c r="I54" t="s">
        <v>2231</v>
      </c>
      <c r="J54" s="20" t="s">
        <v>2190</v>
      </c>
      <c r="K54" t="s">
        <v>2191</v>
      </c>
      <c r="L54">
        <v>11.71</v>
      </c>
      <c r="M54">
        <v>129.19999999999999</v>
      </c>
      <c r="N54" s="57">
        <v>-4.3E-3</v>
      </c>
      <c r="O54">
        <v>15.3</v>
      </c>
      <c r="P54" s="57">
        <v>1.1900000000000001E-2</v>
      </c>
      <c r="Q54">
        <v>3.7000000000000002E-3</v>
      </c>
      <c r="R54" s="57">
        <v>9.7999999999999997E-3</v>
      </c>
      <c r="S54">
        <v>0</v>
      </c>
      <c r="T54">
        <v>0</v>
      </c>
      <c r="U54" s="57">
        <v>2.98E-3</v>
      </c>
      <c r="V54">
        <v>267.06</v>
      </c>
      <c r="W54" s="57">
        <v>0.30980000000000002</v>
      </c>
      <c r="X54">
        <v>91.69</v>
      </c>
      <c r="Y54">
        <v>98.88</v>
      </c>
      <c r="Z54">
        <v>12.78</v>
      </c>
      <c r="AA54">
        <v>3.99</v>
      </c>
      <c r="AB54">
        <v>68.37</v>
      </c>
    </row>
    <row r="55" spans="7:28" x14ac:dyDescent="0.15">
      <c r="G55" s="11">
        <v>54</v>
      </c>
      <c r="H55" s="64">
        <v>603080</v>
      </c>
      <c r="I55" t="s">
        <v>2232</v>
      </c>
      <c r="J55" s="20" t="s">
        <v>2143</v>
      </c>
      <c r="K55" t="s">
        <v>2233</v>
      </c>
      <c r="L55">
        <v>14.31</v>
      </c>
      <c r="M55">
        <v>288.83999999999997</v>
      </c>
      <c r="N55" s="57">
        <v>-1.11E-2</v>
      </c>
      <c r="O55">
        <v>20.25</v>
      </c>
      <c r="P55" s="57">
        <v>1.17E-2</v>
      </c>
      <c r="Q55">
        <v>5.6599999999999998E-2</v>
      </c>
      <c r="R55" s="57">
        <v>8.3799999999999999E-2</v>
      </c>
      <c r="S55">
        <v>0</v>
      </c>
      <c r="T55">
        <v>0</v>
      </c>
      <c r="U55" s="57">
        <v>0.16359000000000001</v>
      </c>
      <c r="V55">
        <v>17.68</v>
      </c>
      <c r="W55" s="57">
        <v>0.29389999999999999</v>
      </c>
      <c r="X55">
        <v>91.53</v>
      </c>
      <c r="Y55">
        <v>83.71</v>
      </c>
      <c r="Z55">
        <v>84.82</v>
      </c>
      <c r="AA55">
        <v>84.35</v>
      </c>
      <c r="AB55">
        <v>64.540000000000006</v>
      </c>
    </row>
    <row r="56" spans="7:28" x14ac:dyDescent="0.15">
      <c r="G56" s="11">
        <v>55</v>
      </c>
      <c r="H56" s="64">
        <v>300521</v>
      </c>
      <c r="I56" t="s">
        <v>2234</v>
      </c>
      <c r="J56" s="20" t="s">
        <v>2151</v>
      </c>
      <c r="K56" t="s">
        <v>2162</v>
      </c>
      <c r="L56">
        <v>11.54</v>
      </c>
      <c r="M56">
        <v>213.78</v>
      </c>
      <c r="N56" s="57">
        <v>-8.6E-3</v>
      </c>
      <c r="O56">
        <v>16.62</v>
      </c>
      <c r="P56" s="57">
        <v>3.78E-2</v>
      </c>
      <c r="Q56">
        <v>4.7999999999999996E-3</v>
      </c>
      <c r="R56" s="57">
        <v>1.29E-2</v>
      </c>
      <c r="S56">
        <v>0</v>
      </c>
      <c r="T56">
        <v>0</v>
      </c>
      <c r="U56" s="57">
        <v>1.976E-2</v>
      </c>
      <c r="V56">
        <v>207.41</v>
      </c>
      <c r="W56" s="57">
        <v>0.43120000000000003</v>
      </c>
      <c r="X56">
        <v>91.37</v>
      </c>
      <c r="Y56">
        <v>96.81</v>
      </c>
      <c r="Z56">
        <v>20.77</v>
      </c>
      <c r="AA56">
        <v>5.59</v>
      </c>
      <c r="AB56">
        <v>85.78</v>
      </c>
    </row>
    <row r="57" spans="7:28" x14ac:dyDescent="0.15">
      <c r="G57" s="11">
        <v>56</v>
      </c>
      <c r="H57" s="64">
        <v>300564</v>
      </c>
      <c r="I57" t="s">
        <v>2235</v>
      </c>
      <c r="J57" s="20" t="s">
        <v>2138</v>
      </c>
      <c r="K57" t="s">
        <v>2236</v>
      </c>
      <c r="L57">
        <v>12.85</v>
      </c>
      <c r="M57">
        <v>72.2</v>
      </c>
      <c r="N57" s="57">
        <v>-3.8999999999999998E-3</v>
      </c>
      <c r="O57">
        <v>21.15</v>
      </c>
      <c r="P57" s="57">
        <v>1.1599999999999999E-2</v>
      </c>
      <c r="Q57">
        <v>8.14E-2</v>
      </c>
      <c r="R57" s="57">
        <v>7.6999999999999999E-2</v>
      </c>
      <c r="S57">
        <v>0</v>
      </c>
      <c r="T57">
        <v>0</v>
      </c>
      <c r="U57" s="57">
        <v>0.22716</v>
      </c>
      <c r="V57">
        <v>12.29</v>
      </c>
      <c r="W57" s="57">
        <v>0.37380000000000002</v>
      </c>
      <c r="X57">
        <v>91.21</v>
      </c>
      <c r="Y57">
        <v>80.83</v>
      </c>
      <c r="Z57">
        <v>95.53</v>
      </c>
      <c r="AA57">
        <v>91.21</v>
      </c>
      <c r="AB57">
        <v>79.709999999999994</v>
      </c>
    </row>
    <row r="58" spans="7:28" x14ac:dyDescent="0.15">
      <c r="G58" s="11">
        <v>57</v>
      </c>
      <c r="H58" s="64">
        <v>300235</v>
      </c>
      <c r="I58" t="s">
        <v>2237</v>
      </c>
      <c r="J58" s="20" t="s">
        <v>973</v>
      </c>
      <c r="K58" t="s">
        <v>2225</v>
      </c>
      <c r="L58">
        <v>11.28</v>
      </c>
      <c r="M58">
        <v>783.63</v>
      </c>
      <c r="N58" s="57">
        <v>1.17E-2</v>
      </c>
      <c r="O58">
        <v>18.93</v>
      </c>
      <c r="P58" s="57">
        <v>5.11E-2</v>
      </c>
      <c r="Q58">
        <v>1.3299999999999999E-2</v>
      </c>
      <c r="R58" s="57">
        <v>2.5700000000000001E-2</v>
      </c>
      <c r="S58">
        <v>0</v>
      </c>
      <c r="T58">
        <v>0</v>
      </c>
      <c r="U58" s="57">
        <v>0.11792</v>
      </c>
      <c r="V58">
        <v>75.319999999999993</v>
      </c>
      <c r="W58" s="57">
        <v>0.69530000000000003</v>
      </c>
      <c r="X58">
        <v>91.05</v>
      </c>
      <c r="Y58">
        <v>89.14</v>
      </c>
      <c r="Z58">
        <v>71.25</v>
      </c>
      <c r="AA58">
        <v>20.93</v>
      </c>
      <c r="AB58">
        <v>98.24</v>
      </c>
    </row>
    <row r="59" spans="7:28" x14ac:dyDescent="0.15">
      <c r="G59" s="11">
        <v>58</v>
      </c>
      <c r="H59" s="64">
        <v>2893</v>
      </c>
      <c r="I59" t="s">
        <v>2238</v>
      </c>
      <c r="J59" s="20" t="s">
        <v>2143</v>
      </c>
      <c r="K59" t="s">
        <v>2239</v>
      </c>
      <c r="L59">
        <v>9.06</v>
      </c>
      <c r="M59">
        <v>298.11</v>
      </c>
      <c r="N59" s="57">
        <v>-1.1000000000000001E-3</v>
      </c>
      <c r="O59">
        <v>18.37</v>
      </c>
      <c r="P59" s="57">
        <v>1.32E-2</v>
      </c>
      <c r="Q59">
        <v>1.6E-2</v>
      </c>
      <c r="R59" s="57">
        <v>3.3599999999999998E-2</v>
      </c>
      <c r="S59">
        <v>0</v>
      </c>
      <c r="T59">
        <v>0</v>
      </c>
      <c r="U59" s="57">
        <v>0.12280000000000001</v>
      </c>
      <c r="V59">
        <v>62.32</v>
      </c>
      <c r="W59" s="57">
        <v>0.1666</v>
      </c>
      <c r="X59">
        <v>90.89</v>
      </c>
      <c r="Y59">
        <v>91.53</v>
      </c>
      <c r="Z59">
        <v>73.16</v>
      </c>
      <c r="AA59">
        <v>26.52</v>
      </c>
      <c r="AB59">
        <v>31.95</v>
      </c>
    </row>
    <row r="60" spans="7:28" x14ac:dyDescent="0.15">
      <c r="G60" s="11">
        <v>59</v>
      </c>
      <c r="H60" s="64">
        <v>301022</v>
      </c>
      <c r="I60" t="s">
        <v>2240</v>
      </c>
      <c r="J60" s="20" t="s">
        <v>2159</v>
      </c>
      <c r="K60" t="s">
        <v>2160</v>
      </c>
      <c r="L60">
        <v>29.99</v>
      </c>
      <c r="M60">
        <v>39.159999999999997</v>
      </c>
      <c r="N60" s="57">
        <v>-3.7000000000000002E-3</v>
      </c>
      <c r="O60">
        <v>19.190000000000001</v>
      </c>
      <c r="P60" s="57">
        <v>1.5299999999999999E-2</v>
      </c>
      <c r="Q60">
        <v>3.39E-2</v>
      </c>
      <c r="R60" s="57">
        <v>3.6299999999999999E-2</v>
      </c>
      <c r="S60">
        <v>0</v>
      </c>
      <c r="T60">
        <v>0</v>
      </c>
      <c r="U60" s="57">
        <v>0.10612000000000001</v>
      </c>
      <c r="V60">
        <v>29.49</v>
      </c>
      <c r="W60" s="57">
        <v>0.22489999999999999</v>
      </c>
      <c r="X60">
        <v>90.73</v>
      </c>
      <c r="Y60">
        <v>87.54</v>
      </c>
      <c r="Z60">
        <v>65.180000000000007</v>
      </c>
      <c r="AA60">
        <v>64.540000000000006</v>
      </c>
      <c r="AB60">
        <v>46.96</v>
      </c>
    </row>
    <row r="61" spans="7:28" x14ac:dyDescent="0.15">
      <c r="G61" s="11">
        <v>60</v>
      </c>
      <c r="H61" s="64">
        <v>2767</v>
      </c>
      <c r="I61" t="s">
        <v>2241</v>
      </c>
      <c r="J61" s="20" t="s">
        <v>2187</v>
      </c>
      <c r="K61" t="s">
        <v>2242</v>
      </c>
      <c r="L61">
        <v>12.25</v>
      </c>
      <c r="M61">
        <v>613.17999999999995</v>
      </c>
      <c r="N61" s="57">
        <v>-1.6899999999999998E-2</v>
      </c>
      <c r="O61">
        <v>18.38</v>
      </c>
      <c r="P61" s="57">
        <v>2.41E-2</v>
      </c>
      <c r="Q61">
        <v>1.7899999999999999E-2</v>
      </c>
      <c r="R61" s="57">
        <v>2.5499999999999998E-2</v>
      </c>
      <c r="S61">
        <v>0</v>
      </c>
      <c r="T61">
        <v>0</v>
      </c>
      <c r="U61" s="57">
        <v>6.2549999999999994E-2</v>
      </c>
      <c r="V61">
        <v>55.77</v>
      </c>
      <c r="W61" s="57">
        <v>0.32619999999999999</v>
      </c>
      <c r="X61">
        <v>90.58</v>
      </c>
      <c r="Y61">
        <v>91.37</v>
      </c>
      <c r="Z61">
        <v>45.37</v>
      </c>
      <c r="AA61">
        <v>33.07</v>
      </c>
      <c r="AB61">
        <v>71.88</v>
      </c>
    </row>
    <row r="62" spans="7:28" x14ac:dyDescent="0.15">
      <c r="G62" s="11">
        <v>61</v>
      </c>
      <c r="H62" s="64">
        <v>301167</v>
      </c>
      <c r="I62" t="s">
        <v>2243</v>
      </c>
      <c r="J62" s="20" t="s">
        <v>2138</v>
      </c>
      <c r="K62" t="s">
        <v>2236</v>
      </c>
      <c r="L62">
        <v>25.67</v>
      </c>
      <c r="M62">
        <v>71.849999999999994</v>
      </c>
      <c r="N62" s="57">
        <v>-1.6500000000000001E-2</v>
      </c>
      <c r="O62">
        <v>20.54</v>
      </c>
      <c r="P62" s="57">
        <v>2.4500000000000001E-2</v>
      </c>
      <c r="Q62">
        <v>3.9199999999999999E-2</v>
      </c>
      <c r="R62" s="57">
        <v>9.01E-2</v>
      </c>
      <c r="S62">
        <v>0</v>
      </c>
      <c r="T62">
        <v>0</v>
      </c>
      <c r="U62" s="57">
        <v>0.20776</v>
      </c>
      <c r="V62">
        <v>25.53</v>
      </c>
      <c r="W62" s="57">
        <v>0.32619999999999999</v>
      </c>
      <c r="X62">
        <v>90.42</v>
      </c>
      <c r="Y62">
        <v>82.59</v>
      </c>
      <c r="Z62">
        <v>93.93</v>
      </c>
      <c r="AA62">
        <v>71.88</v>
      </c>
      <c r="AB62">
        <v>71.569999999999993</v>
      </c>
    </row>
    <row r="63" spans="7:28" x14ac:dyDescent="0.15">
      <c r="G63" s="11">
        <v>62</v>
      </c>
      <c r="H63" s="64">
        <v>300920</v>
      </c>
      <c r="I63" t="s">
        <v>2244</v>
      </c>
      <c r="J63" s="20" t="s">
        <v>2190</v>
      </c>
      <c r="K63" t="s">
        <v>2191</v>
      </c>
      <c r="L63">
        <v>17.53</v>
      </c>
      <c r="M63">
        <v>52.87</v>
      </c>
      <c r="N63" s="57">
        <v>-2.23E-2</v>
      </c>
      <c r="O63">
        <v>17.53</v>
      </c>
      <c r="P63" s="57">
        <v>3.3500000000000002E-2</v>
      </c>
      <c r="Q63">
        <v>2.0400000000000001E-2</v>
      </c>
      <c r="R63" s="57">
        <v>2.6499999999999999E-2</v>
      </c>
      <c r="S63">
        <v>0</v>
      </c>
      <c r="T63">
        <v>0</v>
      </c>
      <c r="U63" s="57">
        <v>1.5339999999999999E-2</v>
      </c>
      <c r="V63">
        <v>49.03</v>
      </c>
      <c r="W63" s="57">
        <v>0.25600000000000001</v>
      </c>
      <c r="X63">
        <v>90.26</v>
      </c>
      <c r="Y63">
        <v>94.25</v>
      </c>
      <c r="Z63">
        <v>17.89</v>
      </c>
      <c r="AA63">
        <v>37.380000000000003</v>
      </c>
      <c r="AB63">
        <v>55.27</v>
      </c>
    </row>
    <row r="64" spans="7:28" x14ac:dyDescent="0.15">
      <c r="G64" s="11">
        <v>63</v>
      </c>
      <c r="H64" s="64">
        <v>300022</v>
      </c>
      <c r="I64" t="s">
        <v>2245</v>
      </c>
      <c r="J64" s="20" t="s">
        <v>2246</v>
      </c>
      <c r="K64" t="s">
        <v>2247</v>
      </c>
      <c r="L64">
        <v>4.97</v>
      </c>
      <c r="M64">
        <v>1012.99</v>
      </c>
      <c r="N64" s="57">
        <v>-1.5800000000000002E-2</v>
      </c>
      <c r="O64">
        <v>18.899999999999999</v>
      </c>
      <c r="P64" s="57">
        <v>3.1699999999999999E-2</v>
      </c>
      <c r="Q64">
        <v>1.17E-2</v>
      </c>
      <c r="R64" s="57">
        <v>0.28439999999999999</v>
      </c>
      <c r="S64">
        <v>0</v>
      </c>
      <c r="T64">
        <v>0</v>
      </c>
      <c r="U64" s="57">
        <v>0.26211000000000001</v>
      </c>
      <c r="V64">
        <v>85.71</v>
      </c>
      <c r="W64" s="57">
        <v>0.1663</v>
      </c>
      <c r="X64">
        <v>90.1</v>
      </c>
      <c r="Y64">
        <v>89.46</v>
      </c>
      <c r="Z64">
        <v>97.12</v>
      </c>
      <c r="AA64">
        <v>17.09</v>
      </c>
      <c r="AB64">
        <v>31.63</v>
      </c>
    </row>
    <row r="65" spans="7:29" x14ac:dyDescent="0.15">
      <c r="G65" s="11">
        <v>64</v>
      </c>
      <c r="H65" s="64">
        <v>300644</v>
      </c>
      <c r="I65" t="s">
        <v>2248</v>
      </c>
      <c r="J65" s="20" t="s">
        <v>2190</v>
      </c>
      <c r="K65" t="s">
        <v>2191</v>
      </c>
      <c r="L65">
        <v>15.67</v>
      </c>
      <c r="M65">
        <v>127.85</v>
      </c>
      <c r="N65" s="57">
        <v>-5.9999999999999995E-4</v>
      </c>
      <c r="O65">
        <v>16.920000000000002</v>
      </c>
      <c r="P65" s="57">
        <v>2.4199999999999999E-2</v>
      </c>
      <c r="Q65">
        <v>1.7500000000000002E-2</v>
      </c>
      <c r="R65" s="57">
        <v>2.58E-2</v>
      </c>
      <c r="S65">
        <v>0</v>
      </c>
      <c r="T65">
        <v>0</v>
      </c>
      <c r="U65" s="57">
        <v>2.2519999999999998E-2</v>
      </c>
      <c r="V65">
        <v>57.16</v>
      </c>
      <c r="W65" s="57">
        <v>0.1173</v>
      </c>
      <c r="X65">
        <v>89.94</v>
      </c>
      <c r="Y65">
        <v>95.85</v>
      </c>
      <c r="Z65">
        <v>22.36</v>
      </c>
      <c r="AA65">
        <v>30.83</v>
      </c>
      <c r="AB65">
        <v>17.73</v>
      </c>
    </row>
    <row r="66" spans="7:29" x14ac:dyDescent="0.15">
      <c r="G66" s="11">
        <v>65</v>
      </c>
      <c r="H66" s="64">
        <v>2144</v>
      </c>
      <c r="I66" t="s">
        <v>2249</v>
      </c>
      <c r="J66" s="20" t="s">
        <v>2183</v>
      </c>
      <c r="K66" t="s">
        <v>2184</v>
      </c>
      <c r="L66">
        <v>10.52</v>
      </c>
      <c r="M66">
        <v>851.56</v>
      </c>
      <c r="N66" s="57">
        <v>1.54E-2</v>
      </c>
      <c r="O66">
        <v>18.600000000000001</v>
      </c>
      <c r="P66" s="57">
        <v>4.7300000000000002E-2</v>
      </c>
      <c r="Q66">
        <v>2.2200000000000001E-2</v>
      </c>
      <c r="R66" s="57">
        <v>1.55E-2</v>
      </c>
      <c r="S66">
        <v>0</v>
      </c>
      <c r="T66">
        <v>0</v>
      </c>
      <c r="U66" s="57">
        <v>7.2590000000000002E-2</v>
      </c>
      <c r="V66">
        <v>44.95</v>
      </c>
      <c r="W66" s="57">
        <v>0.24310000000000001</v>
      </c>
      <c r="X66">
        <v>89.78</v>
      </c>
      <c r="Y66">
        <v>90.1</v>
      </c>
      <c r="Z66">
        <v>51.28</v>
      </c>
      <c r="AA66">
        <v>42.33</v>
      </c>
      <c r="AB66">
        <v>51.44</v>
      </c>
    </row>
    <row r="67" spans="7:29" x14ac:dyDescent="0.15">
      <c r="G67" s="11">
        <v>66</v>
      </c>
      <c r="H67" s="64">
        <v>300995</v>
      </c>
      <c r="I67" t="s">
        <v>2250</v>
      </c>
      <c r="J67" s="20" t="s">
        <v>2190</v>
      </c>
      <c r="K67" t="s">
        <v>2191</v>
      </c>
      <c r="L67">
        <v>20</v>
      </c>
      <c r="M67">
        <v>49.38</v>
      </c>
      <c r="N67" s="57">
        <v>-3.5000000000000001E-3</v>
      </c>
      <c r="O67">
        <v>16.829999999999998</v>
      </c>
      <c r="P67" s="57">
        <v>3.9399999999999998E-2</v>
      </c>
      <c r="Q67">
        <v>1.0800000000000001E-2</v>
      </c>
      <c r="R67" s="57">
        <v>1.83E-2</v>
      </c>
      <c r="S67">
        <v>0</v>
      </c>
      <c r="T67">
        <v>0</v>
      </c>
      <c r="U67" s="57">
        <v>1.388E-2</v>
      </c>
      <c r="V67">
        <v>92.77</v>
      </c>
      <c r="W67" s="57">
        <v>0.2273</v>
      </c>
      <c r="X67">
        <v>89.62</v>
      </c>
      <c r="Y67">
        <v>96.33</v>
      </c>
      <c r="Z67">
        <v>16.93</v>
      </c>
      <c r="AA67">
        <v>14.86</v>
      </c>
      <c r="AB67">
        <v>47.6</v>
      </c>
    </row>
    <row r="68" spans="7:29" x14ac:dyDescent="0.15">
      <c r="G68" s="11">
        <v>67</v>
      </c>
      <c r="H68" s="64">
        <v>301007</v>
      </c>
      <c r="I68" t="s">
        <v>2251</v>
      </c>
      <c r="J68" s="20" t="s">
        <v>2159</v>
      </c>
      <c r="K68" t="s">
        <v>2160</v>
      </c>
      <c r="L68">
        <v>12.44</v>
      </c>
      <c r="M68">
        <v>253.83</v>
      </c>
      <c r="N68" s="57">
        <v>-2.5100000000000001E-2</v>
      </c>
      <c r="O68">
        <v>19.079999999999998</v>
      </c>
      <c r="P68" s="57">
        <v>2.7400000000000001E-2</v>
      </c>
      <c r="Q68">
        <v>2.35E-2</v>
      </c>
      <c r="R68" s="57">
        <v>6.6799999999999998E-2</v>
      </c>
      <c r="S68">
        <v>0</v>
      </c>
      <c r="T68">
        <v>0</v>
      </c>
      <c r="U68" s="57">
        <v>0.10674</v>
      </c>
      <c r="V68">
        <v>42.56</v>
      </c>
      <c r="W68" s="57">
        <v>0.21060000000000001</v>
      </c>
      <c r="X68">
        <v>89.46</v>
      </c>
      <c r="Y68">
        <v>88.5</v>
      </c>
      <c r="Z68">
        <v>65.650000000000006</v>
      </c>
      <c r="AA68">
        <v>45.53</v>
      </c>
      <c r="AB68">
        <v>42.65</v>
      </c>
    </row>
    <row r="69" spans="7:29" x14ac:dyDescent="0.15">
      <c r="G69" s="11">
        <v>68</v>
      </c>
      <c r="H69" s="64">
        <v>300621</v>
      </c>
      <c r="I69" t="s">
        <v>2252</v>
      </c>
      <c r="J69" s="20" t="s">
        <v>2138</v>
      </c>
      <c r="K69" t="s">
        <v>2157</v>
      </c>
      <c r="L69">
        <v>8.68</v>
      </c>
      <c r="M69">
        <v>256.54000000000002</v>
      </c>
      <c r="N69" s="57">
        <v>4.5999999999999999E-3</v>
      </c>
      <c r="O69">
        <v>18.059999999999999</v>
      </c>
      <c r="P69" s="57">
        <v>2.3099999999999999E-2</v>
      </c>
      <c r="Q69">
        <v>2.8E-3</v>
      </c>
      <c r="R69" s="57">
        <v>-3.8999999999999998E-3</v>
      </c>
      <c r="S69">
        <v>0</v>
      </c>
      <c r="T69">
        <v>0</v>
      </c>
      <c r="U69" s="57">
        <v>0.1663</v>
      </c>
      <c r="V69">
        <v>356.46</v>
      </c>
      <c r="W69" s="57">
        <v>5.3699999999999998E-2</v>
      </c>
      <c r="X69">
        <v>89.3</v>
      </c>
      <c r="Y69">
        <v>92.65</v>
      </c>
      <c r="Z69">
        <v>85.78</v>
      </c>
      <c r="AA69">
        <v>2.72</v>
      </c>
      <c r="AB69">
        <v>3.67</v>
      </c>
    </row>
    <row r="70" spans="7:29" x14ac:dyDescent="0.15">
      <c r="G70" s="11">
        <v>69</v>
      </c>
      <c r="H70" s="64">
        <v>301231</v>
      </c>
      <c r="I70" t="s">
        <v>2253</v>
      </c>
      <c r="J70" s="20" t="s">
        <v>2135</v>
      </c>
      <c r="K70" t="s">
        <v>2136</v>
      </c>
      <c r="L70">
        <v>23.51</v>
      </c>
      <c r="M70">
        <v>362.5</v>
      </c>
      <c r="N70" s="57">
        <v>7.3000000000000001E-3</v>
      </c>
      <c r="O70">
        <v>19.84</v>
      </c>
      <c r="P70" s="57">
        <v>7.1599999999999997E-2</v>
      </c>
      <c r="Q70">
        <v>1.78E-2</v>
      </c>
      <c r="R70" s="57">
        <v>5.8900000000000001E-2</v>
      </c>
      <c r="S70">
        <v>0</v>
      </c>
      <c r="T70">
        <v>0</v>
      </c>
      <c r="U70" s="57">
        <v>0.18065999999999999</v>
      </c>
      <c r="V70">
        <v>56.03</v>
      </c>
      <c r="W70" s="57">
        <v>0.38890000000000002</v>
      </c>
      <c r="X70">
        <v>89.14</v>
      </c>
      <c r="Y70">
        <v>85.14</v>
      </c>
      <c r="Z70">
        <v>91.05</v>
      </c>
      <c r="AA70">
        <v>32.590000000000003</v>
      </c>
      <c r="AB70">
        <v>81.47</v>
      </c>
    </row>
    <row r="71" spans="7:29" x14ac:dyDescent="0.15">
      <c r="G71" s="11">
        <v>70</v>
      </c>
      <c r="H71" s="64">
        <v>300321</v>
      </c>
      <c r="I71" t="s">
        <v>2254</v>
      </c>
      <c r="J71" s="20" t="s">
        <v>2190</v>
      </c>
      <c r="K71" t="s">
        <v>2191</v>
      </c>
      <c r="L71">
        <v>16.48</v>
      </c>
      <c r="M71">
        <v>34.21</v>
      </c>
      <c r="N71" s="57">
        <v>0</v>
      </c>
      <c r="O71">
        <v>14.63</v>
      </c>
      <c r="P71" s="57">
        <v>1.3299999999999999E-2</v>
      </c>
      <c r="Q71">
        <v>8.9999999999999998E-4</v>
      </c>
      <c r="R71" s="57">
        <v>-3.7000000000000002E-3</v>
      </c>
      <c r="S71">
        <v>0</v>
      </c>
      <c r="T71">
        <v>0</v>
      </c>
      <c r="U71" s="57">
        <v>-2.8800000000000002E-3</v>
      </c>
      <c r="V71">
        <v>1113.47</v>
      </c>
      <c r="W71" s="57">
        <v>0.1037</v>
      </c>
      <c r="X71">
        <v>88.98</v>
      </c>
      <c r="Y71">
        <v>99.52</v>
      </c>
      <c r="Z71">
        <v>11.34</v>
      </c>
      <c r="AA71">
        <v>0.48</v>
      </c>
      <c r="AB71">
        <v>13.1</v>
      </c>
    </row>
    <row r="72" spans="7:29" x14ac:dyDescent="0.15">
      <c r="G72" s="11">
        <v>71</v>
      </c>
      <c r="H72" s="64">
        <v>301233</v>
      </c>
      <c r="I72" t="s">
        <v>2255</v>
      </c>
      <c r="J72" s="20" t="s">
        <v>2159</v>
      </c>
      <c r="K72" t="s">
        <v>2160</v>
      </c>
      <c r="L72">
        <v>38.81</v>
      </c>
      <c r="M72">
        <v>59.1</v>
      </c>
      <c r="N72" s="57">
        <v>-1.47E-2</v>
      </c>
      <c r="O72">
        <v>19.98</v>
      </c>
      <c r="P72" s="57">
        <v>2.0299999999999999E-2</v>
      </c>
      <c r="Q72">
        <v>2.69E-2</v>
      </c>
      <c r="R72" s="57">
        <v>9.1499999999999998E-2</v>
      </c>
      <c r="S72">
        <v>0</v>
      </c>
      <c r="T72">
        <v>0</v>
      </c>
      <c r="U72" s="57">
        <v>0.13821</v>
      </c>
      <c r="V72">
        <v>37.229999999999997</v>
      </c>
      <c r="W72" s="57">
        <v>0.36480000000000001</v>
      </c>
      <c r="X72">
        <v>88.82</v>
      </c>
      <c r="Y72">
        <v>84.35</v>
      </c>
      <c r="Z72">
        <v>78.27</v>
      </c>
      <c r="AA72">
        <v>52.08</v>
      </c>
      <c r="AB72">
        <v>77.48</v>
      </c>
    </row>
    <row r="73" spans="7:29" x14ac:dyDescent="0.15">
      <c r="G73" s="11">
        <v>72</v>
      </c>
      <c r="H73" s="64">
        <v>2890</v>
      </c>
      <c r="I73" t="s">
        <v>2256</v>
      </c>
      <c r="J73" s="20" t="s">
        <v>2151</v>
      </c>
      <c r="K73" t="s">
        <v>2162</v>
      </c>
      <c r="L73">
        <v>18.87</v>
      </c>
      <c r="M73">
        <v>56.87</v>
      </c>
      <c r="N73" s="57">
        <v>-8.8999999999999999E-3</v>
      </c>
      <c r="O73">
        <v>17.61</v>
      </c>
      <c r="P73" s="57">
        <v>1.84E-2</v>
      </c>
      <c r="Q73">
        <v>1.3899999999999999E-2</v>
      </c>
      <c r="R73" s="57">
        <v>3.5400000000000001E-2</v>
      </c>
      <c r="S73">
        <v>0</v>
      </c>
      <c r="T73">
        <v>0</v>
      </c>
      <c r="U73" s="57">
        <v>4.4729999999999999E-2</v>
      </c>
      <c r="V73">
        <v>71.75</v>
      </c>
      <c r="W73" s="57">
        <v>0.14979999999999999</v>
      </c>
      <c r="X73">
        <v>88.66</v>
      </c>
      <c r="Y73">
        <v>94.09</v>
      </c>
      <c r="Z73">
        <v>35.14</v>
      </c>
      <c r="AA73">
        <v>22.36</v>
      </c>
      <c r="AB73">
        <v>26.68</v>
      </c>
    </row>
    <row r="74" spans="7:29" x14ac:dyDescent="0.15">
      <c r="G74" s="11">
        <v>73</v>
      </c>
      <c r="H74" s="64">
        <v>603685</v>
      </c>
      <c r="I74" t="s">
        <v>2257</v>
      </c>
      <c r="J74" s="20" t="s">
        <v>2258</v>
      </c>
      <c r="K74" t="s">
        <v>2259</v>
      </c>
      <c r="L74">
        <v>10.24</v>
      </c>
      <c r="M74">
        <v>114.9</v>
      </c>
      <c r="N74" s="57">
        <v>-8.6999999999999994E-3</v>
      </c>
      <c r="O74">
        <v>17.309999999999999</v>
      </c>
      <c r="P74" s="57">
        <v>2.1299999999999999E-2</v>
      </c>
      <c r="Q74">
        <v>1.5299999999999999E-2</v>
      </c>
      <c r="R74" s="57">
        <v>4.0000000000000001E-3</v>
      </c>
      <c r="S74">
        <v>0</v>
      </c>
      <c r="T74">
        <v>0</v>
      </c>
      <c r="U74" s="57">
        <v>2.3109999999999999E-2</v>
      </c>
      <c r="V74">
        <v>65.48</v>
      </c>
      <c r="W74" s="57">
        <v>0.121</v>
      </c>
      <c r="X74">
        <v>88.5</v>
      </c>
      <c r="Y74">
        <v>95.21</v>
      </c>
      <c r="Z74">
        <v>22.84</v>
      </c>
      <c r="AA74">
        <v>24.76</v>
      </c>
      <c r="AB74">
        <v>19.329999999999998</v>
      </c>
    </row>
    <row r="75" spans="7:29" x14ac:dyDescent="0.15">
      <c r="G75" s="11">
        <v>74</v>
      </c>
      <c r="H75" s="64">
        <v>600678</v>
      </c>
      <c r="I75" t="s">
        <v>2260</v>
      </c>
      <c r="J75" s="20" t="s">
        <v>2168</v>
      </c>
      <c r="K75" t="s">
        <v>2261</v>
      </c>
      <c r="L75">
        <v>5.56</v>
      </c>
      <c r="M75">
        <v>558.72</v>
      </c>
      <c r="N75" s="57">
        <v>-1.77E-2</v>
      </c>
      <c r="O75">
        <v>19.399999999999999</v>
      </c>
      <c r="P75" s="57">
        <v>2.47E-2</v>
      </c>
      <c r="Q75">
        <v>8.8999999999999999E-3</v>
      </c>
      <c r="R75" s="57">
        <v>9.7900000000000001E-2</v>
      </c>
      <c r="S75">
        <v>0</v>
      </c>
      <c r="T75">
        <v>0</v>
      </c>
      <c r="U75" s="57">
        <v>0.17810999999999999</v>
      </c>
      <c r="V75">
        <v>112.36</v>
      </c>
      <c r="W75" s="57">
        <v>0.35360000000000003</v>
      </c>
      <c r="X75">
        <v>88.34</v>
      </c>
      <c r="Y75">
        <v>86.9</v>
      </c>
      <c r="Z75">
        <v>90.1</v>
      </c>
      <c r="AA75">
        <v>12.3</v>
      </c>
      <c r="AB75">
        <v>75.72</v>
      </c>
    </row>
    <row r="76" spans="7:29" x14ac:dyDescent="0.15">
      <c r="G76" s="11">
        <v>75</v>
      </c>
      <c r="H76" s="64">
        <v>301052</v>
      </c>
      <c r="I76" t="s">
        <v>2262</v>
      </c>
      <c r="J76" s="20" t="s">
        <v>2135</v>
      </c>
      <c r="K76" t="s">
        <v>2136</v>
      </c>
      <c r="L76">
        <v>28.41</v>
      </c>
      <c r="M76">
        <v>1167.56</v>
      </c>
      <c r="N76" s="57">
        <v>-8.9399999999999993E-2</v>
      </c>
      <c r="O76">
        <v>20.47</v>
      </c>
      <c r="P76" s="57">
        <v>7.6600000000000001E-2</v>
      </c>
      <c r="Q76">
        <v>2.1999999999999999E-2</v>
      </c>
      <c r="R76" s="57">
        <v>9.06E-2</v>
      </c>
      <c r="S76">
        <v>0</v>
      </c>
      <c r="T76">
        <v>0</v>
      </c>
      <c r="U76" s="57">
        <v>0.17821000000000001</v>
      </c>
      <c r="V76">
        <v>45.56</v>
      </c>
      <c r="W76" s="57">
        <v>0.48320000000000002</v>
      </c>
      <c r="X76">
        <v>88.18</v>
      </c>
      <c r="Y76">
        <v>82.91</v>
      </c>
      <c r="Z76">
        <v>90.26</v>
      </c>
      <c r="AA76">
        <v>41.53</v>
      </c>
      <c r="AB76">
        <v>89.94</v>
      </c>
      <c r="AC76">
        <v>1</v>
      </c>
    </row>
    <row r="77" spans="7:29" x14ac:dyDescent="0.15">
      <c r="G77" s="11">
        <v>76</v>
      </c>
      <c r="H77" s="64">
        <v>300371</v>
      </c>
      <c r="I77" t="s">
        <v>2263</v>
      </c>
      <c r="J77" s="20" t="s">
        <v>2151</v>
      </c>
      <c r="K77" t="s">
        <v>2220</v>
      </c>
      <c r="L77">
        <v>12.95</v>
      </c>
      <c r="M77">
        <v>110.49</v>
      </c>
      <c r="N77" s="57">
        <v>-3.0999999999999999E-3</v>
      </c>
      <c r="O77">
        <v>21.71</v>
      </c>
      <c r="P77" s="57">
        <v>2.1600000000000001E-2</v>
      </c>
      <c r="Q77">
        <v>7.2999999999999995E-2</v>
      </c>
      <c r="R77" s="57">
        <v>0.16309999999999999</v>
      </c>
      <c r="S77">
        <v>0</v>
      </c>
      <c r="T77">
        <v>0</v>
      </c>
      <c r="U77" s="57">
        <v>0.16097</v>
      </c>
      <c r="V77">
        <v>13.7</v>
      </c>
      <c r="W77" s="57">
        <v>0.51149999999999995</v>
      </c>
      <c r="X77">
        <v>88.02</v>
      </c>
      <c r="Y77">
        <v>78.59</v>
      </c>
      <c r="Z77">
        <v>84.19</v>
      </c>
      <c r="AA77">
        <v>89.46</v>
      </c>
      <c r="AB77">
        <v>91.37</v>
      </c>
    </row>
    <row r="78" spans="7:29" x14ac:dyDescent="0.15">
      <c r="G78" s="11">
        <v>77</v>
      </c>
      <c r="H78" s="64">
        <v>14</v>
      </c>
      <c r="I78" t="s">
        <v>2264</v>
      </c>
      <c r="J78" s="20" t="s">
        <v>2176</v>
      </c>
      <c r="K78" t="s">
        <v>2177</v>
      </c>
      <c r="L78">
        <v>9.1300000000000008</v>
      </c>
      <c r="M78">
        <v>1804.21</v>
      </c>
      <c r="N78" s="57">
        <v>8.8000000000000005E-3</v>
      </c>
      <c r="O78">
        <v>22.1</v>
      </c>
      <c r="P78" s="57">
        <v>5.9700000000000003E-2</v>
      </c>
      <c r="Q78">
        <v>0.1139</v>
      </c>
      <c r="R78" s="57">
        <v>9.5899999999999999E-2</v>
      </c>
      <c r="S78">
        <v>0</v>
      </c>
      <c r="T78">
        <v>0</v>
      </c>
      <c r="U78" s="57">
        <v>0.41554999999999997</v>
      </c>
      <c r="V78">
        <v>8.7799999999999994</v>
      </c>
      <c r="W78" s="57">
        <v>0.36649999999999999</v>
      </c>
      <c r="X78">
        <v>87.86</v>
      </c>
      <c r="Y78">
        <v>77.16</v>
      </c>
      <c r="Z78">
        <v>99.2</v>
      </c>
      <c r="AA78">
        <v>95.05</v>
      </c>
      <c r="AB78">
        <v>77.8</v>
      </c>
    </row>
    <row r="79" spans="7:29" x14ac:dyDescent="0.15">
      <c r="G79" s="11">
        <v>78</v>
      </c>
      <c r="H79" s="64">
        <v>2295</v>
      </c>
      <c r="I79" t="s">
        <v>2265</v>
      </c>
      <c r="J79" s="20" t="s">
        <v>900</v>
      </c>
      <c r="K79" t="s">
        <v>2266</v>
      </c>
      <c r="L79">
        <v>6.98</v>
      </c>
      <c r="M79">
        <v>496.67</v>
      </c>
      <c r="N79" s="57">
        <v>1.4E-3</v>
      </c>
      <c r="O79">
        <v>17.489999999999998</v>
      </c>
      <c r="P79" s="57">
        <v>1.72E-2</v>
      </c>
      <c r="Q79">
        <v>2.24E-2</v>
      </c>
      <c r="R79" s="57">
        <v>1.4999999999999999E-2</v>
      </c>
      <c r="S79">
        <v>0</v>
      </c>
      <c r="T79">
        <v>0</v>
      </c>
      <c r="U79" s="57">
        <v>1.4630000000000001E-2</v>
      </c>
      <c r="V79">
        <v>44.61</v>
      </c>
      <c r="W79" s="57">
        <v>2.2599999999999999E-2</v>
      </c>
      <c r="X79">
        <v>87.7</v>
      </c>
      <c r="Y79">
        <v>94.41</v>
      </c>
      <c r="Z79">
        <v>17.41</v>
      </c>
      <c r="AA79">
        <v>42.65</v>
      </c>
      <c r="AB79">
        <v>0.8</v>
      </c>
    </row>
    <row r="80" spans="7:29" x14ac:dyDescent="0.15">
      <c r="G80" s="11">
        <v>79</v>
      </c>
      <c r="H80" s="64">
        <v>605298</v>
      </c>
      <c r="I80" t="s">
        <v>2267</v>
      </c>
      <c r="J80" s="20" t="s">
        <v>2151</v>
      </c>
      <c r="K80" t="s">
        <v>2171</v>
      </c>
      <c r="L80">
        <v>14.03</v>
      </c>
      <c r="M80">
        <v>43.37</v>
      </c>
      <c r="N80" s="57">
        <v>-5.7000000000000002E-3</v>
      </c>
      <c r="O80">
        <v>19.7</v>
      </c>
      <c r="P80" s="57">
        <v>2.06E-2</v>
      </c>
      <c r="Q80">
        <v>2.9700000000000001E-2</v>
      </c>
      <c r="R80" s="57">
        <v>5.8700000000000002E-2</v>
      </c>
      <c r="S80">
        <v>0</v>
      </c>
      <c r="T80">
        <v>0</v>
      </c>
      <c r="U80" s="57">
        <v>5.6430000000000001E-2</v>
      </c>
      <c r="V80">
        <v>33.700000000000003</v>
      </c>
      <c r="W80" s="57">
        <v>0.51380000000000003</v>
      </c>
      <c r="X80">
        <v>87.54</v>
      </c>
      <c r="Y80">
        <v>85.78</v>
      </c>
      <c r="Z80">
        <v>41.21</v>
      </c>
      <c r="AA80">
        <v>58.47</v>
      </c>
      <c r="AB80">
        <v>91.85</v>
      </c>
    </row>
    <row r="81" spans="7:28" x14ac:dyDescent="0.15">
      <c r="G81" s="11">
        <v>80</v>
      </c>
      <c r="H81" s="64">
        <v>605318</v>
      </c>
      <c r="I81" t="s">
        <v>2268</v>
      </c>
      <c r="J81" s="20" t="s">
        <v>2168</v>
      </c>
      <c r="K81" t="s">
        <v>2261</v>
      </c>
      <c r="L81">
        <v>15.24</v>
      </c>
      <c r="M81">
        <v>101</v>
      </c>
      <c r="N81" s="57">
        <v>-3.3599999999999998E-2</v>
      </c>
      <c r="O81">
        <v>19.690000000000001</v>
      </c>
      <c r="P81" s="57">
        <v>4.2500000000000003E-2</v>
      </c>
      <c r="Q81">
        <v>1.7399999999999999E-2</v>
      </c>
      <c r="R81" s="57">
        <v>3.39E-2</v>
      </c>
      <c r="S81">
        <v>0</v>
      </c>
      <c r="T81">
        <v>0</v>
      </c>
      <c r="U81" s="57">
        <v>0.15458</v>
      </c>
      <c r="V81">
        <v>57.36</v>
      </c>
      <c r="W81" s="57">
        <v>0.27879999999999999</v>
      </c>
      <c r="X81">
        <v>87.38</v>
      </c>
      <c r="Y81">
        <v>85.94</v>
      </c>
      <c r="Z81">
        <v>81.790000000000006</v>
      </c>
      <c r="AA81">
        <v>30.67</v>
      </c>
      <c r="AB81">
        <v>61.34</v>
      </c>
    </row>
    <row r="82" spans="7:28" x14ac:dyDescent="0.15">
      <c r="G82" s="11">
        <v>81</v>
      </c>
      <c r="H82" s="64">
        <v>600689</v>
      </c>
      <c r="I82" t="s">
        <v>2269</v>
      </c>
      <c r="J82" s="20" t="s">
        <v>2183</v>
      </c>
      <c r="K82" t="s">
        <v>2184</v>
      </c>
      <c r="L82">
        <v>8.65</v>
      </c>
      <c r="M82">
        <v>321.45999999999998</v>
      </c>
      <c r="N82" s="57">
        <v>-1.5900000000000001E-2</v>
      </c>
      <c r="O82">
        <v>17.39</v>
      </c>
      <c r="P82" s="57">
        <v>3.3000000000000002E-2</v>
      </c>
      <c r="Q82">
        <v>2.7000000000000001E-3</v>
      </c>
      <c r="R82" s="57">
        <v>-3.2000000000000002E-3</v>
      </c>
      <c r="S82">
        <v>0</v>
      </c>
      <c r="T82">
        <v>0</v>
      </c>
      <c r="U82" s="57">
        <v>6.4680000000000001E-2</v>
      </c>
      <c r="V82">
        <v>377.37</v>
      </c>
      <c r="W82" s="57">
        <v>7.4499999999999997E-2</v>
      </c>
      <c r="X82">
        <v>87.22</v>
      </c>
      <c r="Y82">
        <v>95.05</v>
      </c>
      <c r="Z82">
        <v>46.49</v>
      </c>
      <c r="AA82">
        <v>2.2400000000000002</v>
      </c>
      <c r="AB82">
        <v>6.55</v>
      </c>
    </row>
    <row r="83" spans="7:28" x14ac:dyDescent="0.15">
      <c r="G83" s="11">
        <v>82</v>
      </c>
      <c r="H83" s="64">
        <v>300635</v>
      </c>
      <c r="I83" t="s">
        <v>2270</v>
      </c>
      <c r="J83" s="20" t="s">
        <v>2138</v>
      </c>
      <c r="K83" t="s">
        <v>2181</v>
      </c>
      <c r="L83">
        <v>14.06</v>
      </c>
      <c r="M83">
        <v>168.3</v>
      </c>
      <c r="N83" s="57">
        <v>-9.1999999999999998E-3</v>
      </c>
      <c r="O83">
        <v>19.170000000000002</v>
      </c>
      <c r="P83" s="57">
        <v>1.34E-2</v>
      </c>
      <c r="Q83">
        <v>1.24E-2</v>
      </c>
      <c r="R83" s="57">
        <v>3.39E-2</v>
      </c>
      <c r="S83">
        <v>0</v>
      </c>
      <c r="T83">
        <v>0</v>
      </c>
      <c r="U83" s="57">
        <v>0.13578999999999999</v>
      </c>
      <c r="V83">
        <v>80.819999999999993</v>
      </c>
      <c r="W83" s="57">
        <v>0.26429999999999998</v>
      </c>
      <c r="X83">
        <v>87.06</v>
      </c>
      <c r="Y83">
        <v>87.7</v>
      </c>
      <c r="Z83">
        <v>77.319999999999993</v>
      </c>
      <c r="AA83">
        <v>18.37</v>
      </c>
      <c r="AB83">
        <v>58.15</v>
      </c>
    </row>
    <row r="84" spans="7:28" x14ac:dyDescent="0.15">
      <c r="G84" s="11">
        <v>83</v>
      </c>
      <c r="H84" s="64">
        <v>300947</v>
      </c>
      <c r="I84" t="s">
        <v>2271</v>
      </c>
      <c r="J84" s="20" t="s">
        <v>2246</v>
      </c>
      <c r="K84" t="s">
        <v>2272</v>
      </c>
      <c r="L84">
        <v>13.56</v>
      </c>
      <c r="M84">
        <v>159.07</v>
      </c>
      <c r="N84" s="57">
        <v>-2.3099999999999999E-2</v>
      </c>
      <c r="O84">
        <v>20.83</v>
      </c>
      <c r="P84" s="57">
        <v>2.5899999999999999E-2</v>
      </c>
      <c r="Q84">
        <v>0.04</v>
      </c>
      <c r="R84" s="57">
        <v>4.8899999999999999E-2</v>
      </c>
      <c r="S84">
        <v>0</v>
      </c>
      <c r="T84">
        <v>0</v>
      </c>
      <c r="U84" s="57">
        <v>0.11226999999999999</v>
      </c>
      <c r="V84">
        <v>24.98</v>
      </c>
      <c r="W84" s="57">
        <v>0.44969999999999999</v>
      </c>
      <c r="X84">
        <v>86.9</v>
      </c>
      <c r="Y84">
        <v>81.63</v>
      </c>
      <c r="Z84">
        <v>68.209999999999994</v>
      </c>
      <c r="AA84">
        <v>72.84</v>
      </c>
      <c r="AB84">
        <v>87.7</v>
      </c>
    </row>
    <row r="85" spans="7:28" x14ac:dyDescent="0.15">
      <c r="G85" s="11">
        <v>84</v>
      </c>
      <c r="H85" s="64">
        <v>300778</v>
      </c>
      <c r="I85" t="s">
        <v>2273</v>
      </c>
      <c r="J85" s="20" t="s">
        <v>2138</v>
      </c>
      <c r="K85" t="s">
        <v>2236</v>
      </c>
      <c r="L85">
        <v>14.06</v>
      </c>
      <c r="M85">
        <v>151.47999999999999</v>
      </c>
      <c r="N85" s="57">
        <v>-2.5600000000000001E-2</v>
      </c>
      <c r="O85">
        <v>21.23</v>
      </c>
      <c r="P85" s="57">
        <v>3.4000000000000002E-2</v>
      </c>
      <c r="Q85">
        <v>3.5499999999999997E-2</v>
      </c>
      <c r="R85" s="57">
        <v>5.8000000000000003E-2</v>
      </c>
      <c r="S85">
        <v>0</v>
      </c>
      <c r="T85">
        <v>0</v>
      </c>
      <c r="U85" s="57">
        <v>0.15898000000000001</v>
      </c>
      <c r="V85">
        <v>28.2</v>
      </c>
      <c r="W85" s="57">
        <v>0.41699999999999998</v>
      </c>
      <c r="X85">
        <v>86.74</v>
      </c>
      <c r="Y85">
        <v>80.510000000000005</v>
      </c>
      <c r="Z85">
        <v>83.87</v>
      </c>
      <c r="AA85">
        <v>66.45</v>
      </c>
      <c r="AB85">
        <v>84.5</v>
      </c>
    </row>
    <row r="86" spans="7:28" x14ac:dyDescent="0.15">
      <c r="G86" s="11">
        <v>85</v>
      </c>
      <c r="H86" s="64">
        <v>300886</v>
      </c>
      <c r="I86" t="s">
        <v>2274</v>
      </c>
      <c r="J86" s="20" t="s">
        <v>2190</v>
      </c>
      <c r="K86" t="s">
        <v>2204</v>
      </c>
      <c r="L86">
        <v>23.95</v>
      </c>
      <c r="M86">
        <v>45.25</v>
      </c>
      <c r="N86" s="57">
        <v>-9.1000000000000004E-3</v>
      </c>
      <c r="O86">
        <v>17.86</v>
      </c>
      <c r="P86" s="57">
        <v>2.52E-2</v>
      </c>
      <c r="Q86">
        <v>1.17E-2</v>
      </c>
      <c r="R86" s="57">
        <v>2.3800000000000002E-2</v>
      </c>
      <c r="S86">
        <v>0</v>
      </c>
      <c r="T86">
        <v>0</v>
      </c>
      <c r="U86" s="57">
        <v>2.3050000000000001E-2</v>
      </c>
      <c r="V86">
        <v>85.71</v>
      </c>
      <c r="W86" s="57">
        <v>0.22889999999999999</v>
      </c>
      <c r="X86">
        <v>86.58</v>
      </c>
      <c r="Y86">
        <v>93.29</v>
      </c>
      <c r="Z86">
        <v>22.68</v>
      </c>
      <c r="AA86">
        <v>16.93</v>
      </c>
      <c r="AB86">
        <v>47.92</v>
      </c>
    </row>
    <row r="87" spans="7:28" x14ac:dyDescent="0.15">
      <c r="G87" s="11">
        <v>86</v>
      </c>
      <c r="H87" s="64">
        <v>300637</v>
      </c>
      <c r="I87" t="s">
        <v>2275</v>
      </c>
      <c r="J87" s="20" t="s">
        <v>2190</v>
      </c>
      <c r="K87" t="s">
        <v>2204</v>
      </c>
      <c r="L87">
        <v>7.34</v>
      </c>
      <c r="M87">
        <v>248.88</v>
      </c>
      <c r="N87" s="57">
        <v>-9.4000000000000004E-3</v>
      </c>
      <c r="O87">
        <v>17.23</v>
      </c>
      <c r="P87" s="57">
        <v>2.0199999999999999E-2</v>
      </c>
      <c r="Q87">
        <v>6.1999999999999998E-3</v>
      </c>
      <c r="R87" s="57">
        <v>1.7899999999999999E-2</v>
      </c>
      <c r="S87">
        <v>0</v>
      </c>
      <c r="T87">
        <v>0</v>
      </c>
      <c r="U87" s="57">
        <v>1.2600000000000001E-3</v>
      </c>
      <c r="V87">
        <v>160.38999999999999</v>
      </c>
      <c r="W87" s="57">
        <v>0.1898</v>
      </c>
      <c r="X87">
        <v>86.42</v>
      </c>
      <c r="Y87">
        <v>95.37</v>
      </c>
      <c r="Z87">
        <v>12.3</v>
      </c>
      <c r="AA87">
        <v>9.11</v>
      </c>
      <c r="AB87">
        <v>37.86</v>
      </c>
    </row>
    <row r="88" spans="7:28" x14ac:dyDescent="0.15">
      <c r="G88" s="11">
        <v>87</v>
      </c>
      <c r="H88" s="64">
        <v>301045</v>
      </c>
      <c r="I88" t="s">
        <v>2276</v>
      </c>
      <c r="J88" s="20" t="s">
        <v>2258</v>
      </c>
      <c r="K88" t="s">
        <v>2259</v>
      </c>
      <c r="L88">
        <v>18.829999999999998</v>
      </c>
      <c r="M88">
        <v>68.53</v>
      </c>
      <c r="N88" s="57">
        <v>-1.67E-2</v>
      </c>
      <c r="O88">
        <v>19.420000000000002</v>
      </c>
      <c r="P88" s="57">
        <v>2.8199999999999999E-2</v>
      </c>
      <c r="Q88">
        <v>2.87E-2</v>
      </c>
      <c r="R88" s="57">
        <v>6.3200000000000006E-2</v>
      </c>
      <c r="S88">
        <v>0</v>
      </c>
      <c r="T88">
        <v>0</v>
      </c>
      <c r="U88" s="57">
        <v>7.0360000000000006E-2</v>
      </c>
      <c r="V88">
        <v>34.89</v>
      </c>
      <c r="W88" s="57">
        <v>0.20580000000000001</v>
      </c>
      <c r="X88">
        <v>86.26</v>
      </c>
      <c r="Y88">
        <v>86.58</v>
      </c>
      <c r="Z88">
        <v>50.16</v>
      </c>
      <c r="AA88">
        <v>56.39</v>
      </c>
      <c r="AB88">
        <v>41.69</v>
      </c>
    </row>
    <row r="89" spans="7:28" x14ac:dyDescent="0.15">
      <c r="G89" s="11">
        <v>88</v>
      </c>
      <c r="H89" s="64">
        <v>603637</v>
      </c>
      <c r="I89" t="s">
        <v>2277</v>
      </c>
      <c r="J89" s="20" t="s">
        <v>2138</v>
      </c>
      <c r="K89" t="s">
        <v>2181</v>
      </c>
      <c r="L89">
        <v>8.58</v>
      </c>
      <c r="M89">
        <v>299.98</v>
      </c>
      <c r="N89" s="57">
        <v>-1.04E-2</v>
      </c>
      <c r="O89">
        <v>20.91</v>
      </c>
      <c r="P89" s="57">
        <v>2.0799999999999999E-2</v>
      </c>
      <c r="Q89">
        <v>3.9100000000000003E-2</v>
      </c>
      <c r="R89" s="57">
        <v>8.4500000000000006E-2</v>
      </c>
      <c r="S89">
        <v>0</v>
      </c>
      <c r="T89">
        <v>0</v>
      </c>
      <c r="U89" s="57">
        <v>0.19015000000000001</v>
      </c>
      <c r="V89">
        <v>25.55</v>
      </c>
      <c r="W89" s="57">
        <v>0.14979999999999999</v>
      </c>
      <c r="X89">
        <v>86.1</v>
      </c>
      <c r="Y89">
        <v>81.31</v>
      </c>
      <c r="Z89">
        <v>92.65</v>
      </c>
      <c r="AA89">
        <v>71.73</v>
      </c>
      <c r="AB89">
        <v>26.84</v>
      </c>
    </row>
    <row r="90" spans="7:28" x14ac:dyDescent="0.15">
      <c r="G90" s="11">
        <v>89</v>
      </c>
      <c r="H90" s="64">
        <v>300970</v>
      </c>
      <c r="I90" t="s">
        <v>2278</v>
      </c>
      <c r="J90" s="20" t="s">
        <v>2165</v>
      </c>
      <c r="K90" t="s">
        <v>2166</v>
      </c>
      <c r="L90">
        <v>18.079999999999998</v>
      </c>
      <c r="M90">
        <v>193.36</v>
      </c>
      <c r="N90" s="57">
        <v>-1.5800000000000002E-2</v>
      </c>
      <c r="O90">
        <v>21.1</v>
      </c>
      <c r="P90" s="57">
        <v>3.32E-2</v>
      </c>
      <c r="Q90">
        <v>4.1000000000000002E-2</v>
      </c>
      <c r="R90" s="57">
        <v>5.1400000000000001E-2</v>
      </c>
      <c r="S90">
        <v>0</v>
      </c>
      <c r="T90">
        <v>0</v>
      </c>
      <c r="U90" s="57">
        <v>0.18709000000000001</v>
      </c>
      <c r="V90">
        <v>24.38</v>
      </c>
      <c r="W90" s="57">
        <v>0.161</v>
      </c>
      <c r="X90">
        <v>85.94</v>
      </c>
      <c r="Y90">
        <v>80.989999999999995</v>
      </c>
      <c r="Z90">
        <v>92.17</v>
      </c>
      <c r="AA90">
        <v>73.8</v>
      </c>
      <c r="AB90">
        <v>29.71</v>
      </c>
    </row>
    <row r="91" spans="7:28" x14ac:dyDescent="0.15">
      <c r="G91" s="11">
        <v>90</v>
      </c>
      <c r="H91" s="64">
        <v>3017</v>
      </c>
      <c r="I91" t="s">
        <v>2279</v>
      </c>
      <c r="J91" s="20" t="s">
        <v>2190</v>
      </c>
      <c r="K91" t="s">
        <v>2280</v>
      </c>
      <c r="L91">
        <v>31.32</v>
      </c>
      <c r="M91">
        <v>59.07</v>
      </c>
      <c r="N91" s="57">
        <v>-8.8999999999999999E-3</v>
      </c>
      <c r="O91">
        <v>18.79</v>
      </c>
      <c r="P91" s="57">
        <v>2.18E-2</v>
      </c>
      <c r="Q91">
        <v>2.69E-2</v>
      </c>
      <c r="R91" s="57">
        <v>4.7300000000000002E-2</v>
      </c>
      <c r="S91">
        <v>0</v>
      </c>
      <c r="T91">
        <v>0</v>
      </c>
      <c r="U91" s="57">
        <v>3.3090000000000001E-2</v>
      </c>
      <c r="V91">
        <v>37.119999999999997</v>
      </c>
      <c r="W91" s="57">
        <v>0.1404</v>
      </c>
      <c r="X91">
        <v>85.78</v>
      </c>
      <c r="Y91">
        <v>89.62</v>
      </c>
      <c r="Z91">
        <v>28.91</v>
      </c>
      <c r="AA91">
        <v>52.72</v>
      </c>
      <c r="AB91">
        <v>24.28</v>
      </c>
    </row>
    <row r="92" spans="7:28" x14ac:dyDescent="0.15">
      <c r="G92" s="11">
        <v>91</v>
      </c>
      <c r="H92" s="64">
        <v>301131</v>
      </c>
      <c r="I92" t="s">
        <v>2281</v>
      </c>
      <c r="J92" s="20" t="s">
        <v>2190</v>
      </c>
      <c r="K92" t="s">
        <v>2191</v>
      </c>
      <c r="L92">
        <v>38.130000000000003</v>
      </c>
      <c r="M92">
        <v>44.36</v>
      </c>
      <c r="N92" s="57">
        <v>-1.9300000000000001E-2</v>
      </c>
      <c r="O92">
        <v>18.22</v>
      </c>
      <c r="P92" s="57">
        <v>2.6700000000000002E-2</v>
      </c>
      <c r="Q92">
        <v>1.8200000000000001E-2</v>
      </c>
      <c r="R92" s="57">
        <v>4.0599999999999997E-2</v>
      </c>
      <c r="S92">
        <v>0</v>
      </c>
      <c r="T92">
        <v>0</v>
      </c>
      <c r="U92" s="57">
        <v>3.1419999999999997E-2</v>
      </c>
      <c r="V92">
        <v>55</v>
      </c>
      <c r="W92" s="57">
        <v>0.1011</v>
      </c>
      <c r="X92">
        <v>85.62</v>
      </c>
      <c r="Y92">
        <v>92.17</v>
      </c>
      <c r="Z92">
        <v>27.16</v>
      </c>
      <c r="AA92">
        <v>33.71</v>
      </c>
      <c r="AB92">
        <v>12.46</v>
      </c>
    </row>
    <row r="93" spans="7:28" x14ac:dyDescent="0.15">
      <c r="G93" s="11">
        <v>92</v>
      </c>
      <c r="H93" s="64">
        <v>300991</v>
      </c>
      <c r="I93" t="s">
        <v>2282</v>
      </c>
      <c r="J93" s="20" t="s">
        <v>2258</v>
      </c>
      <c r="K93" t="s">
        <v>2283</v>
      </c>
      <c r="L93">
        <v>12.79</v>
      </c>
      <c r="M93">
        <v>120.47</v>
      </c>
      <c r="N93" s="57">
        <v>-1.24E-2</v>
      </c>
      <c r="O93">
        <v>18.420000000000002</v>
      </c>
      <c r="P93" s="57">
        <v>2.5499999999999998E-2</v>
      </c>
      <c r="Q93">
        <v>1.1599999999999999E-2</v>
      </c>
      <c r="R93" s="57">
        <v>1.7100000000000001E-2</v>
      </c>
      <c r="S93">
        <v>0</v>
      </c>
      <c r="T93">
        <v>0</v>
      </c>
      <c r="U93" s="57">
        <v>3.9669999999999997E-2</v>
      </c>
      <c r="V93">
        <v>86.31</v>
      </c>
      <c r="W93" s="57">
        <v>0.24990000000000001</v>
      </c>
      <c r="X93">
        <v>85.46</v>
      </c>
      <c r="Y93">
        <v>91.05</v>
      </c>
      <c r="Z93">
        <v>32.909999999999997</v>
      </c>
      <c r="AA93">
        <v>16.61</v>
      </c>
      <c r="AB93">
        <v>53.83</v>
      </c>
    </row>
    <row r="94" spans="7:28" x14ac:dyDescent="0.15">
      <c r="G94" s="11">
        <v>93</v>
      </c>
      <c r="H94" s="64">
        <v>2921</v>
      </c>
      <c r="I94" t="s">
        <v>2284</v>
      </c>
      <c r="J94" s="20" t="s">
        <v>2159</v>
      </c>
      <c r="K94" t="s">
        <v>2160</v>
      </c>
      <c r="L94">
        <v>14.5</v>
      </c>
      <c r="M94">
        <v>294.36</v>
      </c>
      <c r="N94" s="57">
        <v>-2.4899999999999999E-2</v>
      </c>
      <c r="O94">
        <v>19.100000000000001</v>
      </c>
      <c r="P94" s="57">
        <v>3.7699999999999997E-2</v>
      </c>
      <c r="Q94">
        <v>2.1000000000000001E-2</v>
      </c>
      <c r="R94" s="57">
        <v>2.5700000000000001E-2</v>
      </c>
      <c r="S94">
        <v>0</v>
      </c>
      <c r="T94">
        <v>0</v>
      </c>
      <c r="U94" s="57">
        <v>7.2940000000000005E-2</v>
      </c>
      <c r="V94">
        <v>47.65</v>
      </c>
      <c r="W94" s="57">
        <v>0.16569999999999999</v>
      </c>
      <c r="X94">
        <v>85.3</v>
      </c>
      <c r="Y94">
        <v>88.02</v>
      </c>
      <c r="Z94">
        <v>51.6</v>
      </c>
      <c r="AA94">
        <v>39.46</v>
      </c>
      <c r="AB94">
        <v>30.83</v>
      </c>
    </row>
    <row r="95" spans="7:28" x14ac:dyDescent="0.15">
      <c r="G95" s="11">
        <v>94</v>
      </c>
      <c r="H95" s="64">
        <v>300851</v>
      </c>
      <c r="I95" t="s">
        <v>2285</v>
      </c>
      <c r="J95" s="20" t="s">
        <v>2151</v>
      </c>
      <c r="K95" t="s">
        <v>2171</v>
      </c>
      <c r="L95">
        <v>24.43</v>
      </c>
      <c r="M95">
        <v>40.869999999999997</v>
      </c>
      <c r="N95" s="57">
        <v>8.3000000000000001E-3</v>
      </c>
      <c r="O95">
        <v>21.24</v>
      </c>
      <c r="P95" s="57">
        <v>2.4400000000000002E-2</v>
      </c>
      <c r="Q95">
        <v>4.4699999999999997E-2</v>
      </c>
      <c r="R95" s="57">
        <v>6.2600000000000003E-2</v>
      </c>
      <c r="S95">
        <v>0</v>
      </c>
      <c r="T95">
        <v>0</v>
      </c>
      <c r="U95" s="57">
        <v>6.7669999999999994E-2</v>
      </c>
      <c r="V95">
        <v>22.36</v>
      </c>
      <c r="W95" s="57">
        <v>0.69820000000000004</v>
      </c>
      <c r="X95">
        <v>85.14</v>
      </c>
      <c r="Y95">
        <v>80.349999999999994</v>
      </c>
      <c r="Z95">
        <v>48.4</v>
      </c>
      <c r="AA95">
        <v>78.12</v>
      </c>
      <c r="AB95">
        <v>98.4</v>
      </c>
    </row>
    <row r="96" spans="7:28" x14ac:dyDescent="0.15">
      <c r="G96" s="11">
        <v>95</v>
      </c>
      <c r="H96" s="64">
        <v>600319</v>
      </c>
      <c r="I96" t="s">
        <v>2286</v>
      </c>
      <c r="J96" s="20" t="s">
        <v>2190</v>
      </c>
      <c r="K96" t="s">
        <v>2280</v>
      </c>
      <c r="L96">
        <v>5.71</v>
      </c>
      <c r="M96">
        <v>414.04</v>
      </c>
      <c r="N96" s="57">
        <v>-1.72E-2</v>
      </c>
      <c r="O96">
        <v>22.14</v>
      </c>
      <c r="P96" s="57">
        <v>3.44E-2</v>
      </c>
      <c r="Q96">
        <v>0.13109999999999999</v>
      </c>
      <c r="R96" s="57">
        <v>-7.9000000000000008E-3</v>
      </c>
      <c r="S96">
        <v>0</v>
      </c>
      <c r="T96">
        <v>0</v>
      </c>
      <c r="U96" s="57">
        <v>0.48089999999999999</v>
      </c>
      <c r="V96">
        <v>7.63</v>
      </c>
      <c r="W96" s="57">
        <v>0.14449999999999999</v>
      </c>
      <c r="X96">
        <v>84.98</v>
      </c>
      <c r="Y96">
        <v>76.680000000000007</v>
      </c>
      <c r="Z96">
        <v>99.36</v>
      </c>
      <c r="AA96">
        <v>95.85</v>
      </c>
      <c r="AB96">
        <v>24.76</v>
      </c>
    </row>
    <row r="97" spans="7:28" x14ac:dyDescent="0.15">
      <c r="G97" s="11">
        <v>96</v>
      </c>
      <c r="H97" s="64">
        <v>301041</v>
      </c>
      <c r="I97" t="s">
        <v>2287</v>
      </c>
      <c r="J97" s="20" t="s">
        <v>2258</v>
      </c>
      <c r="K97" t="s">
        <v>2288</v>
      </c>
      <c r="L97">
        <v>18.57</v>
      </c>
      <c r="M97">
        <v>377.88</v>
      </c>
      <c r="N97" s="57">
        <v>-3.2300000000000002E-2</v>
      </c>
      <c r="O97">
        <v>19.809999999999999</v>
      </c>
      <c r="P97" s="57">
        <v>3.6999999999999998E-2</v>
      </c>
      <c r="Q97">
        <v>2.07E-2</v>
      </c>
      <c r="R97" s="57">
        <v>5.7299999999999997E-2</v>
      </c>
      <c r="S97">
        <v>0</v>
      </c>
      <c r="T97">
        <v>0</v>
      </c>
      <c r="U97" s="57">
        <v>6.9459999999999994E-2</v>
      </c>
      <c r="V97">
        <v>48.3</v>
      </c>
      <c r="W97" s="57">
        <v>0.26079999999999998</v>
      </c>
      <c r="X97">
        <v>84.82</v>
      </c>
      <c r="Y97">
        <v>85.62</v>
      </c>
      <c r="Z97">
        <v>49.36</v>
      </c>
      <c r="AA97">
        <v>38.659999999999997</v>
      </c>
      <c r="AB97">
        <v>57.03</v>
      </c>
    </row>
    <row r="98" spans="7:28" x14ac:dyDescent="0.15">
      <c r="G98" s="11">
        <v>97</v>
      </c>
      <c r="H98" s="64">
        <v>300597</v>
      </c>
      <c r="I98" t="s">
        <v>2289</v>
      </c>
      <c r="J98" s="20" t="s">
        <v>2173</v>
      </c>
      <c r="K98" t="s">
        <v>2174</v>
      </c>
      <c r="L98">
        <v>8.31</v>
      </c>
      <c r="M98">
        <v>348.64</v>
      </c>
      <c r="N98" s="57">
        <v>-1.4200000000000001E-2</v>
      </c>
      <c r="O98">
        <v>19.940000000000001</v>
      </c>
      <c r="P98" s="57">
        <v>2.3699999999999999E-2</v>
      </c>
      <c r="Q98">
        <v>1.7299999999999999E-2</v>
      </c>
      <c r="R98" s="57">
        <v>3.8199999999999998E-2</v>
      </c>
      <c r="S98">
        <v>0</v>
      </c>
      <c r="T98">
        <v>0</v>
      </c>
      <c r="U98" s="57">
        <v>0.11889</v>
      </c>
      <c r="V98">
        <v>57.66</v>
      </c>
      <c r="W98" s="57">
        <v>0.22170000000000001</v>
      </c>
      <c r="X98">
        <v>84.66</v>
      </c>
      <c r="Y98">
        <v>84.66</v>
      </c>
      <c r="Z98">
        <v>71.73</v>
      </c>
      <c r="AA98">
        <v>30.35</v>
      </c>
      <c r="AB98">
        <v>45.85</v>
      </c>
    </row>
    <row r="99" spans="7:28" x14ac:dyDescent="0.15">
      <c r="G99" s="11">
        <v>98</v>
      </c>
      <c r="H99" s="64">
        <v>301183</v>
      </c>
      <c r="I99" t="s">
        <v>2290</v>
      </c>
      <c r="J99" s="20" t="s">
        <v>2258</v>
      </c>
      <c r="K99" t="s">
        <v>2259</v>
      </c>
      <c r="L99">
        <v>24.77</v>
      </c>
      <c r="M99">
        <v>94.43</v>
      </c>
      <c r="N99" s="57">
        <v>-2.4400000000000002E-2</v>
      </c>
      <c r="O99">
        <v>19.82</v>
      </c>
      <c r="P99" s="57">
        <v>3.6999999999999998E-2</v>
      </c>
      <c r="Q99">
        <v>2.0500000000000001E-2</v>
      </c>
      <c r="R99" s="57">
        <v>4.82E-2</v>
      </c>
      <c r="S99">
        <v>0</v>
      </c>
      <c r="T99">
        <v>0</v>
      </c>
      <c r="U99" s="57">
        <v>7.4520000000000003E-2</v>
      </c>
      <c r="V99">
        <v>48.71</v>
      </c>
      <c r="W99" s="57">
        <v>0.2492</v>
      </c>
      <c r="X99">
        <v>84.5</v>
      </c>
      <c r="Y99">
        <v>85.46</v>
      </c>
      <c r="Z99">
        <v>52.4</v>
      </c>
      <c r="AA99">
        <v>37.700000000000003</v>
      </c>
      <c r="AB99">
        <v>53.67</v>
      </c>
    </row>
    <row r="100" spans="7:28" x14ac:dyDescent="0.15">
      <c r="G100" s="11">
        <v>99</v>
      </c>
      <c r="H100" s="64">
        <v>715</v>
      </c>
      <c r="I100" t="s">
        <v>2291</v>
      </c>
      <c r="J100" s="20" t="s">
        <v>2246</v>
      </c>
      <c r="K100" t="s">
        <v>2292</v>
      </c>
      <c r="L100">
        <v>5.25</v>
      </c>
      <c r="M100">
        <v>655.32000000000005</v>
      </c>
      <c r="N100" s="57">
        <v>-1.6899999999999998E-2</v>
      </c>
      <c r="O100">
        <v>21.83</v>
      </c>
      <c r="P100" s="57">
        <v>2.81E-2</v>
      </c>
      <c r="Q100">
        <v>4.5100000000000001E-2</v>
      </c>
      <c r="R100" s="57">
        <v>5.6899999999999999E-2</v>
      </c>
      <c r="S100">
        <v>0</v>
      </c>
      <c r="T100">
        <v>0</v>
      </c>
      <c r="U100" s="57">
        <v>0.10249</v>
      </c>
      <c r="V100">
        <v>22.16</v>
      </c>
      <c r="W100" s="57">
        <v>0.55600000000000005</v>
      </c>
      <c r="X100">
        <v>84.35</v>
      </c>
      <c r="Y100">
        <v>78.12</v>
      </c>
      <c r="Z100">
        <v>63.74</v>
      </c>
      <c r="AA100">
        <v>78.59</v>
      </c>
      <c r="AB100">
        <v>93.61</v>
      </c>
    </row>
    <row r="101" spans="7:28" x14ac:dyDescent="0.15">
      <c r="G101" s="11">
        <v>100</v>
      </c>
      <c r="H101" s="64">
        <v>1210</v>
      </c>
      <c r="I101" t="s">
        <v>2293</v>
      </c>
      <c r="J101" s="20" t="s">
        <v>2143</v>
      </c>
      <c r="K101" t="s">
        <v>2239</v>
      </c>
      <c r="L101">
        <v>24.37</v>
      </c>
      <c r="M101">
        <v>33.1</v>
      </c>
      <c r="N101" s="57">
        <v>-1.2200000000000001E-2</v>
      </c>
      <c r="O101">
        <v>22.12</v>
      </c>
      <c r="P101" s="57">
        <v>1.95E-2</v>
      </c>
      <c r="Q101">
        <v>5.7700000000000001E-2</v>
      </c>
      <c r="R101" s="57">
        <v>8.1799999999999998E-2</v>
      </c>
      <c r="S101">
        <v>0</v>
      </c>
      <c r="T101">
        <v>0</v>
      </c>
      <c r="U101" s="57">
        <v>0.17322000000000001</v>
      </c>
      <c r="V101">
        <v>17.32</v>
      </c>
      <c r="W101" s="57">
        <v>0.25130000000000002</v>
      </c>
      <c r="X101">
        <v>84.19</v>
      </c>
      <c r="Y101">
        <v>76.84</v>
      </c>
      <c r="Z101">
        <v>88.98</v>
      </c>
      <c r="AA101">
        <v>85.3</v>
      </c>
      <c r="AB101">
        <v>54.15</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2022-11-19T12:18:59Z</dcterms:modified>
</cp:coreProperties>
</file>